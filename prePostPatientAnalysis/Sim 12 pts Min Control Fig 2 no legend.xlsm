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ay\Documents\ChicagoTalk\dataFromGrandpa\"/>
    </mc:Choice>
  </mc:AlternateContent>
  <bookViews>
    <workbookView xWindow="0" yWindow="0" windowWidth="24000" windowHeight="11048" tabRatio="839" firstSheet="18" activeTab="22"/>
  </bookViews>
  <sheets>
    <sheet name="plan" sheetId="21" r:id="rId1"/>
    <sheet name="Sheet1" sheetId="1" r:id="rId2"/>
    <sheet name="Sheet2" sheetId="2" r:id="rId3"/>
    <sheet name="Sheet3" sheetId="3" r:id="rId4"/>
    <sheet name="Sheet4" sheetId="4" r:id="rId5"/>
    <sheet name="Sheet5" sheetId="5" r:id="rId6"/>
    <sheet name="Sheet6" sheetId="6" r:id="rId7"/>
    <sheet name="Sheet7" sheetId="7" r:id="rId8"/>
    <sheet name="Sheet8" sheetId="8" r:id="rId9"/>
    <sheet name="Sheet9" sheetId="9" r:id="rId10"/>
    <sheet name="Sheet10" sheetId="10" r:id="rId11"/>
    <sheet name="Sum" sheetId="22" r:id="rId12"/>
    <sheet name="Fig 2" sheetId="23" r:id="rId13"/>
    <sheet name="sum by subcat" sheetId="24" r:id="rId14"/>
    <sheet name="sum controls" sheetId="25" r:id="rId15"/>
    <sheet name="Sheet11" sheetId="11" r:id="rId16"/>
    <sheet name="Sheet12" sheetId="12" r:id="rId17"/>
    <sheet name="Sheet13" sheetId="13" r:id="rId18"/>
    <sheet name="Sheet14" sheetId="14" r:id="rId19"/>
    <sheet name="Sheet15" sheetId="15" r:id="rId20"/>
    <sheet name="Sheet16" sheetId="16" r:id="rId21"/>
    <sheet name="Sheet17" sheetId="17" r:id="rId22"/>
    <sheet name="Sheet18" sheetId="18" r:id="rId23"/>
    <sheet name="Sheet19" sheetId="19" r:id="rId24"/>
    <sheet name="Sheet20" sheetId="20" r:id="rId25"/>
    <sheet name="Sheet21" sheetId="26" r:id="rId26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002" i="1"/>
  <c r="M14" i="21"/>
  <c r="F19" i="25"/>
  <c r="F17" i="25"/>
  <c r="F12" i="25"/>
  <c r="E12" i="25"/>
  <c r="E17" i="25"/>
  <c r="E19" i="25"/>
  <c r="R2" i="24"/>
  <c r="R3" i="24"/>
  <c r="R4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3" i="24"/>
  <c r="R24" i="24"/>
  <c r="Q2" i="24"/>
  <c r="Q3" i="24"/>
  <c r="Q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3" i="24"/>
  <c r="Q24" i="24"/>
  <c r="P2" i="24"/>
  <c r="P3" i="24"/>
  <c r="P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3" i="24"/>
  <c r="P24" i="24"/>
  <c r="O2" i="24"/>
  <c r="O3" i="24"/>
  <c r="O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3" i="24"/>
  <c r="O24" i="24"/>
  <c r="N2" i="24"/>
  <c r="N3" i="24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3" i="24"/>
  <c r="N24" i="24"/>
  <c r="M2" i="24"/>
  <c r="M3" i="24"/>
  <c r="M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3" i="24"/>
  <c r="M24" i="24"/>
  <c r="L2" i="24"/>
  <c r="L3" i="24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3" i="24"/>
  <c r="L24" i="24"/>
  <c r="R22" i="24"/>
  <c r="Q22" i="24"/>
  <c r="P22" i="24"/>
  <c r="O22" i="24"/>
  <c r="N22" i="24"/>
  <c r="M22" i="24"/>
  <c r="L22" i="24"/>
  <c r="E22" i="24"/>
  <c r="F22" i="24"/>
  <c r="G22" i="24"/>
  <c r="H22" i="24"/>
  <c r="I22" i="24"/>
  <c r="J22" i="24"/>
  <c r="E23" i="24"/>
  <c r="F23" i="24"/>
  <c r="G23" i="24"/>
  <c r="H23" i="24"/>
  <c r="I23" i="24"/>
  <c r="J23" i="24"/>
  <c r="E24" i="24"/>
  <c r="F24" i="24"/>
  <c r="G24" i="24"/>
  <c r="H24" i="24"/>
  <c r="I24" i="24"/>
  <c r="J24" i="24"/>
  <c r="D23" i="24"/>
  <c r="D24" i="24"/>
  <c r="D22" i="24"/>
  <c r="AD43" i="22"/>
  <c r="AD44" i="22"/>
  <c r="AC43" i="22"/>
  <c r="AC44" i="22"/>
  <c r="AB43" i="22"/>
  <c r="AB44" i="22"/>
  <c r="AA43" i="22"/>
  <c r="AA44" i="22"/>
  <c r="Z43" i="22"/>
  <c r="Z44" i="22"/>
  <c r="Y43" i="22"/>
  <c r="Y44" i="22"/>
  <c r="X43" i="22"/>
  <c r="X44" i="22"/>
  <c r="W43" i="22"/>
  <c r="W44" i="22"/>
  <c r="V43" i="22"/>
  <c r="V44" i="22"/>
  <c r="U43" i="22"/>
  <c r="U44" i="22"/>
  <c r="T43" i="22"/>
  <c r="T44" i="22"/>
  <c r="S43" i="22"/>
  <c r="S44" i="22"/>
  <c r="E43" i="22"/>
  <c r="E44" i="22"/>
  <c r="F43" i="22"/>
  <c r="F44" i="22"/>
  <c r="G43" i="22"/>
  <c r="G44" i="22"/>
  <c r="H43" i="22"/>
  <c r="H44" i="22"/>
  <c r="I43" i="22"/>
  <c r="I44" i="22"/>
  <c r="J43" i="22"/>
  <c r="J44" i="22"/>
  <c r="K43" i="22"/>
  <c r="K44" i="22"/>
  <c r="L43" i="22"/>
  <c r="L44" i="22"/>
  <c r="M43" i="22"/>
  <c r="M44" i="22"/>
  <c r="N43" i="22"/>
  <c r="N44" i="22"/>
  <c r="O43" i="22"/>
  <c r="O44" i="22"/>
  <c r="D43" i="22"/>
  <c r="D44" i="22"/>
  <c r="E42" i="22"/>
  <c r="E45" i="22"/>
  <c r="F42" i="22"/>
  <c r="F45" i="22"/>
  <c r="G42" i="22"/>
  <c r="G45" i="22"/>
  <c r="H42" i="22"/>
  <c r="H45" i="22"/>
  <c r="I42" i="22"/>
  <c r="I45" i="22"/>
  <c r="J42" i="22"/>
  <c r="J45" i="22"/>
  <c r="K42" i="22"/>
  <c r="K45" i="22"/>
  <c r="L42" i="22"/>
  <c r="L45" i="22"/>
  <c r="M42" i="22"/>
  <c r="M45" i="22"/>
  <c r="N42" i="22"/>
  <c r="N45" i="22"/>
  <c r="O42" i="22"/>
  <c r="O45" i="22"/>
  <c r="D42" i="22"/>
  <c r="D45" i="22"/>
  <c r="T42" i="22"/>
  <c r="T46" i="22"/>
  <c r="U42" i="22"/>
  <c r="U46" i="22"/>
  <c r="V42" i="22"/>
  <c r="V46" i="22"/>
  <c r="W42" i="22"/>
  <c r="W46" i="22"/>
  <c r="X42" i="22"/>
  <c r="X46" i="22"/>
  <c r="Y42" i="22"/>
  <c r="Y46" i="22"/>
  <c r="Z42" i="22"/>
  <c r="Z46" i="22"/>
  <c r="AA42" i="22"/>
  <c r="AA46" i="22"/>
  <c r="AB42" i="22"/>
  <c r="AB46" i="22"/>
  <c r="AC42" i="22"/>
  <c r="AC46" i="22"/>
  <c r="AD42" i="22"/>
  <c r="AD46" i="22"/>
  <c r="S42" i="22"/>
  <c r="S46" i="22"/>
  <c r="T45" i="22"/>
  <c r="U45" i="22"/>
  <c r="V45" i="22"/>
  <c r="W45" i="22"/>
  <c r="X45" i="22"/>
  <c r="Y45" i="22"/>
  <c r="Z45" i="22"/>
  <c r="AA45" i="22"/>
  <c r="AB45" i="22"/>
  <c r="AC45" i="22"/>
  <c r="AD45" i="22"/>
  <c r="S45" i="22"/>
  <c r="AI2" i="22"/>
  <c r="AI3" i="22"/>
  <c r="AI4" i="22"/>
  <c r="AI5" i="22"/>
  <c r="AI6" i="22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1" i="22"/>
  <c r="AI22" i="22"/>
  <c r="AI23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38" i="22"/>
  <c r="AI39" i="22"/>
  <c r="AI40" i="22"/>
  <c r="AI41" i="22"/>
  <c r="AI42" i="22"/>
  <c r="AJ2" i="22"/>
  <c r="AJ3" i="22"/>
  <c r="AJ4" i="22"/>
  <c r="AJ5" i="22"/>
  <c r="AJ6" i="22"/>
  <c r="AJ7" i="22"/>
  <c r="AJ8" i="22"/>
  <c r="AJ9" i="22"/>
  <c r="AJ10" i="22"/>
  <c r="AJ11" i="22"/>
  <c r="AJ12" i="22"/>
  <c r="AJ13" i="22"/>
  <c r="AJ14" i="22"/>
  <c r="AJ15" i="22"/>
  <c r="AJ16" i="22"/>
  <c r="AJ17" i="22"/>
  <c r="AJ18" i="22"/>
  <c r="AJ19" i="22"/>
  <c r="AJ20" i="22"/>
  <c r="AJ21" i="22"/>
  <c r="AJ22" i="22"/>
  <c r="AJ23" i="22"/>
  <c r="AJ24" i="22"/>
  <c r="AJ25" i="22"/>
  <c r="AJ26" i="22"/>
  <c r="AJ27" i="22"/>
  <c r="AJ28" i="22"/>
  <c r="AJ29" i="22"/>
  <c r="AJ30" i="22"/>
  <c r="AJ31" i="22"/>
  <c r="AJ32" i="22"/>
  <c r="AJ33" i="22"/>
  <c r="AJ34" i="22"/>
  <c r="AJ35" i="22"/>
  <c r="AJ36" i="22"/>
  <c r="AJ37" i="22"/>
  <c r="AJ38" i="22"/>
  <c r="AJ39" i="22"/>
  <c r="AJ40" i="22"/>
  <c r="AJ41" i="22"/>
  <c r="AJ42" i="22"/>
  <c r="AK2" i="22"/>
  <c r="AK3" i="22"/>
  <c r="AK4" i="22"/>
  <c r="AK5" i="22"/>
  <c r="AK6" i="22"/>
  <c r="AK7" i="22"/>
  <c r="AK8" i="22"/>
  <c r="AK9" i="22"/>
  <c r="AK10" i="22"/>
  <c r="AK11" i="22"/>
  <c r="AK12" i="22"/>
  <c r="AK13" i="22"/>
  <c r="AK14" i="22"/>
  <c r="AK15" i="22"/>
  <c r="AK16" i="22"/>
  <c r="AK17" i="22"/>
  <c r="AK18" i="22"/>
  <c r="AK19" i="22"/>
  <c r="AK20" i="22"/>
  <c r="AK21" i="22"/>
  <c r="AK22" i="22"/>
  <c r="AK23" i="22"/>
  <c r="AK24" i="22"/>
  <c r="AK25" i="22"/>
  <c r="AK26" i="22"/>
  <c r="AK27" i="22"/>
  <c r="AK28" i="22"/>
  <c r="AK29" i="22"/>
  <c r="AK30" i="22"/>
  <c r="AK31" i="22"/>
  <c r="AK32" i="22"/>
  <c r="AK33" i="22"/>
  <c r="AK34" i="22"/>
  <c r="AK35" i="22"/>
  <c r="AK36" i="22"/>
  <c r="AK37" i="22"/>
  <c r="AK38" i="22"/>
  <c r="AK39" i="22"/>
  <c r="AK40" i="22"/>
  <c r="AK41" i="22"/>
  <c r="AK42" i="22"/>
  <c r="AL2" i="22"/>
  <c r="AL3" i="22"/>
  <c r="AL4" i="22"/>
  <c r="AL5" i="22"/>
  <c r="AL6" i="22"/>
  <c r="AL7" i="22"/>
  <c r="AL8" i="22"/>
  <c r="AL9" i="22"/>
  <c r="AL10" i="22"/>
  <c r="AL11" i="22"/>
  <c r="AL12" i="22"/>
  <c r="AL13" i="22"/>
  <c r="AL14" i="22"/>
  <c r="AL15" i="22"/>
  <c r="AL16" i="22"/>
  <c r="AL17" i="22"/>
  <c r="AL18" i="22"/>
  <c r="AL19" i="22"/>
  <c r="AL20" i="22"/>
  <c r="AL21" i="22"/>
  <c r="AL22" i="22"/>
  <c r="AL23" i="22"/>
  <c r="AL24" i="22"/>
  <c r="AL25" i="22"/>
  <c r="AL26" i="22"/>
  <c r="AL27" i="22"/>
  <c r="AL28" i="22"/>
  <c r="AL29" i="22"/>
  <c r="AL30" i="22"/>
  <c r="AL31" i="22"/>
  <c r="AL32" i="22"/>
  <c r="AL33" i="22"/>
  <c r="AL34" i="22"/>
  <c r="AL35" i="22"/>
  <c r="AL36" i="22"/>
  <c r="AL37" i="22"/>
  <c r="AL38" i="22"/>
  <c r="AL39" i="22"/>
  <c r="AL40" i="22"/>
  <c r="AL41" i="22"/>
  <c r="AL42" i="22"/>
  <c r="AM2" i="22"/>
  <c r="AM3" i="22"/>
  <c r="AM4" i="22"/>
  <c r="AM5" i="22"/>
  <c r="AM6" i="22"/>
  <c r="AM7" i="22"/>
  <c r="AM8" i="22"/>
  <c r="AM9" i="22"/>
  <c r="AM10" i="22"/>
  <c r="AM11" i="22"/>
  <c r="AM12" i="22"/>
  <c r="AM13" i="22"/>
  <c r="AM14" i="22"/>
  <c r="AM15" i="22"/>
  <c r="AM16" i="22"/>
  <c r="AM17" i="22"/>
  <c r="AM18" i="22"/>
  <c r="AM19" i="22"/>
  <c r="AM20" i="22"/>
  <c r="AM21" i="22"/>
  <c r="AM22" i="22"/>
  <c r="AM23" i="22"/>
  <c r="AM24" i="22"/>
  <c r="AM25" i="22"/>
  <c r="AM26" i="22"/>
  <c r="AM27" i="22"/>
  <c r="AM28" i="22"/>
  <c r="AM29" i="22"/>
  <c r="AM30" i="22"/>
  <c r="AM31" i="22"/>
  <c r="AM32" i="22"/>
  <c r="AM33" i="22"/>
  <c r="AM34" i="22"/>
  <c r="AM35" i="22"/>
  <c r="AM36" i="22"/>
  <c r="AM37" i="22"/>
  <c r="AM38" i="22"/>
  <c r="AM39" i="22"/>
  <c r="AM40" i="22"/>
  <c r="AM41" i="22"/>
  <c r="AM42" i="22"/>
  <c r="AN2" i="22"/>
  <c r="AN3" i="22"/>
  <c r="AN4" i="22"/>
  <c r="AN5" i="22"/>
  <c r="AN6" i="22"/>
  <c r="AN7" i="22"/>
  <c r="AN8" i="22"/>
  <c r="AN9" i="22"/>
  <c r="AN10" i="22"/>
  <c r="AN11" i="22"/>
  <c r="AN12" i="22"/>
  <c r="AN13" i="22"/>
  <c r="AN14" i="22"/>
  <c r="AN15" i="22"/>
  <c r="AN16" i="22"/>
  <c r="AN17" i="22"/>
  <c r="AN18" i="22"/>
  <c r="AN19" i="22"/>
  <c r="AN20" i="22"/>
  <c r="AN21" i="22"/>
  <c r="AN22" i="22"/>
  <c r="AN23" i="22"/>
  <c r="AN24" i="22"/>
  <c r="AN25" i="22"/>
  <c r="AN26" i="22"/>
  <c r="AN27" i="22"/>
  <c r="AN28" i="22"/>
  <c r="AN29" i="22"/>
  <c r="AN30" i="22"/>
  <c r="AN31" i="22"/>
  <c r="AN32" i="22"/>
  <c r="AN33" i="22"/>
  <c r="AN34" i="22"/>
  <c r="AN35" i="22"/>
  <c r="AN36" i="22"/>
  <c r="AN37" i="22"/>
  <c r="AN38" i="22"/>
  <c r="AN39" i="22"/>
  <c r="AN40" i="22"/>
  <c r="AN41" i="22"/>
  <c r="AN42" i="22"/>
  <c r="AO2" i="22"/>
  <c r="AO3" i="22"/>
  <c r="AO4" i="22"/>
  <c r="AO5" i="22"/>
  <c r="AO6" i="22"/>
  <c r="AO7" i="22"/>
  <c r="AO8" i="22"/>
  <c r="AO9" i="22"/>
  <c r="AO10" i="22"/>
  <c r="AO11" i="22"/>
  <c r="AO12" i="22"/>
  <c r="AO13" i="22"/>
  <c r="AO14" i="22"/>
  <c r="AO15" i="22"/>
  <c r="AO16" i="22"/>
  <c r="AO17" i="22"/>
  <c r="AO18" i="22"/>
  <c r="AO19" i="22"/>
  <c r="AO20" i="22"/>
  <c r="AO21" i="22"/>
  <c r="AO22" i="22"/>
  <c r="AO23" i="22"/>
  <c r="AO24" i="22"/>
  <c r="AO25" i="22"/>
  <c r="AO26" i="22"/>
  <c r="AO27" i="22"/>
  <c r="AO28" i="22"/>
  <c r="AO29" i="22"/>
  <c r="AO30" i="22"/>
  <c r="AO31" i="22"/>
  <c r="AO32" i="22"/>
  <c r="AO33" i="22"/>
  <c r="AO34" i="22"/>
  <c r="AO35" i="22"/>
  <c r="AO36" i="22"/>
  <c r="AO37" i="22"/>
  <c r="AO38" i="22"/>
  <c r="AO39" i="22"/>
  <c r="AO40" i="22"/>
  <c r="AO41" i="22"/>
  <c r="AO42" i="22"/>
  <c r="AP2" i="22"/>
  <c r="AP3" i="22"/>
  <c r="AP4" i="22"/>
  <c r="AP5" i="22"/>
  <c r="AP6" i="22"/>
  <c r="AP7" i="22"/>
  <c r="AP8" i="22"/>
  <c r="AP9" i="22"/>
  <c r="AP10" i="22"/>
  <c r="AP11" i="22"/>
  <c r="AP12" i="22"/>
  <c r="AP13" i="22"/>
  <c r="AP14" i="22"/>
  <c r="AP15" i="22"/>
  <c r="AP16" i="22"/>
  <c r="AP17" i="22"/>
  <c r="AP18" i="22"/>
  <c r="AP19" i="22"/>
  <c r="AP20" i="22"/>
  <c r="AP21" i="22"/>
  <c r="AP22" i="22"/>
  <c r="AP23" i="22"/>
  <c r="AP24" i="22"/>
  <c r="AP25" i="22"/>
  <c r="AP26" i="22"/>
  <c r="AP27" i="22"/>
  <c r="AP28" i="22"/>
  <c r="AP29" i="22"/>
  <c r="AP30" i="22"/>
  <c r="AP31" i="22"/>
  <c r="AP32" i="22"/>
  <c r="AP33" i="22"/>
  <c r="AP34" i="22"/>
  <c r="AP35" i="22"/>
  <c r="AP36" i="22"/>
  <c r="AP37" i="22"/>
  <c r="AP38" i="22"/>
  <c r="AP39" i="22"/>
  <c r="AP40" i="22"/>
  <c r="AP41" i="22"/>
  <c r="AP42" i="22"/>
  <c r="AQ2" i="22"/>
  <c r="AQ3" i="22"/>
  <c r="AQ4" i="22"/>
  <c r="AQ5" i="22"/>
  <c r="AQ6" i="22"/>
  <c r="AQ7" i="22"/>
  <c r="AQ8" i="22"/>
  <c r="AQ9" i="22"/>
  <c r="AQ10" i="22"/>
  <c r="AQ11" i="22"/>
  <c r="AQ12" i="22"/>
  <c r="AQ13" i="22"/>
  <c r="AQ14" i="22"/>
  <c r="AQ15" i="22"/>
  <c r="AQ16" i="22"/>
  <c r="AQ17" i="22"/>
  <c r="AQ18" i="22"/>
  <c r="AQ19" i="22"/>
  <c r="AQ20" i="22"/>
  <c r="AQ21" i="22"/>
  <c r="AQ22" i="22"/>
  <c r="AQ23" i="22"/>
  <c r="AQ24" i="22"/>
  <c r="AQ25" i="22"/>
  <c r="AQ26" i="22"/>
  <c r="AQ27" i="22"/>
  <c r="AQ28" i="22"/>
  <c r="AQ29" i="22"/>
  <c r="AQ30" i="22"/>
  <c r="AQ31" i="22"/>
  <c r="AQ32" i="22"/>
  <c r="AQ33" i="22"/>
  <c r="AQ34" i="22"/>
  <c r="AQ35" i="22"/>
  <c r="AQ36" i="22"/>
  <c r="AQ37" i="22"/>
  <c r="AQ38" i="22"/>
  <c r="AQ39" i="22"/>
  <c r="AQ40" i="22"/>
  <c r="AQ41" i="22"/>
  <c r="AQ42" i="22"/>
  <c r="AR2" i="22"/>
  <c r="AR3" i="22"/>
  <c r="AR4" i="22"/>
  <c r="AR5" i="22"/>
  <c r="AR6" i="22"/>
  <c r="AR7" i="22"/>
  <c r="AR8" i="22"/>
  <c r="AR9" i="22"/>
  <c r="AR10" i="22"/>
  <c r="AR11" i="22"/>
  <c r="AR12" i="22"/>
  <c r="AR13" i="22"/>
  <c r="AR14" i="22"/>
  <c r="AR15" i="22"/>
  <c r="AR16" i="22"/>
  <c r="AR17" i="22"/>
  <c r="AR18" i="22"/>
  <c r="AR19" i="22"/>
  <c r="AR20" i="22"/>
  <c r="AR21" i="22"/>
  <c r="AR22" i="22"/>
  <c r="AR23" i="22"/>
  <c r="AR24" i="22"/>
  <c r="AR25" i="22"/>
  <c r="AR26" i="22"/>
  <c r="AR27" i="22"/>
  <c r="AR28" i="22"/>
  <c r="AR29" i="22"/>
  <c r="AR30" i="22"/>
  <c r="AR31" i="22"/>
  <c r="AR32" i="22"/>
  <c r="AR33" i="22"/>
  <c r="AR34" i="22"/>
  <c r="AR35" i="22"/>
  <c r="AR36" i="22"/>
  <c r="AR37" i="22"/>
  <c r="AR38" i="22"/>
  <c r="AR39" i="22"/>
  <c r="AR40" i="22"/>
  <c r="AR41" i="22"/>
  <c r="AR42" i="22"/>
  <c r="AS2" i="22"/>
  <c r="AS3" i="22"/>
  <c r="AS4" i="22"/>
  <c r="AS5" i="22"/>
  <c r="AS6" i="22"/>
  <c r="AS7" i="22"/>
  <c r="AS8" i="22"/>
  <c r="AS9" i="22"/>
  <c r="AS10" i="22"/>
  <c r="AS11" i="22"/>
  <c r="AS12" i="22"/>
  <c r="AS13" i="22"/>
  <c r="AS14" i="22"/>
  <c r="AS15" i="22"/>
  <c r="AS16" i="22"/>
  <c r="AS17" i="22"/>
  <c r="AS18" i="22"/>
  <c r="AS19" i="22"/>
  <c r="AS20" i="22"/>
  <c r="AS21" i="22"/>
  <c r="AS22" i="22"/>
  <c r="AS23" i="22"/>
  <c r="AS24" i="22"/>
  <c r="AS25" i="22"/>
  <c r="AS26" i="22"/>
  <c r="AS27" i="22"/>
  <c r="AS28" i="22"/>
  <c r="AS29" i="22"/>
  <c r="AS30" i="22"/>
  <c r="AS31" i="22"/>
  <c r="AS32" i="22"/>
  <c r="AS33" i="22"/>
  <c r="AS34" i="22"/>
  <c r="AS35" i="22"/>
  <c r="AS36" i="22"/>
  <c r="AS37" i="22"/>
  <c r="AS38" i="22"/>
  <c r="AS39" i="22"/>
  <c r="AS40" i="22"/>
  <c r="AS41" i="22"/>
  <c r="AS42" i="22"/>
  <c r="AH2" i="22"/>
  <c r="AH3" i="22"/>
  <c r="AH4" i="22"/>
  <c r="AH5" i="22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D89" i="22"/>
  <c r="AD93" i="22"/>
  <c r="AD90" i="22"/>
  <c r="AD91" i="22"/>
  <c r="AD94" i="22"/>
  <c r="AD95" i="22"/>
  <c r="AD97" i="22"/>
  <c r="AC89" i="22"/>
  <c r="AC93" i="22"/>
  <c r="AC90" i="22"/>
  <c r="AC91" i="22"/>
  <c r="AC94" i="22"/>
  <c r="AC95" i="22"/>
  <c r="AC97" i="22"/>
  <c r="AB89" i="22"/>
  <c r="AB93" i="22"/>
  <c r="AB90" i="22"/>
  <c r="AB91" i="22"/>
  <c r="AB94" i="22"/>
  <c r="AB95" i="22"/>
  <c r="AB97" i="22"/>
  <c r="AA89" i="22"/>
  <c r="AA93" i="22"/>
  <c r="AA90" i="22"/>
  <c r="AA91" i="22"/>
  <c r="AA94" i="22"/>
  <c r="AA95" i="22"/>
  <c r="AA97" i="22"/>
  <c r="Z89" i="22"/>
  <c r="Z93" i="22"/>
  <c r="Z90" i="22"/>
  <c r="Z91" i="22"/>
  <c r="Z94" i="22"/>
  <c r="Z95" i="22"/>
  <c r="Z97" i="22"/>
  <c r="Y89" i="22"/>
  <c r="Y93" i="22"/>
  <c r="Y90" i="22"/>
  <c r="Y91" i="22"/>
  <c r="Y94" i="22"/>
  <c r="Y95" i="22"/>
  <c r="Y97" i="22"/>
  <c r="X89" i="22"/>
  <c r="X93" i="22"/>
  <c r="X90" i="22"/>
  <c r="X91" i="22"/>
  <c r="X94" i="22"/>
  <c r="X95" i="22"/>
  <c r="X97" i="22"/>
  <c r="W89" i="22"/>
  <c r="W93" i="22"/>
  <c r="W90" i="22"/>
  <c r="W91" i="22"/>
  <c r="W94" i="22"/>
  <c r="W95" i="22"/>
  <c r="W97" i="22"/>
  <c r="V89" i="22"/>
  <c r="V93" i="22"/>
  <c r="V90" i="22"/>
  <c r="V91" i="22"/>
  <c r="V94" i="22"/>
  <c r="V95" i="22"/>
  <c r="V97" i="22"/>
  <c r="U89" i="22"/>
  <c r="U93" i="22"/>
  <c r="U90" i="22"/>
  <c r="U91" i="22"/>
  <c r="U94" i="22"/>
  <c r="U95" i="22"/>
  <c r="U97" i="22"/>
  <c r="T89" i="22"/>
  <c r="T93" i="22"/>
  <c r="T90" i="22"/>
  <c r="T91" i="22"/>
  <c r="T94" i="22"/>
  <c r="T95" i="22"/>
  <c r="T97" i="22"/>
  <c r="S89" i="22"/>
  <c r="S93" i="22"/>
  <c r="S90" i="22"/>
  <c r="S91" i="22"/>
  <c r="S94" i="22"/>
  <c r="S95" i="22"/>
  <c r="S97" i="22"/>
  <c r="E89" i="22"/>
  <c r="F89" i="22"/>
  <c r="G89" i="22"/>
  <c r="H89" i="22"/>
  <c r="I89" i="22"/>
  <c r="J89" i="22"/>
  <c r="K89" i="22"/>
  <c r="L89" i="22"/>
  <c r="M89" i="22"/>
  <c r="N89" i="22"/>
  <c r="O89" i="22"/>
  <c r="E90" i="22"/>
  <c r="F90" i="22"/>
  <c r="G90" i="22"/>
  <c r="H90" i="22"/>
  <c r="I90" i="22"/>
  <c r="J90" i="22"/>
  <c r="K90" i="22"/>
  <c r="L90" i="22"/>
  <c r="M90" i="22"/>
  <c r="N90" i="22"/>
  <c r="O90" i="22"/>
  <c r="E91" i="22"/>
  <c r="F91" i="22"/>
  <c r="G91" i="22"/>
  <c r="H91" i="22"/>
  <c r="I91" i="22"/>
  <c r="J91" i="22"/>
  <c r="K91" i="22"/>
  <c r="L91" i="22"/>
  <c r="M91" i="22"/>
  <c r="N91" i="22"/>
  <c r="O91" i="22"/>
  <c r="E93" i="22"/>
  <c r="F93" i="22"/>
  <c r="G93" i="22"/>
  <c r="H93" i="22"/>
  <c r="I93" i="22"/>
  <c r="J93" i="22"/>
  <c r="K93" i="22"/>
  <c r="L93" i="22"/>
  <c r="M93" i="22"/>
  <c r="N93" i="22"/>
  <c r="O93" i="22"/>
  <c r="E94" i="22"/>
  <c r="F94" i="22"/>
  <c r="G94" i="22"/>
  <c r="H94" i="22"/>
  <c r="I94" i="22"/>
  <c r="J94" i="22"/>
  <c r="K94" i="22"/>
  <c r="L94" i="22"/>
  <c r="M94" i="22"/>
  <c r="N94" i="22"/>
  <c r="O94" i="22"/>
  <c r="E95" i="22"/>
  <c r="F95" i="22"/>
  <c r="G95" i="22"/>
  <c r="H95" i="22"/>
  <c r="I95" i="22"/>
  <c r="J95" i="22"/>
  <c r="K95" i="22"/>
  <c r="L95" i="22"/>
  <c r="M95" i="22"/>
  <c r="N95" i="22"/>
  <c r="O95" i="22"/>
  <c r="E97" i="22"/>
  <c r="F97" i="22"/>
  <c r="G97" i="22"/>
  <c r="H97" i="22"/>
  <c r="I97" i="22"/>
  <c r="J97" i="22"/>
  <c r="K97" i="22"/>
  <c r="L97" i="22"/>
  <c r="M97" i="22"/>
  <c r="N97" i="22"/>
  <c r="O97" i="22"/>
  <c r="D89" i="22"/>
  <c r="D93" i="22"/>
  <c r="D90" i="22"/>
  <c r="D91" i="22"/>
  <c r="D94" i="22"/>
  <c r="D95" i="22"/>
  <c r="D97" i="22"/>
  <c r="BZ2" i="22"/>
  <c r="BZ3" i="22"/>
  <c r="BZ4" i="22"/>
  <c r="BZ5" i="22"/>
  <c r="BZ6" i="22"/>
  <c r="BZ7" i="22"/>
  <c r="BZ8" i="22"/>
  <c r="BZ9" i="22"/>
  <c r="BZ10" i="22"/>
  <c r="BZ11" i="22"/>
  <c r="BZ12" i="22"/>
  <c r="BZ13" i="22"/>
  <c r="BZ14" i="22"/>
  <c r="BZ15" i="22"/>
  <c r="BZ16" i="22"/>
  <c r="BZ17" i="22"/>
  <c r="BZ18" i="22"/>
  <c r="BZ19" i="22"/>
  <c r="BZ20" i="22"/>
  <c r="BZ21" i="22"/>
  <c r="BZ22" i="22"/>
  <c r="BZ23" i="22"/>
  <c r="BZ24" i="22"/>
  <c r="BZ25" i="22"/>
  <c r="BZ26" i="22"/>
  <c r="BZ27" i="22"/>
  <c r="BZ28" i="22"/>
  <c r="BZ29" i="22"/>
  <c r="BZ30" i="22"/>
  <c r="BZ31" i="22"/>
  <c r="BZ32" i="22"/>
  <c r="BZ33" i="22"/>
  <c r="BZ34" i="22"/>
  <c r="BZ35" i="22"/>
  <c r="BZ36" i="22"/>
  <c r="BZ37" i="22"/>
  <c r="BZ38" i="22"/>
  <c r="BZ39" i="22"/>
  <c r="BZ40" i="22"/>
  <c r="BZ41" i="22"/>
  <c r="BZ42" i="22"/>
  <c r="BK2" i="22"/>
  <c r="BK3" i="22"/>
  <c r="BK4" i="22"/>
  <c r="BK5" i="22"/>
  <c r="BK6" i="22"/>
  <c r="BK7" i="22"/>
  <c r="BK8" i="22"/>
  <c r="BK9" i="22"/>
  <c r="BK10" i="22"/>
  <c r="BK11" i="22"/>
  <c r="BK12" i="22"/>
  <c r="BK13" i="22"/>
  <c r="BK14" i="22"/>
  <c r="BK15" i="22"/>
  <c r="BK16" i="22"/>
  <c r="BK17" i="22"/>
  <c r="BK18" i="22"/>
  <c r="BK19" i="22"/>
  <c r="BK20" i="22"/>
  <c r="BK21" i="22"/>
  <c r="BK22" i="22"/>
  <c r="BK23" i="22"/>
  <c r="BK24" i="22"/>
  <c r="BK25" i="22"/>
  <c r="BK26" i="22"/>
  <c r="BK27" i="22"/>
  <c r="BK28" i="22"/>
  <c r="BK29" i="22"/>
  <c r="BK30" i="22"/>
  <c r="BK31" i="22"/>
  <c r="BK32" i="22"/>
  <c r="BK33" i="22"/>
  <c r="BK34" i="22"/>
  <c r="BK35" i="22"/>
  <c r="BK36" i="22"/>
  <c r="BK37" i="22"/>
  <c r="BK38" i="22"/>
  <c r="BK39" i="22"/>
  <c r="BK40" i="22"/>
  <c r="BK41" i="22"/>
  <c r="BK42" i="22"/>
  <c r="BK43" i="22"/>
  <c r="BK44" i="22"/>
  <c r="BZ43" i="22"/>
  <c r="BZ44" i="22"/>
  <c r="BZ57" i="22"/>
  <c r="BY2" i="22"/>
  <c r="BY3" i="22"/>
  <c r="BY4" i="22"/>
  <c r="BY5" i="22"/>
  <c r="BY6" i="22"/>
  <c r="BY7" i="22"/>
  <c r="BY8" i="22"/>
  <c r="BY9" i="22"/>
  <c r="BY10" i="22"/>
  <c r="BY11" i="22"/>
  <c r="BY12" i="22"/>
  <c r="BY13" i="22"/>
  <c r="BY14" i="22"/>
  <c r="BY15" i="22"/>
  <c r="BY16" i="22"/>
  <c r="BY17" i="22"/>
  <c r="BY18" i="22"/>
  <c r="BY19" i="22"/>
  <c r="BY20" i="22"/>
  <c r="BY21" i="22"/>
  <c r="BY22" i="22"/>
  <c r="BY23" i="22"/>
  <c r="BY24" i="22"/>
  <c r="BY25" i="22"/>
  <c r="BY26" i="22"/>
  <c r="BY27" i="22"/>
  <c r="BY28" i="22"/>
  <c r="BY29" i="22"/>
  <c r="BY30" i="22"/>
  <c r="BY31" i="22"/>
  <c r="BY32" i="22"/>
  <c r="BY33" i="22"/>
  <c r="BY34" i="22"/>
  <c r="BY35" i="22"/>
  <c r="BY36" i="22"/>
  <c r="BY37" i="22"/>
  <c r="BY38" i="22"/>
  <c r="BY39" i="22"/>
  <c r="BY40" i="22"/>
  <c r="BY41" i="22"/>
  <c r="BY42" i="22"/>
  <c r="BJ2" i="22"/>
  <c r="BJ3" i="22"/>
  <c r="BJ4" i="22"/>
  <c r="BJ5" i="22"/>
  <c r="BJ6" i="22"/>
  <c r="BJ7" i="22"/>
  <c r="BJ8" i="22"/>
  <c r="BJ9" i="22"/>
  <c r="BJ10" i="22"/>
  <c r="BJ11" i="22"/>
  <c r="BJ12" i="22"/>
  <c r="BJ13" i="22"/>
  <c r="BJ14" i="22"/>
  <c r="BJ15" i="22"/>
  <c r="BJ16" i="22"/>
  <c r="BJ17" i="22"/>
  <c r="BJ18" i="22"/>
  <c r="BJ19" i="22"/>
  <c r="BJ20" i="22"/>
  <c r="BJ21" i="22"/>
  <c r="BJ22" i="22"/>
  <c r="BJ23" i="22"/>
  <c r="BJ24" i="22"/>
  <c r="BJ25" i="22"/>
  <c r="BJ26" i="22"/>
  <c r="BJ27" i="22"/>
  <c r="BJ28" i="22"/>
  <c r="BJ29" i="22"/>
  <c r="BJ30" i="22"/>
  <c r="BJ31" i="22"/>
  <c r="BJ32" i="22"/>
  <c r="BJ33" i="22"/>
  <c r="BJ34" i="22"/>
  <c r="BJ35" i="22"/>
  <c r="BJ36" i="22"/>
  <c r="BJ37" i="22"/>
  <c r="BJ38" i="22"/>
  <c r="BJ39" i="22"/>
  <c r="BJ40" i="22"/>
  <c r="BJ41" i="22"/>
  <c r="BJ42" i="22"/>
  <c r="BJ43" i="22"/>
  <c r="BJ44" i="22"/>
  <c r="BY43" i="22"/>
  <c r="BY44" i="22"/>
  <c r="BY57" i="22"/>
  <c r="BX2" i="22"/>
  <c r="BX3" i="22"/>
  <c r="BX4" i="22"/>
  <c r="BX5" i="22"/>
  <c r="BX6" i="22"/>
  <c r="BX7" i="22"/>
  <c r="BX8" i="22"/>
  <c r="BX9" i="22"/>
  <c r="BX10" i="22"/>
  <c r="BX11" i="22"/>
  <c r="BX12" i="22"/>
  <c r="BX13" i="22"/>
  <c r="BX14" i="22"/>
  <c r="BX15" i="22"/>
  <c r="BX16" i="22"/>
  <c r="BX17" i="22"/>
  <c r="BX18" i="22"/>
  <c r="BX19" i="22"/>
  <c r="BX20" i="22"/>
  <c r="BX21" i="22"/>
  <c r="BX22" i="22"/>
  <c r="BX23" i="22"/>
  <c r="BX24" i="22"/>
  <c r="BX25" i="22"/>
  <c r="BX26" i="22"/>
  <c r="BX27" i="22"/>
  <c r="BX28" i="22"/>
  <c r="BX29" i="22"/>
  <c r="BX30" i="22"/>
  <c r="BX31" i="22"/>
  <c r="BX32" i="22"/>
  <c r="BX33" i="22"/>
  <c r="BX34" i="22"/>
  <c r="BX35" i="22"/>
  <c r="BX36" i="22"/>
  <c r="BX37" i="22"/>
  <c r="BX38" i="22"/>
  <c r="BX39" i="22"/>
  <c r="BX40" i="22"/>
  <c r="BX41" i="22"/>
  <c r="BX42" i="22"/>
  <c r="BI2" i="22"/>
  <c r="BI3" i="22"/>
  <c r="BI4" i="22"/>
  <c r="BI5" i="22"/>
  <c r="BI6" i="22"/>
  <c r="BI7" i="22"/>
  <c r="BI8" i="22"/>
  <c r="BI9" i="22"/>
  <c r="BI10" i="22"/>
  <c r="BI11" i="22"/>
  <c r="BI12" i="22"/>
  <c r="BI13" i="22"/>
  <c r="BI14" i="22"/>
  <c r="BI15" i="22"/>
  <c r="BI16" i="22"/>
  <c r="BI17" i="22"/>
  <c r="BI18" i="22"/>
  <c r="BI19" i="22"/>
  <c r="BI20" i="22"/>
  <c r="BI21" i="22"/>
  <c r="BI22" i="22"/>
  <c r="BI23" i="22"/>
  <c r="BI24" i="22"/>
  <c r="BI25" i="22"/>
  <c r="BI26" i="22"/>
  <c r="BI27" i="22"/>
  <c r="BI28" i="22"/>
  <c r="BI29" i="22"/>
  <c r="BI30" i="22"/>
  <c r="BI31" i="22"/>
  <c r="BI32" i="22"/>
  <c r="BI33" i="22"/>
  <c r="BI34" i="22"/>
  <c r="BI35" i="22"/>
  <c r="BI36" i="22"/>
  <c r="BI37" i="22"/>
  <c r="BI38" i="22"/>
  <c r="BI39" i="22"/>
  <c r="BI40" i="22"/>
  <c r="BI41" i="22"/>
  <c r="BI42" i="22"/>
  <c r="BI43" i="22"/>
  <c r="BI44" i="22"/>
  <c r="BX43" i="22"/>
  <c r="BX44" i="22"/>
  <c r="BX57" i="22"/>
  <c r="BW2" i="22"/>
  <c r="BW3" i="22"/>
  <c r="BW4" i="22"/>
  <c r="BW5" i="22"/>
  <c r="BW6" i="22"/>
  <c r="BW7" i="22"/>
  <c r="BW8" i="22"/>
  <c r="BW9" i="22"/>
  <c r="BW10" i="22"/>
  <c r="BW11" i="22"/>
  <c r="BW12" i="22"/>
  <c r="BW13" i="22"/>
  <c r="BW14" i="22"/>
  <c r="BW15" i="22"/>
  <c r="BW16" i="22"/>
  <c r="BW17" i="22"/>
  <c r="BW18" i="22"/>
  <c r="BW19" i="22"/>
  <c r="BW20" i="22"/>
  <c r="BW21" i="22"/>
  <c r="BW22" i="22"/>
  <c r="BW23" i="22"/>
  <c r="BW24" i="22"/>
  <c r="BW25" i="22"/>
  <c r="BW26" i="22"/>
  <c r="BW27" i="22"/>
  <c r="BW28" i="22"/>
  <c r="BW29" i="22"/>
  <c r="BW30" i="22"/>
  <c r="BW31" i="22"/>
  <c r="BW32" i="22"/>
  <c r="BW33" i="22"/>
  <c r="BW34" i="22"/>
  <c r="BW35" i="22"/>
  <c r="BW36" i="22"/>
  <c r="BW37" i="22"/>
  <c r="BW38" i="22"/>
  <c r="BW39" i="22"/>
  <c r="BW40" i="22"/>
  <c r="BW41" i="22"/>
  <c r="BW42" i="22"/>
  <c r="BH2" i="22"/>
  <c r="BH3" i="22"/>
  <c r="BH4" i="22"/>
  <c r="BH5" i="22"/>
  <c r="BH6" i="22"/>
  <c r="BH7" i="22"/>
  <c r="BH8" i="22"/>
  <c r="BH9" i="22"/>
  <c r="BH10" i="22"/>
  <c r="BH11" i="22"/>
  <c r="BH12" i="22"/>
  <c r="BH13" i="22"/>
  <c r="BH14" i="22"/>
  <c r="BH15" i="22"/>
  <c r="BH16" i="22"/>
  <c r="BH17" i="22"/>
  <c r="BH18" i="22"/>
  <c r="BH19" i="22"/>
  <c r="BH20" i="22"/>
  <c r="BH21" i="22"/>
  <c r="BH22" i="22"/>
  <c r="BH23" i="22"/>
  <c r="BH24" i="22"/>
  <c r="BH25" i="22"/>
  <c r="BH26" i="22"/>
  <c r="BH27" i="22"/>
  <c r="BH28" i="22"/>
  <c r="BH29" i="22"/>
  <c r="BH30" i="22"/>
  <c r="BH31" i="22"/>
  <c r="BH32" i="22"/>
  <c r="BH33" i="22"/>
  <c r="BH34" i="22"/>
  <c r="BH35" i="22"/>
  <c r="BH36" i="22"/>
  <c r="BH37" i="22"/>
  <c r="BH38" i="22"/>
  <c r="BH39" i="22"/>
  <c r="BH40" i="22"/>
  <c r="BH41" i="22"/>
  <c r="BH42" i="22"/>
  <c r="BH43" i="22"/>
  <c r="BH44" i="22"/>
  <c r="BW43" i="22"/>
  <c r="BW44" i="22"/>
  <c r="BW57" i="22"/>
  <c r="BV2" i="22"/>
  <c r="BV3" i="22"/>
  <c r="BV4" i="22"/>
  <c r="BV5" i="22"/>
  <c r="BV6" i="22"/>
  <c r="BV7" i="22"/>
  <c r="BV8" i="22"/>
  <c r="BV9" i="22"/>
  <c r="BV10" i="22"/>
  <c r="BV11" i="22"/>
  <c r="BV12" i="22"/>
  <c r="BV13" i="22"/>
  <c r="BV14" i="22"/>
  <c r="BV15" i="22"/>
  <c r="BV16" i="22"/>
  <c r="BV17" i="22"/>
  <c r="BV18" i="22"/>
  <c r="BV19" i="22"/>
  <c r="BV20" i="22"/>
  <c r="BV21" i="22"/>
  <c r="BV22" i="22"/>
  <c r="BV23" i="22"/>
  <c r="BV24" i="22"/>
  <c r="BV25" i="22"/>
  <c r="BV26" i="22"/>
  <c r="BV27" i="22"/>
  <c r="BV28" i="22"/>
  <c r="BV29" i="22"/>
  <c r="BV30" i="22"/>
  <c r="BV31" i="22"/>
  <c r="BV32" i="22"/>
  <c r="BV33" i="22"/>
  <c r="BV34" i="22"/>
  <c r="BV35" i="22"/>
  <c r="BV36" i="22"/>
  <c r="BV37" i="22"/>
  <c r="BV38" i="22"/>
  <c r="BV39" i="22"/>
  <c r="BV40" i="22"/>
  <c r="BV41" i="22"/>
  <c r="BV42" i="22"/>
  <c r="BG2" i="22"/>
  <c r="BG3" i="22"/>
  <c r="BG4" i="22"/>
  <c r="BG5" i="22"/>
  <c r="BG6" i="22"/>
  <c r="BG7" i="22"/>
  <c r="BG8" i="22"/>
  <c r="BG9" i="22"/>
  <c r="BG10" i="22"/>
  <c r="BG11" i="22"/>
  <c r="BG12" i="22"/>
  <c r="BG13" i="22"/>
  <c r="BG14" i="22"/>
  <c r="BG15" i="22"/>
  <c r="BG16" i="22"/>
  <c r="BG17" i="22"/>
  <c r="BG18" i="22"/>
  <c r="BG19" i="22"/>
  <c r="BG20" i="22"/>
  <c r="BG21" i="22"/>
  <c r="BG22" i="22"/>
  <c r="BG23" i="22"/>
  <c r="BG24" i="22"/>
  <c r="BG25" i="22"/>
  <c r="BG26" i="22"/>
  <c r="BG27" i="22"/>
  <c r="BG28" i="22"/>
  <c r="BG29" i="22"/>
  <c r="BG30" i="22"/>
  <c r="BG31" i="22"/>
  <c r="BG32" i="22"/>
  <c r="BG33" i="22"/>
  <c r="BG34" i="22"/>
  <c r="BG35" i="22"/>
  <c r="BG36" i="22"/>
  <c r="BG37" i="22"/>
  <c r="BG38" i="22"/>
  <c r="BG39" i="22"/>
  <c r="BG40" i="22"/>
  <c r="BG41" i="22"/>
  <c r="BG42" i="22"/>
  <c r="BG43" i="22"/>
  <c r="BG44" i="22"/>
  <c r="BV43" i="22"/>
  <c r="BV44" i="22"/>
  <c r="BV57" i="22"/>
  <c r="BU2" i="22"/>
  <c r="BU3" i="22"/>
  <c r="BU4" i="22"/>
  <c r="BU5" i="22"/>
  <c r="BU6" i="22"/>
  <c r="BU7" i="22"/>
  <c r="BU8" i="22"/>
  <c r="BU9" i="22"/>
  <c r="BU10" i="22"/>
  <c r="BU11" i="22"/>
  <c r="BU12" i="22"/>
  <c r="BU13" i="22"/>
  <c r="BU14" i="22"/>
  <c r="BU15" i="22"/>
  <c r="BU16" i="22"/>
  <c r="BU17" i="22"/>
  <c r="BU18" i="22"/>
  <c r="BU19" i="22"/>
  <c r="BU20" i="22"/>
  <c r="BU21" i="22"/>
  <c r="BU22" i="22"/>
  <c r="BU23" i="22"/>
  <c r="BU24" i="22"/>
  <c r="BU25" i="22"/>
  <c r="BU26" i="22"/>
  <c r="BU27" i="22"/>
  <c r="BU28" i="22"/>
  <c r="BU29" i="22"/>
  <c r="BU30" i="22"/>
  <c r="BU31" i="22"/>
  <c r="BU32" i="22"/>
  <c r="BU33" i="22"/>
  <c r="BU34" i="22"/>
  <c r="BU35" i="22"/>
  <c r="BU36" i="22"/>
  <c r="BU37" i="22"/>
  <c r="BU38" i="22"/>
  <c r="BU39" i="22"/>
  <c r="BU40" i="22"/>
  <c r="BU41" i="22"/>
  <c r="BU42" i="22"/>
  <c r="BF2" i="22"/>
  <c r="BF3" i="22"/>
  <c r="BF4" i="22"/>
  <c r="BF5" i="22"/>
  <c r="BF6" i="22"/>
  <c r="BF7" i="22"/>
  <c r="BF8" i="22"/>
  <c r="BF9" i="22"/>
  <c r="BF10" i="22"/>
  <c r="BF11" i="22"/>
  <c r="BF12" i="22"/>
  <c r="BF13" i="22"/>
  <c r="BF14" i="22"/>
  <c r="BF15" i="22"/>
  <c r="BF16" i="22"/>
  <c r="BF17" i="22"/>
  <c r="BF18" i="22"/>
  <c r="BF19" i="22"/>
  <c r="BF20" i="22"/>
  <c r="BF21" i="22"/>
  <c r="BF22" i="22"/>
  <c r="BF23" i="22"/>
  <c r="BF24" i="22"/>
  <c r="BF25" i="22"/>
  <c r="BF26" i="22"/>
  <c r="BF27" i="22"/>
  <c r="BF28" i="22"/>
  <c r="BF29" i="22"/>
  <c r="BF30" i="22"/>
  <c r="BF31" i="22"/>
  <c r="BF32" i="22"/>
  <c r="BF33" i="22"/>
  <c r="BF34" i="22"/>
  <c r="BF35" i="22"/>
  <c r="BF36" i="22"/>
  <c r="BF37" i="22"/>
  <c r="BF38" i="22"/>
  <c r="BF39" i="22"/>
  <c r="BF40" i="22"/>
  <c r="BF41" i="22"/>
  <c r="BF42" i="22"/>
  <c r="BF43" i="22"/>
  <c r="BF44" i="22"/>
  <c r="BU43" i="22"/>
  <c r="BU44" i="22"/>
  <c r="BU57" i="22"/>
  <c r="BT2" i="22"/>
  <c r="BT3" i="22"/>
  <c r="BT4" i="22"/>
  <c r="BT5" i="22"/>
  <c r="BT6" i="22"/>
  <c r="BT7" i="22"/>
  <c r="BT8" i="22"/>
  <c r="BT9" i="22"/>
  <c r="BT10" i="22"/>
  <c r="BT11" i="22"/>
  <c r="BT12" i="22"/>
  <c r="BT13" i="22"/>
  <c r="BT14" i="22"/>
  <c r="BT15" i="22"/>
  <c r="BT16" i="22"/>
  <c r="BT17" i="22"/>
  <c r="BT18" i="22"/>
  <c r="BT19" i="22"/>
  <c r="BT20" i="22"/>
  <c r="BT21" i="22"/>
  <c r="BT22" i="22"/>
  <c r="BT23" i="22"/>
  <c r="BT24" i="22"/>
  <c r="BT25" i="22"/>
  <c r="BT26" i="22"/>
  <c r="BT27" i="22"/>
  <c r="BT28" i="22"/>
  <c r="BT29" i="22"/>
  <c r="BT30" i="22"/>
  <c r="BT31" i="22"/>
  <c r="BT32" i="22"/>
  <c r="BT33" i="22"/>
  <c r="BT34" i="22"/>
  <c r="BT35" i="22"/>
  <c r="BT36" i="22"/>
  <c r="BT37" i="22"/>
  <c r="BT38" i="22"/>
  <c r="BT39" i="22"/>
  <c r="BT40" i="22"/>
  <c r="BT41" i="22"/>
  <c r="BT42" i="22"/>
  <c r="BE2" i="22"/>
  <c r="BE3" i="22"/>
  <c r="BE4" i="22"/>
  <c r="BE5" i="22"/>
  <c r="BE6" i="22"/>
  <c r="BE7" i="22"/>
  <c r="BE8" i="22"/>
  <c r="BE9" i="22"/>
  <c r="BE10" i="22"/>
  <c r="BE11" i="22"/>
  <c r="BE12" i="22"/>
  <c r="BE13" i="22"/>
  <c r="BE14" i="22"/>
  <c r="BE15" i="22"/>
  <c r="BE16" i="22"/>
  <c r="BE17" i="22"/>
  <c r="BE18" i="22"/>
  <c r="BE19" i="22"/>
  <c r="BE20" i="22"/>
  <c r="BE21" i="22"/>
  <c r="BE22" i="22"/>
  <c r="BE23" i="22"/>
  <c r="BE24" i="22"/>
  <c r="BE25" i="22"/>
  <c r="BE26" i="22"/>
  <c r="BE27" i="22"/>
  <c r="BE28" i="22"/>
  <c r="BE29" i="22"/>
  <c r="BE30" i="22"/>
  <c r="BE31" i="22"/>
  <c r="BE32" i="22"/>
  <c r="BE33" i="22"/>
  <c r="BE34" i="22"/>
  <c r="BE35" i="22"/>
  <c r="BE36" i="22"/>
  <c r="BE37" i="22"/>
  <c r="BE38" i="22"/>
  <c r="BE39" i="22"/>
  <c r="BE40" i="22"/>
  <c r="BE41" i="22"/>
  <c r="BE42" i="22"/>
  <c r="BE43" i="22"/>
  <c r="BE44" i="22"/>
  <c r="BT43" i="22"/>
  <c r="BT44" i="22"/>
  <c r="BT57" i="22"/>
  <c r="BS2" i="22"/>
  <c r="BS3" i="22"/>
  <c r="BS4" i="22"/>
  <c r="BS5" i="22"/>
  <c r="BS6" i="22"/>
  <c r="BS7" i="22"/>
  <c r="BS8" i="22"/>
  <c r="BS9" i="22"/>
  <c r="BS10" i="22"/>
  <c r="BS11" i="22"/>
  <c r="BS12" i="22"/>
  <c r="BS13" i="22"/>
  <c r="BS14" i="22"/>
  <c r="BS15" i="22"/>
  <c r="BS16" i="22"/>
  <c r="BS17" i="22"/>
  <c r="BS18" i="22"/>
  <c r="BS19" i="22"/>
  <c r="BS20" i="22"/>
  <c r="BS21" i="22"/>
  <c r="BS22" i="22"/>
  <c r="BS23" i="22"/>
  <c r="BS24" i="22"/>
  <c r="BS25" i="22"/>
  <c r="BS26" i="22"/>
  <c r="BS27" i="22"/>
  <c r="BS28" i="22"/>
  <c r="BS29" i="22"/>
  <c r="BS30" i="22"/>
  <c r="BS31" i="22"/>
  <c r="BS32" i="22"/>
  <c r="BS33" i="22"/>
  <c r="BS34" i="22"/>
  <c r="BS35" i="22"/>
  <c r="BS36" i="22"/>
  <c r="BS37" i="22"/>
  <c r="BS38" i="22"/>
  <c r="BS39" i="22"/>
  <c r="BS40" i="22"/>
  <c r="BS41" i="22"/>
  <c r="BS42" i="22"/>
  <c r="BD2" i="22"/>
  <c r="BD3" i="22"/>
  <c r="BD4" i="22"/>
  <c r="BD5" i="22"/>
  <c r="BD6" i="22"/>
  <c r="BD7" i="22"/>
  <c r="BD8" i="22"/>
  <c r="BD9" i="22"/>
  <c r="BD10" i="22"/>
  <c r="BD11" i="22"/>
  <c r="BD12" i="22"/>
  <c r="BD13" i="22"/>
  <c r="BD14" i="22"/>
  <c r="BD15" i="22"/>
  <c r="BD16" i="22"/>
  <c r="BD17" i="22"/>
  <c r="BD18" i="22"/>
  <c r="BD19" i="22"/>
  <c r="BD20" i="22"/>
  <c r="BD21" i="22"/>
  <c r="BD22" i="22"/>
  <c r="BD23" i="22"/>
  <c r="BD24" i="22"/>
  <c r="BD25" i="22"/>
  <c r="BD26" i="22"/>
  <c r="BD27" i="22"/>
  <c r="BD28" i="22"/>
  <c r="BD29" i="22"/>
  <c r="BD30" i="22"/>
  <c r="BD31" i="22"/>
  <c r="BD32" i="22"/>
  <c r="BD33" i="22"/>
  <c r="BD34" i="22"/>
  <c r="BD35" i="22"/>
  <c r="BD36" i="22"/>
  <c r="BD37" i="22"/>
  <c r="BD38" i="22"/>
  <c r="BD39" i="22"/>
  <c r="BD40" i="22"/>
  <c r="BD41" i="22"/>
  <c r="BD42" i="22"/>
  <c r="BD43" i="22"/>
  <c r="BD44" i="22"/>
  <c r="BS43" i="22"/>
  <c r="BS44" i="22"/>
  <c r="BS57" i="22"/>
  <c r="BR2" i="22"/>
  <c r="BR3" i="22"/>
  <c r="BR4" i="22"/>
  <c r="BR5" i="22"/>
  <c r="BR6" i="22"/>
  <c r="BR7" i="22"/>
  <c r="BR8" i="22"/>
  <c r="BR9" i="22"/>
  <c r="BR10" i="22"/>
  <c r="BR11" i="22"/>
  <c r="BR12" i="22"/>
  <c r="BR13" i="22"/>
  <c r="BR14" i="22"/>
  <c r="BR15" i="22"/>
  <c r="BR16" i="22"/>
  <c r="BR17" i="22"/>
  <c r="BR18" i="22"/>
  <c r="BR19" i="22"/>
  <c r="BR20" i="22"/>
  <c r="BR21" i="22"/>
  <c r="BR22" i="22"/>
  <c r="BR23" i="22"/>
  <c r="BR24" i="22"/>
  <c r="BR25" i="22"/>
  <c r="BR26" i="22"/>
  <c r="BR27" i="22"/>
  <c r="BR28" i="22"/>
  <c r="BR29" i="22"/>
  <c r="BR30" i="22"/>
  <c r="BR31" i="22"/>
  <c r="BR32" i="22"/>
  <c r="BR33" i="22"/>
  <c r="BR34" i="22"/>
  <c r="BR35" i="22"/>
  <c r="BR36" i="22"/>
  <c r="BR37" i="22"/>
  <c r="BR38" i="22"/>
  <c r="BR39" i="22"/>
  <c r="BR40" i="22"/>
  <c r="BR41" i="22"/>
  <c r="BR42" i="22"/>
  <c r="BC2" i="22"/>
  <c r="BC3" i="22"/>
  <c r="BC4" i="22"/>
  <c r="BC5" i="22"/>
  <c r="BC6" i="22"/>
  <c r="BC7" i="22"/>
  <c r="BC8" i="22"/>
  <c r="BC9" i="22"/>
  <c r="BC10" i="22"/>
  <c r="BC11" i="22"/>
  <c r="BC12" i="22"/>
  <c r="BC13" i="22"/>
  <c r="BC14" i="22"/>
  <c r="BC15" i="22"/>
  <c r="BC16" i="22"/>
  <c r="BC17" i="22"/>
  <c r="BC18" i="22"/>
  <c r="BC19" i="22"/>
  <c r="BC20" i="22"/>
  <c r="BC21" i="22"/>
  <c r="BC22" i="22"/>
  <c r="BC23" i="22"/>
  <c r="BC24" i="22"/>
  <c r="BC25" i="22"/>
  <c r="BC26" i="22"/>
  <c r="BC27" i="22"/>
  <c r="BC28" i="22"/>
  <c r="BC29" i="22"/>
  <c r="BC30" i="22"/>
  <c r="BC31" i="22"/>
  <c r="BC32" i="22"/>
  <c r="BC33" i="22"/>
  <c r="BC34" i="22"/>
  <c r="BC35" i="22"/>
  <c r="BC36" i="22"/>
  <c r="BC37" i="22"/>
  <c r="BC38" i="22"/>
  <c r="BC39" i="22"/>
  <c r="BC40" i="22"/>
  <c r="BC41" i="22"/>
  <c r="BC42" i="22"/>
  <c r="BC43" i="22"/>
  <c r="BC44" i="22"/>
  <c r="BR43" i="22"/>
  <c r="BR44" i="22"/>
  <c r="BR57" i="22"/>
  <c r="BQ2" i="22"/>
  <c r="BQ3" i="22"/>
  <c r="BQ4" i="22"/>
  <c r="BQ5" i="22"/>
  <c r="BQ6" i="22"/>
  <c r="BQ7" i="22"/>
  <c r="BQ8" i="22"/>
  <c r="BQ9" i="22"/>
  <c r="BQ10" i="22"/>
  <c r="BQ11" i="22"/>
  <c r="BQ12" i="22"/>
  <c r="BQ13" i="22"/>
  <c r="BQ14" i="22"/>
  <c r="BQ15" i="22"/>
  <c r="BQ16" i="22"/>
  <c r="BQ17" i="22"/>
  <c r="BQ18" i="22"/>
  <c r="BQ19" i="22"/>
  <c r="BQ20" i="22"/>
  <c r="BQ21" i="22"/>
  <c r="BQ22" i="22"/>
  <c r="BQ23" i="22"/>
  <c r="BQ24" i="22"/>
  <c r="BQ25" i="22"/>
  <c r="BQ26" i="22"/>
  <c r="BQ27" i="22"/>
  <c r="BQ28" i="22"/>
  <c r="BQ29" i="22"/>
  <c r="BQ30" i="22"/>
  <c r="BQ31" i="22"/>
  <c r="BQ32" i="22"/>
  <c r="BQ33" i="22"/>
  <c r="BQ34" i="22"/>
  <c r="BQ35" i="22"/>
  <c r="BQ36" i="22"/>
  <c r="BQ37" i="22"/>
  <c r="BQ38" i="22"/>
  <c r="BQ39" i="22"/>
  <c r="BQ40" i="22"/>
  <c r="BQ41" i="22"/>
  <c r="BQ42" i="22"/>
  <c r="BB2" i="22"/>
  <c r="BB3" i="22"/>
  <c r="BB4" i="22"/>
  <c r="BB5" i="22"/>
  <c r="BB6" i="22"/>
  <c r="BB7" i="22"/>
  <c r="BB8" i="22"/>
  <c r="BB9" i="22"/>
  <c r="BB10" i="22"/>
  <c r="BB11" i="22"/>
  <c r="BB12" i="22"/>
  <c r="BB13" i="22"/>
  <c r="BB14" i="22"/>
  <c r="BB15" i="22"/>
  <c r="BB16" i="22"/>
  <c r="BB17" i="22"/>
  <c r="BB18" i="22"/>
  <c r="BB19" i="22"/>
  <c r="BB20" i="22"/>
  <c r="BB21" i="22"/>
  <c r="BB22" i="22"/>
  <c r="BB23" i="22"/>
  <c r="BB24" i="22"/>
  <c r="BB25" i="22"/>
  <c r="BB26" i="22"/>
  <c r="BB27" i="22"/>
  <c r="BB28" i="22"/>
  <c r="BB29" i="22"/>
  <c r="BB30" i="22"/>
  <c r="BB31" i="22"/>
  <c r="BB32" i="22"/>
  <c r="BB33" i="22"/>
  <c r="BB34" i="22"/>
  <c r="BB35" i="22"/>
  <c r="BB36" i="22"/>
  <c r="BB37" i="22"/>
  <c r="BB38" i="22"/>
  <c r="BB39" i="22"/>
  <c r="BB40" i="22"/>
  <c r="BB41" i="22"/>
  <c r="BB42" i="22"/>
  <c r="BB43" i="22"/>
  <c r="BB44" i="22"/>
  <c r="BQ43" i="22"/>
  <c r="BQ44" i="22"/>
  <c r="BQ57" i="22"/>
  <c r="BP2" i="22"/>
  <c r="BP3" i="22"/>
  <c r="BP4" i="22"/>
  <c r="BP5" i="22"/>
  <c r="BP6" i="22"/>
  <c r="BP7" i="22"/>
  <c r="BP8" i="22"/>
  <c r="BP9" i="22"/>
  <c r="BP10" i="22"/>
  <c r="BP11" i="22"/>
  <c r="BP12" i="22"/>
  <c r="BP13" i="22"/>
  <c r="BP14" i="22"/>
  <c r="BP15" i="22"/>
  <c r="BP16" i="22"/>
  <c r="BP17" i="22"/>
  <c r="BP18" i="22"/>
  <c r="BP19" i="22"/>
  <c r="BP20" i="22"/>
  <c r="BP21" i="22"/>
  <c r="BP22" i="22"/>
  <c r="BP23" i="22"/>
  <c r="BP24" i="22"/>
  <c r="BP25" i="22"/>
  <c r="BP26" i="22"/>
  <c r="BP27" i="22"/>
  <c r="BP28" i="22"/>
  <c r="BP29" i="22"/>
  <c r="BP30" i="22"/>
  <c r="BP31" i="22"/>
  <c r="BP32" i="22"/>
  <c r="BP33" i="22"/>
  <c r="BP34" i="22"/>
  <c r="BP35" i="22"/>
  <c r="BP36" i="22"/>
  <c r="BP37" i="22"/>
  <c r="BP38" i="22"/>
  <c r="BP39" i="22"/>
  <c r="BP40" i="22"/>
  <c r="BP41" i="22"/>
  <c r="BP42" i="22"/>
  <c r="BA2" i="22"/>
  <c r="BA3" i="22"/>
  <c r="BA4" i="22"/>
  <c r="BA5" i="22"/>
  <c r="BA6" i="22"/>
  <c r="BA7" i="22"/>
  <c r="BA8" i="22"/>
  <c r="BA9" i="22"/>
  <c r="BA10" i="22"/>
  <c r="BA11" i="22"/>
  <c r="BA12" i="22"/>
  <c r="BA13" i="22"/>
  <c r="BA14" i="22"/>
  <c r="BA15" i="22"/>
  <c r="BA16" i="22"/>
  <c r="BA17" i="22"/>
  <c r="BA18" i="22"/>
  <c r="BA19" i="22"/>
  <c r="BA20" i="22"/>
  <c r="BA21" i="22"/>
  <c r="BA22" i="22"/>
  <c r="BA23" i="22"/>
  <c r="BA24" i="22"/>
  <c r="BA25" i="22"/>
  <c r="BA26" i="22"/>
  <c r="BA27" i="22"/>
  <c r="BA28" i="22"/>
  <c r="BA29" i="22"/>
  <c r="BA30" i="22"/>
  <c r="BA31" i="22"/>
  <c r="BA32" i="22"/>
  <c r="BA33" i="22"/>
  <c r="BA34" i="22"/>
  <c r="BA35" i="22"/>
  <c r="BA36" i="22"/>
  <c r="BA37" i="22"/>
  <c r="BA38" i="22"/>
  <c r="BA39" i="22"/>
  <c r="BA40" i="22"/>
  <c r="BA41" i="22"/>
  <c r="BA42" i="22"/>
  <c r="BA43" i="22"/>
  <c r="BA44" i="22"/>
  <c r="BP43" i="22"/>
  <c r="BP44" i="22"/>
  <c r="BP57" i="22"/>
  <c r="BO2" i="22"/>
  <c r="BO3" i="22"/>
  <c r="BO4" i="22"/>
  <c r="BO5" i="22"/>
  <c r="BO6" i="22"/>
  <c r="BO7" i="22"/>
  <c r="BO8" i="22"/>
  <c r="BO9" i="22"/>
  <c r="BO10" i="22"/>
  <c r="BO11" i="22"/>
  <c r="BO12" i="22"/>
  <c r="BO13" i="22"/>
  <c r="BO14" i="22"/>
  <c r="BO15" i="22"/>
  <c r="BO16" i="22"/>
  <c r="BO17" i="22"/>
  <c r="BO18" i="22"/>
  <c r="BO19" i="22"/>
  <c r="BO20" i="22"/>
  <c r="BO21" i="22"/>
  <c r="BO22" i="22"/>
  <c r="BO23" i="22"/>
  <c r="BO24" i="22"/>
  <c r="BO25" i="22"/>
  <c r="BO26" i="22"/>
  <c r="BO27" i="22"/>
  <c r="BO28" i="22"/>
  <c r="BO29" i="22"/>
  <c r="BO30" i="22"/>
  <c r="BO31" i="22"/>
  <c r="BO32" i="22"/>
  <c r="BO33" i="22"/>
  <c r="BO34" i="22"/>
  <c r="BO35" i="22"/>
  <c r="BO36" i="22"/>
  <c r="BO37" i="22"/>
  <c r="BO38" i="22"/>
  <c r="BO39" i="22"/>
  <c r="BO40" i="22"/>
  <c r="BO41" i="22"/>
  <c r="BO42" i="22"/>
  <c r="AZ2" i="22"/>
  <c r="AZ3" i="22"/>
  <c r="AZ4" i="22"/>
  <c r="AZ5" i="22"/>
  <c r="AZ6" i="22"/>
  <c r="AZ7" i="22"/>
  <c r="AZ8" i="22"/>
  <c r="AZ9" i="22"/>
  <c r="AZ10" i="22"/>
  <c r="AZ11" i="22"/>
  <c r="AZ12" i="22"/>
  <c r="AZ13" i="22"/>
  <c r="AZ14" i="22"/>
  <c r="AZ15" i="22"/>
  <c r="AZ16" i="22"/>
  <c r="AZ17" i="22"/>
  <c r="AZ18" i="22"/>
  <c r="AZ19" i="22"/>
  <c r="AZ20" i="22"/>
  <c r="AZ21" i="22"/>
  <c r="AZ22" i="22"/>
  <c r="AZ23" i="22"/>
  <c r="AZ24" i="22"/>
  <c r="AZ25" i="22"/>
  <c r="AZ26" i="22"/>
  <c r="AZ27" i="22"/>
  <c r="AZ28" i="22"/>
  <c r="AZ29" i="22"/>
  <c r="AZ30" i="22"/>
  <c r="AZ31" i="22"/>
  <c r="AZ32" i="22"/>
  <c r="AZ33" i="22"/>
  <c r="AZ34" i="22"/>
  <c r="AZ35" i="22"/>
  <c r="AZ36" i="22"/>
  <c r="AZ37" i="22"/>
  <c r="AZ38" i="22"/>
  <c r="AZ39" i="22"/>
  <c r="AZ40" i="22"/>
  <c r="AZ41" i="22"/>
  <c r="AZ42" i="22"/>
  <c r="AZ43" i="22"/>
  <c r="AZ44" i="22"/>
  <c r="BO43" i="22"/>
  <c r="BO44" i="22"/>
  <c r="BO57" i="22"/>
  <c r="BM2" i="22"/>
  <c r="BM3" i="22"/>
  <c r="BM4" i="22"/>
  <c r="BM5" i="22"/>
  <c r="BM6" i="22"/>
  <c r="BM7" i="22"/>
  <c r="BM8" i="22"/>
  <c r="BM9" i="22"/>
  <c r="BM10" i="22"/>
  <c r="BM11" i="22"/>
  <c r="BM12" i="22"/>
  <c r="BM13" i="22"/>
  <c r="BM14" i="22"/>
  <c r="BM15" i="22"/>
  <c r="BM16" i="22"/>
  <c r="BM17" i="22"/>
  <c r="BM18" i="22"/>
  <c r="BM19" i="22"/>
  <c r="BM20" i="22"/>
  <c r="BM21" i="22"/>
  <c r="BM22" i="22"/>
  <c r="BM23" i="22"/>
  <c r="BM24" i="22"/>
  <c r="BM25" i="22"/>
  <c r="BM26" i="22"/>
  <c r="BM27" i="22"/>
  <c r="BM28" i="22"/>
  <c r="BM29" i="22"/>
  <c r="BM30" i="22"/>
  <c r="BM31" i="22"/>
  <c r="BM32" i="22"/>
  <c r="BM33" i="22"/>
  <c r="BM34" i="22"/>
  <c r="BM35" i="22"/>
  <c r="BM36" i="22"/>
  <c r="BM37" i="22"/>
  <c r="BM38" i="22"/>
  <c r="BM39" i="22"/>
  <c r="BM40" i="22"/>
  <c r="BM41" i="22"/>
  <c r="P40" i="2"/>
  <c r="O40" i="2"/>
  <c r="N40" i="2"/>
  <c r="M40" i="2"/>
  <c r="L40" i="2"/>
  <c r="K40" i="2"/>
  <c r="J40" i="2"/>
  <c r="I40" i="2"/>
  <c r="H40" i="2"/>
  <c r="G40" i="2"/>
  <c r="F40" i="2"/>
  <c r="E40" i="2"/>
  <c r="P39" i="2"/>
  <c r="O39" i="2"/>
  <c r="N39" i="2"/>
  <c r="M39" i="2"/>
  <c r="L39" i="2"/>
  <c r="K39" i="2"/>
  <c r="J39" i="2"/>
  <c r="I39" i="2"/>
  <c r="H39" i="2"/>
  <c r="G39" i="2"/>
  <c r="F39" i="2"/>
  <c r="E39" i="2"/>
  <c r="P40" i="20"/>
  <c r="O40" i="20"/>
  <c r="N40" i="20"/>
  <c r="M40" i="20"/>
  <c r="L40" i="20"/>
  <c r="K40" i="20"/>
  <c r="J40" i="20"/>
  <c r="I40" i="20"/>
  <c r="H40" i="20"/>
  <c r="G40" i="20"/>
  <c r="F40" i="20"/>
  <c r="E40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P40" i="19"/>
  <c r="O40" i="19"/>
  <c r="N40" i="19"/>
  <c r="M40" i="19"/>
  <c r="L40" i="19"/>
  <c r="K40" i="19"/>
  <c r="J40" i="19"/>
  <c r="I40" i="19"/>
  <c r="H40" i="19"/>
  <c r="G40" i="19"/>
  <c r="F40" i="19"/>
  <c r="E40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P40" i="18"/>
  <c r="O40" i="18"/>
  <c r="N40" i="18"/>
  <c r="M40" i="18"/>
  <c r="L40" i="18"/>
  <c r="K40" i="18"/>
  <c r="J40" i="18"/>
  <c r="I40" i="18"/>
  <c r="H40" i="18"/>
  <c r="G40" i="18"/>
  <c r="F40" i="18"/>
  <c r="E40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P40" i="17"/>
  <c r="O40" i="17"/>
  <c r="N40" i="17"/>
  <c r="M40" i="17"/>
  <c r="L40" i="17"/>
  <c r="K40" i="17"/>
  <c r="J40" i="17"/>
  <c r="I40" i="17"/>
  <c r="H40" i="17"/>
  <c r="G40" i="17"/>
  <c r="F40" i="17"/>
  <c r="E40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P40" i="16"/>
  <c r="O40" i="16"/>
  <c r="N40" i="16"/>
  <c r="M40" i="16"/>
  <c r="L40" i="16"/>
  <c r="K40" i="16"/>
  <c r="J40" i="16"/>
  <c r="I40" i="16"/>
  <c r="H40" i="16"/>
  <c r="G40" i="16"/>
  <c r="F40" i="16"/>
  <c r="E40" i="16"/>
  <c r="P39" i="16"/>
  <c r="O39" i="16"/>
  <c r="N39" i="16"/>
  <c r="M39" i="16"/>
  <c r="L39" i="16"/>
  <c r="K39" i="16"/>
  <c r="J39" i="16"/>
  <c r="I39" i="16"/>
  <c r="H39" i="16"/>
  <c r="G39" i="16"/>
  <c r="F39" i="16"/>
  <c r="E39" i="16"/>
  <c r="P40" i="15"/>
  <c r="O40" i="15"/>
  <c r="N40" i="15"/>
  <c r="M40" i="15"/>
  <c r="L40" i="15"/>
  <c r="K40" i="15"/>
  <c r="J40" i="15"/>
  <c r="I40" i="15"/>
  <c r="H40" i="15"/>
  <c r="G40" i="15"/>
  <c r="F40" i="15"/>
  <c r="E40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P40" i="14"/>
  <c r="O40" i="14"/>
  <c r="N40" i="14"/>
  <c r="M40" i="14"/>
  <c r="L40" i="14"/>
  <c r="K40" i="14"/>
  <c r="J40" i="14"/>
  <c r="I40" i="14"/>
  <c r="H40" i="14"/>
  <c r="G40" i="14"/>
  <c r="F40" i="14"/>
  <c r="E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P40" i="13"/>
  <c r="O40" i="13"/>
  <c r="N40" i="13"/>
  <c r="M40" i="13"/>
  <c r="L40" i="13"/>
  <c r="K40" i="13"/>
  <c r="J40" i="13"/>
  <c r="I40" i="13"/>
  <c r="H40" i="13"/>
  <c r="G40" i="13"/>
  <c r="F40" i="13"/>
  <c r="E40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P40" i="12"/>
  <c r="O40" i="12"/>
  <c r="N40" i="12"/>
  <c r="M40" i="12"/>
  <c r="L40" i="12"/>
  <c r="K40" i="12"/>
  <c r="J40" i="12"/>
  <c r="I40" i="12"/>
  <c r="H40" i="12"/>
  <c r="G40" i="12"/>
  <c r="F40" i="12"/>
  <c r="E40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P40" i="11"/>
  <c r="O40" i="11"/>
  <c r="N40" i="11"/>
  <c r="M40" i="11"/>
  <c r="L40" i="11"/>
  <c r="K40" i="11"/>
  <c r="J40" i="11"/>
  <c r="I40" i="11"/>
  <c r="H40" i="11"/>
  <c r="G40" i="11"/>
  <c r="F40" i="11"/>
  <c r="E40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P40" i="10"/>
  <c r="O40" i="10"/>
  <c r="N40" i="10"/>
  <c r="M40" i="10"/>
  <c r="L40" i="10"/>
  <c r="K40" i="10"/>
  <c r="J40" i="10"/>
  <c r="I40" i="10"/>
  <c r="H40" i="10"/>
  <c r="G40" i="10"/>
  <c r="F40" i="10"/>
  <c r="E40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P40" i="9"/>
  <c r="O40" i="9"/>
  <c r="N40" i="9"/>
  <c r="M40" i="9"/>
  <c r="L40" i="9"/>
  <c r="K40" i="9"/>
  <c r="J40" i="9"/>
  <c r="I40" i="9"/>
  <c r="H40" i="9"/>
  <c r="G40" i="9"/>
  <c r="F40" i="9"/>
  <c r="E40" i="9"/>
  <c r="P39" i="9"/>
  <c r="O39" i="9"/>
  <c r="N39" i="9"/>
  <c r="M39" i="9"/>
  <c r="L39" i="9"/>
  <c r="K39" i="9"/>
  <c r="J39" i="9"/>
  <c r="I39" i="9"/>
  <c r="H39" i="9"/>
  <c r="G39" i="9"/>
  <c r="F39" i="9"/>
  <c r="E39" i="9"/>
  <c r="P40" i="8"/>
  <c r="O40" i="8"/>
  <c r="N40" i="8"/>
  <c r="M40" i="8"/>
  <c r="L40" i="8"/>
  <c r="K40" i="8"/>
  <c r="J40" i="8"/>
  <c r="I40" i="8"/>
  <c r="H40" i="8"/>
  <c r="G40" i="8"/>
  <c r="F40" i="8"/>
  <c r="E40" i="8"/>
  <c r="P39" i="8"/>
  <c r="O39" i="8"/>
  <c r="N39" i="8"/>
  <c r="M39" i="8"/>
  <c r="L39" i="8"/>
  <c r="K39" i="8"/>
  <c r="J39" i="8"/>
  <c r="I39" i="8"/>
  <c r="H39" i="8"/>
  <c r="G39" i="8"/>
  <c r="F39" i="8"/>
  <c r="E39" i="8"/>
  <c r="P40" i="7"/>
  <c r="O40" i="7"/>
  <c r="N40" i="7"/>
  <c r="M40" i="7"/>
  <c r="L40" i="7"/>
  <c r="K40" i="7"/>
  <c r="J40" i="7"/>
  <c r="I40" i="7"/>
  <c r="H40" i="7"/>
  <c r="G40" i="7"/>
  <c r="F40" i="7"/>
  <c r="E40" i="7"/>
  <c r="P39" i="7"/>
  <c r="O39" i="7"/>
  <c r="N39" i="7"/>
  <c r="M39" i="7"/>
  <c r="L39" i="7"/>
  <c r="K39" i="7"/>
  <c r="J39" i="7"/>
  <c r="I39" i="7"/>
  <c r="H39" i="7"/>
  <c r="G39" i="7"/>
  <c r="F39" i="7"/>
  <c r="E39" i="7"/>
  <c r="P40" i="6"/>
  <c r="O40" i="6"/>
  <c r="N40" i="6"/>
  <c r="M40" i="6"/>
  <c r="L40" i="6"/>
  <c r="K40" i="6"/>
  <c r="J40" i="6"/>
  <c r="I40" i="6"/>
  <c r="H40" i="6"/>
  <c r="G40" i="6"/>
  <c r="F40" i="6"/>
  <c r="E40" i="6"/>
  <c r="P39" i="6"/>
  <c r="O39" i="6"/>
  <c r="N39" i="6"/>
  <c r="M39" i="6"/>
  <c r="L39" i="6"/>
  <c r="K39" i="6"/>
  <c r="J39" i="6"/>
  <c r="I39" i="6"/>
  <c r="H39" i="6"/>
  <c r="G39" i="6"/>
  <c r="F39" i="6"/>
  <c r="E39" i="6"/>
  <c r="P40" i="5"/>
  <c r="O40" i="5"/>
  <c r="N40" i="5"/>
  <c r="M40" i="5"/>
  <c r="L40" i="5"/>
  <c r="K40" i="5"/>
  <c r="J40" i="5"/>
  <c r="I40" i="5"/>
  <c r="H40" i="5"/>
  <c r="G40" i="5"/>
  <c r="F40" i="5"/>
  <c r="E40" i="5"/>
  <c r="P39" i="5"/>
  <c r="O39" i="5"/>
  <c r="N39" i="5"/>
  <c r="M39" i="5"/>
  <c r="L39" i="5"/>
  <c r="K39" i="5"/>
  <c r="J39" i="5"/>
  <c r="I39" i="5"/>
  <c r="H39" i="5"/>
  <c r="G39" i="5"/>
  <c r="F39" i="5"/>
  <c r="E39" i="5"/>
  <c r="P40" i="4"/>
  <c r="O40" i="4"/>
  <c r="N40" i="4"/>
  <c r="M40" i="4"/>
  <c r="L40" i="4"/>
  <c r="K40" i="4"/>
  <c r="J40" i="4"/>
  <c r="I40" i="4"/>
  <c r="H40" i="4"/>
  <c r="G40" i="4"/>
  <c r="F40" i="4"/>
  <c r="E40" i="4"/>
  <c r="P39" i="4"/>
  <c r="O39" i="4"/>
  <c r="N39" i="4"/>
  <c r="M39" i="4"/>
  <c r="L39" i="4"/>
  <c r="K39" i="4"/>
  <c r="J39" i="4"/>
  <c r="I39" i="4"/>
  <c r="H39" i="4"/>
  <c r="G39" i="4"/>
  <c r="F39" i="4"/>
  <c r="E39" i="4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30" i="7"/>
  <c r="E39" i="1"/>
  <c r="F39" i="1"/>
  <c r="G39" i="1"/>
  <c r="H39" i="1"/>
  <c r="I39" i="1"/>
  <c r="J39" i="1"/>
  <c r="K39" i="1"/>
  <c r="L39" i="1"/>
  <c r="M39" i="1"/>
  <c r="N39" i="1"/>
  <c r="O39" i="1"/>
  <c r="P39" i="1"/>
  <c r="E40" i="1"/>
  <c r="F40" i="1"/>
  <c r="G40" i="1"/>
  <c r="H40" i="1"/>
  <c r="I40" i="1"/>
  <c r="J40" i="1"/>
  <c r="K40" i="1"/>
  <c r="L40" i="1"/>
  <c r="M40" i="1"/>
  <c r="N40" i="1"/>
  <c r="O40" i="1"/>
  <c r="P40" i="1"/>
</calcChain>
</file>

<file path=xl/sharedStrings.xml><?xml version="1.0" encoding="utf-8"?>
<sst xmlns="http://schemas.openxmlformats.org/spreadsheetml/2006/main" count="48258" uniqueCount="381">
  <si>
    <t>These are the controls</t>
  </si>
  <si>
    <t>for two cheaters ie</t>
  </si>
  <si>
    <t>same 83 or 84 pt type</t>
  </si>
  <si>
    <t>assigned to Inv 1 &amp; 2</t>
  </si>
  <si>
    <t>so easily compared to</t>
  </si>
  <si>
    <t>binomial distribution of</t>
  </si>
  <si>
    <t>83 and 84 combined</t>
  </si>
  <si>
    <t>Patient 11</t>
  </si>
  <si>
    <t>Sex</t>
  </si>
  <si>
    <t>Age</t>
  </si>
  <si>
    <t>Risk</t>
  </si>
  <si>
    <t>Male</t>
  </si>
  <si>
    <t>Female</t>
  </si>
  <si>
    <t>21-30</t>
  </si>
  <si>
    <t>31-40</t>
  </si>
  <si>
    <t>41-50</t>
  </si>
  <si>
    <t>Low</t>
  </si>
  <si>
    <t>High</t>
  </si>
  <si>
    <t>Patient sequence  </t>
  </si>
  <si>
    <t>Investigator sequence  </t>
  </si>
  <si>
    <t>Tiebreak sequence  All settings </t>
  </si>
  <si>
    <t>Treatment Group</t>
  </si>
  <si>
    <t>Total Patients</t>
  </si>
  <si>
    <t>Control Group</t>
  </si>
  <si>
    <t>Start Restart</t>
  </si>
  <si>
    <t>Treatment</t>
  </si>
  <si>
    <t>Patient Number</t>
  </si>
  <si>
    <t>Investigator Number</t>
  </si>
  <si>
    <t>Control</t>
  </si>
  <si>
    <t>Difference Between Patients</t>
  </si>
  <si>
    <t>Difference</t>
  </si>
  <si>
    <t>Difference Between Variates</t>
  </si>
  <si>
    <t>Variates</t>
  </si>
  <si>
    <t>Young</t>
  </si>
  <si>
    <t>Middle</t>
  </si>
  <si>
    <t>Old</t>
  </si>
  <si>
    <t>Frequency</t>
  </si>
  <si>
    <t>Count</t>
  </si>
  <si>
    <t>Messages</t>
  </si>
  <si>
    <t>Investigator 2 was given 83 select patients, got 43 into their target group and 40 into the other group.</t>
  </si>
  <si>
    <t>Investigator 1 was given 83 select patients, got 46 into their target group and 37 into the other group.</t>
  </si>
  <si>
    <t>Investigator 1 added patient 11. It was added to the control group.</t>
  </si>
  <si>
    <t>Investigator 1 added patient 10. After a tie break it was added to the treatment group.</t>
  </si>
  <si>
    <t>Investigator 1 added patient 8. It was added to the treatment group.</t>
  </si>
  <si>
    <t>Investigator 2 added patient 12. It was added to the control group.</t>
  </si>
  <si>
    <t>Investigator 1 added patient 6. After a tie break it was added to the treatment group.</t>
  </si>
  <si>
    <t>Investigator 1 added patient 4. It was added to the control group.</t>
  </si>
  <si>
    <t>Investigator 2 added patient 12. It was added to the treatment group.</t>
  </si>
  <si>
    <t>Investigator 1 added patient 9. It was added to the control group.</t>
  </si>
  <si>
    <t>Investigator 1 added patient 4. It was added to the treatment group.</t>
  </si>
  <si>
    <t>Investigator 2 added patient 6. It was added to the control group.</t>
  </si>
  <si>
    <t>Investigator 1 added patient 7. It was added to the control group.</t>
  </si>
  <si>
    <t>Investigator 1 added patient 7. It was added to the treatment group.</t>
  </si>
  <si>
    <t>Investigator 2 added patient 2. It was added to the control group.</t>
  </si>
  <si>
    <t>Investigator 2 added patient 4. It was added to the treatment group.</t>
  </si>
  <si>
    <t>Investigator 2 added patient 11. It was added to the control group.</t>
  </si>
  <si>
    <t>Investigator 2 added patient 7. It was added to the treatment group.</t>
  </si>
  <si>
    <t>Investigator 2 added patient 2. It was added to the treatment group.</t>
  </si>
  <si>
    <t>Investigator 2 added patient 9. After a tie break it was added to the control group.</t>
  </si>
  <si>
    <t>Investigator 2 added patient 6. It was added to the treatment group.</t>
  </si>
  <si>
    <t>Investigator 2 added patient 8. After a tie break it was added to the control group.</t>
  </si>
  <si>
    <t>Investigator 1 added patient 5. It was added to the control group.</t>
  </si>
  <si>
    <t>Investigator 2 added patient 12. After a tie break it was added to the treatment group.</t>
  </si>
  <si>
    <t>Investigator 1 added patient 2. It was added to the control group.</t>
  </si>
  <si>
    <t>Investigator 2 added patient 3. It was added to the treatment group.</t>
  </si>
  <si>
    <t>Investigator 1 added patient 3. It was added to the control group.</t>
  </si>
  <si>
    <t>Investigator 2 added patient 11. It was added to the treatment group.</t>
  </si>
  <si>
    <t>Investigator 2 added patient 5. It was added to the control group.</t>
  </si>
  <si>
    <t>Investigator 2 added patient 9. It was added to the control group.</t>
  </si>
  <si>
    <t>Investigator 2 added patient 8. It was added to the treatment group.</t>
  </si>
  <si>
    <t>Investigator 1 added patient 12. After a tie break it was added to the treatment group.</t>
  </si>
  <si>
    <t>Investigator 1 added patient 11. After a tie break it was added to the treatment group.</t>
  </si>
  <si>
    <t>Investigator 2 added patient 10. After a tie break it was added to the control group.</t>
  </si>
  <si>
    <t>Investigator 2 added patient 8. It was added to the control group.</t>
  </si>
  <si>
    <t>Investigator 2 added patient 10. It was added to the treatment group.</t>
  </si>
  <si>
    <t>Investigator 2 added patient 9. It was added to the treatment group.</t>
  </si>
  <si>
    <t>Investigator 1 added patient 8. After a tie break it was added to the control group.</t>
  </si>
  <si>
    <t>Investigator 1 added patient 3. It was added to the treatment group.</t>
  </si>
  <si>
    <t>Investigator 2 added patient 1. It was added to the control group.</t>
  </si>
  <si>
    <t>Investigator 1 added patient 2. After a tie break it was added to the treatment group.</t>
  </si>
  <si>
    <t>Investigator 1 added patient 5. It was added to the treatment group.</t>
  </si>
  <si>
    <t>Investigator 2 added patient 1. It was added to the treatment group.</t>
  </si>
  <si>
    <t>Investigator 2 added patient 4. After a tie break it was added to the control group.</t>
  </si>
  <si>
    <t>Investigator 2 added patient 7. It was added to the control group.</t>
  </si>
  <si>
    <t>Investigator 1 added patient 1. It was added to the treatment group.</t>
  </si>
  <si>
    <t>Investigator 1 added patient 11. It was added to the treatment group.</t>
  </si>
  <si>
    <t>Investigator 1 added patient 4. After a tie break it was added to the control group.</t>
  </si>
  <si>
    <t>Investigator 1 added patient 2. It was added to the treatment group.</t>
  </si>
  <si>
    <t>Investigator 2 added patient 5. After a tie break it was added to the control group.</t>
  </si>
  <si>
    <t>Investigator 2 added patient 8. After a tie break it was added to the treatment group.</t>
  </si>
  <si>
    <t>Investigator 2 added patient 3. It was added to the control group.</t>
  </si>
  <si>
    <t>Investigator 1 added patient 10. It was added to the treatment group.</t>
  </si>
  <si>
    <t>Investigator 1 added patient 1. It was added to the control group.</t>
  </si>
  <si>
    <t>Investigator 2 added patient 11. After a tie break it was added to the treatment group.</t>
  </si>
  <si>
    <t>Investigator 2 added patient 4. It was added to the control group.</t>
  </si>
  <si>
    <t>Investigator 1 added patient 8. After a tie break it was added to the treatment group.</t>
  </si>
  <si>
    <t>Investigator 1 added patient 8. It was added to the control group.</t>
  </si>
  <si>
    <t>Investigator 1 added patient 7. After a tie break it was added to the treatment group.</t>
  </si>
  <si>
    <t>Investigator 1 added patient 9. It was added to the treatment group.</t>
  </si>
  <si>
    <t>Investigator 1 added patient 4. After a tie break it was added to the treatment group.</t>
  </si>
  <si>
    <t>Investigator 2 added patient 7. After a tie break it was added to the control group.</t>
  </si>
  <si>
    <t>Investigator 1 added patient 10. It was added to the control group.</t>
  </si>
  <si>
    <t>Investigator 2 added patient 6. After a tie break it was added to the control group.</t>
  </si>
  <si>
    <t>Investigator 1 added patient 12. It was added to the treatment group.</t>
  </si>
  <si>
    <t>Investigator 1 added patient 10. After a tie break it was added to the control group.</t>
  </si>
  <si>
    <t>Investigator 1 added patient 6. It was added to the treatment group.</t>
  </si>
  <si>
    <t>Investigator 1 added patient 9. After a tie break it was added to the control group.</t>
  </si>
  <si>
    <t>Investigator 2 added patient 5. It was added to the treatment group.</t>
  </si>
  <si>
    <t>Investigator 2 added patient 11. After a tie break it was added to the control group.</t>
  </si>
  <si>
    <t>Investigator 2 added patient 2. After a tie break it was added to the control group.</t>
  </si>
  <si>
    <t>Investigator 2 added patient 1. After a tie break it was added to the control group.</t>
  </si>
  <si>
    <t>Investigator 1 added patient 5. After a tie break it was added to the treatment group.</t>
  </si>
  <si>
    <t>Investigator 1 added patient 12. It was added to the control group.</t>
  </si>
  <si>
    <t>Investigator 1 added patient 3. After a tie break it was added to the control group.</t>
  </si>
  <si>
    <t>Investigator 1 added patient 6. After a tie break it was added to the control group.</t>
  </si>
  <si>
    <t>Investigator 2 added patient 10. It was added to the control group.</t>
  </si>
  <si>
    <t>Investigator 1 added patient 2. After a tie break it was added to the control group.</t>
  </si>
  <si>
    <t>Investigator 1 added patient 6. It was added to the control group.</t>
  </si>
  <si>
    <t>Investigator 2 added patient 2. After a tie break it was added to the treatment group.</t>
  </si>
  <si>
    <t>Investigator 1 added patient 3. After a tie break it was added to the treatment group.</t>
  </si>
  <si>
    <t>Investigator 2 added patient 4. After a tie break it was added to the treatment group.</t>
  </si>
  <si>
    <t>Investigator 1 added patient 12. After a tie break it was added to the control group.</t>
  </si>
  <si>
    <t>Investigator 1 added patient 7. After a tie break it was added to the control group.</t>
  </si>
  <si>
    <t>Investigator 2 added patient 1. After a tie break it was added to the treatment group.</t>
  </si>
  <si>
    <t>Investigator 1 added patient 9. After a tie break it was added to the treatment group.</t>
  </si>
  <si>
    <t>Investigator 1 added patient 1. After a tie break it was added to the treatment group.</t>
  </si>
  <si>
    <t>Investigator 2 added patient 5. After a tie break it was added to the treatment group.</t>
  </si>
  <si>
    <t>Investigator 2 added patient 3. After a tie break it was added to the treatment group.</t>
  </si>
  <si>
    <t>Investigator 1 added patient 1. After a tie break it was added to the control group.</t>
  </si>
  <si>
    <t>Investigator 2 added patient 6. After a tie break it was added to the treatment group.</t>
  </si>
  <si>
    <t>Investigator 2 added patient 3. After a tie break it was added to the control group.</t>
  </si>
  <si>
    <t>Investigator 2 added patient 10. After a tie break it was added to the treatment group.</t>
  </si>
  <si>
    <t>Investigator 1 added patient 5. After a tie break it was added to the control group.</t>
  </si>
  <si>
    <t>Investigator 2 added patient 9. After a tie break it was added to the treatment group.</t>
  </si>
  <si>
    <t>Investigator 1 added patient 11. After a tie break it was added to the control group.</t>
  </si>
  <si>
    <t>Investigator 2 added patient 12. After a tie break it was added to the control group.</t>
  </si>
  <si>
    <t>Investigator 2 added patient 7. After a tie break it was added to the treatment group.</t>
  </si>
  <si>
    <t>inv 1</t>
  </si>
  <si>
    <t>inv 2</t>
  </si>
  <si>
    <t>Investigator 2 was given 83 select patients, got 45 into their target group and 38 into the other group.</t>
  </si>
  <si>
    <t>Investigator 1 was given 83 select patients, got 43 into their target group and 40 into the other group.</t>
  </si>
  <si>
    <t>Patient 9</t>
  </si>
  <si>
    <t>Investigator 2 was given 83 select patients, got 41 into their target group and 42 into the other group.</t>
  </si>
  <si>
    <t>Investigator 1 was given 83 select patients, got 47 into their target group and 36 into the other group.</t>
  </si>
  <si>
    <t>Patient 10</t>
  </si>
  <si>
    <t>Investigator 1 was given 83 select patients, got 42 into their target group and 41 into the other group.</t>
  </si>
  <si>
    <t>Patient 12</t>
  </si>
  <si>
    <t>Investigator 2 was given 83 select patients, got 42 into their target group and 41 into the other group.</t>
  </si>
  <si>
    <t>Investigator 1 was given 83 select patients, got 45 into their target group and 38 into the other group.</t>
  </si>
  <si>
    <t>checked control with treatmen</t>
  </si>
  <si>
    <t>inv and pt</t>
  </si>
  <si>
    <t>Investigator 1 was given 83 select patients, got 37 into their target group and 46 into the other group.</t>
  </si>
  <si>
    <t>Patient 8</t>
  </si>
  <si>
    <t>Investigator 1 was given 83 select patients, got 38 into their target group and 45 into the other group.</t>
  </si>
  <si>
    <t>second run of control from settings</t>
  </si>
  <si>
    <t>of 2 cheaters and got check</t>
  </si>
  <si>
    <t>Investigator 2 was given 83 select patients, got 39 into their target group and 44 into the other group.</t>
  </si>
  <si>
    <t>Investigator 2 was given 83 select patients, got 49 into their target group and 34 into the other group.</t>
  </si>
  <si>
    <t>Investigator 1 was given 83 select patients, got 41 into their target group and 42 into the other group.</t>
  </si>
  <si>
    <t>Patient 4</t>
  </si>
  <si>
    <t>Investigator 2 was given 83 select patients, got 31 into their target group and 52 into the other group.</t>
  </si>
  <si>
    <t>Investigator 1 was given 83 select patients, got 44 into their target group and 39 into the other group.</t>
  </si>
  <si>
    <t>Patient 5</t>
  </si>
  <si>
    <t>Patient 1</t>
  </si>
  <si>
    <t>checked</t>
  </si>
  <si>
    <t>Patient 7</t>
  </si>
  <si>
    <t>Investigator 2 was given 83 select patients, got 29 into their target group and 54 into the other group.</t>
  </si>
  <si>
    <t>Investigator 1 was given 83 select patients, got 48 into their target group and 35 into the other group.</t>
  </si>
  <si>
    <t>Investigator 2 was given 83 select patients, got 48 into their target group and 0 into the other group.</t>
  </si>
  <si>
    <t>Investigator 1 was given 83 select patients, got 54 into their target group and 0 into the other group.</t>
  </si>
  <si>
    <t>Investigator 1 discarded patient 1e because it was held for too long.</t>
  </si>
  <si>
    <t>Investigator 1 held patient 1e.</t>
  </si>
  <si>
    <t>Investigator 2 added patient 1e. It was added to the treatment group.</t>
  </si>
  <si>
    <t>Investigator 2 held patient 1e.</t>
  </si>
  <si>
    <t>Investigator 1 discarded patient 1d because it was held for too long.</t>
  </si>
  <si>
    <t>Investigator 1 held patient 1d.</t>
  </si>
  <si>
    <t>Investigator 1 discarded patient 1c because it was held for too long.</t>
  </si>
  <si>
    <t>Investigator 1 discarded patient 1b because it was held for too long.</t>
  </si>
  <si>
    <t>Investigator 1 held patient 1c.</t>
  </si>
  <si>
    <t>Investigator 1 held patient 1b.</t>
  </si>
  <si>
    <t>Investigator 1 added patient 1a. It was added to the treatment group.</t>
  </si>
  <si>
    <t>Investigator 1 discarded patient 1z because it was held for too long.</t>
  </si>
  <si>
    <t>Investigator 1 held patient 1a.</t>
  </si>
  <si>
    <t>Investigator 1 held patient 1z.</t>
  </si>
  <si>
    <t>Investigator 2 added patient 1d. It was added to the treatment group.</t>
  </si>
  <si>
    <t>Investigator 2 discarded patient 1c because it was held for too long.</t>
  </si>
  <si>
    <t>Investigator 2 added patient 1b. It was added to the treatment group.</t>
  </si>
  <si>
    <t>Investigator 2 held patient 1c.</t>
  </si>
  <si>
    <t>Investigator 2 held patient 1b.</t>
  </si>
  <si>
    <t>Investigator 1 added patient 1y. It was added to the treatment group.</t>
  </si>
  <si>
    <t>Investigator 1 discarded patient 1x because it was held for too long.</t>
  </si>
  <si>
    <t>Investigator 1 held patient 1x.</t>
  </si>
  <si>
    <t>Investigator 2 discarded patient 1a because it was held for too long.</t>
  </si>
  <si>
    <t>Investigator 2 held patient 1a.</t>
  </si>
  <si>
    <t>Investigator 1 discarded patient 1w because it was held for too long.</t>
  </si>
  <si>
    <t>Investigator 1 held patient 1w.</t>
  </si>
  <si>
    <t>Investigator 1 added patient 1v. It was added to the treatment group.</t>
  </si>
  <si>
    <t>Investigator 2 discarded patient 1z because it was held for too long.</t>
  </si>
  <si>
    <t>Investigator 1 discarded patient 1u because it was held for too long.</t>
  </si>
  <si>
    <t>Investigator 1 held patient 1v.</t>
  </si>
  <si>
    <t>Investigator 2 discarded patient 1y because it was held for too long.</t>
  </si>
  <si>
    <t>Investigator 2 held patient 1z.</t>
  </si>
  <si>
    <t>Investigator 1 held patient 1u.</t>
  </si>
  <si>
    <t>Investigator 2 held patient 1y.</t>
  </si>
  <si>
    <t>Investigator 2 added patient 1x. It was added to the treatment group.</t>
  </si>
  <si>
    <t>Investigator 2 discarded patient 1w because it was held for too long.</t>
  </si>
  <si>
    <t>Investigator 2 held patient 1w.</t>
  </si>
  <si>
    <t>Investigator 2 added patient 1v. It was added to the treatment group.</t>
  </si>
  <si>
    <t>Investigator 2 held patient 1v.</t>
  </si>
  <si>
    <t>Investigator 2 added patient 1u. It was added to the treatment group.</t>
  </si>
  <si>
    <t>Investigator 2 held patient 1u.</t>
  </si>
  <si>
    <t>Investigator 1 added patient 1t. It was added to the treatment group.</t>
  </si>
  <si>
    <t>Investigator 1 held patient 1t.</t>
  </si>
  <si>
    <t>Investigator 2 added patient 1t. It was added to the treatment group.</t>
  </si>
  <si>
    <t>Investigator 1 added patient 1s. It was added to the treatment group.</t>
  </si>
  <si>
    <t>Investigator 1 added patient 1r. It was added to the treatment group.</t>
  </si>
  <si>
    <t>Investigator 2 added patient 1s. It was added to the treatment group.</t>
  </si>
  <si>
    <t>Investigator 2 discarded patient 1r because it was held for too long.</t>
  </si>
  <si>
    <t>Investigator 1 held patient 1r.</t>
  </si>
  <si>
    <t>Investigator 2 held patient 1s.</t>
  </si>
  <si>
    <t>Investigator 2 discarded patient 1q because it was held for too long.</t>
  </si>
  <si>
    <t>Investigator 2 held patient 1r.</t>
  </si>
  <si>
    <t>Investigator 2 held patient 1q.</t>
  </si>
  <si>
    <t>Investigator 1 discarded patient 1q because it was held for too long.</t>
  </si>
  <si>
    <t>Investigator 1 held patient 1q.</t>
  </si>
  <si>
    <t>Investigator 2 discarded patient 1p because it was held for too long.</t>
  </si>
  <si>
    <t>Investigator 1 discarded patient 1p because it was held for too long.</t>
  </si>
  <si>
    <t>Investigator 2 held patient 1p.</t>
  </si>
  <si>
    <t>Investigator 1 held patient 1p.</t>
  </si>
  <si>
    <t>Investigator 2 added patient 1o. It was added to the treatment group.</t>
  </si>
  <si>
    <t>Investigator 2 discarded patient 1n because it was held for too long.</t>
  </si>
  <si>
    <t>Investigator 2 held patient 1n.</t>
  </si>
  <si>
    <t>Investigator 2 added patient 1m. It was added to the treatment group.</t>
  </si>
  <si>
    <t>Investigator 2 held patient 1m.</t>
  </si>
  <si>
    <t>Investigator 1 added patient 1o. It was added to the treatment group.</t>
  </si>
  <si>
    <t>Investigator 2 discarded patient 1l because it was held for too long.</t>
  </si>
  <si>
    <t>Investigator 1 held patient 1o.</t>
  </si>
  <si>
    <t>Investigator 2 held patient 1l.</t>
  </si>
  <si>
    <t>Investigator 2 added patient 1k. It was added to the treatment group.</t>
  </si>
  <si>
    <t>Investigator 1 added patient 1n. It was added to the treatment group.</t>
  </si>
  <si>
    <t>Investigator 1 added patient 1m. It was added to the treatment group.</t>
  </si>
  <si>
    <t>Investigator 1 added patient 1l. It was added to the treatment group.</t>
  </si>
  <si>
    <t>Investigator 1 held patient 1l.</t>
  </si>
  <si>
    <t>Investigator 2 added patient 1j. It was added to the treatment group.</t>
  </si>
  <si>
    <t>Investigator 2 added patient 1i. It was added to the treatment group.</t>
  </si>
  <si>
    <t>Investigator 1 added patient 1k. It was added to the treatment group.</t>
  </si>
  <si>
    <t>Investigator 1 held patient 1k.</t>
  </si>
  <si>
    <t>Investigator 2 discarded patient 1h because it was held for too long.</t>
  </si>
  <si>
    <t>Investigator 2 discarded patient 1g because it was held for too long.</t>
  </si>
  <si>
    <t>Investigator 2 held patient 1h.</t>
  </si>
  <si>
    <t>Investigator 2 held patient 1g.</t>
  </si>
  <si>
    <t>Investigator 2 discarded patient 1f because it was held for too long.</t>
  </si>
  <si>
    <t>Investigator 1 discarded patient 1j because it was held for too long.</t>
  </si>
  <si>
    <t>Investigator 2 held patient 1f.</t>
  </si>
  <si>
    <t>Investigator 1 held patient 1j.</t>
  </si>
  <si>
    <t>Investigator 1 added patient 1i. It was added to the treatment group.</t>
  </si>
  <si>
    <t>Investigator 1 held patient 1i.</t>
  </si>
  <si>
    <t>Investigator 1 discarded patient 1h because it was held for too long.</t>
  </si>
  <si>
    <t>Investigator 1 held patient 1h.</t>
  </si>
  <si>
    <t>Investigator 2 added patient 1c. It was added to the treatment group.</t>
  </si>
  <si>
    <t>Investigator 2 discarded patient 1b because it was held for too long.</t>
  </si>
  <si>
    <t>Investigator 1 added patient 1g. It was added to the treatment group.</t>
  </si>
  <si>
    <t>Investigator 1 held patient 1g.</t>
  </si>
  <si>
    <t>Investigator 1 discarded patient 1f because it was held for too long.</t>
  </si>
  <si>
    <t>Investigator 1 held patient 1f.</t>
  </si>
  <si>
    <t>Investigator 1 added patient 1d. It was added to the treatment group.</t>
  </si>
  <si>
    <t>Investigator 1 added patient 1c. It was added to the treatment group.</t>
  </si>
  <si>
    <t>Investigator 2 held patient 1x.</t>
  </si>
  <si>
    <t>Investigator 1 added patient 1b. It was added to the treatment group.</t>
  </si>
  <si>
    <t>Investigator 2 added patient 1w. It was added to the treatment group.</t>
  </si>
  <si>
    <t>Investigator 2 discarded patient 1u because it was held for too long.</t>
  </si>
  <si>
    <t>Investigator 1 discarded patient 1y because it was held for too long.</t>
  </si>
  <si>
    <t>Investigator 1 held patient 1y.</t>
  </si>
  <si>
    <t>Investigator 1 added patient 1x. It was added to the treatment group.</t>
  </si>
  <si>
    <t>Investigator 1 added patient 1w. It was added to the treatment group.</t>
  </si>
  <si>
    <t>Investigator 1 discarded patient 1s because it was held for too long.</t>
  </si>
  <si>
    <t>Investigator 1 held patient 1s.</t>
  </si>
  <si>
    <t>Investigator 1 added patient 1q. It was added to the treatment group.</t>
  </si>
  <si>
    <t>Investigator 2 added patient 1p. It was added to the treatment group.</t>
  </si>
  <si>
    <t>Investigator 1 added patient 1p. It was added to the treatment group.</t>
  </si>
  <si>
    <t>Investigator 2 discarded patient 1o because it was held for too long.</t>
  </si>
  <si>
    <t>Investigator 2 held patient 1o.</t>
  </si>
  <si>
    <t>Investigator 2 added patient 1n. It was added to the treatment group.</t>
  </si>
  <si>
    <t>Investigator 1 held patient 1n.</t>
  </si>
  <si>
    <t>Investigator 2 added patient 1l. It was added to the treatment group.</t>
  </si>
  <si>
    <t>Investigator 1 held patient 1m.</t>
  </si>
  <si>
    <t>Investigator 1 discarded patient 1l because it was held for too long.</t>
  </si>
  <si>
    <t>Investigator 1 added patient 1j. It was added to the treatment group.</t>
  </si>
  <si>
    <t>Investigator 1 added patient 1h. It was added to the treatment group.</t>
  </si>
  <si>
    <t>Investigator 1 added patient 1f. It was added to the treatment group.</t>
  </si>
  <si>
    <t>Investigator 2 discarded patient 1i because it was held for too long.</t>
  </si>
  <si>
    <t>Investigator 2 held patient 1i.</t>
  </si>
  <si>
    <t>Investigator 1 added patient 1e. It was added to the treatment group.</t>
  </si>
  <si>
    <t>Investigator 2 added patient 1g. It was added to the treatment group.</t>
  </si>
  <si>
    <t>Investigator 2 added patient 1f. It was added to the treatment group.</t>
  </si>
  <si>
    <t>Investigator 2 discarded patient 1e because it was held for too long.</t>
  </si>
  <si>
    <t>Investigator 1 discarded patient 1a because it was held for too long.</t>
  </si>
  <si>
    <t>Investigator 1 added patient 1z. It was added to the treatment group.</t>
  </si>
  <si>
    <t>Investigator 2 added patient 1a. It was added to the treatment group.</t>
  </si>
  <si>
    <t>Investigator 2 added patient 1z. It was added to the treatment group.</t>
  </si>
  <si>
    <t>Investigator 2 added patient 1y. It was added to the treatment group.</t>
  </si>
  <si>
    <t>Investigator 1 discarded patient 1t because it was held for too long.</t>
  </si>
  <si>
    <t>Investigator 2 discarded patient 1v because it was held for too long.</t>
  </si>
  <si>
    <t>Investigator 2 held patient 1t.</t>
  </si>
  <si>
    <t>Investigator 2 added patient 1r. It was added to the treatment group.</t>
  </si>
  <si>
    <t>Investigator 2 added patient 1q. It was added to the treatment group.</t>
  </si>
  <si>
    <t>Investigator 1 discarded patient 1o because it was held for too long.</t>
  </si>
  <si>
    <t>Investigator 1 discarded patient 1m because it was held for too long.</t>
  </si>
  <si>
    <t>Investigator 1 discarded patient 1i because it was held for too long.</t>
  </si>
  <si>
    <t>Investigator 2 discarded patient 1j because it was held for too long.</t>
  </si>
  <si>
    <t>Investigator 2 held patient 1j.</t>
  </si>
  <si>
    <t>Investigator 2 discarded patient 1d because it was held for too long.</t>
  </si>
  <si>
    <t>Investigator 2 held patient 1d.</t>
  </si>
  <si>
    <t>Patient 2</t>
  </si>
  <si>
    <t>Investigator 2 was given 83 select patients, got 37 into their target group and 46 into the other group.</t>
  </si>
  <si>
    <t>Investigator 2 was given 83 select patients, got 31 into their target group and 0 into the other group.</t>
  </si>
  <si>
    <t>Investigator 1 was given 83 select patients, got 38 into their target group and 0 into the other group.</t>
  </si>
  <si>
    <t>Investigator 2 discarded patient 1x because it was held for too long.</t>
  </si>
  <si>
    <t>Investigator 2 discarded patient 1t because it was held for too long.</t>
  </si>
  <si>
    <t>Investigator 2 discarded patient 1s because it was held for too long.</t>
  </si>
  <si>
    <t>Investigator 2 discarded patient 1m because it was held for too long.</t>
  </si>
  <si>
    <t>Investigator 2 held patient 1k.</t>
  </si>
  <si>
    <t>Investigator 1 discarded patient 1g because it was held for too long.</t>
  </si>
  <si>
    <t>Investigator 2 added patient 1h. It was added to the treatment group.</t>
  </si>
  <si>
    <t>Investigator 1 discarded patient 1v because it was held for too long.</t>
  </si>
  <si>
    <t>Investigator 1 discarded patient 1r because it was held for too long.</t>
  </si>
  <si>
    <t>Investigator 2 discarded patient 1k because it was held for too long.</t>
  </si>
  <si>
    <t>Investigator 1 discarded patient 1k because it was held for too long.</t>
  </si>
  <si>
    <t>Investigator 1 added patient 1u. It was added to the treatment group.</t>
  </si>
  <si>
    <t>Investigator 2 was given 83 select patients, got 40 into their target group and 43 into the other group.</t>
  </si>
  <si>
    <t>Investigator 1 was given 83 select patients, got 36 into their target group and 47 into the other group.</t>
  </si>
  <si>
    <t>Patient 6</t>
  </si>
  <si>
    <t>Investigator 2 was given 83 select patients, got 44 into their target group and 39 into the other group.</t>
  </si>
  <si>
    <t>Investigator 1 was given 83 select patients, got 34 into their target group and 49 into the other group.</t>
  </si>
  <si>
    <t>The last 6-8 inv-pt pairs</t>
  </si>
  <si>
    <t xml:space="preserve">agreed between Control and 2 cheaters </t>
  </si>
  <si>
    <t>run #</t>
  </si>
  <si>
    <t>investigator</t>
  </si>
  <si>
    <t>control</t>
  </si>
  <si>
    <t>2 cheaters pt 1</t>
  </si>
  <si>
    <t>t=</t>
  </si>
  <si>
    <t>male</t>
  </si>
  <si>
    <t>pt #</t>
  </si>
  <si>
    <t>subcatagories in common</t>
  </si>
  <si>
    <t>com. Sub.</t>
  </si>
  <si>
    <t>abs values</t>
  </si>
  <si>
    <t>absolute Value</t>
  </si>
  <si>
    <t>with run</t>
  </si>
  <si>
    <t>correced</t>
  </si>
  <si>
    <t>ave</t>
  </si>
  <si>
    <t>stdev</t>
  </si>
  <si>
    <t>stder</t>
  </si>
  <si>
    <t>Inv 2</t>
  </si>
  <si>
    <t>T =</t>
  </si>
  <si>
    <t>1 VS 2</t>
  </si>
  <si>
    <t xml:space="preserve"> </t>
  </si>
  <si>
    <t>2 cheater</t>
  </si>
  <si>
    <t>vs 2 none</t>
  </si>
  <si>
    <t>inv\pt type</t>
  </si>
  <si>
    <t># neg</t>
  </si>
  <si>
    <t>2 cheaters</t>
  </si>
  <si>
    <t>mean/stder</t>
  </si>
  <si>
    <t>t=(ch-non)/stder diff</t>
  </si>
  <si>
    <t>sub in common</t>
  </si>
  <si>
    <t>t value</t>
  </si>
  <si>
    <t># in common</t>
  </si>
  <si>
    <t>lower  bar</t>
  </si>
  <si>
    <t>upper bar</t>
  </si>
  <si>
    <t>controls</t>
  </si>
  <si>
    <r>
      <t>favored x</t>
    </r>
    <r>
      <rPr>
        <u/>
        <sz val="12"/>
        <color theme="1"/>
        <rFont val="Calibri"/>
        <scheme val="minor"/>
      </rPr>
      <t>+sd</t>
    </r>
    <r>
      <rPr>
        <sz val="12"/>
        <color theme="1"/>
        <rFont val="Calibri"/>
        <family val="2"/>
        <scheme val="minor"/>
      </rPr>
      <t xml:space="preserve"> </t>
    </r>
  </si>
  <si>
    <t>Run</t>
  </si>
  <si>
    <t>average diff</t>
  </si>
  <si>
    <t>absolute diff</t>
  </si>
  <si>
    <t>from row 46</t>
  </si>
  <si>
    <t xml:space="preserve">The set of all combinations of 2 investigator and 12 patient types for 2000 assignments 83, 83, 84 (250) were systematically  </t>
  </si>
  <si>
    <t>Pt Type</t>
  </si>
  <si>
    <t>assign</t>
  </si>
  <si>
    <t>Invest</t>
  </si>
  <si>
    <t># of pt</t>
  </si>
  <si>
    <t>got 94</t>
  </si>
  <si>
    <t>some how switched pt 5 and 6 for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</si>
</sst>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rgb="FF000000"/>
      <name val="Times"/>
    </font>
    <font>
      <sz val="20"/>
      <color rgb="FF000000"/>
      <name val="Times"/>
    </font>
    <font>
      <sz val="12"/>
      <color theme="1"/>
      <name val="Times"/>
    </font>
    <font>
      <sz val="12"/>
      <color rgb="FF000000"/>
      <name val="Calibri"/>
      <family val="2"/>
      <scheme val="minor"/>
    </font>
    <font>
      <u/>
      <sz val="12"/>
      <color theme="1"/>
      <name val="Calibri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325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Effect of</a:t>
            </a:r>
            <a:r>
              <a:rPr lang="en-US" sz="1600" b="1" i="0" baseline="0">
                <a:effectLst/>
              </a:rPr>
              <a:t> </a:t>
            </a:r>
            <a:r>
              <a:rPr lang="en-US" sz="1600" b="0" i="0" baseline="0">
                <a:effectLst/>
              </a:rPr>
              <a:t>Minimization on Patient Balance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Both Investigators favoring same pt type</a:t>
            </a:r>
            <a:endParaRPr lang="en-US" sz="16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Sum!$B$112</c:f>
              <c:strCache>
                <c:ptCount val="1"/>
                <c:pt idx="0">
                  <c:v>favored x+sd </c:v>
                </c:pt>
              </c:strCache>
            </c:strRef>
          </c:tx>
          <c:spPr>
            <a:ln w="47625">
              <a:noFill/>
            </a:ln>
          </c:spPr>
          <c:xVal>
            <c:numRef>
              <c:f>Sum!$A$113:$A$122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Sum!$B$113:$B$122</c:f>
              <c:numCache>
                <c:formatCode>0.00</c:formatCode>
                <c:ptCount val="10"/>
                <c:pt idx="0" formatCode="General">
                  <c:v>12.217419032378908</c:v>
                </c:pt>
                <c:pt idx="1">
                  <c:v>-7.8084255267026546</c:v>
                </c:pt>
                <c:pt idx="2">
                  <c:v>-6.3238093092692411</c:v>
                </c:pt>
                <c:pt idx="3">
                  <c:v>-4.8391930918358277</c:v>
                </c:pt>
                <c:pt idx="4">
                  <c:v>-1.6821600044165423</c:v>
                </c:pt>
                <c:pt idx="5">
                  <c:v>-0.32056180382498994</c:v>
                </c:pt>
                <c:pt idx="6">
                  <c:v>1.0410363967665623</c:v>
                </c:pt>
                <c:pt idx="7">
                  <c:v>2.2267323027662984</c:v>
                </c:pt>
                <c:pt idx="8">
                  <c:v>4.4074760982353247</c:v>
                </c:pt>
                <c:pt idx="9">
                  <c:v>6.588219893704351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823376"/>
        <c:axId val="348823768"/>
      </c:scatterChart>
      <c:valAx>
        <c:axId val="34882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baseline="0">
                    <a:effectLst/>
                  </a:rPr>
                  <a:t>Subcatories in common with favored Type</a:t>
                </a:r>
                <a:r>
                  <a:rPr lang="en-US" sz="1400" b="1" i="0" u="none" strike="noStrike" baseline="0"/>
                  <a:t> </a:t>
                </a:r>
                <a:endParaRPr lang="en-US" sz="1400" b="1" i="0" baseline="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n=2                     5                           4                            1  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15964435695538101"/>
              <c:y val="0.778703703703703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48823768"/>
        <c:crosses val="autoZero"/>
        <c:crossBetween val="midCat"/>
      </c:valAx>
      <c:valAx>
        <c:axId val="34882376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200"/>
                </a:pPr>
                <a:r>
                  <a:rPr lang="en-US" sz="1200"/>
                  <a:t>T 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882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Effect of</a:t>
            </a:r>
            <a:r>
              <a:rPr lang="en-US" sz="1600" b="1" i="0" baseline="0">
                <a:effectLst/>
              </a:rPr>
              <a:t> </a:t>
            </a:r>
            <a:r>
              <a:rPr lang="en-US" sz="1600" b="0" i="0" baseline="0">
                <a:effectLst/>
              </a:rPr>
              <a:t>Minimization on Patient Balance: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Both investigators favor same pt type of 12</a:t>
            </a:r>
            <a:endParaRPr lang="en-US" sz="1600">
              <a:effectLst/>
            </a:endParaRPr>
          </a:p>
        </c:rich>
      </c:tx>
      <c:layout>
        <c:manualLayout>
          <c:xMode val="edge"/>
          <c:yMode val="edge"/>
          <c:x val="0.14244794400699901"/>
          <c:y val="3.7037037037037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Sum!$B$112</c:f>
              <c:strCache>
                <c:ptCount val="1"/>
                <c:pt idx="0">
                  <c:v>favored x+sd </c:v>
                </c:pt>
              </c:strCache>
            </c:strRef>
          </c:tx>
          <c:spPr>
            <a:ln w="47625">
              <a:noFill/>
            </a:ln>
          </c:spPr>
          <c:xVal>
            <c:numRef>
              <c:f>Sum!$A$113:$A$122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Sum!$B$113:$B$122</c:f>
              <c:numCache>
                <c:formatCode>0.00</c:formatCode>
                <c:ptCount val="10"/>
                <c:pt idx="0" formatCode="General">
                  <c:v>12.217419032378908</c:v>
                </c:pt>
                <c:pt idx="1">
                  <c:v>-7.8084255267026546</c:v>
                </c:pt>
                <c:pt idx="2">
                  <c:v>-6.3238093092692411</c:v>
                </c:pt>
                <c:pt idx="3">
                  <c:v>-4.8391930918358277</c:v>
                </c:pt>
                <c:pt idx="4">
                  <c:v>-1.6821600044165423</c:v>
                </c:pt>
                <c:pt idx="5">
                  <c:v>-0.32056180382498994</c:v>
                </c:pt>
                <c:pt idx="6">
                  <c:v>1.0410363967665623</c:v>
                </c:pt>
                <c:pt idx="7">
                  <c:v>2.2267323027662984</c:v>
                </c:pt>
                <c:pt idx="8">
                  <c:v>4.4074760982353247</c:v>
                </c:pt>
                <c:pt idx="9">
                  <c:v>6.588219893704351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828864"/>
        <c:axId val="348830824"/>
      </c:scatterChart>
      <c:valAx>
        <c:axId val="34882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No. Subcatories in common with favored Type</a:t>
                </a: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n=2,5,4,1   mean </a:t>
                </a:r>
                <a:r>
                  <a:rPr lang="en-US" sz="1200" b="1" i="0" u="heavy" baseline="0">
                    <a:effectLst/>
                  </a:rPr>
                  <a:t>+</a:t>
                </a:r>
                <a:r>
                  <a:rPr lang="en-US" sz="1200" b="1" i="0" baseline="0">
                    <a:effectLst/>
                  </a:rPr>
                  <a:t>  s.d.</a:t>
                </a:r>
                <a:endParaRPr lang="en-US" sz="12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8830824"/>
        <c:crosses val="autoZero"/>
        <c:crossBetween val="midCat"/>
      </c:valAx>
      <c:valAx>
        <c:axId val="34883082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200"/>
                </a:pPr>
                <a:r>
                  <a:rPr lang="en-US" sz="1200"/>
                  <a:t>T 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882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Effect of</a:t>
            </a:r>
            <a:r>
              <a:rPr lang="en-US" sz="1600" b="1" i="0" baseline="0">
                <a:effectLst/>
              </a:rPr>
              <a:t> </a:t>
            </a:r>
            <a:r>
              <a:rPr lang="en-US" sz="1600" b="0" i="0" baseline="0">
                <a:effectLst/>
              </a:rPr>
              <a:t>Minimization on Patient Balance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Both Investigators favoring same pt type</a:t>
            </a:r>
            <a:endParaRPr lang="en-US" sz="16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Sum!$B$112</c:f>
              <c:strCache>
                <c:ptCount val="1"/>
                <c:pt idx="0">
                  <c:v>favored x+sd </c:v>
                </c:pt>
              </c:strCache>
            </c:strRef>
          </c:tx>
          <c:spPr>
            <a:ln w="47625">
              <a:noFill/>
            </a:ln>
          </c:spPr>
          <c:xVal>
            <c:numRef>
              <c:f>Sum!$A$113:$A$122</c:f>
              <c:numCache>
                <c:formatCode>General</c:formatCode>
                <c:ptCount val="10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Sum!$B$113:$B$122</c:f>
              <c:numCache>
                <c:formatCode>0.00</c:formatCode>
                <c:ptCount val="10"/>
                <c:pt idx="0" formatCode="General">
                  <c:v>12.217419032378908</c:v>
                </c:pt>
                <c:pt idx="1">
                  <c:v>-7.8084255267026546</c:v>
                </c:pt>
                <c:pt idx="2">
                  <c:v>-6.3238093092692411</c:v>
                </c:pt>
                <c:pt idx="3">
                  <c:v>-4.8391930918358277</c:v>
                </c:pt>
                <c:pt idx="4">
                  <c:v>-1.6821600044165423</c:v>
                </c:pt>
                <c:pt idx="5">
                  <c:v>-0.32056180382498994</c:v>
                </c:pt>
                <c:pt idx="6">
                  <c:v>1.0410363967665623</c:v>
                </c:pt>
                <c:pt idx="7">
                  <c:v>2.2267323027662984</c:v>
                </c:pt>
                <c:pt idx="8">
                  <c:v>4.4074760982353247</c:v>
                </c:pt>
                <c:pt idx="9">
                  <c:v>6.588219893704351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831608"/>
        <c:axId val="348829648"/>
      </c:scatterChart>
      <c:valAx>
        <c:axId val="348831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baseline="0">
                    <a:effectLst/>
                  </a:rPr>
                  <a:t>Subcatories in common with favored Type</a:t>
                </a:r>
                <a:r>
                  <a:rPr lang="en-US" sz="1400" b="1" i="0" u="none" strike="noStrike" baseline="0"/>
                  <a:t> </a:t>
                </a:r>
                <a:endParaRPr lang="en-US" sz="1400" b="1" i="0" baseline="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>
                    <a:effectLst/>
                  </a:rPr>
                  <a:t>n=2                     5                           4                            1  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15964435695538101"/>
              <c:y val="0.7787037037037030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48829648"/>
        <c:crosses val="autoZero"/>
        <c:crossBetween val="midCat"/>
      </c:valAx>
      <c:valAx>
        <c:axId val="34882964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200"/>
                </a:pPr>
                <a:r>
                  <a:rPr lang="en-US" sz="1200"/>
                  <a:t>T values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8831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124</xdr:row>
      <xdr:rowOff>82550</xdr:rowOff>
    </xdr:from>
    <xdr:to>
      <xdr:col>5</xdr:col>
      <xdr:colOff>495300</xdr:colOff>
      <xdr:row>138</xdr:row>
      <xdr:rowOff>82550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444500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444500</xdr:colOff>
      <xdr:row>16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6"/>
  <sheetViews>
    <sheetView workbookViewId="0">
      <selection activeCell="L17" sqref="L17"/>
    </sheetView>
  </sheetViews>
  <sheetFormatPr baseColWidth="10" defaultRowHeight="15.75" x14ac:dyDescent="0.5"/>
  <sheetData>
    <row r="1" spans="1:13" x14ac:dyDescent="0.5">
      <c r="A1" t="s">
        <v>0</v>
      </c>
      <c r="L1" t="s">
        <v>375</v>
      </c>
    </row>
    <row r="2" spans="1:13" x14ac:dyDescent="0.5">
      <c r="A2" t="s">
        <v>1</v>
      </c>
      <c r="L2">
        <v>1</v>
      </c>
      <c r="M2">
        <v>166</v>
      </c>
    </row>
    <row r="3" spans="1:13" x14ac:dyDescent="0.5">
      <c r="A3" t="s">
        <v>2</v>
      </c>
      <c r="L3">
        <v>2</v>
      </c>
      <c r="M3">
        <v>166</v>
      </c>
    </row>
    <row r="4" spans="1:13" x14ac:dyDescent="0.5">
      <c r="A4" t="s">
        <v>3</v>
      </c>
      <c r="L4">
        <v>3</v>
      </c>
      <c r="M4">
        <v>168</v>
      </c>
    </row>
    <row r="5" spans="1:13" x14ac:dyDescent="0.5">
      <c r="A5" t="s">
        <v>4</v>
      </c>
      <c r="L5">
        <v>4</v>
      </c>
      <c r="M5">
        <v>166</v>
      </c>
    </row>
    <row r="6" spans="1:13" x14ac:dyDescent="0.5">
      <c r="A6" t="s">
        <v>5</v>
      </c>
      <c r="L6">
        <v>5</v>
      </c>
      <c r="M6">
        <v>168</v>
      </c>
    </row>
    <row r="7" spans="1:13" x14ac:dyDescent="0.5">
      <c r="A7" t="s">
        <v>6</v>
      </c>
      <c r="L7">
        <v>6</v>
      </c>
      <c r="M7">
        <v>166</v>
      </c>
    </row>
    <row r="8" spans="1:13" x14ac:dyDescent="0.5">
      <c r="A8" t="s">
        <v>334</v>
      </c>
      <c r="L8">
        <v>7</v>
      </c>
      <c r="M8">
        <v>166</v>
      </c>
    </row>
    <row r="9" spans="1:13" x14ac:dyDescent="0.5">
      <c r="A9" t="s">
        <v>335</v>
      </c>
      <c r="L9">
        <v>8</v>
      </c>
      <c r="M9">
        <v>166</v>
      </c>
    </row>
    <row r="10" spans="1:13" x14ac:dyDescent="0.5">
      <c r="L10">
        <v>9</v>
      </c>
      <c r="M10">
        <v>168</v>
      </c>
    </row>
    <row r="11" spans="1:13" x14ac:dyDescent="0.5">
      <c r="A11" t="s">
        <v>374</v>
      </c>
      <c r="L11">
        <v>10</v>
      </c>
      <c r="M11">
        <v>166</v>
      </c>
    </row>
    <row r="12" spans="1:13" x14ac:dyDescent="0.5">
      <c r="L12">
        <v>11</v>
      </c>
      <c r="M12">
        <v>166</v>
      </c>
    </row>
    <row r="13" spans="1:13" x14ac:dyDescent="0.5">
      <c r="L13">
        <v>12</v>
      </c>
      <c r="M13">
        <v>168</v>
      </c>
    </row>
    <row r="14" spans="1:13" x14ac:dyDescent="0.5">
      <c r="M14">
        <f>SUM(M2:M13)</f>
        <v>2000</v>
      </c>
    </row>
    <row r="16" spans="1:13" x14ac:dyDescent="0.5">
      <c r="L16" t="s">
        <v>380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1:22" ht="25.15" x14ac:dyDescent="0.7">
      <c r="A1" t="s">
        <v>0</v>
      </c>
      <c r="D1" s="1" t="s">
        <v>7</v>
      </c>
      <c r="R1" t="s">
        <v>379</v>
      </c>
      <c r="S1" t="s">
        <v>377</v>
      </c>
      <c r="T1" t="s">
        <v>342</v>
      </c>
      <c r="U1" t="s">
        <v>378</v>
      </c>
      <c r="V1" t="s">
        <v>376</v>
      </c>
    </row>
    <row r="2" spans="1:22" ht="17.649999999999999" x14ac:dyDescent="0.5">
      <c r="A2" t="s">
        <v>1</v>
      </c>
      <c r="D2" s="2" t="s">
        <v>8</v>
      </c>
      <c r="E2" s="2" t="s">
        <v>9</v>
      </c>
      <c r="F2" s="2" t="s">
        <v>10</v>
      </c>
      <c r="Q2">
        <v>1</v>
      </c>
      <c r="S2">
        <v>1</v>
      </c>
      <c r="T2">
        <v>1</v>
      </c>
      <c r="U2">
        <f>84-1</f>
        <v>83</v>
      </c>
      <c r="V2" s="3" t="s">
        <v>84</v>
      </c>
    </row>
    <row r="3" spans="1:22" ht="17.649999999999999" x14ac:dyDescent="0.5">
      <c r="A3" t="s">
        <v>2</v>
      </c>
      <c r="D3" s="2" t="s">
        <v>341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  <c r="S3">
        <v>2</v>
      </c>
      <c r="T3">
        <v>1</v>
      </c>
      <c r="U3">
        <f>1084-1001</f>
        <v>83</v>
      </c>
      <c r="V3" s="3" t="s">
        <v>81</v>
      </c>
    </row>
    <row r="4" spans="1:22" ht="17.649999999999999" x14ac:dyDescent="0.5">
      <c r="A4" t="s">
        <v>3</v>
      </c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1</v>
      </c>
      <c r="J4" s="2">
        <v>0</v>
      </c>
      <c r="Q4">
        <v>2</v>
      </c>
      <c r="S4">
        <v>1</v>
      </c>
      <c r="T4">
        <v>2</v>
      </c>
      <c r="U4">
        <f>417-334</f>
        <v>83</v>
      </c>
      <c r="V4" s="3" t="s">
        <v>87</v>
      </c>
    </row>
    <row r="5" spans="1:22" ht="17.649999999999999" x14ac:dyDescent="0.5">
      <c r="A5" t="s">
        <v>4</v>
      </c>
      <c r="D5" s="3"/>
      <c r="S5">
        <v>2</v>
      </c>
      <c r="T5">
        <v>2</v>
      </c>
      <c r="U5">
        <f>1417-1334</f>
        <v>83</v>
      </c>
      <c r="V5" s="3" t="s">
        <v>57</v>
      </c>
    </row>
    <row r="6" spans="1:22" ht="17.649999999999999" x14ac:dyDescent="0.5">
      <c r="A6" t="s">
        <v>5</v>
      </c>
      <c r="D6" s="3" t="s">
        <v>18</v>
      </c>
      <c r="R6">
        <v>3</v>
      </c>
      <c r="S6">
        <v>1</v>
      </c>
      <c r="T6">
        <v>3</v>
      </c>
      <c r="U6">
        <f>501-417</f>
        <v>84</v>
      </c>
      <c r="V6" s="3" t="s">
        <v>77</v>
      </c>
    </row>
    <row r="7" spans="1:22" ht="17.649999999999999" x14ac:dyDescent="0.5">
      <c r="A7" t="s">
        <v>6</v>
      </c>
      <c r="D7" s="3" t="s">
        <v>19</v>
      </c>
      <c r="S7">
        <v>2</v>
      </c>
      <c r="T7">
        <v>3</v>
      </c>
      <c r="U7">
        <f>1501-1417</f>
        <v>84</v>
      </c>
      <c r="V7" s="3" t="s">
        <v>64</v>
      </c>
    </row>
    <row r="8" spans="1:22" ht="17.649999999999999" x14ac:dyDescent="0.5">
      <c r="D8" s="3" t="s">
        <v>20</v>
      </c>
      <c r="Q8">
        <v>4</v>
      </c>
      <c r="S8">
        <v>1</v>
      </c>
      <c r="T8">
        <v>4</v>
      </c>
      <c r="U8">
        <f>584-501</f>
        <v>83</v>
      </c>
      <c r="V8" s="3" t="s">
        <v>49</v>
      </c>
    </row>
    <row r="9" spans="1:22" ht="17.649999999999999" x14ac:dyDescent="0.5">
      <c r="S9">
        <v>2</v>
      </c>
      <c r="T9">
        <v>4</v>
      </c>
      <c r="U9">
        <f>1584-1501</f>
        <v>83</v>
      </c>
      <c r="V9" s="3" t="s">
        <v>54</v>
      </c>
    </row>
    <row r="10" spans="1:22" ht="25.15" x14ac:dyDescent="0.7">
      <c r="D10" s="1" t="s">
        <v>21</v>
      </c>
      <c r="R10">
        <v>5</v>
      </c>
      <c r="S10">
        <v>1</v>
      </c>
      <c r="T10">
        <v>5</v>
      </c>
      <c r="U10">
        <f>668-584</f>
        <v>84</v>
      </c>
      <c r="V10" s="3" t="s">
        <v>80</v>
      </c>
    </row>
    <row r="11" spans="1:22" ht="17.649999999999999" x14ac:dyDescent="0.5">
      <c r="D11" s="2" t="s">
        <v>8</v>
      </c>
      <c r="E11" s="2" t="s">
        <v>9</v>
      </c>
      <c r="F11" s="2" t="s">
        <v>10</v>
      </c>
      <c r="S11">
        <v>2</v>
      </c>
      <c r="T11">
        <v>5</v>
      </c>
      <c r="U11">
        <f>1668-1584</f>
        <v>84</v>
      </c>
      <c r="V11" s="3" t="s">
        <v>107</v>
      </c>
    </row>
    <row r="12" spans="1:22" ht="17.649999999999999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  <c r="Q12">
        <v>6</v>
      </c>
      <c r="S12">
        <v>1</v>
      </c>
      <c r="T12">
        <v>6</v>
      </c>
      <c r="U12">
        <f>751-668</f>
        <v>83</v>
      </c>
      <c r="V12" s="3" t="s">
        <v>105</v>
      </c>
    </row>
    <row r="13" spans="1:22" ht="17.649999999999999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  <c r="S13">
        <v>2</v>
      </c>
      <c r="T13">
        <v>6</v>
      </c>
      <c r="U13">
        <f>1751-1668</f>
        <v>83</v>
      </c>
      <c r="V13" s="3" t="s">
        <v>59</v>
      </c>
    </row>
    <row r="14" spans="1:22" ht="17.649999999999999" x14ac:dyDescent="0.5">
      <c r="D14" s="3"/>
      <c r="Q14">
        <v>7</v>
      </c>
      <c r="S14">
        <v>1</v>
      </c>
      <c r="T14">
        <v>7</v>
      </c>
      <c r="U14">
        <f>834-751</f>
        <v>83</v>
      </c>
      <c r="V14" s="3" t="s">
        <v>52</v>
      </c>
    </row>
    <row r="15" spans="1:22" ht="17.649999999999999" x14ac:dyDescent="0.5">
      <c r="D15" s="2" t="s">
        <v>22</v>
      </c>
      <c r="S15">
        <v>2</v>
      </c>
      <c r="T15">
        <v>7</v>
      </c>
      <c r="U15">
        <f>1834-1751</f>
        <v>83</v>
      </c>
      <c r="V15" s="3" t="s">
        <v>56</v>
      </c>
    </row>
    <row r="16" spans="1:22" ht="17.649999999999999" x14ac:dyDescent="0.5">
      <c r="D16" s="2">
        <v>1000</v>
      </c>
      <c r="Q16">
        <v>8</v>
      </c>
      <c r="S16">
        <v>1</v>
      </c>
      <c r="T16">
        <v>8</v>
      </c>
      <c r="U16">
        <f>917-834</f>
        <v>83</v>
      </c>
      <c r="V16" s="3" t="s">
        <v>43</v>
      </c>
    </row>
    <row r="17" spans="4:22" ht="17.649999999999999" x14ac:dyDescent="0.5">
      <c r="D17" s="3"/>
      <c r="S17">
        <v>2</v>
      </c>
      <c r="T17">
        <v>8</v>
      </c>
      <c r="U17">
        <f>1917-1834</f>
        <v>83</v>
      </c>
      <c r="V17" s="3" t="s">
        <v>69</v>
      </c>
    </row>
    <row r="18" spans="4:22" ht="17.649999999999999" x14ac:dyDescent="0.5">
      <c r="D18" s="3"/>
      <c r="R18">
        <v>9</v>
      </c>
      <c r="S18">
        <v>1</v>
      </c>
      <c r="T18">
        <v>9</v>
      </c>
      <c r="U18">
        <f>1001-917</f>
        <v>84</v>
      </c>
      <c r="V18" s="3" t="s">
        <v>98</v>
      </c>
    </row>
    <row r="19" spans="4:22" ht="17.649999999999999" x14ac:dyDescent="0.5">
      <c r="S19">
        <v>2</v>
      </c>
      <c r="T19">
        <v>9</v>
      </c>
      <c r="U19">
        <f>2001-1917</f>
        <v>84</v>
      </c>
      <c r="V19" s="3" t="s">
        <v>75</v>
      </c>
    </row>
    <row r="20" spans="4:22" ht="25.15" x14ac:dyDescent="0.7">
      <c r="D20" s="1" t="s">
        <v>23</v>
      </c>
      <c r="Q20">
        <v>10</v>
      </c>
      <c r="S20">
        <v>1</v>
      </c>
      <c r="T20">
        <v>10</v>
      </c>
      <c r="U20">
        <f>167-84</f>
        <v>83</v>
      </c>
      <c r="V20" s="3" t="s">
        <v>91</v>
      </c>
    </row>
    <row r="21" spans="4:22" ht="17.649999999999999" x14ac:dyDescent="0.5">
      <c r="D21" s="2" t="s">
        <v>8</v>
      </c>
      <c r="E21" s="2" t="s">
        <v>9</v>
      </c>
      <c r="F21" s="2" t="s">
        <v>10</v>
      </c>
      <c r="S21">
        <v>2</v>
      </c>
      <c r="T21">
        <v>10</v>
      </c>
      <c r="U21">
        <f>1167-1084</f>
        <v>83</v>
      </c>
      <c r="V21" s="3" t="s">
        <v>74</v>
      </c>
    </row>
    <row r="22" spans="4:22" ht="17.649999999999999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  <c r="Q22">
        <v>11</v>
      </c>
      <c r="S22">
        <v>1</v>
      </c>
      <c r="T22">
        <v>11</v>
      </c>
      <c r="U22">
        <f>250-167</f>
        <v>83</v>
      </c>
      <c r="V22" s="3" t="s">
        <v>85</v>
      </c>
    </row>
    <row r="23" spans="4:22" ht="17.649999999999999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  <c r="S23">
        <v>2</v>
      </c>
      <c r="T23">
        <v>11</v>
      </c>
      <c r="U23">
        <f>1250-1167</f>
        <v>83</v>
      </c>
      <c r="V23" s="3" t="s">
        <v>66</v>
      </c>
    </row>
    <row r="24" spans="4:22" ht="17.649999999999999" x14ac:dyDescent="0.5">
      <c r="D24" s="3"/>
      <c r="R24">
        <v>12</v>
      </c>
      <c r="S24">
        <v>1</v>
      </c>
      <c r="T24">
        <v>12</v>
      </c>
      <c r="U24">
        <f>334-250</f>
        <v>84</v>
      </c>
      <c r="V24" s="3" t="s">
        <v>103</v>
      </c>
    </row>
    <row r="25" spans="4:22" ht="17.649999999999999" x14ac:dyDescent="0.5">
      <c r="D25" s="2" t="s">
        <v>22</v>
      </c>
      <c r="S25">
        <v>2</v>
      </c>
      <c r="T25">
        <v>12</v>
      </c>
      <c r="U25">
        <f>1334-1250</f>
        <v>84</v>
      </c>
      <c r="V25" s="3" t="s">
        <v>47</v>
      </c>
    </row>
    <row r="26" spans="4:22" ht="17.649999999999999" x14ac:dyDescent="0.5">
      <c r="D26" s="2">
        <v>1000</v>
      </c>
      <c r="S26">
        <v>1</v>
      </c>
      <c r="T26">
        <v>1</v>
      </c>
      <c r="V26" s="3" t="s">
        <v>128</v>
      </c>
    </row>
    <row r="27" spans="4:22" ht="17.649999999999999" x14ac:dyDescent="0.5">
      <c r="D27" s="3" t="s">
        <v>24</v>
      </c>
      <c r="S27">
        <v>1</v>
      </c>
      <c r="T27">
        <v>1</v>
      </c>
      <c r="V27" s="3" t="s">
        <v>128</v>
      </c>
    </row>
    <row r="28" spans="4:22" ht="17.649999999999999" x14ac:dyDescent="0.5">
      <c r="D28" s="2" t="s">
        <v>25</v>
      </c>
      <c r="S28">
        <v>1</v>
      </c>
      <c r="T28">
        <v>1</v>
      </c>
      <c r="V28" s="3" t="s">
        <v>128</v>
      </c>
    </row>
    <row r="29" spans="4:22" ht="17.649999999999999" x14ac:dyDescent="0.5">
      <c r="D29" s="2"/>
      <c r="E29" s="2" t="s">
        <v>26</v>
      </c>
      <c r="S29">
        <v>1</v>
      </c>
      <c r="T29">
        <v>1</v>
      </c>
      <c r="V29" s="3" t="s">
        <v>128</v>
      </c>
    </row>
    <row r="30" spans="4:22" ht="17.649999999999999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  <c r="S30">
        <v>1</v>
      </c>
      <c r="T30">
        <v>1</v>
      </c>
      <c r="V30" s="3" t="s">
        <v>128</v>
      </c>
    </row>
    <row r="31" spans="4:22" ht="17.649999999999999" x14ac:dyDescent="0.5">
      <c r="D31" s="2">
        <v>1</v>
      </c>
      <c r="E31" s="2">
        <v>46</v>
      </c>
      <c r="F31" s="2">
        <v>43</v>
      </c>
      <c r="G31" s="2">
        <v>43</v>
      </c>
      <c r="H31" s="2">
        <v>38</v>
      </c>
      <c r="I31" s="2">
        <v>40</v>
      </c>
      <c r="J31" s="2">
        <v>42</v>
      </c>
      <c r="K31" s="2">
        <v>51</v>
      </c>
      <c r="L31" s="2">
        <v>32</v>
      </c>
      <c r="M31" s="2">
        <v>41</v>
      </c>
      <c r="N31" s="2">
        <v>44</v>
      </c>
      <c r="O31" s="2">
        <v>34</v>
      </c>
      <c r="P31" s="2">
        <v>47</v>
      </c>
      <c r="S31">
        <v>1</v>
      </c>
      <c r="T31">
        <v>1</v>
      </c>
      <c r="V31" s="3" t="s">
        <v>128</v>
      </c>
    </row>
    <row r="32" spans="4:22" ht="17.649999999999999" x14ac:dyDescent="0.5">
      <c r="D32" s="2">
        <v>2</v>
      </c>
      <c r="E32" s="2">
        <v>43</v>
      </c>
      <c r="F32" s="2">
        <v>41</v>
      </c>
      <c r="G32" s="2">
        <v>37</v>
      </c>
      <c r="H32" s="2">
        <v>42</v>
      </c>
      <c r="I32" s="2">
        <v>42</v>
      </c>
      <c r="J32" s="2">
        <v>43</v>
      </c>
      <c r="K32" s="2">
        <v>36</v>
      </c>
      <c r="L32" s="2">
        <v>40</v>
      </c>
      <c r="M32" s="2">
        <v>40</v>
      </c>
      <c r="N32" s="2">
        <v>49</v>
      </c>
      <c r="O32" s="2">
        <v>47</v>
      </c>
      <c r="P32" s="2">
        <v>39</v>
      </c>
      <c r="S32">
        <v>1</v>
      </c>
      <c r="T32">
        <v>1</v>
      </c>
      <c r="V32" s="3" t="s">
        <v>128</v>
      </c>
    </row>
    <row r="33" spans="4:22" ht="17.649999999999999" x14ac:dyDescent="0.5">
      <c r="D33" s="3"/>
      <c r="S33">
        <v>1</v>
      </c>
      <c r="T33">
        <v>1</v>
      </c>
      <c r="V33" s="3" t="s">
        <v>128</v>
      </c>
    </row>
    <row r="34" spans="4:22" ht="17.649999999999999" x14ac:dyDescent="0.5">
      <c r="D34" s="2" t="s">
        <v>28</v>
      </c>
      <c r="S34">
        <v>1</v>
      </c>
      <c r="T34">
        <v>1</v>
      </c>
      <c r="V34" s="3" t="s">
        <v>128</v>
      </c>
    </row>
    <row r="35" spans="4:22" ht="17.649999999999999" x14ac:dyDescent="0.5">
      <c r="D35" s="2"/>
      <c r="E35" s="2" t="s">
        <v>26</v>
      </c>
      <c r="S35">
        <v>1</v>
      </c>
      <c r="T35">
        <v>1</v>
      </c>
      <c r="V35" s="3" t="s">
        <v>128</v>
      </c>
    </row>
    <row r="36" spans="4:22" ht="17.649999999999999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  <c r="S36">
        <v>1</v>
      </c>
      <c r="T36">
        <v>1</v>
      </c>
      <c r="V36" s="3" t="s">
        <v>125</v>
      </c>
    </row>
    <row r="37" spans="4:22" ht="17.649999999999999" x14ac:dyDescent="0.5">
      <c r="D37" s="2">
        <v>1</v>
      </c>
      <c r="E37" s="2">
        <v>37</v>
      </c>
      <c r="F37" s="2">
        <v>40</v>
      </c>
      <c r="G37" s="2">
        <v>41</v>
      </c>
      <c r="H37" s="2">
        <v>45</v>
      </c>
      <c r="I37" s="2">
        <v>44</v>
      </c>
      <c r="J37" s="2">
        <v>41</v>
      </c>
      <c r="K37" s="2">
        <v>32</v>
      </c>
      <c r="L37" s="2">
        <v>51</v>
      </c>
      <c r="M37" s="2">
        <v>43</v>
      </c>
      <c r="N37" s="2">
        <v>39</v>
      </c>
      <c r="O37" s="2">
        <v>49</v>
      </c>
      <c r="P37" s="2">
        <v>37</v>
      </c>
      <c r="S37">
        <v>1</v>
      </c>
      <c r="T37">
        <v>1</v>
      </c>
      <c r="V37" s="3" t="s">
        <v>125</v>
      </c>
    </row>
    <row r="38" spans="4:22" ht="17.649999999999999" x14ac:dyDescent="0.5">
      <c r="D38" s="2">
        <v>2</v>
      </c>
      <c r="E38" s="2">
        <v>40</v>
      </c>
      <c r="F38" s="2">
        <v>42</v>
      </c>
      <c r="G38" s="2">
        <v>47</v>
      </c>
      <c r="H38" s="2">
        <v>41</v>
      </c>
      <c r="I38" s="2">
        <v>42</v>
      </c>
      <c r="J38" s="2">
        <v>40</v>
      </c>
      <c r="K38" s="2">
        <v>47</v>
      </c>
      <c r="L38" s="2">
        <v>43</v>
      </c>
      <c r="M38" s="2">
        <v>44</v>
      </c>
      <c r="N38" s="2">
        <v>34</v>
      </c>
      <c r="O38" s="2">
        <v>36</v>
      </c>
      <c r="P38" s="2">
        <v>45</v>
      </c>
      <c r="S38">
        <v>1</v>
      </c>
      <c r="T38">
        <v>1</v>
      </c>
      <c r="V38" s="3" t="s">
        <v>125</v>
      </c>
    </row>
    <row r="39" spans="4:22" ht="17.649999999999999" x14ac:dyDescent="0.5">
      <c r="D39" s="3" t="s">
        <v>137</v>
      </c>
      <c r="E39">
        <f t="shared" ref="E39:P39" si="0">E31-E37</f>
        <v>9</v>
      </c>
      <c r="F39">
        <f t="shared" si="0"/>
        <v>3</v>
      </c>
      <c r="G39">
        <f t="shared" si="0"/>
        <v>2</v>
      </c>
      <c r="H39">
        <f t="shared" si="0"/>
        <v>-7</v>
      </c>
      <c r="I39">
        <f t="shared" si="0"/>
        <v>-4</v>
      </c>
      <c r="J39">
        <f t="shared" si="0"/>
        <v>1</v>
      </c>
      <c r="K39">
        <f t="shared" si="0"/>
        <v>19</v>
      </c>
      <c r="L39">
        <f t="shared" si="0"/>
        <v>-19</v>
      </c>
      <c r="M39">
        <f t="shared" si="0"/>
        <v>-2</v>
      </c>
      <c r="N39">
        <f t="shared" si="0"/>
        <v>5</v>
      </c>
      <c r="O39">
        <f t="shared" si="0"/>
        <v>-15</v>
      </c>
      <c r="P39">
        <f t="shared" si="0"/>
        <v>10</v>
      </c>
      <c r="S39">
        <v>1</v>
      </c>
      <c r="T39">
        <v>1</v>
      </c>
      <c r="V39" s="3" t="s">
        <v>125</v>
      </c>
    </row>
    <row r="40" spans="4:22" ht="17.649999999999999" x14ac:dyDescent="0.5">
      <c r="D40" s="3" t="s">
        <v>138</v>
      </c>
      <c r="E40">
        <f t="shared" ref="E40:P40" si="1">E32-E38</f>
        <v>3</v>
      </c>
      <c r="F40">
        <f t="shared" si="1"/>
        <v>-1</v>
      </c>
      <c r="G40">
        <f t="shared" si="1"/>
        <v>-10</v>
      </c>
      <c r="H40">
        <f t="shared" si="1"/>
        <v>1</v>
      </c>
      <c r="I40">
        <f t="shared" si="1"/>
        <v>0</v>
      </c>
      <c r="J40">
        <f t="shared" si="1"/>
        <v>3</v>
      </c>
      <c r="K40">
        <f t="shared" si="1"/>
        <v>-11</v>
      </c>
      <c r="L40">
        <f t="shared" si="1"/>
        <v>-3</v>
      </c>
      <c r="M40">
        <f t="shared" si="1"/>
        <v>-4</v>
      </c>
      <c r="N40">
        <f t="shared" si="1"/>
        <v>15</v>
      </c>
      <c r="O40">
        <f t="shared" si="1"/>
        <v>11</v>
      </c>
      <c r="P40">
        <f t="shared" si="1"/>
        <v>-6</v>
      </c>
      <c r="S40">
        <v>1</v>
      </c>
      <c r="T40">
        <v>1</v>
      </c>
      <c r="V40" s="3" t="s">
        <v>125</v>
      </c>
    </row>
    <row r="41" spans="4:22" ht="17.649999999999999" x14ac:dyDescent="0.5">
      <c r="D41" s="2" t="s">
        <v>29</v>
      </c>
      <c r="S41">
        <v>1</v>
      </c>
      <c r="T41">
        <v>1</v>
      </c>
      <c r="V41" s="3" t="s">
        <v>125</v>
      </c>
    </row>
    <row r="42" spans="4:22" ht="17.649999999999999" x14ac:dyDescent="0.5">
      <c r="D42" s="2"/>
      <c r="E42" s="2" t="s">
        <v>26</v>
      </c>
      <c r="S42">
        <v>1</v>
      </c>
      <c r="T42">
        <v>1</v>
      </c>
      <c r="V42" s="3" t="s">
        <v>125</v>
      </c>
    </row>
    <row r="43" spans="4:22" ht="17.649999999999999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  <c r="S43">
        <v>1</v>
      </c>
      <c r="T43">
        <v>1</v>
      </c>
      <c r="V43" s="3" t="s">
        <v>125</v>
      </c>
    </row>
    <row r="44" spans="4:22" ht="17.649999999999999" x14ac:dyDescent="0.5">
      <c r="D44" s="2" t="s">
        <v>25</v>
      </c>
      <c r="E44" s="2">
        <v>89</v>
      </c>
      <c r="F44" s="2">
        <v>84</v>
      </c>
      <c r="G44" s="2">
        <v>80</v>
      </c>
      <c r="H44" s="2">
        <v>80</v>
      </c>
      <c r="I44" s="2">
        <v>82</v>
      </c>
      <c r="J44" s="2">
        <v>85</v>
      </c>
      <c r="K44" s="2">
        <v>87</v>
      </c>
      <c r="L44" s="2">
        <v>72</v>
      </c>
      <c r="M44" s="2">
        <v>81</v>
      </c>
      <c r="N44" s="2">
        <v>93</v>
      </c>
      <c r="O44" s="2">
        <v>81</v>
      </c>
      <c r="P44" s="2">
        <v>86</v>
      </c>
      <c r="S44">
        <v>1</v>
      </c>
      <c r="T44">
        <v>1</v>
      </c>
      <c r="V44" s="3" t="s">
        <v>125</v>
      </c>
    </row>
    <row r="45" spans="4:22" ht="17.649999999999999" x14ac:dyDescent="0.5">
      <c r="D45" s="2" t="s">
        <v>28</v>
      </c>
      <c r="E45" s="2">
        <v>77</v>
      </c>
      <c r="F45" s="2">
        <v>82</v>
      </c>
      <c r="G45" s="2">
        <v>88</v>
      </c>
      <c r="H45" s="2">
        <v>86</v>
      </c>
      <c r="I45" s="2">
        <v>86</v>
      </c>
      <c r="J45" s="2">
        <v>81</v>
      </c>
      <c r="K45" s="2">
        <v>79</v>
      </c>
      <c r="L45" s="2">
        <v>94</v>
      </c>
      <c r="M45" s="2">
        <v>87</v>
      </c>
      <c r="N45" s="2">
        <v>73</v>
      </c>
      <c r="O45" s="2">
        <v>85</v>
      </c>
      <c r="P45" s="2">
        <v>82</v>
      </c>
      <c r="S45">
        <v>1</v>
      </c>
      <c r="T45">
        <v>1</v>
      </c>
      <c r="V45" s="3" t="s">
        <v>92</v>
      </c>
    </row>
    <row r="46" spans="4:22" ht="17.649999999999999" x14ac:dyDescent="0.5">
      <c r="D46" s="2" t="s">
        <v>30</v>
      </c>
      <c r="E46" s="2">
        <v>12</v>
      </c>
      <c r="F46" s="2">
        <v>2</v>
      </c>
      <c r="G46" s="2">
        <v>-8</v>
      </c>
      <c r="H46" s="2">
        <v>-6</v>
      </c>
      <c r="I46" s="2">
        <v>-4</v>
      </c>
      <c r="J46" s="2">
        <v>4</v>
      </c>
      <c r="K46" s="2">
        <v>8</v>
      </c>
      <c r="L46" s="2">
        <v>-22</v>
      </c>
      <c r="M46" s="2">
        <v>-6</v>
      </c>
      <c r="N46" s="2">
        <v>20</v>
      </c>
      <c r="O46" s="2">
        <v>-4</v>
      </c>
      <c r="P46" s="2">
        <v>4</v>
      </c>
      <c r="S46">
        <v>1</v>
      </c>
      <c r="T46">
        <v>1</v>
      </c>
      <c r="V46" s="3" t="s">
        <v>92</v>
      </c>
    </row>
    <row r="47" spans="4:22" ht="17.649999999999999" x14ac:dyDescent="0.5">
      <c r="D47" s="3"/>
      <c r="S47">
        <v>1</v>
      </c>
      <c r="T47">
        <v>1</v>
      </c>
      <c r="V47" s="3" t="s">
        <v>92</v>
      </c>
    </row>
    <row r="48" spans="4:22" ht="17.649999999999999" x14ac:dyDescent="0.5">
      <c r="D48" s="2" t="s">
        <v>31</v>
      </c>
      <c r="S48">
        <v>1</v>
      </c>
      <c r="T48">
        <v>1</v>
      </c>
      <c r="V48" s="3" t="s">
        <v>92</v>
      </c>
    </row>
    <row r="49" spans="4:22" ht="17.649999999999999" x14ac:dyDescent="0.5">
      <c r="D49" s="2"/>
      <c r="E49" s="2" t="s">
        <v>32</v>
      </c>
      <c r="S49">
        <v>1</v>
      </c>
      <c r="T49">
        <v>1</v>
      </c>
      <c r="V49" s="3" t="s">
        <v>92</v>
      </c>
    </row>
    <row r="50" spans="4:22" ht="17.649999999999999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  <c r="S50">
        <v>1</v>
      </c>
      <c r="T50">
        <v>1</v>
      </c>
      <c r="V50" s="3" t="s">
        <v>92</v>
      </c>
    </row>
    <row r="51" spans="4:22" ht="17.649999999999999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  <c r="S51">
        <v>1</v>
      </c>
      <c r="T51">
        <v>1</v>
      </c>
      <c r="V51" s="3" t="s">
        <v>92</v>
      </c>
    </row>
    <row r="52" spans="4:22" ht="17.649999999999999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  <c r="S52">
        <v>1</v>
      </c>
      <c r="T52">
        <v>1</v>
      </c>
      <c r="V52" s="3" t="s">
        <v>92</v>
      </c>
    </row>
    <row r="53" spans="4:22" ht="17.649999999999999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  <c r="S53">
        <v>1</v>
      </c>
      <c r="T53">
        <v>1</v>
      </c>
      <c r="V53" s="3" t="s">
        <v>92</v>
      </c>
    </row>
    <row r="54" spans="4:22" ht="17.649999999999999" x14ac:dyDescent="0.5">
      <c r="D54" s="3"/>
      <c r="S54">
        <v>1</v>
      </c>
      <c r="T54">
        <v>1</v>
      </c>
      <c r="V54" s="3" t="s">
        <v>92</v>
      </c>
    </row>
    <row r="55" spans="4:22" ht="17.649999999999999" x14ac:dyDescent="0.5">
      <c r="S55">
        <v>1</v>
      </c>
      <c r="T55">
        <v>1</v>
      </c>
      <c r="V55" s="3" t="s">
        <v>92</v>
      </c>
    </row>
    <row r="56" spans="4:22" ht="17.649999999999999" x14ac:dyDescent="0.5">
      <c r="D56" s="2" t="s">
        <v>36</v>
      </c>
      <c r="E56" s="2">
        <v>4</v>
      </c>
      <c r="F56" s="2">
        <v>99</v>
      </c>
      <c r="G56" s="2">
        <v>485</v>
      </c>
      <c r="H56" s="2">
        <v>793</v>
      </c>
      <c r="I56" s="2">
        <v>507</v>
      </c>
      <c r="J56" s="2">
        <v>108</v>
      </c>
      <c r="K56" s="2">
        <v>4</v>
      </c>
      <c r="S56">
        <v>1</v>
      </c>
      <c r="T56">
        <v>1</v>
      </c>
      <c r="V56" s="3" t="s">
        <v>92</v>
      </c>
    </row>
    <row r="57" spans="4:22" ht="17.649999999999999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  <c r="S57">
        <v>1</v>
      </c>
      <c r="T57">
        <v>1</v>
      </c>
      <c r="V57" s="3" t="s">
        <v>92</v>
      </c>
    </row>
    <row r="58" spans="4:22" ht="17.649999999999999" x14ac:dyDescent="0.5">
      <c r="S58">
        <v>1</v>
      </c>
      <c r="T58">
        <v>1</v>
      </c>
      <c r="V58" s="3" t="s">
        <v>92</v>
      </c>
    </row>
    <row r="59" spans="4:22" ht="25.15" x14ac:dyDescent="0.7">
      <c r="D59" s="1" t="s">
        <v>38</v>
      </c>
      <c r="S59">
        <v>1</v>
      </c>
      <c r="T59">
        <v>1</v>
      </c>
      <c r="V59" s="3" t="s">
        <v>92</v>
      </c>
    </row>
    <row r="60" spans="4:22" ht="17.649999999999999" x14ac:dyDescent="0.5">
      <c r="D60" s="3" t="s">
        <v>39</v>
      </c>
      <c r="S60">
        <v>1</v>
      </c>
      <c r="T60">
        <v>1</v>
      </c>
      <c r="V60" s="3" t="s">
        <v>92</v>
      </c>
    </row>
    <row r="61" spans="4:22" ht="17.649999999999999" x14ac:dyDescent="0.5">
      <c r="D61" s="3" t="s">
        <v>40</v>
      </c>
      <c r="S61">
        <v>1</v>
      </c>
      <c r="T61">
        <v>1</v>
      </c>
      <c r="V61" s="3" t="s">
        <v>92</v>
      </c>
    </row>
    <row r="62" spans="4:22" ht="17.649999999999999" x14ac:dyDescent="0.5">
      <c r="D62" s="3" t="s">
        <v>41</v>
      </c>
      <c r="S62">
        <v>1</v>
      </c>
      <c r="T62">
        <v>1</v>
      </c>
      <c r="V62" s="3" t="s">
        <v>92</v>
      </c>
    </row>
    <row r="63" spans="4:22" ht="17.649999999999999" x14ac:dyDescent="0.5">
      <c r="D63" s="3" t="s">
        <v>42</v>
      </c>
      <c r="S63">
        <v>1</v>
      </c>
      <c r="T63">
        <v>1</v>
      </c>
      <c r="V63" s="3" t="s">
        <v>92</v>
      </c>
    </row>
    <row r="64" spans="4:22" ht="17.649999999999999" x14ac:dyDescent="0.5">
      <c r="D64" s="3" t="s">
        <v>43</v>
      </c>
      <c r="S64">
        <v>1</v>
      </c>
      <c r="T64">
        <v>1</v>
      </c>
      <c r="V64" s="3" t="s">
        <v>92</v>
      </c>
    </row>
    <row r="65" spans="4:22" ht="17.649999999999999" x14ac:dyDescent="0.5">
      <c r="D65" s="3" t="s">
        <v>44</v>
      </c>
      <c r="S65">
        <v>1</v>
      </c>
      <c r="T65">
        <v>1</v>
      </c>
      <c r="V65" s="3" t="s">
        <v>92</v>
      </c>
    </row>
    <row r="66" spans="4:22" ht="17.649999999999999" x14ac:dyDescent="0.5">
      <c r="D66" s="3" t="s">
        <v>45</v>
      </c>
      <c r="S66">
        <v>1</v>
      </c>
      <c r="T66">
        <v>1</v>
      </c>
      <c r="V66" s="3" t="s">
        <v>92</v>
      </c>
    </row>
    <row r="67" spans="4:22" ht="17.649999999999999" x14ac:dyDescent="0.5">
      <c r="D67" s="3" t="s">
        <v>46</v>
      </c>
      <c r="S67">
        <v>1</v>
      </c>
      <c r="T67">
        <v>1</v>
      </c>
      <c r="V67" s="3" t="s">
        <v>92</v>
      </c>
    </row>
    <row r="68" spans="4:22" ht="17.649999999999999" x14ac:dyDescent="0.5">
      <c r="D68" s="3" t="s">
        <v>47</v>
      </c>
      <c r="S68">
        <v>1</v>
      </c>
      <c r="T68">
        <v>1</v>
      </c>
      <c r="V68" s="3" t="s">
        <v>92</v>
      </c>
    </row>
    <row r="69" spans="4:22" ht="17.649999999999999" x14ac:dyDescent="0.5">
      <c r="D69" s="3" t="s">
        <v>48</v>
      </c>
      <c r="S69">
        <v>1</v>
      </c>
      <c r="T69">
        <v>1</v>
      </c>
      <c r="V69" s="3" t="s">
        <v>92</v>
      </c>
    </row>
    <row r="70" spans="4:22" ht="17.649999999999999" x14ac:dyDescent="0.5">
      <c r="D70" s="3" t="s">
        <v>49</v>
      </c>
      <c r="S70">
        <v>1</v>
      </c>
      <c r="T70">
        <v>1</v>
      </c>
      <c r="V70" s="3" t="s">
        <v>92</v>
      </c>
    </row>
    <row r="71" spans="4:22" ht="17.649999999999999" x14ac:dyDescent="0.5">
      <c r="D71" s="3" t="s">
        <v>50</v>
      </c>
      <c r="S71">
        <v>1</v>
      </c>
      <c r="T71">
        <v>1</v>
      </c>
      <c r="V71" s="3" t="s">
        <v>92</v>
      </c>
    </row>
    <row r="72" spans="4:22" ht="17.649999999999999" x14ac:dyDescent="0.5">
      <c r="D72" s="3" t="s">
        <v>51</v>
      </c>
      <c r="S72">
        <v>1</v>
      </c>
      <c r="T72">
        <v>1</v>
      </c>
      <c r="V72" s="3" t="s">
        <v>84</v>
      </c>
    </row>
    <row r="73" spans="4:22" ht="17.649999999999999" x14ac:dyDescent="0.5">
      <c r="D73" s="3" t="s">
        <v>52</v>
      </c>
      <c r="S73">
        <v>1</v>
      </c>
      <c r="T73">
        <v>1</v>
      </c>
      <c r="V73" s="3" t="s">
        <v>84</v>
      </c>
    </row>
    <row r="74" spans="4:22" ht="17.649999999999999" x14ac:dyDescent="0.5">
      <c r="D74" s="3" t="s">
        <v>53</v>
      </c>
      <c r="S74">
        <v>1</v>
      </c>
      <c r="T74">
        <v>1</v>
      </c>
      <c r="V74" s="3" t="s">
        <v>84</v>
      </c>
    </row>
    <row r="75" spans="4:22" ht="17.649999999999999" x14ac:dyDescent="0.5">
      <c r="D75" s="3" t="s">
        <v>54</v>
      </c>
      <c r="S75">
        <v>1</v>
      </c>
      <c r="T75">
        <v>1</v>
      </c>
      <c r="V75" s="3" t="s">
        <v>84</v>
      </c>
    </row>
    <row r="76" spans="4:22" ht="17.649999999999999" x14ac:dyDescent="0.5">
      <c r="D76" s="3" t="s">
        <v>55</v>
      </c>
      <c r="S76">
        <v>1</v>
      </c>
      <c r="T76">
        <v>1</v>
      </c>
      <c r="V76" s="3" t="s">
        <v>84</v>
      </c>
    </row>
    <row r="77" spans="4:22" ht="17.649999999999999" x14ac:dyDescent="0.5">
      <c r="D77" s="3" t="s">
        <v>56</v>
      </c>
      <c r="S77">
        <v>1</v>
      </c>
      <c r="T77">
        <v>1</v>
      </c>
      <c r="V77" s="3" t="s">
        <v>84</v>
      </c>
    </row>
    <row r="78" spans="4:22" ht="17.649999999999999" x14ac:dyDescent="0.5">
      <c r="D78" s="3" t="s">
        <v>52</v>
      </c>
      <c r="S78">
        <v>1</v>
      </c>
      <c r="T78">
        <v>1</v>
      </c>
      <c r="V78" s="3" t="s">
        <v>84</v>
      </c>
    </row>
    <row r="79" spans="4:22" ht="17.649999999999999" x14ac:dyDescent="0.5">
      <c r="D79" s="3" t="s">
        <v>53</v>
      </c>
      <c r="S79">
        <v>1</v>
      </c>
      <c r="T79">
        <v>1</v>
      </c>
      <c r="V79" s="3" t="s">
        <v>84</v>
      </c>
    </row>
    <row r="80" spans="4:22" ht="17.649999999999999" x14ac:dyDescent="0.5">
      <c r="D80" s="3" t="s">
        <v>57</v>
      </c>
      <c r="S80">
        <v>1</v>
      </c>
      <c r="T80">
        <v>1</v>
      </c>
      <c r="V80" s="3" t="s">
        <v>84</v>
      </c>
    </row>
    <row r="81" spans="4:22" ht="17.649999999999999" x14ac:dyDescent="0.5">
      <c r="D81" s="3" t="s">
        <v>58</v>
      </c>
      <c r="S81">
        <v>1</v>
      </c>
      <c r="T81">
        <v>1</v>
      </c>
      <c r="V81" s="3" t="s">
        <v>84</v>
      </c>
    </row>
    <row r="82" spans="4:22" ht="17.649999999999999" x14ac:dyDescent="0.5">
      <c r="D82" s="3" t="s">
        <v>59</v>
      </c>
      <c r="S82">
        <v>1</v>
      </c>
      <c r="T82">
        <v>1</v>
      </c>
      <c r="V82" s="3" t="s">
        <v>84</v>
      </c>
    </row>
    <row r="83" spans="4:22" ht="17.649999999999999" x14ac:dyDescent="0.5">
      <c r="D83" s="3" t="s">
        <v>60</v>
      </c>
      <c r="S83">
        <v>1</v>
      </c>
      <c r="T83">
        <v>1</v>
      </c>
      <c r="V83" s="3" t="s">
        <v>84</v>
      </c>
    </row>
    <row r="84" spans="4:22" ht="17.649999999999999" x14ac:dyDescent="0.5">
      <c r="D84" s="3" t="s">
        <v>61</v>
      </c>
      <c r="S84">
        <v>1</v>
      </c>
      <c r="T84">
        <v>1</v>
      </c>
      <c r="V84" s="3" t="s">
        <v>84</v>
      </c>
    </row>
    <row r="85" spans="4:22" ht="17.649999999999999" x14ac:dyDescent="0.5">
      <c r="D85" s="3" t="s">
        <v>62</v>
      </c>
      <c r="S85">
        <v>1</v>
      </c>
      <c r="T85">
        <v>1</v>
      </c>
      <c r="V85" s="3" t="s">
        <v>84</v>
      </c>
    </row>
    <row r="86" spans="4:22" ht="17.649999999999999" x14ac:dyDescent="0.5">
      <c r="D86" s="3" t="s">
        <v>63</v>
      </c>
      <c r="S86">
        <v>1</v>
      </c>
      <c r="T86">
        <v>1</v>
      </c>
      <c r="V86" s="3" t="s">
        <v>84</v>
      </c>
    </row>
    <row r="87" spans="4:22" ht="17.649999999999999" x14ac:dyDescent="0.5">
      <c r="D87" s="3" t="s">
        <v>64</v>
      </c>
      <c r="S87">
        <v>1</v>
      </c>
      <c r="T87">
        <v>1</v>
      </c>
      <c r="V87" s="3" t="s">
        <v>84</v>
      </c>
    </row>
    <row r="88" spans="4:22" ht="17.649999999999999" x14ac:dyDescent="0.5">
      <c r="D88" s="3" t="s">
        <v>65</v>
      </c>
      <c r="S88">
        <v>1</v>
      </c>
      <c r="T88">
        <v>1</v>
      </c>
      <c r="V88" s="3" t="s">
        <v>84</v>
      </c>
    </row>
    <row r="89" spans="4:22" ht="17.649999999999999" x14ac:dyDescent="0.5">
      <c r="D89" s="3" t="s">
        <v>66</v>
      </c>
      <c r="S89">
        <v>1</v>
      </c>
      <c r="T89">
        <v>1</v>
      </c>
      <c r="V89" s="3" t="s">
        <v>84</v>
      </c>
    </row>
    <row r="90" spans="4:22" ht="17.649999999999999" x14ac:dyDescent="0.5">
      <c r="D90" s="3" t="s">
        <v>64</v>
      </c>
      <c r="S90">
        <v>1</v>
      </c>
      <c r="T90">
        <v>1</v>
      </c>
      <c r="V90" s="3" t="s">
        <v>84</v>
      </c>
    </row>
    <row r="91" spans="4:22" ht="17.649999999999999" x14ac:dyDescent="0.5">
      <c r="D91" s="3" t="s">
        <v>41</v>
      </c>
      <c r="S91">
        <v>1</v>
      </c>
      <c r="T91">
        <v>1</v>
      </c>
      <c r="V91" s="3" t="s">
        <v>84</v>
      </c>
    </row>
    <row r="92" spans="4:22" ht="17.649999999999999" x14ac:dyDescent="0.5">
      <c r="D92" s="3" t="s">
        <v>48</v>
      </c>
      <c r="S92">
        <v>1</v>
      </c>
      <c r="T92">
        <v>1</v>
      </c>
      <c r="V92" s="3" t="s">
        <v>84</v>
      </c>
    </row>
    <row r="93" spans="4:22" ht="17.649999999999999" x14ac:dyDescent="0.5">
      <c r="D93" s="3" t="s">
        <v>67</v>
      </c>
      <c r="S93">
        <v>1</v>
      </c>
      <c r="T93">
        <v>1</v>
      </c>
      <c r="V93" s="3" t="s">
        <v>84</v>
      </c>
    </row>
    <row r="94" spans="4:22" ht="17.649999999999999" x14ac:dyDescent="0.5">
      <c r="D94" s="3" t="s">
        <v>68</v>
      </c>
      <c r="S94">
        <v>1</v>
      </c>
      <c r="T94">
        <v>1</v>
      </c>
      <c r="V94" s="3" t="s">
        <v>84</v>
      </c>
    </row>
    <row r="95" spans="4:22" ht="17.649999999999999" x14ac:dyDescent="0.5">
      <c r="D95" s="3" t="s">
        <v>69</v>
      </c>
      <c r="S95">
        <v>1</v>
      </c>
      <c r="T95">
        <v>1</v>
      </c>
      <c r="V95" s="3" t="s">
        <v>84</v>
      </c>
    </row>
    <row r="96" spans="4:22" ht="17.649999999999999" x14ac:dyDescent="0.5">
      <c r="D96" s="3" t="s">
        <v>70</v>
      </c>
      <c r="S96">
        <v>1</v>
      </c>
      <c r="T96">
        <v>1</v>
      </c>
      <c r="V96" s="3" t="s">
        <v>84</v>
      </c>
    </row>
    <row r="97" spans="4:22" ht="17.649999999999999" x14ac:dyDescent="0.5">
      <c r="D97" s="3" t="s">
        <v>71</v>
      </c>
      <c r="S97">
        <v>1</v>
      </c>
      <c r="T97">
        <v>1</v>
      </c>
      <c r="V97" s="3" t="s">
        <v>84</v>
      </c>
    </row>
    <row r="98" spans="4:22" ht="17.649999999999999" x14ac:dyDescent="0.5">
      <c r="D98" s="3" t="s">
        <v>72</v>
      </c>
      <c r="S98">
        <v>1</v>
      </c>
      <c r="T98">
        <v>1</v>
      </c>
      <c r="V98" s="3" t="s">
        <v>84</v>
      </c>
    </row>
    <row r="99" spans="4:22" ht="17.649999999999999" x14ac:dyDescent="0.5">
      <c r="D99" s="3" t="s">
        <v>73</v>
      </c>
      <c r="S99">
        <v>1</v>
      </c>
      <c r="T99">
        <v>1</v>
      </c>
      <c r="V99" s="3" t="s">
        <v>84</v>
      </c>
    </row>
    <row r="100" spans="4:22" ht="17.649999999999999" x14ac:dyDescent="0.5">
      <c r="D100" s="3" t="s">
        <v>71</v>
      </c>
      <c r="S100">
        <v>1</v>
      </c>
      <c r="T100">
        <v>1</v>
      </c>
      <c r="V100" s="3" t="s">
        <v>84</v>
      </c>
    </row>
    <row r="101" spans="4:22" ht="17.649999999999999" x14ac:dyDescent="0.5">
      <c r="D101" s="3" t="s">
        <v>74</v>
      </c>
      <c r="S101">
        <v>1</v>
      </c>
      <c r="T101">
        <v>1</v>
      </c>
      <c r="V101" s="3" t="s">
        <v>84</v>
      </c>
    </row>
    <row r="102" spans="4:22" ht="17.649999999999999" x14ac:dyDescent="0.5">
      <c r="D102" s="3" t="s">
        <v>75</v>
      </c>
      <c r="S102">
        <v>1</v>
      </c>
      <c r="T102">
        <v>1</v>
      </c>
      <c r="V102" s="3" t="s">
        <v>84</v>
      </c>
    </row>
    <row r="103" spans="4:22" ht="17.649999999999999" x14ac:dyDescent="0.5">
      <c r="D103" s="3" t="s">
        <v>76</v>
      </c>
      <c r="S103">
        <v>1</v>
      </c>
      <c r="T103">
        <v>1</v>
      </c>
      <c r="V103" s="3" t="s">
        <v>84</v>
      </c>
    </row>
    <row r="104" spans="4:22" ht="17.649999999999999" x14ac:dyDescent="0.5">
      <c r="D104" s="3" t="s">
        <v>77</v>
      </c>
      <c r="S104">
        <v>1</v>
      </c>
      <c r="T104">
        <v>1</v>
      </c>
      <c r="V104" s="3" t="s">
        <v>84</v>
      </c>
    </row>
    <row r="105" spans="4:22" ht="17.649999999999999" x14ac:dyDescent="0.5">
      <c r="D105" s="3" t="s">
        <v>78</v>
      </c>
      <c r="S105">
        <v>1</v>
      </c>
      <c r="T105">
        <v>1</v>
      </c>
      <c r="V105" s="3" t="s">
        <v>84</v>
      </c>
    </row>
    <row r="106" spans="4:22" ht="17.649999999999999" x14ac:dyDescent="0.5">
      <c r="D106" s="3" t="s">
        <v>79</v>
      </c>
      <c r="S106">
        <v>1</v>
      </c>
      <c r="T106">
        <v>1</v>
      </c>
      <c r="V106" s="3" t="s">
        <v>84</v>
      </c>
    </row>
    <row r="107" spans="4:22" ht="17.649999999999999" x14ac:dyDescent="0.5">
      <c r="D107" s="3" t="s">
        <v>50</v>
      </c>
      <c r="S107">
        <v>1</v>
      </c>
      <c r="T107">
        <v>1</v>
      </c>
      <c r="V107" s="3" t="s">
        <v>84</v>
      </c>
    </row>
    <row r="108" spans="4:22" ht="17.649999999999999" x14ac:dyDescent="0.5">
      <c r="D108" s="3" t="s">
        <v>80</v>
      </c>
      <c r="S108">
        <v>1</v>
      </c>
      <c r="T108">
        <v>10</v>
      </c>
      <c r="V108" s="3" t="s">
        <v>104</v>
      </c>
    </row>
    <row r="109" spans="4:22" ht="17.649999999999999" x14ac:dyDescent="0.5">
      <c r="D109" s="3" t="s">
        <v>67</v>
      </c>
      <c r="S109">
        <v>1</v>
      </c>
      <c r="T109">
        <v>10</v>
      </c>
      <c r="V109" s="3" t="s">
        <v>104</v>
      </c>
    </row>
    <row r="110" spans="4:22" ht="17.649999999999999" x14ac:dyDescent="0.5">
      <c r="D110" s="3" t="s">
        <v>54</v>
      </c>
      <c r="S110">
        <v>1</v>
      </c>
      <c r="T110">
        <v>10</v>
      </c>
      <c r="V110" s="3" t="s">
        <v>104</v>
      </c>
    </row>
    <row r="111" spans="4:22" ht="17.649999999999999" x14ac:dyDescent="0.5">
      <c r="D111" s="3" t="s">
        <v>81</v>
      </c>
      <c r="S111">
        <v>1</v>
      </c>
      <c r="T111">
        <v>10</v>
      </c>
      <c r="V111" s="3" t="s">
        <v>104</v>
      </c>
    </row>
    <row r="112" spans="4:22" ht="17.649999999999999" x14ac:dyDescent="0.5">
      <c r="D112" s="3" t="s">
        <v>67</v>
      </c>
      <c r="S112">
        <v>1</v>
      </c>
      <c r="T112">
        <v>10</v>
      </c>
      <c r="V112" s="3" t="s">
        <v>104</v>
      </c>
    </row>
    <row r="113" spans="4:22" ht="17.649999999999999" x14ac:dyDescent="0.5">
      <c r="D113" s="3" t="s">
        <v>82</v>
      </c>
      <c r="S113">
        <v>1</v>
      </c>
      <c r="T113">
        <v>10</v>
      </c>
      <c r="V113" s="3" t="s">
        <v>104</v>
      </c>
    </row>
    <row r="114" spans="4:22" ht="17.649999999999999" x14ac:dyDescent="0.5">
      <c r="D114" s="3" t="s">
        <v>54</v>
      </c>
      <c r="S114">
        <v>1</v>
      </c>
      <c r="T114">
        <v>10</v>
      </c>
      <c r="V114" s="3" t="s">
        <v>104</v>
      </c>
    </row>
    <row r="115" spans="4:22" ht="17.649999999999999" x14ac:dyDescent="0.5">
      <c r="D115" s="3" t="s">
        <v>83</v>
      </c>
      <c r="S115">
        <v>1</v>
      </c>
      <c r="T115">
        <v>10</v>
      </c>
      <c r="V115" s="3" t="s">
        <v>104</v>
      </c>
    </row>
    <row r="116" spans="4:22" ht="17.649999999999999" x14ac:dyDescent="0.5">
      <c r="D116" s="3" t="s">
        <v>84</v>
      </c>
      <c r="S116">
        <v>1</v>
      </c>
      <c r="T116">
        <v>10</v>
      </c>
      <c r="V116" s="3" t="s">
        <v>104</v>
      </c>
    </row>
    <row r="117" spans="4:22" ht="17.649999999999999" x14ac:dyDescent="0.5">
      <c r="D117" s="3" t="s">
        <v>85</v>
      </c>
      <c r="S117">
        <v>1</v>
      </c>
      <c r="T117">
        <v>10</v>
      </c>
      <c r="V117" s="3" t="s">
        <v>104</v>
      </c>
    </row>
    <row r="118" spans="4:22" ht="17.649999999999999" x14ac:dyDescent="0.5">
      <c r="D118" s="3" t="s">
        <v>73</v>
      </c>
      <c r="S118">
        <v>1</v>
      </c>
      <c r="T118">
        <v>10</v>
      </c>
      <c r="V118" s="3" t="s">
        <v>104</v>
      </c>
    </row>
    <row r="119" spans="4:22" ht="17.649999999999999" x14ac:dyDescent="0.5">
      <c r="D119" s="3" t="s">
        <v>86</v>
      </c>
      <c r="S119">
        <v>1</v>
      </c>
      <c r="T119">
        <v>10</v>
      </c>
      <c r="V119" s="3" t="s">
        <v>104</v>
      </c>
    </row>
    <row r="120" spans="4:22" ht="17.649999999999999" x14ac:dyDescent="0.5">
      <c r="D120" s="3" t="s">
        <v>87</v>
      </c>
      <c r="S120">
        <v>1</v>
      </c>
      <c r="T120">
        <v>10</v>
      </c>
      <c r="V120" s="3" t="s">
        <v>42</v>
      </c>
    </row>
    <row r="121" spans="4:22" ht="17.649999999999999" x14ac:dyDescent="0.5">
      <c r="D121" s="3" t="s">
        <v>51</v>
      </c>
      <c r="S121">
        <v>1</v>
      </c>
      <c r="T121">
        <v>10</v>
      </c>
      <c r="V121" s="3" t="s">
        <v>42</v>
      </c>
    </row>
    <row r="122" spans="4:22" ht="17.649999999999999" x14ac:dyDescent="0.5">
      <c r="D122" s="3" t="s">
        <v>66</v>
      </c>
      <c r="S122">
        <v>1</v>
      </c>
      <c r="T122">
        <v>10</v>
      </c>
      <c r="V122" s="3" t="s">
        <v>42</v>
      </c>
    </row>
    <row r="123" spans="4:22" ht="17.649999999999999" x14ac:dyDescent="0.5">
      <c r="D123" s="3" t="s">
        <v>88</v>
      </c>
      <c r="S123">
        <v>1</v>
      </c>
      <c r="T123">
        <v>10</v>
      </c>
      <c r="V123" s="3" t="s">
        <v>42</v>
      </c>
    </row>
    <row r="124" spans="4:22" ht="17.649999999999999" x14ac:dyDescent="0.5">
      <c r="D124" s="3" t="s">
        <v>49</v>
      </c>
      <c r="S124">
        <v>1</v>
      </c>
      <c r="T124">
        <v>10</v>
      </c>
      <c r="V124" s="3" t="s">
        <v>42</v>
      </c>
    </row>
    <row r="125" spans="4:22" ht="17.649999999999999" x14ac:dyDescent="0.5">
      <c r="D125" s="3" t="s">
        <v>73</v>
      </c>
      <c r="S125">
        <v>1</v>
      </c>
      <c r="T125">
        <v>10</v>
      </c>
      <c r="V125" s="3" t="s">
        <v>42</v>
      </c>
    </row>
    <row r="126" spans="4:22" ht="17.649999999999999" x14ac:dyDescent="0.5">
      <c r="D126" s="3" t="s">
        <v>82</v>
      </c>
      <c r="S126">
        <v>1</v>
      </c>
      <c r="T126">
        <v>10</v>
      </c>
      <c r="V126" s="3" t="s">
        <v>42</v>
      </c>
    </row>
    <row r="127" spans="4:22" ht="17.649999999999999" x14ac:dyDescent="0.5">
      <c r="D127" s="3" t="s">
        <v>66</v>
      </c>
      <c r="S127">
        <v>1</v>
      </c>
      <c r="T127">
        <v>10</v>
      </c>
      <c r="V127" s="3" t="s">
        <v>101</v>
      </c>
    </row>
    <row r="128" spans="4:22" ht="17.649999999999999" x14ac:dyDescent="0.5">
      <c r="D128" s="3" t="s">
        <v>89</v>
      </c>
      <c r="S128">
        <v>1</v>
      </c>
      <c r="T128">
        <v>10</v>
      </c>
      <c r="V128" s="3" t="s">
        <v>101</v>
      </c>
    </row>
    <row r="129" spans="4:22" ht="17.649999999999999" x14ac:dyDescent="0.5">
      <c r="D129" s="3" t="s">
        <v>65</v>
      </c>
      <c r="S129">
        <v>1</v>
      </c>
      <c r="T129">
        <v>10</v>
      </c>
      <c r="V129" s="3" t="s">
        <v>101</v>
      </c>
    </row>
    <row r="130" spans="4:22" ht="17.649999999999999" x14ac:dyDescent="0.5">
      <c r="D130" s="3" t="s">
        <v>44</v>
      </c>
      <c r="S130">
        <v>1</v>
      </c>
      <c r="T130">
        <v>10</v>
      </c>
      <c r="V130" s="3" t="s">
        <v>101</v>
      </c>
    </row>
    <row r="131" spans="4:22" ht="17.649999999999999" x14ac:dyDescent="0.5">
      <c r="D131" s="3" t="s">
        <v>52</v>
      </c>
      <c r="S131">
        <v>1</v>
      </c>
      <c r="T131">
        <v>10</v>
      </c>
      <c r="V131" s="3" t="s">
        <v>101</v>
      </c>
    </row>
    <row r="132" spans="4:22" ht="17.649999999999999" x14ac:dyDescent="0.5">
      <c r="D132" s="3" t="s">
        <v>80</v>
      </c>
      <c r="S132">
        <v>1</v>
      </c>
      <c r="T132">
        <v>10</v>
      </c>
      <c r="V132" s="3" t="s">
        <v>101</v>
      </c>
    </row>
    <row r="133" spans="4:22" ht="17.649999999999999" x14ac:dyDescent="0.5">
      <c r="D133" s="3" t="s">
        <v>90</v>
      </c>
      <c r="S133">
        <v>1</v>
      </c>
      <c r="T133">
        <v>10</v>
      </c>
      <c r="V133" s="3" t="s">
        <v>101</v>
      </c>
    </row>
    <row r="134" spans="4:22" ht="17.649999999999999" x14ac:dyDescent="0.5">
      <c r="D134" s="3" t="s">
        <v>61</v>
      </c>
      <c r="S134">
        <v>1</v>
      </c>
      <c r="T134">
        <v>10</v>
      </c>
      <c r="V134" s="3" t="s">
        <v>101</v>
      </c>
    </row>
    <row r="135" spans="4:22" ht="17.649999999999999" x14ac:dyDescent="0.5">
      <c r="D135" s="3" t="s">
        <v>79</v>
      </c>
      <c r="S135">
        <v>1</v>
      </c>
      <c r="T135">
        <v>10</v>
      </c>
      <c r="V135" s="3" t="s">
        <v>101</v>
      </c>
    </row>
    <row r="136" spans="4:22" ht="17.649999999999999" x14ac:dyDescent="0.5">
      <c r="D136" s="3" t="s">
        <v>84</v>
      </c>
      <c r="S136">
        <v>1</v>
      </c>
      <c r="T136">
        <v>10</v>
      </c>
      <c r="V136" s="3" t="s">
        <v>101</v>
      </c>
    </row>
    <row r="137" spans="4:22" ht="17.649999999999999" x14ac:dyDescent="0.5">
      <c r="D137" s="3" t="s">
        <v>44</v>
      </c>
      <c r="S137">
        <v>1</v>
      </c>
      <c r="T137">
        <v>10</v>
      </c>
      <c r="V137" s="3" t="s">
        <v>101</v>
      </c>
    </row>
    <row r="138" spans="4:22" ht="17.649999999999999" x14ac:dyDescent="0.5">
      <c r="D138" s="3" t="s">
        <v>47</v>
      </c>
      <c r="S138">
        <v>1</v>
      </c>
      <c r="T138">
        <v>10</v>
      </c>
      <c r="V138" s="3" t="s">
        <v>101</v>
      </c>
    </row>
    <row r="139" spans="4:22" ht="17.649999999999999" x14ac:dyDescent="0.5">
      <c r="D139" s="3" t="s">
        <v>60</v>
      </c>
      <c r="S139">
        <v>1</v>
      </c>
      <c r="T139">
        <v>10</v>
      </c>
      <c r="V139" s="3" t="s">
        <v>101</v>
      </c>
    </row>
    <row r="140" spans="4:22" ht="17.649999999999999" x14ac:dyDescent="0.5">
      <c r="D140" s="3" t="s">
        <v>69</v>
      </c>
      <c r="S140">
        <v>1</v>
      </c>
      <c r="T140">
        <v>10</v>
      </c>
      <c r="V140" s="3" t="s">
        <v>101</v>
      </c>
    </row>
    <row r="141" spans="4:22" ht="17.649999999999999" x14ac:dyDescent="0.5">
      <c r="D141" s="3" t="s">
        <v>76</v>
      </c>
      <c r="S141">
        <v>1</v>
      </c>
      <c r="T141">
        <v>10</v>
      </c>
      <c r="V141" s="3" t="s">
        <v>101</v>
      </c>
    </row>
    <row r="142" spans="4:22" ht="17.649999999999999" x14ac:dyDescent="0.5">
      <c r="D142" s="3" t="s">
        <v>91</v>
      </c>
      <c r="S142">
        <v>1</v>
      </c>
      <c r="T142">
        <v>10</v>
      </c>
      <c r="V142" s="3" t="s">
        <v>101</v>
      </c>
    </row>
    <row r="143" spans="4:22" ht="17.649999999999999" x14ac:dyDescent="0.5">
      <c r="D143" s="3" t="s">
        <v>78</v>
      </c>
      <c r="S143">
        <v>1</v>
      </c>
      <c r="T143">
        <v>10</v>
      </c>
      <c r="V143" s="3" t="s">
        <v>101</v>
      </c>
    </row>
    <row r="144" spans="4:22" ht="17.649999999999999" x14ac:dyDescent="0.5">
      <c r="D144" s="3" t="s">
        <v>87</v>
      </c>
      <c r="S144">
        <v>1</v>
      </c>
      <c r="T144">
        <v>10</v>
      </c>
      <c r="V144" s="3" t="s">
        <v>101</v>
      </c>
    </row>
    <row r="145" spans="4:22" ht="17.649999999999999" x14ac:dyDescent="0.5">
      <c r="D145" s="3" t="s">
        <v>41</v>
      </c>
      <c r="S145">
        <v>1</v>
      </c>
      <c r="T145">
        <v>10</v>
      </c>
      <c r="V145" s="3" t="s">
        <v>101</v>
      </c>
    </row>
    <row r="146" spans="4:22" ht="17.649999999999999" x14ac:dyDescent="0.5">
      <c r="D146" s="3" t="s">
        <v>77</v>
      </c>
      <c r="S146">
        <v>1</v>
      </c>
      <c r="T146">
        <v>10</v>
      </c>
      <c r="V146" s="3" t="s">
        <v>101</v>
      </c>
    </row>
    <row r="147" spans="4:22" ht="17.649999999999999" x14ac:dyDescent="0.5">
      <c r="D147" s="3" t="s">
        <v>92</v>
      </c>
      <c r="S147">
        <v>1</v>
      </c>
      <c r="T147">
        <v>10</v>
      </c>
      <c r="V147" s="3" t="s">
        <v>101</v>
      </c>
    </row>
    <row r="148" spans="4:22" ht="17.649999999999999" x14ac:dyDescent="0.5">
      <c r="D148" s="3" t="s">
        <v>66</v>
      </c>
      <c r="S148">
        <v>1</v>
      </c>
      <c r="T148">
        <v>10</v>
      </c>
      <c r="V148" s="3" t="s">
        <v>101</v>
      </c>
    </row>
    <row r="149" spans="4:22" ht="17.649999999999999" x14ac:dyDescent="0.5">
      <c r="D149" s="3" t="s">
        <v>78</v>
      </c>
      <c r="S149">
        <v>1</v>
      </c>
      <c r="T149">
        <v>10</v>
      </c>
      <c r="V149" s="3" t="s">
        <v>101</v>
      </c>
    </row>
    <row r="150" spans="4:22" ht="17.649999999999999" x14ac:dyDescent="0.5">
      <c r="D150" s="3" t="s">
        <v>55</v>
      </c>
      <c r="S150">
        <v>1</v>
      </c>
      <c r="T150">
        <v>10</v>
      </c>
      <c r="V150" s="3" t="s">
        <v>101</v>
      </c>
    </row>
    <row r="151" spans="4:22" ht="17.649999999999999" x14ac:dyDescent="0.5">
      <c r="D151" s="3" t="s">
        <v>93</v>
      </c>
      <c r="S151">
        <v>1</v>
      </c>
      <c r="T151">
        <v>10</v>
      </c>
      <c r="V151" s="3" t="s">
        <v>101</v>
      </c>
    </row>
    <row r="152" spans="4:22" ht="17.649999999999999" x14ac:dyDescent="0.5">
      <c r="D152" s="3" t="s">
        <v>72</v>
      </c>
      <c r="S152">
        <v>1</v>
      </c>
      <c r="T152">
        <v>10</v>
      </c>
      <c r="V152" s="3" t="s">
        <v>101</v>
      </c>
    </row>
    <row r="153" spans="4:22" ht="17.649999999999999" x14ac:dyDescent="0.5">
      <c r="D153" s="3" t="s">
        <v>59</v>
      </c>
      <c r="S153">
        <v>1</v>
      </c>
      <c r="T153">
        <v>10</v>
      </c>
      <c r="V153" s="3" t="s">
        <v>101</v>
      </c>
    </row>
    <row r="154" spans="4:22" ht="17.649999999999999" x14ac:dyDescent="0.5">
      <c r="D154" s="3" t="s">
        <v>53</v>
      </c>
      <c r="S154">
        <v>1</v>
      </c>
      <c r="T154">
        <v>10</v>
      </c>
      <c r="V154" s="3" t="s">
        <v>91</v>
      </c>
    </row>
    <row r="155" spans="4:22" ht="17.649999999999999" x14ac:dyDescent="0.5">
      <c r="D155" s="3" t="s">
        <v>73</v>
      </c>
      <c r="S155">
        <v>1</v>
      </c>
      <c r="T155">
        <v>10</v>
      </c>
      <c r="V155" s="3" t="s">
        <v>91</v>
      </c>
    </row>
    <row r="156" spans="4:22" ht="17.649999999999999" x14ac:dyDescent="0.5">
      <c r="D156" s="3" t="s">
        <v>59</v>
      </c>
      <c r="S156">
        <v>1</v>
      </c>
      <c r="T156">
        <v>10</v>
      </c>
      <c r="V156" s="3" t="s">
        <v>91</v>
      </c>
    </row>
    <row r="157" spans="4:22" ht="17.649999999999999" x14ac:dyDescent="0.5">
      <c r="D157" s="3" t="s">
        <v>57</v>
      </c>
      <c r="S157">
        <v>1</v>
      </c>
      <c r="T157">
        <v>10</v>
      </c>
      <c r="V157" s="3" t="s">
        <v>91</v>
      </c>
    </row>
    <row r="158" spans="4:22" ht="17.649999999999999" x14ac:dyDescent="0.5">
      <c r="D158" s="3" t="s">
        <v>94</v>
      </c>
      <c r="S158">
        <v>1</v>
      </c>
      <c r="T158">
        <v>10</v>
      </c>
      <c r="V158" s="3" t="s">
        <v>91</v>
      </c>
    </row>
    <row r="159" spans="4:22" ht="17.649999999999999" x14ac:dyDescent="0.5">
      <c r="D159" s="3" t="s">
        <v>95</v>
      </c>
      <c r="S159">
        <v>1</v>
      </c>
      <c r="T159">
        <v>10</v>
      </c>
      <c r="V159" s="3" t="s">
        <v>91</v>
      </c>
    </row>
    <row r="160" spans="4:22" ht="17.649999999999999" x14ac:dyDescent="0.5">
      <c r="D160" s="3" t="s">
        <v>81</v>
      </c>
      <c r="S160">
        <v>1</v>
      </c>
      <c r="T160">
        <v>10</v>
      </c>
      <c r="V160" s="3" t="s">
        <v>91</v>
      </c>
    </row>
    <row r="161" spans="4:22" ht="17.649999999999999" x14ac:dyDescent="0.5">
      <c r="D161" s="3" t="s">
        <v>96</v>
      </c>
      <c r="S161">
        <v>1</v>
      </c>
      <c r="T161">
        <v>10</v>
      </c>
      <c r="V161" s="3" t="s">
        <v>91</v>
      </c>
    </row>
    <row r="162" spans="4:22" ht="17.649999999999999" x14ac:dyDescent="0.5">
      <c r="D162" s="3" t="s">
        <v>87</v>
      </c>
      <c r="S162">
        <v>1</v>
      </c>
      <c r="T162">
        <v>10</v>
      </c>
      <c r="V162" s="3" t="s">
        <v>91</v>
      </c>
    </row>
    <row r="163" spans="4:22" ht="17.649999999999999" x14ac:dyDescent="0.5">
      <c r="D163" s="3" t="s">
        <v>82</v>
      </c>
      <c r="S163">
        <v>1</v>
      </c>
      <c r="T163">
        <v>10</v>
      </c>
      <c r="V163" s="3" t="s">
        <v>91</v>
      </c>
    </row>
    <row r="164" spans="4:22" ht="17.649999999999999" x14ac:dyDescent="0.5">
      <c r="D164" s="3" t="s">
        <v>41</v>
      </c>
      <c r="S164">
        <v>1</v>
      </c>
      <c r="T164">
        <v>10</v>
      </c>
      <c r="V164" s="3" t="s">
        <v>91</v>
      </c>
    </row>
    <row r="165" spans="4:22" ht="17.649999999999999" x14ac:dyDescent="0.5">
      <c r="D165" s="3" t="s">
        <v>50</v>
      </c>
      <c r="S165">
        <v>1</v>
      </c>
      <c r="T165">
        <v>10</v>
      </c>
      <c r="V165" s="3" t="s">
        <v>91</v>
      </c>
    </row>
    <row r="166" spans="4:22" ht="17.649999999999999" x14ac:dyDescent="0.5">
      <c r="D166" s="3" t="s">
        <v>97</v>
      </c>
      <c r="S166">
        <v>1</v>
      </c>
      <c r="T166">
        <v>10</v>
      </c>
      <c r="V166" s="3" t="s">
        <v>91</v>
      </c>
    </row>
    <row r="167" spans="4:22" ht="17.649999999999999" x14ac:dyDescent="0.5">
      <c r="D167" s="3" t="s">
        <v>56</v>
      </c>
      <c r="S167">
        <v>1</v>
      </c>
      <c r="T167">
        <v>10</v>
      </c>
      <c r="V167" s="3" t="s">
        <v>91</v>
      </c>
    </row>
    <row r="168" spans="4:22" ht="17.649999999999999" x14ac:dyDescent="0.5">
      <c r="D168" s="3" t="s">
        <v>73</v>
      </c>
      <c r="S168">
        <v>1</v>
      </c>
      <c r="T168">
        <v>10</v>
      </c>
      <c r="V168" s="3" t="s">
        <v>91</v>
      </c>
    </row>
    <row r="169" spans="4:22" ht="17.649999999999999" x14ac:dyDescent="0.5">
      <c r="D169" s="3" t="s">
        <v>59</v>
      </c>
      <c r="S169">
        <v>1</v>
      </c>
      <c r="T169">
        <v>10</v>
      </c>
      <c r="V169" s="3" t="s">
        <v>91</v>
      </c>
    </row>
    <row r="170" spans="4:22" ht="17.649999999999999" x14ac:dyDescent="0.5">
      <c r="D170" s="3" t="s">
        <v>88</v>
      </c>
      <c r="S170">
        <v>1</v>
      </c>
      <c r="T170">
        <v>10</v>
      </c>
      <c r="V170" s="3" t="s">
        <v>91</v>
      </c>
    </row>
    <row r="171" spans="4:22" ht="17.649999999999999" x14ac:dyDescent="0.5">
      <c r="D171" s="3" t="s">
        <v>92</v>
      </c>
      <c r="S171">
        <v>1</v>
      </c>
      <c r="T171">
        <v>10</v>
      </c>
      <c r="V171" s="3" t="s">
        <v>91</v>
      </c>
    </row>
    <row r="172" spans="4:22" ht="17.649999999999999" x14ac:dyDescent="0.5">
      <c r="D172" s="3" t="s">
        <v>84</v>
      </c>
      <c r="S172">
        <v>1</v>
      </c>
      <c r="T172">
        <v>10</v>
      </c>
      <c r="V172" s="3" t="s">
        <v>91</v>
      </c>
    </row>
    <row r="173" spans="4:22" ht="17.649999999999999" x14ac:dyDescent="0.5">
      <c r="D173" s="3" t="s">
        <v>66</v>
      </c>
      <c r="S173">
        <v>1</v>
      </c>
      <c r="T173">
        <v>10</v>
      </c>
      <c r="V173" s="3" t="s">
        <v>91</v>
      </c>
    </row>
    <row r="174" spans="4:22" ht="17.649999999999999" x14ac:dyDescent="0.5">
      <c r="D174" s="3" t="s">
        <v>98</v>
      </c>
      <c r="S174">
        <v>1</v>
      </c>
      <c r="T174">
        <v>10</v>
      </c>
      <c r="V174" s="3" t="s">
        <v>91</v>
      </c>
    </row>
    <row r="175" spans="4:22" ht="17.649999999999999" x14ac:dyDescent="0.5">
      <c r="D175" s="3" t="s">
        <v>74</v>
      </c>
      <c r="S175">
        <v>1</v>
      </c>
      <c r="T175">
        <v>10</v>
      </c>
      <c r="V175" s="3" t="s">
        <v>91</v>
      </c>
    </row>
    <row r="176" spans="4:22" ht="17.649999999999999" x14ac:dyDescent="0.5">
      <c r="D176" s="3" t="s">
        <v>76</v>
      </c>
      <c r="S176">
        <v>1</v>
      </c>
      <c r="T176">
        <v>10</v>
      </c>
      <c r="V176" s="3" t="s">
        <v>91</v>
      </c>
    </row>
    <row r="177" spans="4:22" ht="17.649999999999999" x14ac:dyDescent="0.5">
      <c r="D177" s="3" t="s">
        <v>53</v>
      </c>
      <c r="S177">
        <v>1</v>
      </c>
      <c r="T177">
        <v>10</v>
      </c>
      <c r="V177" s="3" t="s">
        <v>91</v>
      </c>
    </row>
    <row r="178" spans="4:22" ht="17.649999999999999" x14ac:dyDescent="0.5">
      <c r="D178" s="3" t="s">
        <v>44</v>
      </c>
      <c r="S178">
        <v>1</v>
      </c>
      <c r="T178">
        <v>10</v>
      </c>
      <c r="V178" s="3" t="s">
        <v>91</v>
      </c>
    </row>
    <row r="179" spans="4:22" ht="17.649999999999999" x14ac:dyDescent="0.5">
      <c r="D179" s="3" t="s">
        <v>95</v>
      </c>
      <c r="S179">
        <v>1</v>
      </c>
      <c r="T179">
        <v>10</v>
      </c>
      <c r="V179" s="3" t="s">
        <v>91</v>
      </c>
    </row>
    <row r="180" spans="4:22" ht="17.649999999999999" x14ac:dyDescent="0.5">
      <c r="D180" s="3" t="s">
        <v>99</v>
      </c>
      <c r="S180">
        <v>1</v>
      </c>
      <c r="T180">
        <v>10</v>
      </c>
      <c r="V180" s="3" t="s">
        <v>91</v>
      </c>
    </row>
    <row r="181" spans="4:22" ht="17.649999999999999" x14ac:dyDescent="0.5">
      <c r="D181" s="3" t="s">
        <v>100</v>
      </c>
      <c r="S181">
        <v>1</v>
      </c>
      <c r="T181">
        <v>10</v>
      </c>
      <c r="V181" s="3" t="s">
        <v>91</v>
      </c>
    </row>
    <row r="182" spans="4:22" ht="17.649999999999999" x14ac:dyDescent="0.5">
      <c r="D182" s="3" t="s">
        <v>59</v>
      </c>
      <c r="S182">
        <v>1</v>
      </c>
      <c r="T182">
        <v>10</v>
      </c>
      <c r="V182" s="3" t="s">
        <v>91</v>
      </c>
    </row>
    <row r="183" spans="4:22" ht="17.649999999999999" x14ac:dyDescent="0.5">
      <c r="D183" s="3" t="s">
        <v>41</v>
      </c>
      <c r="S183">
        <v>1</v>
      </c>
      <c r="T183">
        <v>10</v>
      </c>
      <c r="V183" s="3" t="s">
        <v>91</v>
      </c>
    </row>
    <row r="184" spans="4:22" ht="17.649999999999999" x14ac:dyDescent="0.5">
      <c r="D184" s="3" t="s">
        <v>101</v>
      </c>
      <c r="S184">
        <v>1</v>
      </c>
      <c r="T184">
        <v>10</v>
      </c>
      <c r="V184" s="3" t="s">
        <v>91</v>
      </c>
    </row>
    <row r="185" spans="4:22" ht="17.649999999999999" x14ac:dyDescent="0.5">
      <c r="D185" s="3" t="s">
        <v>49</v>
      </c>
      <c r="S185">
        <v>1</v>
      </c>
      <c r="T185">
        <v>10</v>
      </c>
      <c r="V185" s="3" t="s">
        <v>91</v>
      </c>
    </row>
    <row r="186" spans="4:22" ht="17.649999999999999" x14ac:dyDescent="0.5">
      <c r="D186" s="3" t="s">
        <v>89</v>
      </c>
      <c r="S186">
        <v>1</v>
      </c>
      <c r="T186">
        <v>10</v>
      </c>
      <c r="V186" s="3" t="s">
        <v>91</v>
      </c>
    </row>
    <row r="187" spans="4:22" ht="17.649999999999999" x14ac:dyDescent="0.5">
      <c r="D187" s="3" t="s">
        <v>102</v>
      </c>
      <c r="S187">
        <v>1</v>
      </c>
      <c r="T187">
        <v>10</v>
      </c>
      <c r="V187" s="3" t="s">
        <v>91</v>
      </c>
    </row>
    <row r="188" spans="4:22" ht="17.649999999999999" x14ac:dyDescent="0.5">
      <c r="D188" s="3" t="s">
        <v>85</v>
      </c>
      <c r="S188">
        <v>1</v>
      </c>
      <c r="T188">
        <v>10</v>
      </c>
      <c r="V188" s="3" t="s">
        <v>91</v>
      </c>
    </row>
    <row r="189" spans="4:22" ht="17.649999999999999" x14ac:dyDescent="0.5">
      <c r="D189" s="3" t="s">
        <v>68</v>
      </c>
      <c r="S189">
        <v>1</v>
      </c>
      <c r="T189">
        <v>10</v>
      </c>
      <c r="V189" s="3" t="s">
        <v>91</v>
      </c>
    </row>
    <row r="190" spans="4:22" ht="17.649999999999999" x14ac:dyDescent="0.5">
      <c r="D190" s="3" t="s">
        <v>46</v>
      </c>
      <c r="S190">
        <v>1</v>
      </c>
      <c r="T190">
        <v>11</v>
      </c>
      <c r="V190" s="3" t="s">
        <v>134</v>
      </c>
    </row>
    <row r="191" spans="4:22" ht="17.649999999999999" x14ac:dyDescent="0.5">
      <c r="D191" s="3" t="s">
        <v>98</v>
      </c>
      <c r="S191">
        <v>1</v>
      </c>
      <c r="T191">
        <v>11</v>
      </c>
      <c r="V191" s="3" t="s">
        <v>134</v>
      </c>
    </row>
    <row r="192" spans="4:22" ht="17.649999999999999" x14ac:dyDescent="0.5">
      <c r="D192" s="3" t="s">
        <v>61</v>
      </c>
      <c r="S192">
        <v>1</v>
      </c>
      <c r="T192">
        <v>11</v>
      </c>
      <c r="V192" s="3" t="s">
        <v>134</v>
      </c>
    </row>
    <row r="193" spans="4:22" ht="17.649999999999999" x14ac:dyDescent="0.5">
      <c r="D193" s="3" t="s">
        <v>103</v>
      </c>
      <c r="S193">
        <v>1</v>
      </c>
      <c r="T193">
        <v>11</v>
      </c>
      <c r="V193" s="3" t="s">
        <v>134</v>
      </c>
    </row>
    <row r="194" spans="4:22" ht="17.649999999999999" x14ac:dyDescent="0.5">
      <c r="D194" s="3" t="s">
        <v>50</v>
      </c>
      <c r="S194">
        <v>1</v>
      </c>
      <c r="T194">
        <v>11</v>
      </c>
      <c r="V194" s="3" t="s">
        <v>134</v>
      </c>
    </row>
    <row r="195" spans="4:22" ht="17.649999999999999" x14ac:dyDescent="0.5">
      <c r="D195" s="3" t="s">
        <v>74</v>
      </c>
      <c r="S195">
        <v>1</v>
      </c>
      <c r="T195">
        <v>11</v>
      </c>
      <c r="V195" s="3" t="s">
        <v>134</v>
      </c>
    </row>
    <row r="196" spans="4:22" ht="17.649999999999999" x14ac:dyDescent="0.5">
      <c r="D196" s="3" t="s">
        <v>104</v>
      </c>
      <c r="S196">
        <v>1</v>
      </c>
      <c r="T196">
        <v>11</v>
      </c>
      <c r="V196" s="3" t="s">
        <v>71</v>
      </c>
    </row>
    <row r="197" spans="4:22" ht="17.649999999999999" x14ac:dyDescent="0.5">
      <c r="D197" s="3" t="s">
        <v>64</v>
      </c>
      <c r="S197">
        <v>1</v>
      </c>
      <c r="T197">
        <v>11</v>
      </c>
      <c r="V197" s="3" t="s">
        <v>71</v>
      </c>
    </row>
    <row r="198" spans="4:22" ht="17.649999999999999" x14ac:dyDescent="0.5">
      <c r="D198" s="3" t="s">
        <v>45</v>
      </c>
      <c r="S198">
        <v>1</v>
      </c>
      <c r="T198">
        <v>11</v>
      </c>
      <c r="V198" s="3" t="s">
        <v>71</v>
      </c>
    </row>
    <row r="199" spans="4:22" ht="17.649999999999999" x14ac:dyDescent="0.5">
      <c r="D199" s="3" t="s">
        <v>105</v>
      </c>
      <c r="S199">
        <v>1</v>
      </c>
      <c r="T199">
        <v>11</v>
      </c>
      <c r="V199" s="3" t="s">
        <v>71</v>
      </c>
    </row>
    <row r="200" spans="4:22" ht="17.649999999999999" x14ac:dyDescent="0.5">
      <c r="D200" s="3" t="s">
        <v>51</v>
      </c>
      <c r="S200">
        <v>1</v>
      </c>
      <c r="T200">
        <v>11</v>
      </c>
      <c r="V200" s="3" t="s">
        <v>71</v>
      </c>
    </row>
    <row r="201" spans="4:22" ht="17.649999999999999" x14ac:dyDescent="0.5">
      <c r="D201" s="3" t="s">
        <v>86</v>
      </c>
      <c r="S201">
        <v>1</v>
      </c>
      <c r="T201">
        <v>11</v>
      </c>
      <c r="V201" s="3" t="s">
        <v>71</v>
      </c>
    </row>
    <row r="202" spans="4:22" ht="17.649999999999999" x14ac:dyDescent="0.5">
      <c r="D202" s="3" t="s">
        <v>41</v>
      </c>
      <c r="S202">
        <v>1</v>
      </c>
      <c r="T202">
        <v>11</v>
      </c>
      <c r="V202" s="3" t="s">
        <v>71</v>
      </c>
    </row>
    <row r="203" spans="4:22" ht="17.649999999999999" x14ac:dyDescent="0.5">
      <c r="D203" s="3" t="s">
        <v>75</v>
      </c>
      <c r="S203">
        <v>1</v>
      </c>
      <c r="T203">
        <v>11</v>
      </c>
      <c r="V203" s="3" t="s">
        <v>71</v>
      </c>
    </row>
    <row r="204" spans="4:22" ht="17.649999999999999" x14ac:dyDescent="0.5">
      <c r="D204" s="3" t="s">
        <v>56</v>
      </c>
      <c r="S204">
        <v>1</v>
      </c>
      <c r="T204">
        <v>11</v>
      </c>
      <c r="V204" s="3" t="s">
        <v>41</v>
      </c>
    </row>
    <row r="205" spans="4:22" ht="17.649999999999999" x14ac:dyDescent="0.5">
      <c r="D205" s="3" t="s">
        <v>106</v>
      </c>
      <c r="S205">
        <v>1</v>
      </c>
      <c r="T205">
        <v>11</v>
      </c>
      <c r="V205" s="3" t="s">
        <v>41</v>
      </c>
    </row>
    <row r="206" spans="4:22" ht="17.649999999999999" x14ac:dyDescent="0.5">
      <c r="D206" s="3" t="s">
        <v>44</v>
      </c>
      <c r="S206">
        <v>1</v>
      </c>
      <c r="T206">
        <v>11</v>
      </c>
      <c r="V206" s="3" t="s">
        <v>41</v>
      </c>
    </row>
    <row r="207" spans="4:22" ht="17.649999999999999" x14ac:dyDescent="0.5">
      <c r="D207" s="3" t="s">
        <v>62</v>
      </c>
      <c r="S207">
        <v>1</v>
      </c>
      <c r="T207">
        <v>11</v>
      </c>
      <c r="V207" s="3" t="s">
        <v>41</v>
      </c>
    </row>
    <row r="208" spans="4:22" ht="17.649999999999999" x14ac:dyDescent="0.5">
      <c r="D208" s="3" t="s">
        <v>59</v>
      </c>
      <c r="S208">
        <v>1</v>
      </c>
      <c r="T208">
        <v>11</v>
      </c>
      <c r="V208" s="3" t="s">
        <v>41</v>
      </c>
    </row>
    <row r="209" spans="4:22" ht="17.649999999999999" x14ac:dyDescent="0.5">
      <c r="D209" s="3" t="s">
        <v>107</v>
      </c>
      <c r="S209">
        <v>1</v>
      </c>
      <c r="T209">
        <v>11</v>
      </c>
      <c r="V209" s="3" t="s">
        <v>41</v>
      </c>
    </row>
    <row r="210" spans="4:22" ht="17.649999999999999" x14ac:dyDescent="0.5">
      <c r="D210" s="3" t="s">
        <v>108</v>
      </c>
      <c r="S210">
        <v>1</v>
      </c>
      <c r="T210">
        <v>11</v>
      </c>
      <c r="V210" s="3" t="s">
        <v>41</v>
      </c>
    </row>
    <row r="211" spans="4:22" ht="17.649999999999999" x14ac:dyDescent="0.5">
      <c r="D211" s="3" t="s">
        <v>109</v>
      </c>
      <c r="S211">
        <v>1</v>
      </c>
      <c r="T211">
        <v>11</v>
      </c>
      <c r="V211" s="3" t="s">
        <v>41</v>
      </c>
    </row>
    <row r="212" spans="4:22" ht="17.649999999999999" x14ac:dyDescent="0.5">
      <c r="D212" s="3" t="s">
        <v>98</v>
      </c>
      <c r="S212">
        <v>1</v>
      </c>
      <c r="T212">
        <v>11</v>
      </c>
      <c r="V212" s="3" t="s">
        <v>41</v>
      </c>
    </row>
    <row r="213" spans="4:22" ht="17.649999999999999" x14ac:dyDescent="0.5">
      <c r="D213" s="3" t="s">
        <v>75</v>
      </c>
      <c r="S213">
        <v>1</v>
      </c>
      <c r="T213">
        <v>11</v>
      </c>
      <c r="V213" s="3" t="s">
        <v>41</v>
      </c>
    </row>
    <row r="214" spans="4:22" ht="17.649999999999999" x14ac:dyDescent="0.5">
      <c r="D214" s="3" t="s">
        <v>110</v>
      </c>
      <c r="S214">
        <v>1</v>
      </c>
      <c r="T214">
        <v>11</v>
      </c>
      <c r="V214" s="3" t="s">
        <v>41</v>
      </c>
    </row>
    <row r="215" spans="4:22" ht="17.649999999999999" x14ac:dyDescent="0.5">
      <c r="D215" s="3" t="s">
        <v>87</v>
      </c>
      <c r="S215">
        <v>1</v>
      </c>
      <c r="T215">
        <v>11</v>
      </c>
      <c r="V215" s="3" t="s">
        <v>41</v>
      </c>
    </row>
    <row r="216" spans="4:22" ht="17.649999999999999" x14ac:dyDescent="0.5">
      <c r="D216" s="3" t="s">
        <v>53</v>
      </c>
      <c r="S216">
        <v>1</v>
      </c>
      <c r="T216">
        <v>11</v>
      </c>
      <c r="V216" s="3" t="s">
        <v>41</v>
      </c>
    </row>
    <row r="217" spans="4:22" ht="17.649999999999999" x14ac:dyDescent="0.5">
      <c r="D217" s="3" t="s">
        <v>87</v>
      </c>
      <c r="S217">
        <v>1</v>
      </c>
      <c r="T217">
        <v>11</v>
      </c>
      <c r="V217" s="3" t="s">
        <v>41</v>
      </c>
    </row>
    <row r="218" spans="4:22" ht="17.649999999999999" x14ac:dyDescent="0.5">
      <c r="D218" s="3" t="s">
        <v>53</v>
      </c>
      <c r="S218">
        <v>1</v>
      </c>
      <c r="T218">
        <v>11</v>
      </c>
      <c r="V218" s="3" t="s">
        <v>41</v>
      </c>
    </row>
    <row r="219" spans="4:22" ht="17.649999999999999" x14ac:dyDescent="0.5">
      <c r="D219" s="3" t="s">
        <v>61</v>
      </c>
      <c r="S219">
        <v>1</v>
      </c>
      <c r="T219">
        <v>11</v>
      </c>
      <c r="V219" s="3" t="s">
        <v>41</v>
      </c>
    </row>
    <row r="220" spans="4:22" ht="17.649999999999999" x14ac:dyDescent="0.5">
      <c r="D220" s="3" t="s">
        <v>55</v>
      </c>
      <c r="S220">
        <v>1</v>
      </c>
      <c r="T220">
        <v>11</v>
      </c>
      <c r="V220" s="3" t="s">
        <v>41</v>
      </c>
    </row>
    <row r="221" spans="4:22" ht="17.649999999999999" x14ac:dyDescent="0.5">
      <c r="D221" s="3" t="s">
        <v>111</v>
      </c>
      <c r="S221">
        <v>1</v>
      </c>
      <c r="T221">
        <v>11</v>
      </c>
      <c r="V221" s="3" t="s">
        <v>41</v>
      </c>
    </row>
    <row r="222" spans="4:22" ht="17.649999999999999" x14ac:dyDescent="0.5">
      <c r="D222" s="3" t="s">
        <v>57</v>
      </c>
      <c r="S222">
        <v>1</v>
      </c>
      <c r="T222">
        <v>11</v>
      </c>
      <c r="V222" s="3" t="s">
        <v>41</v>
      </c>
    </row>
    <row r="223" spans="4:22" ht="17.649999999999999" x14ac:dyDescent="0.5">
      <c r="D223" s="3" t="s">
        <v>112</v>
      </c>
      <c r="S223">
        <v>1</v>
      </c>
      <c r="T223">
        <v>11</v>
      </c>
      <c r="V223" s="3" t="s">
        <v>41</v>
      </c>
    </row>
    <row r="224" spans="4:22" ht="17.649999999999999" x14ac:dyDescent="0.5">
      <c r="D224" s="3" t="s">
        <v>113</v>
      </c>
      <c r="S224">
        <v>1</v>
      </c>
      <c r="T224">
        <v>11</v>
      </c>
      <c r="V224" s="3" t="s">
        <v>41</v>
      </c>
    </row>
    <row r="225" spans="4:22" ht="17.649999999999999" x14ac:dyDescent="0.5">
      <c r="D225" s="3" t="s">
        <v>59</v>
      </c>
      <c r="S225">
        <v>1</v>
      </c>
      <c r="T225">
        <v>11</v>
      </c>
      <c r="V225" s="3" t="s">
        <v>41</v>
      </c>
    </row>
    <row r="226" spans="4:22" ht="17.649999999999999" x14ac:dyDescent="0.5">
      <c r="D226" s="3" t="s">
        <v>81</v>
      </c>
      <c r="S226">
        <v>1</v>
      </c>
      <c r="T226">
        <v>11</v>
      </c>
      <c r="V226" s="3" t="s">
        <v>41</v>
      </c>
    </row>
    <row r="227" spans="4:22" ht="17.649999999999999" x14ac:dyDescent="0.5">
      <c r="D227" s="3" t="s">
        <v>114</v>
      </c>
      <c r="S227">
        <v>1</v>
      </c>
      <c r="T227">
        <v>11</v>
      </c>
      <c r="V227" s="3" t="s">
        <v>41</v>
      </c>
    </row>
    <row r="228" spans="4:22" ht="17.649999999999999" x14ac:dyDescent="0.5">
      <c r="D228" s="3" t="s">
        <v>51</v>
      </c>
      <c r="S228">
        <v>1</v>
      </c>
      <c r="T228">
        <v>11</v>
      </c>
      <c r="V228" s="3" t="s">
        <v>41</v>
      </c>
    </row>
    <row r="229" spans="4:22" ht="17.649999999999999" x14ac:dyDescent="0.5">
      <c r="D229" s="3" t="s">
        <v>89</v>
      </c>
      <c r="S229">
        <v>1</v>
      </c>
      <c r="T229">
        <v>11</v>
      </c>
      <c r="V229" s="3" t="s">
        <v>41</v>
      </c>
    </row>
    <row r="230" spans="4:22" ht="17.649999999999999" x14ac:dyDescent="0.5">
      <c r="D230" s="3" t="s">
        <v>73</v>
      </c>
      <c r="S230">
        <v>1</v>
      </c>
      <c r="T230">
        <v>11</v>
      </c>
      <c r="V230" s="3" t="s">
        <v>41</v>
      </c>
    </row>
    <row r="231" spans="4:22" ht="17.649999999999999" x14ac:dyDescent="0.5">
      <c r="D231" s="3" t="s">
        <v>84</v>
      </c>
      <c r="S231">
        <v>1</v>
      </c>
      <c r="T231">
        <v>11</v>
      </c>
      <c r="V231" s="3" t="s">
        <v>41</v>
      </c>
    </row>
    <row r="232" spans="4:22" ht="17.649999999999999" x14ac:dyDescent="0.5">
      <c r="D232" s="3" t="s">
        <v>56</v>
      </c>
      <c r="S232">
        <v>1</v>
      </c>
      <c r="T232">
        <v>11</v>
      </c>
      <c r="V232" s="3" t="s">
        <v>41</v>
      </c>
    </row>
    <row r="233" spans="4:22" ht="17.649999999999999" x14ac:dyDescent="0.5">
      <c r="D233" s="3" t="s">
        <v>88</v>
      </c>
      <c r="S233">
        <v>1</v>
      </c>
      <c r="T233">
        <v>11</v>
      </c>
      <c r="V233" s="3" t="s">
        <v>41</v>
      </c>
    </row>
    <row r="234" spans="4:22" ht="17.649999999999999" x14ac:dyDescent="0.5">
      <c r="D234" s="3" t="s">
        <v>53</v>
      </c>
      <c r="S234">
        <v>1</v>
      </c>
      <c r="T234">
        <v>11</v>
      </c>
      <c r="V234" s="3" t="s">
        <v>41</v>
      </c>
    </row>
    <row r="235" spans="4:22" ht="17.649999999999999" x14ac:dyDescent="0.5">
      <c r="D235" s="3" t="s">
        <v>57</v>
      </c>
      <c r="S235">
        <v>1</v>
      </c>
      <c r="T235">
        <v>11</v>
      </c>
      <c r="V235" s="3" t="s">
        <v>41</v>
      </c>
    </row>
    <row r="236" spans="4:22" ht="17.649999999999999" x14ac:dyDescent="0.5">
      <c r="D236" s="3" t="s">
        <v>63</v>
      </c>
      <c r="S236">
        <v>1</v>
      </c>
      <c r="T236">
        <v>11</v>
      </c>
      <c r="V236" s="3" t="s">
        <v>41</v>
      </c>
    </row>
    <row r="237" spans="4:22" ht="17.649999999999999" x14ac:dyDescent="0.5">
      <c r="D237" s="3" t="s">
        <v>45</v>
      </c>
      <c r="S237">
        <v>1</v>
      </c>
      <c r="T237">
        <v>11</v>
      </c>
      <c r="V237" s="3" t="s">
        <v>41</v>
      </c>
    </row>
    <row r="238" spans="4:22" ht="17.649999999999999" x14ac:dyDescent="0.5">
      <c r="D238" s="3" t="s">
        <v>103</v>
      </c>
      <c r="S238">
        <v>1</v>
      </c>
      <c r="T238">
        <v>11</v>
      </c>
      <c r="V238" s="3" t="s">
        <v>41</v>
      </c>
    </row>
    <row r="239" spans="4:22" ht="17.649999999999999" x14ac:dyDescent="0.5">
      <c r="D239" s="3" t="s">
        <v>112</v>
      </c>
      <c r="S239">
        <v>1</v>
      </c>
      <c r="T239">
        <v>11</v>
      </c>
      <c r="V239" s="3" t="s">
        <v>41</v>
      </c>
    </row>
    <row r="240" spans="4:22" ht="17.649999999999999" x14ac:dyDescent="0.5">
      <c r="D240" s="3" t="s">
        <v>115</v>
      </c>
      <c r="S240">
        <v>1</v>
      </c>
      <c r="T240">
        <v>11</v>
      </c>
      <c r="V240" s="3" t="s">
        <v>41</v>
      </c>
    </row>
    <row r="241" spans="4:22" ht="17.649999999999999" x14ac:dyDescent="0.5">
      <c r="D241" s="3" t="s">
        <v>89</v>
      </c>
      <c r="S241">
        <v>1</v>
      </c>
      <c r="T241">
        <v>11</v>
      </c>
      <c r="V241" s="3" t="s">
        <v>41</v>
      </c>
    </row>
    <row r="242" spans="4:22" ht="17.649999999999999" x14ac:dyDescent="0.5">
      <c r="D242" s="3" t="s">
        <v>90</v>
      </c>
      <c r="S242">
        <v>1</v>
      </c>
      <c r="T242">
        <v>11</v>
      </c>
      <c r="V242" s="3" t="s">
        <v>41</v>
      </c>
    </row>
    <row r="243" spans="4:22" ht="17.649999999999999" x14ac:dyDescent="0.5">
      <c r="D243" s="3" t="s">
        <v>54</v>
      </c>
      <c r="S243">
        <v>1</v>
      </c>
      <c r="T243">
        <v>11</v>
      </c>
      <c r="V243" s="3" t="s">
        <v>41</v>
      </c>
    </row>
    <row r="244" spans="4:22" ht="17.649999999999999" x14ac:dyDescent="0.5">
      <c r="D244" s="3" t="s">
        <v>116</v>
      </c>
      <c r="S244">
        <v>1</v>
      </c>
      <c r="T244">
        <v>11</v>
      </c>
      <c r="V244" s="3" t="s">
        <v>41</v>
      </c>
    </row>
    <row r="245" spans="4:22" ht="17.649999999999999" x14ac:dyDescent="0.5">
      <c r="D245" s="3" t="s">
        <v>84</v>
      </c>
      <c r="S245">
        <v>1</v>
      </c>
      <c r="T245">
        <v>11</v>
      </c>
      <c r="V245" s="3" t="s">
        <v>41</v>
      </c>
    </row>
    <row r="246" spans="4:22" ht="17.649999999999999" x14ac:dyDescent="0.5">
      <c r="D246" s="3" t="s">
        <v>117</v>
      </c>
      <c r="S246">
        <v>1</v>
      </c>
      <c r="T246">
        <v>11</v>
      </c>
      <c r="V246" s="3" t="s">
        <v>41</v>
      </c>
    </row>
    <row r="247" spans="4:22" ht="17.649999999999999" x14ac:dyDescent="0.5">
      <c r="D247" s="3" t="s">
        <v>107</v>
      </c>
      <c r="S247">
        <v>1</v>
      </c>
      <c r="T247">
        <v>11</v>
      </c>
      <c r="V247" s="3" t="s">
        <v>85</v>
      </c>
    </row>
    <row r="248" spans="4:22" ht="17.649999999999999" x14ac:dyDescent="0.5">
      <c r="D248" s="3" t="s">
        <v>65</v>
      </c>
      <c r="S248">
        <v>1</v>
      </c>
      <c r="T248">
        <v>11</v>
      </c>
      <c r="V248" s="3" t="s">
        <v>85</v>
      </c>
    </row>
    <row r="249" spans="4:22" ht="17.649999999999999" x14ac:dyDescent="0.5">
      <c r="D249" s="3" t="s">
        <v>53</v>
      </c>
      <c r="S249">
        <v>1</v>
      </c>
      <c r="T249">
        <v>11</v>
      </c>
      <c r="V249" s="3" t="s">
        <v>85</v>
      </c>
    </row>
    <row r="250" spans="4:22" ht="17.649999999999999" x14ac:dyDescent="0.5">
      <c r="D250" s="3" t="s">
        <v>66</v>
      </c>
      <c r="S250">
        <v>1</v>
      </c>
      <c r="T250">
        <v>11</v>
      </c>
      <c r="V250" s="3" t="s">
        <v>85</v>
      </c>
    </row>
    <row r="251" spans="4:22" ht="17.649999999999999" x14ac:dyDescent="0.5">
      <c r="D251" s="3" t="s">
        <v>83</v>
      </c>
      <c r="S251">
        <v>1</v>
      </c>
      <c r="T251">
        <v>11</v>
      </c>
      <c r="V251" s="3" t="s">
        <v>85</v>
      </c>
    </row>
    <row r="252" spans="4:22" ht="17.649999999999999" x14ac:dyDescent="0.5">
      <c r="D252" s="3" t="s">
        <v>75</v>
      </c>
      <c r="S252">
        <v>1</v>
      </c>
      <c r="T252">
        <v>11</v>
      </c>
      <c r="V252" s="3" t="s">
        <v>85</v>
      </c>
    </row>
    <row r="253" spans="4:22" ht="17.649999999999999" x14ac:dyDescent="0.5">
      <c r="D253" s="3" t="s">
        <v>74</v>
      </c>
      <c r="S253">
        <v>1</v>
      </c>
      <c r="T253">
        <v>11</v>
      </c>
      <c r="V253" s="3" t="s">
        <v>85</v>
      </c>
    </row>
    <row r="254" spans="4:22" ht="17.649999999999999" x14ac:dyDescent="0.5">
      <c r="D254" s="3" t="s">
        <v>58</v>
      </c>
      <c r="S254">
        <v>1</v>
      </c>
      <c r="T254">
        <v>11</v>
      </c>
      <c r="V254" s="3" t="s">
        <v>85</v>
      </c>
    </row>
    <row r="255" spans="4:22" ht="17.649999999999999" x14ac:dyDescent="0.5">
      <c r="D255" s="3" t="s">
        <v>54</v>
      </c>
      <c r="S255">
        <v>1</v>
      </c>
      <c r="T255">
        <v>11</v>
      </c>
      <c r="V255" s="3" t="s">
        <v>85</v>
      </c>
    </row>
    <row r="256" spans="4:22" ht="17.649999999999999" x14ac:dyDescent="0.5">
      <c r="D256" s="3" t="s">
        <v>94</v>
      </c>
      <c r="S256">
        <v>1</v>
      </c>
      <c r="T256">
        <v>11</v>
      </c>
      <c r="V256" s="3" t="s">
        <v>85</v>
      </c>
    </row>
    <row r="257" spans="4:22" ht="17.649999999999999" x14ac:dyDescent="0.5">
      <c r="D257" s="3" t="s">
        <v>118</v>
      </c>
      <c r="S257">
        <v>1</v>
      </c>
      <c r="T257">
        <v>11</v>
      </c>
      <c r="V257" s="3" t="s">
        <v>85</v>
      </c>
    </row>
    <row r="258" spans="4:22" ht="17.649999999999999" x14ac:dyDescent="0.5">
      <c r="D258" s="3" t="s">
        <v>107</v>
      </c>
      <c r="S258">
        <v>1</v>
      </c>
      <c r="T258">
        <v>11</v>
      </c>
      <c r="V258" s="3" t="s">
        <v>85</v>
      </c>
    </row>
    <row r="259" spans="4:22" ht="17.649999999999999" x14ac:dyDescent="0.5">
      <c r="D259" s="3" t="s">
        <v>44</v>
      </c>
      <c r="S259">
        <v>1</v>
      </c>
      <c r="T259">
        <v>11</v>
      </c>
      <c r="V259" s="3" t="s">
        <v>85</v>
      </c>
    </row>
    <row r="260" spans="4:22" ht="17.649999999999999" x14ac:dyDescent="0.5">
      <c r="D260" s="3" t="s">
        <v>67</v>
      </c>
      <c r="S260">
        <v>1</v>
      </c>
      <c r="T260">
        <v>11</v>
      </c>
      <c r="V260" s="3" t="s">
        <v>85</v>
      </c>
    </row>
    <row r="261" spans="4:22" ht="17.649999999999999" x14ac:dyDescent="0.5">
      <c r="D261" s="3" t="s">
        <v>90</v>
      </c>
      <c r="S261">
        <v>1</v>
      </c>
      <c r="T261">
        <v>11</v>
      </c>
      <c r="V261" s="3" t="s">
        <v>85</v>
      </c>
    </row>
    <row r="262" spans="4:22" ht="17.649999999999999" x14ac:dyDescent="0.5">
      <c r="D262" s="3" t="s">
        <v>119</v>
      </c>
      <c r="S262">
        <v>1</v>
      </c>
      <c r="T262">
        <v>11</v>
      </c>
      <c r="V262" s="3" t="s">
        <v>85</v>
      </c>
    </row>
    <row r="263" spans="4:22" ht="17.649999999999999" x14ac:dyDescent="0.5">
      <c r="D263" s="3" t="s">
        <v>98</v>
      </c>
      <c r="S263">
        <v>1</v>
      </c>
      <c r="T263">
        <v>11</v>
      </c>
      <c r="V263" s="3" t="s">
        <v>85</v>
      </c>
    </row>
    <row r="264" spans="4:22" ht="17.649999999999999" x14ac:dyDescent="0.5">
      <c r="D264" s="3" t="s">
        <v>69</v>
      </c>
      <c r="S264">
        <v>1</v>
      </c>
      <c r="T264">
        <v>11</v>
      </c>
      <c r="V264" s="3" t="s">
        <v>85</v>
      </c>
    </row>
    <row r="265" spans="4:22" ht="17.649999999999999" x14ac:dyDescent="0.5">
      <c r="D265" s="3" t="s">
        <v>100</v>
      </c>
      <c r="S265">
        <v>1</v>
      </c>
      <c r="T265">
        <v>11</v>
      </c>
      <c r="V265" s="3" t="s">
        <v>85</v>
      </c>
    </row>
    <row r="266" spans="4:22" ht="17.649999999999999" x14ac:dyDescent="0.5">
      <c r="D266" s="3" t="s">
        <v>98</v>
      </c>
      <c r="S266">
        <v>1</v>
      </c>
      <c r="T266">
        <v>11</v>
      </c>
      <c r="V266" s="3" t="s">
        <v>85</v>
      </c>
    </row>
    <row r="267" spans="4:22" ht="17.649999999999999" x14ac:dyDescent="0.5">
      <c r="D267" s="3" t="s">
        <v>113</v>
      </c>
      <c r="S267">
        <v>1</v>
      </c>
      <c r="T267">
        <v>11</v>
      </c>
      <c r="V267" s="3" t="s">
        <v>85</v>
      </c>
    </row>
    <row r="268" spans="4:22" ht="17.649999999999999" x14ac:dyDescent="0.5">
      <c r="D268" s="3" t="s">
        <v>105</v>
      </c>
      <c r="S268">
        <v>1</v>
      </c>
      <c r="T268">
        <v>11</v>
      </c>
      <c r="V268" s="3" t="s">
        <v>85</v>
      </c>
    </row>
    <row r="269" spans="4:22" ht="17.649999999999999" x14ac:dyDescent="0.5">
      <c r="D269" s="3" t="s">
        <v>46</v>
      </c>
      <c r="S269">
        <v>1</v>
      </c>
      <c r="T269">
        <v>11</v>
      </c>
      <c r="V269" s="3" t="s">
        <v>85</v>
      </c>
    </row>
    <row r="270" spans="4:22" ht="17.649999999999999" x14ac:dyDescent="0.5">
      <c r="D270" s="3" t="s">
        <v>55</v>
      </c>
      <c r="S270">
        <v>1</v>
      </c>
      <c r="T270">
        <v>11</v>
      </c>
      <c r="V270" s="3" t="s">
        <v>85</v>
      </c>
    </row>
    <row r="271" spans="4:22" ht="17.649999999999999" x14ac:dyDescent="0.5">
      <c r="D271" s="3" t="s">
        <v>103</v>
      </c>
      <c r="S271">
        <v>1</v>
      </c>
      <c r="T271">
        <v>11</v>
      </c>
      <c r="V271" s="3" t="s">
        <v>85</v>
      </c>
    </row>
    <row r="272" spans="4:22" ht="17.649999999999999" x14ac:dyDescent="0.5">
      <c r="D272" s="3" t="s">
        <v>84</v>
      </c>
      <c r="S272">
        <v>1</v>
      </c>
      <c r="T272">
        <v>12</v>
      </c>
      <c r="V272" s="3" t="s">
        <v>121</v>
      </c>
    </row>
    <row r="273" spans="4:22" ht="17.649999999999999" x14ac:dyDescent="0.5">
      <c r="D273" s="3" t="s">
        <v>51</v>
      </c>
      <c r="S273">
        <v>1</v>
      </c>
      <c r="T273">
        <v>12</v>
      </c>
      <c r="V273" s="3" t="s">
        <v>121</v>
      </c>
    </row>
    <row r="274" spans="4:22" ht="17.649999999999999" x14ac:dyDescent="0.5">
      <c r="D274" s="3" t="s">
        <v>117</v>
      </c>
      <c r="S274">
        <v>1</v>
      </c>
      <c r="T274">
        <v>12</v>
      </c>
      <c r="V274" s="3" t="s">
        <v>121</v>
      </c>
    </row>
    <row r="275" spans="4:22" ht="17.649999999999999" x14ac:dyDescent="0.5">
      <c r="D275" s="3" t="s">
        <v>64</v>
      </c>
      <c r="S275">
        <v>1</v>
      </c>
      <c r="T275">
        <v>12</v>
      </c>
      <c r="V275" s="3" t="s">
        <v>121</v>
      </c>
    </row>
    <row r="276" spans="4:22" ht="17.649999999999999" x14ac:dyDescent="0.5">
      <c r="D276" s="3" t="s">
        <v>103</v>
      </c>
      <c r="S276">
        <v>1</v>
      </c>
      <c r="T276">
        <v>12</v>
      </c>
      <c r="V276" s="3" t="s">
        <v>121</v>
      </c>
    </row>
    <row r="277" spans="4:22" ht="17.649999999999999" x14ac:dyDescent="0.5">
      <c r="D277" s="3" t="s">
        <v>77</v>
      </c>
      <c r="S277">
        <v>1</v>
      </c>
      <c r="T277">
        <v>12</v>
      </c>
      <c r="V277" s="3" t="s">
        <v>121</v>
      </c>
    </row>
    <row r="278" spans="4:22" ht="17.649999999999999" x14ac:dyDescent="0.5">
      <c r="D278" s="3" t="s">
        <v>67</v>
      </c>
      <c r="S278">
        <v>1</v>
      </c>
      <c r="T278">
        <v>12</v>
      </c>
      <c r="V278" s="3" t="s">
        <v>121</v>
      </c>
    </row>
    <row r="279" spans="4:22" ht="17.649999999999999" x14ac:dyDescent="0.5">
      <c r="D279" s="3" t="s">
        <v>53</v>
      </c>
      <c r="S279">
        <v>1</v>
      </c>
      <c r="T279">
        <v>12</v>
      </c>
      <c r="V279" s="3" t="s">
        <v>121</v>
      </c>
    </row>
    <row r="280" spans="4:22" ht="17.649999999999999" x14ac:dyDescent="0.5">
      <c r="D280" s="3" t="s">
        <v>66</v>
      </c>
      <c r="S280">
        <v>1</v>
      </c>
      <c r="T280">
        <v>12</v>
      </c>
      <c r="V280" s="3" t="s">
        <v>121</v>
      </c>
    </row>
    <row r="281" spans="4:22" ht="17.649999999999999" x14ac:dyDescent="0.5">
      <c r="D281" s="3" t="s">
        <v>112</v>
      </c>
      <c r="S281">
        <v>1</v>
      </c>
      <c r="T281">
        <v>12</v>
      </c>
      <c r="V281" s="3" t="s">
        <v>121</v>
      </c>
    </row>
    <row r="282" spans="4:22" ht="17.649999999999999" x14ac:dyDescent="0.5">
      <c r="D282" s="3" t="s">
        <v>72</v>
      </c>
      <c r="S282">
        <v>1</v>
      </c>
      <c r="T282">
        <v>12</v>
      </c>
      <c r="V282" s="3" t="s">
        <v>70</v>
      </c>
    </row>
    <row r="283" spans="4:22" ht="17.649999999999999" x14ac:dyDescent="0.5">
      <c r="D283" s="3" t="s">
        <v>120</v>
      </c>
      <c r="S283">
        <v>1</v>
      </c>
      <c r="T283">
        <v>12</v>
      </c>
      <c r="V283" s="3" t="s">
        <v>70</v>
      </c>
    </row>
    <row r="284" spans="4:22" ht="17.649999999999999" x14ac:dyDescent="0.5">
      <c r="D284" s="3" t="s">
        <v>74</v>
      </c>
      <c r="S284">
        <v>1</v>
      </c>
      <c r="T284">
        <v>12</v>
      </c>
      <c r="V284" s="3" t="s">
        <v>70</v>
      </c>
    </row>
    <row r="285" spans="4:22" ht="17.649999999999999" x14ac:dyDescent="0.5">
      <c r="D285" s="3" t="s">
        <v>113</v>
      </c>
      <c r="S285">
        <v>1</v>
      </c>
      <c r="T285">
        <v>12</v>
      </c>
      <c r="V285" s="3" t="s">
        <v>70</v>
      </c>
    </row>
    <row r="286" spans="4:22" ht="17.649999999999999" x14ac:dyDescent="0.5">
      <c r="D286" s="3" t="s">
        <v>69</v>
      </c>
      <c r="S286">
        <v>1</v>
      </c>
      <c r="T286">
        <v>12</v>
      </c>
      <c r="V286" s="3" t="s">
        <v>70</v>
      </c>
    </row>
    <row r="287" spans="4:22" ht="17.649999999999999" x14ac:dyDescent="0.5">
      <c r="D287" s="3" t="s">
        <v>59</v>
      </c>
      <c r="S287">
        <v>1</v>
      </c>
      <c r="T287">
        <v>12</v>
      </c>
      <c r="V287" s="3" t="s">
        <v>70</v>
      </c>
    </row>
    <row r="288" spans="4:22" ht="17.649999999999999" x14ac:dyDescent="0.5">
      <c r="D288" s="3" t="s">
        <v>51</v>
      </c>
      <c r="S288">
        <v>1</v>
      </c>
      <c r="T288">
        <v>12</v>
      </c>
      <c r="V288" s="3" t="s">
        <v>70</v>
      </c>
    </row>
    <row r="289" spans="4:22" ht="17.649999999999999" x14ac:dyDescent="0.5">
      <c r="D289" s="3" t="s">
        <v>84</v>
      </c>
      <c r="S289">
        <v>1</v>
      </c>
      <c r="T289">
        <v>12</v>
      </c>
      <c r="V289" s="3" t="s">
        <v>70</v>
      </c>
    </row>
    <row r="290" spans="4:22" ht="17.649999999999999" x14ac:dyDescent="0.5">
      <c r="D290" s="3" t="s">
        <v>121</v>
      </c>
      <c r="S290">
        <v>1</v>
      </c>
      <c r="T290">
        <v>12</v>
      </c>
      <c r="V290" s="3" t="s">
        <v>70</v>
      </c>
    </row>
    <row r="291" spans="4:22" ht="17.649999999999999" x14ac:dyDescent="0.5">
      <c r="D291" s="3" t="s">
        <v>104</v>
      </c>
      <c r="S291">
        <v>1</v>
      </c>
      <c r="T291">
        <v>12</v>
      </c>
      <c r="V291" s="3" t="s">
        <v>70</v>
      </c>
    </row>
    <row r="292" spans="4:22" ht="17.649999999999999" x14ac:dyDescent="0.5">
      <c r="D292" s="3" t="s">
        <v>46</v>
      </c>
      <c r="S292">
        <v>1</v>
      </c>
      <c r="T292">
        <v>12</v>
      </c>
      <c r="V292" s="3" t="s">
        <v>70</v>
      </c>
    </row>
    <row r="293" spans="4:22" ht="17.649999999999999" x14ac:dyDescent="0.5">
      <c r="D293" s="3" t="s">
        <v>59</v>
      </c>
      <c r="S293">
        <v>1</v>
      </c>
      <c r="T293">
        <v>12</v>
      </c>
      <c r="V293" s="3" t="s">
        <v>112</v>
      </c>
    </row>
    <row r="294" spans="4:22" ht="17.649999999999999" x14ac:dyDescent="0.5">
      <c r="D294" s="3" t="s">
        <v>94</v>
      </c>
      <c r="S294">
        <v>1</v>
      </c>
      <c r="T294">
        <v>12</v>
      </c>
      <c r="V294" s="3" t="s">
        <v>112</v>
      </c>
    </row>
    <row r="295" spans="4:22" ht="17.649999999999999" x14ac:dyDescent="0.5">
      <c r="D295" s="3" t="s">
        <v>66</v>
      </c>
      <c r="S295">
        <v>1</v>
      </c>
      <c r="T295">
        <v>12</v>
      </c>
      <c r="V295" s="3" t="s">
        <v>112</v>
      </c>
    </row>
    <row r="296" spans="4:22" ht="17.649999999999999" x14ac:dyDescent="0.5">
      <c r="D296" s="3" t="s">
        <v>41</v>
      </c>
      <c r="S296">
        <v>1</v>
      </c>
      <c r="T296">
        <v>12</v>
      </c>
      <c r="V296" s="3" t="s">
        <v>112</v>
      </c>
    </row>
    <row r="297" spans="4:22" ht="17.649999999999999" x14ac:dyDescent="0.5">
      <c r="D297" s="3" t="s">
        <v>52</v>
      </c>
      <c r="S297">
        <v>1</v>
      </c>
      <c r="T297">
        <v>12</v>
      </c>
      <c r="V297" s="3" t="s">
        <v>112</v>
      </c>
    </row>
    <row r="298" spans="4:22" ht="17.649999999999999" x14ac:dyDescent="0.5">
      <c r="D298" s="3" t="s">
        <v>65</v>
      </c>
      <c r="S298">
        <v>1</v>
      </c>
      <c r="T298">
        <v>12</v>
      </c>
      <c r="V298" s="3" t="s">
        <v>112</v>
      </c>
    </row>
    <row r="299" spans="4:22" ht="17.649999999999999" x14ac:dyDescent="0.5">
      <c r="D299" s="3" t="s">
        <v>75</v>
      </c>
      <c r="S299">
        <v>1</v>
      </c>
      <c r="T299">
        <v>12</v>
      </c>
      <c r="V299" s="3" t="s">
        <v>112</v>
      </c>
    </row>
    <row r="300" spans="4:22" ht="17.649999999999999" x14ac:dyDescent="0.5">
      <c r="D300" s="3" t="s">
        <v>91</v>
      </c>
      <c r="S300">
        <v>1</v>
      </c>
      <c r="T300">
        <v>12</v>
      </c>
      <c r="V300" s="3" t="s">
        <v>112</v>
      </c>
    </row>
    <row r="301" spans="4:22" ht="17.649999999999999" x14ac:dyDescent="0.5">
      <c r="D301" s="3" t="s">
        <v>67</v>
      </c>
      <c r="S301">
        <v>1</v>
      </c>
      <c r="T301">
        <v>12</v>
      </c>
      <c r="V301" s="3" t="s">
        <v>112</v>
      </c>
    </row>
    <row r="302" spans="4:22" ht="17.649999999999999" x14ac:dyDescent="0.5">
      <c r="D302" s="3" t="s">
        <v>122</v>
      </c>
      <c r="S302">
        <v>1</v>
      </c>
      <c r="T302">
        <v>12</v>
      </c>
      <c r="V302" s="3" t="s">
        <v>112</v>
      </c>
    </row>
    <row r="303" spans="4:22" ht="17.649999999999999" x14ac:dyDescent="0.5">
      <c r="D303" s="3" t="s">
        <v>63</v>
      </c>
      <c r="S303">
        <v>1</v>
      </c>
      <c r="T303">
        <v>12</v>
      </c>
      <c r="V303" s="3" t="s">
        <v>112</v>
      </c>
    </row>
    <row r="304" spans="4:22" ht="17.649999999999999" x14ac:dyDescent="0.5">
      <c r="D304" s="3" t="s">
        <v>47</v>
      </c>
      <c r="S304">
        <v>1</v>
      </c>
      <c r="T304">
        <v>12</v>
      </c>
      <c r="V304" s="3" t="s">
        <v>112</v>
      </c>
    </row>
    <row r="305" spans="4:22" ht="17.649999999999999" x14ac:dyDescent="0.5">
      <c r="D305" s="3" t="s">
        <v>119</v>
      </c>
      <c r="S305">
        <v>1</v>
      </c>
      <c r="T305">
        <v>12</v>
      </c>
      <c r="V305" s="3" t="s">
        <v>112</v>
      </c>
    </row>
    <row r="306" spans="4:22" ht="17.649999999999999" x14ac:dyDescent="0.5">
      <c r="D306" s="3" t="s">
        <v>41</v>
      </c>
      <c r="S306">
        <v>1</v>
      </c>
      <c r="T306">
        <v>12</v>
      </c>
      <c r="V306" s="3" t="s">
        <v>112</v>
      </c>
    </row>
    <row r="307" spans="4:22" ht="17.649999999999999" x14ac:dyDescent="0.5">
      <c r="D307" s="3" t="s">
        <v>45</v>
      </c>
      <c r="S307">
        <v>1</v>
      </c>
      <c r="T307">
        <v>12</v>
      </c>
      <c r="V307" s="3" t="s">
        <v>112</v>
      </c>
    </row>
    <row r="308" spans="4:22" ht="17.649999999999999" x14ac:dyDescent="0.5">
      <c r="D308" s="3" t="s">
        <v>123</v>
      </c>
      <c r="S308">
        <v>1</v>
      </c>
      <c r="T308">
        <v>12</v>
      </c>
      <c r="V308" s="3" t="s">
        <v>112</v>
      </c>
    </row>
    <row r="309" spans="4:22" ht="17.649999999999999" x14ac:dyDescent="0.5">
      <c r="D309" s="3" t="s">
        <v>83</v>
      </c>
      <c r="S309">
        <v>1</v>
      </c>
      <c r="T309">
        <v>12</v>
      </c>
      <c r="V309" s="3" t="s">
        <v>112</v>
      </c>
    </row>
    <row r="310" spans="4:22" ht="17.649999999999999" x14ac:dyDescent="0.5">
      <c r="D310" s="3" t="s">
        <v>63</v>
      </c>
      <c r="S310">
        <v>1</v>
      </c>
      <c r="T310">
        <v>12</v>
      </c>
      <c r="V310" s="3" t="s">
        <v>112</v>
      </c>
    </row>
    <row r="311" spans="4:22" ht="17.649999999999999" x14ac:dyDescent="0.5">
      <c r="D311" s="3" t="s">
        <v>68</v>
      </c>
      <c r="S311">
        <v>1</v>
      </c>
      <c r="T311">
        <v>12</v>
      </c>
      <c r="V311" s="3" t="s">
        <v>112</v>
      </c>
    </row>
    <row r="312" spans="4:22" ht="17.649999999999999" x14ac:dyDescent="0.5">
      <c r="D312" s="3" t="s">
        <v>124</v>
      </c>
      <c r="S312">
        <v>1</v>
      </c>
      <c r="T312">
        <v>12</v>
      </c>
      <c r="V312" s="3" t="s">
        <v>112</v>
      </c>
    </row>
    <row r="313" spans="4:22" ht="17.649999999999999" x14ac:dyDescent="0.5">
      <c r="D313" s="3" t="s">
        <v>80</v>
      </c>
      <c r="S313">
        <v>1</v>
      </c>
      <c r="T313">
        <v>12</v>
      </c>
      <c r="V313" s="3" t="s">
        <v>112</v>
      </c>
    </row>
    <row r="314" spans="4:22" ht="17.649999999999999" x14ac:dyDescent="0.5">
      <c r="D314" s="3" t="s">
        <v>84</v>
      </c>
      <c r="S314">
        <v>1</v>
      </c>
      <c r="T314">
        <v>12</v>
      </c>
      <c r="V314" s="3" t="s">
        <v>112</v>
      </c>
    </row>
    <row r="315" spans="4:22" ht="17.649999999999999" x14ac:dyDescent="0.5">
      <c r="D315" s="3" t="s">
        <v>115</v>
      </c>
      <c r="S315">
        <v>1</v>
      </c>
      <c r="T315">
        <v>12</v>
      </c>
      <c r="V315" s="3" t="s">
        <v>112</v>
      </c>
    </row>
    <row r="316" spans="4:22" ht="17.649999999999999" x14ac:dyDescent="0.5">
      <c r="D316" s="3" t="s">
        <v>88</v>
      </c>
      <c r="S316">
        <v>1</v>
      </c>
      <c r="T316">
        <v>12</v>
      </c>
      <c r="V316" s="3" t="s">
        <v>112</v>
      </c>
    </row>
    <row r="317" spans="4:22" ht="17.649999999999999" x14ac:dyDescent="0.5">
      <c r="D317" s="3" t="s">
        <v>84</v>
      </c>
      <c r="S317">
        <v>1</v>
      </c>
      <c r="T317">
        <v>12</v>
      </c>
      <c r="V317" s="3" t="s">
        <v>112</v>
      </c>
    </row>
    <row r="318" spans="4:22" ht="17.649999999999999" x14ac:dyDescent="0.5">
      <c r="D318" s="3" t="s">
        <v>103</v>
      </c>
      <c r="S318">
        <v>1</v>
      </c>
      <c r="T318">
        <v>12</v>
      </c>
      <c r="V318" s="3" t="s">
        <v>112</v>
      </c>
    </row>
    <row r="319" spans="4:22" ht="17.649999999999999" x14ac:dyDescent="0.5">
      <c r="D319" s="3" t="s">
        <v>51</v>
      </c>
      <c r="S319">
        <v>1</v>
      </c>
      <c r="T319">
        <v>12</v>
      </c>
      <c r="V319" s="3" t="s">
        <v>112</v>
      </c>
    </row>
    <row r="320" spans="4:22" ht="17.649999999999999" x14ac:dyDescent="0.5">
      <c r="D320" s="3" t="s">
        <v>52</v>
      </c>
      <c r="S320">
        <v>1</v>
      </c>
      <c r="T320">
        <v>12</v>
      </c>
      <c r="V320" s="3" t="s">
        <v>103</v>
      </c>
    </row>
    <row r="321" spans="4:22" ht="17.649999999999999" x14ac:dyDescent="0.5">
      <c r="D321" s="3" t="s">
        <v>44</v>
      </c>
      <c r="S321">
        <v>1</v>
      </c>
      <c r="T321">
        <v>12</v>
      </c>
      <c r="V321" s="3" t="s">
        <v>103</v>
      </c>
    </row>
    <row r="322" spans="4:22" ht="17.649999999999999" x14ac:dyDescent="0.5">
      <c r="D322" s="3" t="s">
        <v>69</v>
      </c>
      <c r="S322">
        <v>1</v>
      </c>
      <c r="T322">
        <v>12</v>
      </c>
      <c r="V322" s="3" t="s">
        <v>103</v>
      </c>
    </row>
    <row r="323" spans="4:22" ht="17.649999999999999" x14ac:dyDescent="0.5">
      <c r="D323" s="3" t="s">
        <v>69</v>
      </c>
      <c r="S323">
        <v>1</v>
      </c>
      <c r="T323">
        <v>12</v>
      </c>
      <c r="V323" s="3" t="s">
        <v>103</v>
      </c>
    </row>
    <row r="324" spans="4:22" ht="17.649999999999999" x14ac:dyDescent="0.5">
      <c r="D324" s="3" t="s">
        <v>90</v>
      </c>
      <c r="S324">
        <v>1</v>
      </c>
      <c r="T324">
        <v>12</v>
      </c>
      <c r="V324" s="3" t="s">
        <v>103</v>
      </c>
    </row>
    <row r="325" spans="4:22" ht="17.649999999999999" x14ac:dyDescent="0.5">
      <c r="D325" s="3" t="s">
        <v>109</v>
      </c>
      <c r="S325">
        <v>1</v>
      </c>
      <c r="T325">
        <v>12</v>
      </c>
      <c r="V325" s="3" t="s">
        <v>103</v>
      </c>
    </row>
    <row r="326" spans="4:22" ht="17.649999999999999" x14ac:dyDescent="0.5">
      <c r="D326" s="3" t="s">
        <v>101</v>
      </c>
      <c r="S326">
        <v>1</v>
      </c>
      <c r="T326">
        <v>12</v>
      </c>
      <c r="V326" s="3" t="s">
        <v>103</v>
      </c>
    </row>
    <row r="327" spans="4:22" ht="17.649999999999999" x14ac:dyDescent="0.5">
      <c r="D327" s="3" t="s">
        <v>83</v>
      </c>
      <c r="S327">
        <v>1</v>
      </c>
      <c r="T327">
        <v>12</v>
      </c>
      <c r="V327" s="3" t="s">
        <v>103</v>
      </c>
    </row>
    <row r="328" spans="4:22" ht="17.649999999999999" x14ac:dyDescent="0.5">
      <c r="D328" s="3" t="s">
        <v>57</v>
      </c>
      <c r="S328">
        <v>1</v>
      </c>
      <c r="T328">
        <v>12</v>
      </c>
      <c r="V328" s="3" t="s">
        <v>103</v>
      </c>
    </row>
    <row r="329" spans="4:22" ht="17.649999999999999" x14ac:dyDescent="0.5">
      <c r="D329" s="3" t="s">
        <v>73</v>
      </c>
      <c r="S329">
        <v>1</v>
      </c>
      <c r="T329">
        <v>12</v>
      </c>
      <c r="V329" s="3" t="s">
        <v>103</v>
      </c>
    </row>
    <row r="330" spans="4:22" ht="17.649999999999999" x14ac:dyDescent="0.5">
      <c r="D330" s="3" t="s">
        <v>89</v>
      </c>
      <c r="S330">
        <v>1</v>
      </c>
      <c r="T330">
        <v>12</v>
      </c>
      <c r="V330" s="3" t="s">
        <v>103</v>
      </c>
    </row>
    <row r="331" spans="4:22" ht="17.649999999999999" x14ac:dyDescent="0.5">
      <c r="D331" s="3" t="s">
        <v>49</v>
      </c>
      <c r="S331">
        <v>1</v>
      </c>
      <c r="T331">
        <v>12</v>
      </c>
      <c r="V331" s="3" t="s">
        <v>103</v>
      </c>
    </row>
    <row r="332" spans="4:22" ht="17.649999999999999" x14ac:dyDescent="0.5">
      <c r="D332" s="3" t="s">
        <v>116</v>
      </c>
      <c r="S332">
        <v>1</v>
      </c>
      <c r="T332">
        <v>12</v>
      </c>
      <c r="V332" s="3" t="s">
        <v>103</v>
      </c>
    </row>
    <row r="333" spans="4:22" ht="17.649999999999999" x14ac:dyDescent="0.5">
      <c r="D333" s="3" t="s">
        <v>43</v>
      </c>
      <c r="S333">
        <v>1</v>
      </c>
      <c r="T333">
        <v>12</v>
      </c>
      <c r="V333" s="3" t="s">
        <v>103</v>
      </c>
    </row>
    <row r="334" spans="4:22" ht="17.649999999999999" x14ac:dyDescent="0.5">
      <c r="D334" s="3" t="s">
        <v>96</v>
      </c>
      <c r="S334">
        <v>1</v>
      </c>
      <c r="T334">
        <v>12</v>
      </c>
      <c r="V334" s="3" t="s">
        <v>103</v>
      </c>
    </row>
    <row r="335" spans="4:22" ht="17.649999999999999" x14ac:dyDescent="0.5">
      <c r="D335" s="3" t="s">
        <v>124</v>
      </c>
      <c r="S335">
        <v>1</v>
      </c>
      <c r="T335">
        <v>12</v>
      </c>
      <c r="V335" s="3" t="s">
        <v>103</v>
      </c>
    </row>
    <row r="336" spans="4:22" ht="17.649999999999999" x14ac:dyDescent="0.5">
      <c r="D336" s="3" t="s">
        <v>41</v>
      </c>
      <c r="S336">
        <v>1</v>
      </c>
      <c r="T336">
        <v>12</v>
      </c>
      <c r="V336" s="3" t="s">
        <v>103</v>
      </c>
    </row>
    <row r="337" spans="4:22" ht="17.649999999999999" x14ac:dyDescent="0.5">
      <c r="D337" s="3" t="s">
        <v>117</v>
      </c>
      <c r="S337">
        <v>1</v>
      </c>
      <c r="T337">
        <v>12</v>
      </c>
      <c r="V337" s="3" t="s">
        <v>103</v>
      </c>
    </row>
    <row r="338" spans="4:22" ht="17.649999999999999" x14ac:dyDescent="0.5">
      <c r="D338" s="3" t="s">
        <v>63</v>
      </c>
      <c r="S338">
        <v>1</v>
      </c>
      <c r="T338">
        <v>12</v>
      </c>
      <c r="V338" s="3" t="s">
        <v>103</v>
      </c>
    </row>
    <row r="339" spans="4:22" ht="17.649999999999999" x14ac:dyDescent="0.5">
      <c r="D339" s="3" t="s">
        <v>75</v>
      </c>
      <c r="S339">
        <v>1</v>
      </c>
      <c r="T339">
        <v>12</v>
      </c>
      <c r="V339" s="3" t="s">
        <v>103</v>
      </c>
    </row>
    <row r="340" spans="4:22" ht="17.649999999999999" x14ac:dyDescent="0.5">
      <c r="D340" s="3" t="s">
        <v>95</v>
      </c>
      <c r="S340">
        <v>1</v>
      </c>
      <c r="T340">
        <v>12</v>
      </c>
      <c r="V340" s="3" t="s">
        <v>103</v>
      </c>
    </row>
    <row r="341" spans="4:22" ht="17.649999999999999" x14ac:dyDescent="0.5">
      <c r="D341" s="3" t="s">
        <v>65</v>
      </c>
      <c r="S341">
        <v>1</v>
      </c>
      <c r="T341">
        <v>12</v>
      </c>
      <c r="V341" s="3" t="s">
        <v>103</v>
      </c>
    </row>
    <row r="342" spans="4:22" ht="17.649999999999999" x14ac:dyDescent="0.5">
      <c r="D342" s="3" t="s">
        <v>125</v>
      </c>
      <c r="S342">
        <v>1</v>
      </c>
      <c r="T342">
        <v>12</v>
      </c>
      <c r="V342" s="3" t="s">
        <v>103</v>
      </c>
    </row>
    <row r="343" spans="4:22" ht="17.649999999999999" x14ac:dyDescent="0.5">
      <c r="D343" s="3" t="s">
        <v>70</v>
      </c>
      <c r="S343">
        <v>1</v>
      </c>
      <c r="T343">
        <v>12</v>
      </c>
      <c r="V343" s="3" t="s">
        <v>103</v>
      </c>
    </row>
    <row r="344" spans="4:22" ht="17.649999999999999" x14ac:dyDescent="0.5">
      <c r="D344" s="3" t="s">
        <v>76</v>
      </c>
      <c r="S344">
        <v>1</v>
      </c>
      <c r="T344">
        <v>12</v>
      </c>
      <c r="V344" s="3" t="s">
        <v>103</v>
      </c>
    </row>
    <row r="345" spans="4:22" ht="17.649999999999999" x14ac:dyDescent="0.5">
      <c r="D345" s="3" t="s">
        <v>91</v>
      </c>
      <c r="S345">
        <v>1</v>
      </c>
      <c r="T345">
        <v>12</v>
      </c>
      <c r="V345" s="3" t="s">
        <v>103</v>
      </c>
    </row>
    <row r="346" spans="4:22" ht="17.649999999999999" x14ac:dyDescent="0.5">
      <c r="D346" s="3" t="s">
        <v>66</v>
      </c>
      <c r="S346">
        <v>1</v>
      </c>
      <c r="T346">
        <v>12</v>
      </c>
      <c r="V346" s="3" t="s">
        <v>103</v>
      </c>
    </row>
    <row r="347" spans="4:22" ht="17.649999999999999" x14ac:dyDescent="0.5">
      <c r="D347" s="3" t="s">
        <v>54</v>
      </c>
      <c r="S347">
        <v>1</v>
      </c>
      <c r="T347">
        <v>12</v>
      </c>
      <c r="V347" s="3" t="s">
        <v>103</v>
      </c>
    </row>
    <row r="348" spans="4:22" ht="17.649999999999999" x14ac:dyDescent="0.5">
      <c r="D348" s="3" t="s">
        <v>63</v>
      </c>
      <c r="S348">
        <v>1</v>
      </c>
      <c r="T348">
        <v>12</v>
      </c>
      <c r="V348" s="3" t="s">
        <v>103</v>
      </c>
    </row>
    <row r="349" spans="4:22" ht="17.649999999999999" x14ac:dyDescent="0.5">
      <c r="D349" s="3" t="s">
        <v>108</v>
      </c>
      <c r="S349">
        <v>1</v>
      </c>
      <c r="T349">
        <v>12</v>
      </c>
      <c r="V349" s="3" t="s">
        <v>103</v>
      </c>
    </row>
    <row r="350" spans="4:22" ht="17.649999999999999" x14ac:dyDescent="0.5">
      <c r="D350" s="3" t="s">
        <v>126</v>
      </c>
      <c r="S350">
        <v>1</v>
      </c>
      <c r="T350">
        <v>12</v>
      </c>
      <c r="V350" s="3" t="s">
        <v>103</v>
      </c>
    </row>
    <row r="351" spans="4:22" ht="17.649999999999999" x14ac:dyDescent="0.5">
      <c r="D351" s="3" t="s">
        <v>87</v>
      </c>
      <c r="S351">
        <v>1</v>
      </c>
      <c r="T351">
        <v>12</v>
      </c>
      <c r="V351" s="3" t="s">
        <v>103</v>
      </c>
    </row>
    <row r="352" spans="4:22" ht="17.649999999999999" x14ac:dyDescent="0.5">
      <c r="D352" s="3" t="s">
        <v>108</v>
      </c>
      <c r="S352">
        <v>1</v>
      </c>
      <c r="T352">
        <v>12</v>
      </c>
      <c r="V352" s="3" t="s">
        <v>103</v>
      </c>
    </row>
    <row r="353" spans="4:22" ht="17.649999999999999" x14ac:dyDescent="0.5">
      <c r="D353" s="3" t="s">
        <v>107</v>
      </c>
      <c r="S353">
        <v>1</v>
      </c>
      <c r="T353">
        <v>12</v>
      </c>
      <c r="V353" s="3" t="s">
        <v>103</v>
      </c>
    </row>
    <row r="354" spans="4:22" ht="17.649999999999999" x14ac:dyDescent="0.5">
      <c r="D354" s="3" t="s">
        <v>83</v>
      </c>
      <c r="S354">
        <v>1</v>
      </c>
      <c r="T354">
        <v>12</v>
      </c>
      <c r="V354" s="3" t="s">
        <v>103</v>
      </c>
    </row>
    <row r="355" spans="4:22" ht="17.649999999999999" x14ac:dyDescent="0.5">
      <c r="D355" s="3" t="s">
        <v>53</v>
      </c>
      <c r="S355">
        <v>1</v>
      </c>
      <c r="T355">
        <v>2</v>
      </c>
      <c r="V355" s="3" t="s">
        <v>116</v>
      </c>
    </row>
    <row r="356" spans="4:22" ht="17.649999999999999" x14ac:dyDescent="0.5">
      <c r="D356" s="3" t="s">
        <v>61</v>
      </c>
      <c r="S356">
        <v>1</v>
      </c>
      <c r="T356">
        <v>2</v>
      </c>
      <c r="V356" s="3" t="s">
        <v>116</v>
      </c>
    </row>
    <row r="357" spans="4:22" ht="17.649999999999999" x14ac:dyDescent="0.5">
      <c r="D357" s="3" t="s">
        <v>66</v>
      </c>
      <c r="S357">
        <v>1</v>
      </c>
      <c r="T357">
        <v>2</v>
      </c>
      <c r="V357" s="3" t="s">
        <v>116</v>
      </c>
    </row>
    <row r="358" spans="4:22" ht="17.649999999999999" x14ac:dyDescent="0.5">
      <c r="D358" s="3" t="s">
        <v>94</v>
      </c>
      <c r="S358">
        <v>1</v>
      </c>
      <c r="T358">
        <v>2</v>
      </c>
      <c r="V358" s="3" t="s">
        <v>116</v>
      </c>
    </row>
    <row r="359" spans="4:22" ht="17.649999999999999" x14ac:dyDescent="0.5">
      <c r="D359" s="3" t="s">
        <v>48</v>
      </c>
      <c r="S359">
        <v>1</v>
      </c>
      <c r="T359">
        <v>2</v>
      </c>
      <c r="V359" s="3" t="s">
        <v>116</v>
      </c>
    </row>
    <row r="360" spans="4:22" ht="17.649999999999999" x14ac:dyDescent="0.5">
      <c r="D360" s="3" t="s">
        <v>95</v>
      </c>
      <c r="S360">
        <v>1</v>
      </c>
      <c r="T360">
        <v>2</v>
      </c>
      <c r="V360" s="3" t="s">
        <v>116</v>
      </c>
    </row>
    <row r="361" spans="4:22" ht="17.649999999999999" x14ac:dyDescent="0.5">
      <c r="D361" s="3" t="s">
        <v>43</v>
      </c>
      <c r="S361">
        <v>1</v>
      </c>
      <c r="T361">
        <v>2</v>
      </c>
      <c r="V361" s="3" t="s">
        <v>116</v>
      </c>
    </row>
    <row r="362" spans="4:22" ht="17.649999999999999" x14ac:dyDescent="0.5">
      <c r="D362" s="3" t="s">
        <v>41</v>
      </c>
      <c r="S362">
        <v>1</v>
      </c>
      <c r="T362">
        <v>2</v>
      </c>
      <c r="V362" s="3" t="s">
        <v>116</v>
      </c>
    </row>
    <row r="363" spans="4:22" ht="17.649999999999999" x14ac:dyDescent="0.5">
      <c r="D363" s="3" t="s">
        <v>45</v>
      </c>
      <c r="S363">
        <v>1</v>
      </c>
      <c r="T363">
        <v>2</v>
      </c>
      <c r="V363" s="3" t="s">
        <v>116</v>
      </c>
    </row>
    <row r="364" spans="4:22" ht="17.649999999999999" x14ac:dyDescent="0.5">
      <c r="D364" s="3" t="s">
        <v>127</v>
      </c>
      <c r="S364">
        <v>1</v>
      </c>
      <c r="T364">
        <v>2</v>
      </c>
      <c r="V364" s="3" t="s">
        <v>116</v>
      </c>
    </row>
    <row r="365" spans="4:22" ht="17.649999999999999" x14ac:dyDescent="0.5">
      <c r="D365" s="3" t="s">
        <v>76</v>
      </c>
      <c r="S365">
        <v>1</v>
      </c>
      <c r="T365">
        <v>2</v>
      </c>
      <c r="V365" s="3" t="s">
        <v>116</v>
      </c>
    </row>
    <row r="366" spans="4:22" ht="17.649999999999999" x14ac:dyDescent="0.5">
      <c r="D366" s="3" t="s">
        <v>66</v>
      </c>
      <c r="S366">
        <v>1</v>
      </c>
      <c r="T366">
        <v>2</v>
      </c>
      <c r="V366" s="3" t="s">
        <v>79</v>
      </c>
    </row>
    <row r="367" spans="4:22" ht="17.649999999999999" x14ac:dyDescent="0.5">
      <c r="D367" s="3" t="s">
        <v>94</v>
      </c>
      <c r="S367">
        <v>1</v>
      </c>
      <c r="T367">
        <v>2</v>
      </c>
      <c r="V367" s="3" t="s">
        <v>79</v>
      </c>
    </row>
    <row r="368" spans="4:22" ht="17.649999999999999" x14ac:dyDescent="0.5">
      <c r="D368" s="3" t="s">
        <v>44</v>
      </c>
      <c r="S368">
        <v>1</v>
      </c>
      <c r="T368">
        <v>2</v>
      </c>
      <c r="V368" s="3" t="s">
        <v>79</v>
      </c>
    </row>
    <row r="369" spans="4:22" ht="17.649999999999999" x14ac:dyDescent="0.5">
      <c r="D369" s="3" t="s">
        <v>85</v>
      </c>
      <c r="S369">
        <v>1</v>
      </c>
      <c r="T369">
        <v>2</v>
      </c>
      <c r="V369" s="3" t="s">
        <v>79</v>
      </c>
    </row>
    <row r="370" spans="4:22" ht="17.649999999999999" x14ac:dyDescent="0.5">
      <c r="D370" s="3" t="s">
        <v>101</v>
      </c>
      <c r="S370">
        <v>1</v>
      </c>
      <c r="T370">
        <v>2</v>
      </c>
      <c r="V370" s="3" t="s">
        <v>79</v>
      </c>
    </row>
    <row r="371" spans="4:22" ht="17.649999999999999" x14ac:dyDescent="0.5">
      <c r="D371" s="3" t="s">
        <v>41</v>
      </c>
      <c r="S371">
        <v>1</v>
      </c>
      <c r="T371">
        <v>2</v>
      </c>
      <c r="V371" s="3" t="s">
        <v>79</v>
      </c>
    </row>
    <row r="372" spans="4:22" ht="17.649999999999999" x14ac:dyDescent="0.5">
      <c r="D372" s="3" t="s">
        <v>77</v>
      </c>
      <c r="S372">
        <v>1</v>
      </c>
      <c r="T372">
        <v>2</v>
      </c>
      <c r="V372" s="3" t="s">
        <v>79</v>
      </c>
    </row>
    <row r="373" spans="4:22" ht="17.649999999999999" x14ac:dyDescent="0.5">
      <c r="D373" s="3" t="s">
        <v>62</v>
      </c>
      <c r="S373">
        <v>1</v>
      </c>
      <c r="T373">
        <v>2</v>
      </c>
      <c r="V373" s="3" t="s">
        <v>79</v>
      </c>
    </row>
    <row r="374" spans="4:22" ht="17.649999999999999" x14ac:dyDescent="0.5">
      <c r="D374" s="3" t="s">
        <v>67</v>
      </c>
      <c r="S374">
        <v>1</v>
      </c>
      <c r="T374">
        <v>2</v>
      </c>
      <c r="V374" s="3" t="s">
        <v>79</v>
      </c>
    </row>
    <row r="375" spans="4:22" ht="17.649999999999999" x14ac:dyDescent="0.5">
      <c r="D375" s="3" t="s">
        <v>103</v>
      </c>
      <c r="S375">
        <v>1</v>
      </c>
      <c r="T375">
        <v>2</v>
      </c>
      <c r="V375" s="3" t="s">
        <v>79</v>
      </c>
    </row>
    <row r="376" spans="4:22" ht="17.649999999999999" x14ac:dyDescent="0.5">
      <c r="D376" s="3" t="s">
        <v>44</v>
      </c>
      <c r="S376">
        <v>1</v>
      </c>
      <c r="T376">
        <v>2</v>
      </c>
      <c r="V376" s="3" t="s">
        <v>79</v>
      </c>
    </row>
    <row r="377" spans="4:22" ht="17.649999999999999" x14ac:dyDescent="0.5">
      <c r="D377" s="3" t="s">
        <v>84</v>
      </c>
      <c r="S377">
        <v>1</v>
      </c>
      <c r="T377">
        <v>2</v>
      </c>
      <c r="V377" s="3" t="s">
        <v>79</v>
      </c>
    </row>
    <row r="378" spans="4:22" ht="17.649999999999999" x14ac:dyDescent="0.5">
      <c r="D378" s="3" t="s">
        <v>87</v>
      </c>
      <c r="S378">
        <v>1</v>
      </c>
      <c r="T378">
        <v>2</v>
      </c>
      <c r="V378" s="3" t="s">
        <v>79</v>
      </c>
    </row>
    <row r="379" spans="4:22" ht="17.649999999999999" x14ac:dyDescent="0.5">
      <c r="D379" s="3" t="s">
        <v>128</v>
      </c>
      <c r="S379">
        <v>1</v>
      </c>
      <c r="T379">
        <v>2</v>
      </c>
      <c r="V379" s="3" t="s">
        <v>79</v>
      </c>
    </row>
    <row r="380" spans="4:22" ht="17.649999999999999" x14ac:dyDescent="0.5">
      <c r="D380" s="3" t="s">
        <v>64</v>
      </c>
      <c r="S380">
        <v>1</v>
      </c>
      <c r="T380">
        <v>2</v>
      </c>
      <c r="V380" s="3" t="s">
        <v>79</v>
      </c>
    </row>
    <row r="381" spans="4:22" ht="17.649999999999999" x14ac:dyDescent="0.5">
      <c r="D381" s="3" t="s">
        <v>92</v>
      </c>
      <c r="S381">
        <v>1</v>
      </c>
      <c r="T381">
        <v>2</v>
      </c>
      <c r="V381" s="3" t="s">
        <v>63</v>
      </c>
    </row>
    <row r="382" spans="4:22" ht="17.649999999999999" x14ac:dyDescent="0.5">
      <c r="D382" s="3" t="s">
        <v>49</v>
      </c>
      <c r="S382">
        <v>1</v>
      </c>
      <c r="T382">
        <v>2</v>
      </c>
      <c r="V382" s="3" t="s">
        <v>63</v>
      </c>
    </row>
    <row r="383" spans="4:22" ht="17.649999999999999" x14ac:dyDescent="0.5">
      <c r="D383" s="3" t="s">
        <v>72</v>
      </c>
      <c r="S383">
        <v>1</v>
      </c>
      <c r="T383">
        <v>2</v>
      </c>
      <c r="V383" s="3" t="s">
        <v>63</v>
      </c>
    </row>
    <row r="384" spans="4:22" ht="17.649999999999999" x14ac:dyDescent="0.5">
      <c r="D384" s="3" t="s">
        <v>90</v>
      </c>
      <c r="S384">
        <v>1</v>
      </c>
      <c r="T384">
        <v>2</v>
      </c>
      <c r="V384" s="3" t="s">
        <v>63</v>
      </c>
    </row>
    <row r="385" spans="4:22" ht="17.649999999999999" x14ac:dyDescent="0.5">
      <c r="D385" s="3" t="s">
        <v>103</v>
      </c>
      <c r="S385">
        <v>1</v>
      </c>
      <c r="T385">
        <v>2</v>
      </c>
      <c r="V385" s="3" t="s">
        <v>63</v>
      </c>
    </row>
    <row r="386" spans="4:22" ht="17.649999999999999" x14ac:dyDescent="0.5">
      <c r="D386" s="3" t="s">
        <v>84</v>
      </c>
      <c r="S386">
        <v>1</v>
      </c>
      <c r="T386">
        <v>2</v>
      </c>
      <c r="V386" s="3" t="s">
        <v>63</v>
      </c>
    </row>
    <row r="387" spans="4:22" ht="17.649999999999999" x14ac:dyDescent="0.5">
      <c r="D387" s="3" t="s">
        <v>73</v>
      </c>
      <c r="S387">
        <v>1</v>
      </c>
      <c r="T387">
        <v>2</v>
      </c>
      <c r="V387" s="3" t="s">
        <v>63</v>
      </c>
    </row>
    <row r="388" spans="4:22" ht="17.649999999999999" x14ac:dyDescent="0.5">
      <c r="D388" s="3" t="s">
        <v>75</v>
      </c>
      <c r="S388">
        <v>1</v>
      </c>
      <c r="T388">
        <v>2</v>
      </c>
      <c r="V388" s="3" t="s">
        <v>63</v>
      </c>
    </row>
    <row r="389" spans="4:22" ht="17.649999999999999" x14ac:dyDescent="0.5">
      <c r="D389" s="3" t="s">
        <v>41</v>
      </c>
      <c r="S389">
        <v>1</v>
      </c>
      <c r="T389">
        <v>2</v>
      </c>
      <c r="V389" s="3" t="s">
        <v>63</v>
      </c>
    </row>
    <row r="390" spans="4:22" ht="17.649999999999999" x14ac:dyDescent="0.5">
      <c r="D390" s="3" t="s">
        <v>117</v>
      </c>
      <c r="S390">
        <v>1</v>
      </c>
      <c r="T390">
        <v>2</v>
      </c>
      <c r="V390" s="3" t="s">
        <v>63</v>
      </c>
    </row>
    <row r="391" spans="4:22" ht="17.649999999999999" x14ac:dyDescent="0.5">
      <c r="D391" s="3" t="s">
        <v>56</v>
      </c>
      <c r="S391">
        <v>1</v>
      </c>
      <c r="T391">
        <v>2</v>
      </c>
      <c r="V391" s="3" t="s">
        <v>63</v>
      </c>
    </row>
    <row r="392" spans="4:22" ht="17.649999999999999" x14ac:dyDescent="0.5">
      <c r="D392" s="3" t="s">
        <v>65</v>
      </c>
      <c r="S392">
        <v>1</v>
      </c>
      <c r="T392">
        <v>2</v>
      </c>
      <c r="V392" s="3" t="s">
        <v>63</v>
      </c>
    </row>
    <row r="393" spans="4:22" ht="17.649999999999999" x14ac:dyDescent="0.5">
      <c r="D393" s="3" t="s">
        <v>56</v>
      </c>
      <c r="S393">
        <v>1</v>
      </c>
      <c r="T393">
        <v>2</v>
      </c>
      <c r="V393" s="3" t="s">
        <v>63</v>
      </c>
    </row>
    <row r="394" spans="4:22" ht="17.649999999999999" x14ac:dyDescent="0.5">
      <c r="D394" s="3" t="s">
        <v>101</v>
      </c>
      <c r="S394">
        <v>1</v>
      </c>
      <c r="T394">
        <v>2</v>
      </c>
      <c r="V394" s="3" t="s">
        <v>63</v>
      </c>
    </row>
    <row r="395" spans="4:22" ht="17.649999999999999" x14ac:dyDescent="0.5">
      <c r="D395" s="3" t="s">
        <v>107</v>
      </c>
      <c r="S395">
        <v>1</v>
      </c>
      <c r="T395">
        <v>2</v>
      </c>
      <c r="V395" s="3" t="s">
        <v>63</v>
      </c>
    </row>
    <row r="396" spans="4:22" ht="17.649999999999999" x14ac:dyDescent="0.5">
      <c r="D396" s="3" t="s">
        <v>42</v>
      </c>
      <c r="S396">
        <v>1</v>
      </c>
      <c r="T396">
        <v>2</v>
      </c>
      <c r="V396" s="3" t="s">
        <v>63</v>
      </c>
    </row>
    <row r="397" spans="4:22" ht="17.649999999999999" x14ac:dyDescent="0.5">
      <c r="D397" s="3" t="s">
        <v>57</v>
      </c>
      <c r="S397">
        <v>1</v>
      </c>
      <c r="T397">
        <v>2</v>
      </c>
      <c r="V397" s="3" t="s">
        <v>63</v>
      </c>
    </row>
    <row r="398" spans="4:22" ht="17.649999999999999" x14ac:dyDescent="0.5">
      <c r="D398" s="3" t="s">
        <v>58</v>
      </c>
      <c r="S398">
        <v>1</v>
      </c>
      <c r="T398">
        <v>2</v>
      </c>
      <c r="V398" s="3" t="s">
        <v>63</v>
      </c>
    </row>
    <row r="399" spans="4:22" ht="17.649999999999999" x14ac:dyDescent="0.5">
      <c r="D399" s="3" t="s">
        <v>122</v>
      </c>
      <c r="S399">
        <v>1</v>
      </c>
      <c r="T399">
        <v>2</v>
      </c>
      <c r="V399" s="3" t="s">
        <v>63</v>
      </c>
    </row>
    <row r="400" spans="4:22" ht="17.649999999999999" x14ac:dyDescent="0.5">
      <c r="D400" s="3" t="s">
        <v>75</v>
      </c>
      <c r="S400">
        <v>1</v>
      </c>
      <c r="T400">
        <v>2</v>
      </c>
      <c r="V400" s="3" t="s">
        <v>63</v>
      </c>
    </row>
    <row r="401" spans="4:22" ht="17.649999999999999" x14ac:dyDescent="0.5">
      <c r="D401" s="3" t="s">
        <v>55</v>
      </c>
      <c r="S401">
        <v>1</v>
      </c>
      <c r="T401">
        <v>2</v>
      </c>
      <c r="V401" s="3" t="s">
        <v>63</v>
      </c>
    </row>
    <row r="402" spans="4:22" ht="17.649999999999999" x14ac:dyDescent="0.5">
      <c r="D402" s="3" t="s">
        <v>50</v>
      </c>
      <c r="S402">
        <v>1</v>
      </c>
      <c r="T402">
        <v>2</v>
      </c>
      <c r="V402" s="3" t="s">
        <v>63</v>
      </c>
    </row>
    <row r="403" spans="4:22" ht="17.649999999999999" x14ac:dyDescent="0.5">
      <c r="D403" s="3" t="s">
        <v>129</v>
      </c>
      <c r="S403">
        <v>1</v>
      </c>
      <c r="T403">
        <v>2</v>
      </c>
      <c r="V403" s="3" t="s">
        <v>63</v>
      </c>
    </row>
    <row r="404" spans="4:22" ht="17.649999999999999" x14ac:dyDescent="0.5">
      <c r="D404" s="3" t="s">
        <v>63</v>
      </c>
      <c r="S404">
        <v>1</v>
      </c>
      <c r="T404">
        <v>2</v>
      </c>
      <c r="V404" s="3" t="s">
        <v>63</v>
      </c>
    </row>
    <row r="405" spans="4:22" ht="17.649999999999999" x14ac:dyDescent="0.5">
      <c r="D405" s="3" t="s">
        <v>56</v>
      </c>
      <c r="S405">
        <v>1</v>
      </c>
      <c r="T405">
        <v>2</v>
      </c>
      <c r="V405" s="3" t="s">
        <v>63</v>
      </c>
    </row>
    <row r="406" spans="4:22" ht="17.649999999999999" x14ac:dyDescent="0.5">
      <c r="D406" s="3" t="s">
        <v>107</v>
      </c>
      <c r="S406">
        <v>1</v>
      </c>
      <c r="T406">
        <v>2</v>
      </c>
      <c r="V406" s="3" t="s">
        <v>63</v>
      </c>
    </row>
    <row r="407" spans="4:22" ht="17.649999999999999" x14ac:dyDescent="0.5">
      <c r="D407" s="3" t="s">
        <v>122</v>
      </c>
      <c r="S407">
        <v>1</v>
      </c>
      <c r="T407">
        <v>2</v>
      </c>
      <c r="V407" s="3" t="s">
        <v>63</v>
      </c>
    </row>
    <row r="408" spans="4:22" ht="17.649999999999999" x14ac:dyDescent="0.5">
      <c r="D408" s="3" t="s">
        <v>98</v>
      </c>
      <c r="S408">
        <v>1</v>
      </c>
      <c r="T408">
        <v>2</v>
      </c>
      <c r="V408" s="3" t="s">
        <v>63</v>
      </c>
    </row>
    <row r="409" spans="4:22" ht="17.649999999999999" x14ac:dyDescent="0.5">
      <c r="D409" s="3" t="s">
        <v>128</v>
      </c>
      <c r="S409">
        <v>1</v>
      </c>
      <c r="T409">
        <v>2</v>
      </c>
      <c r="V409" s="3" t="s">
        <v>63</v>
      </c>
    </row>
    <row r="410" spans="4:22" ht="17.649999999999999" x14ac:dyDescent="0.5">
      <c r="D410" s="3" t="s">
        <v>48</v>
      </c>
      <c r="S410">
        <v>1</v>
      </c>
      <c r="T410">
        <v>2</v>
      </c>
      <c r="V410" s="3" t="s">
        <v>87</v>
      </c>
    </row>
    <row r="411" spans="4:22" ht="17.649999999999999" x14ac:dyDescent="0.5">
      <c r="D411" s="3" t="s">
        <v>56</v>
      </c>
      <c r="S411">
        <v>1</v>
      </c>
      <c r="T411">
        <v>2</v>
      </c>
      <c r="V411" s="3" t="s">
        <v>87</v>
      </c>
    </row>
    <row r="412" spans="4:22" ht="17.649999999999999" x14ac:dyDescent="0.5">
      <c r="D412" s="3" t="s">
        <v>43</v>
      </c>
      <c r="S412">
        <v>1</v>
      </c>
      <c r="T412">
        <v>2</v>
      </c>
      <c r="V412" s="3" t="s">
        <v>87</v>
      </c>
    </row>
    <row r="413" spans="4:22" ht="17.649999999999999" x14ac:dyDescent="0.5">
      <c r="D413" s="3" t="s">
        <v>117</v>
      </c>
      <c r="S413">
        <v>1</v>
      </c>
      <c r="T413">
        <v>2</v>
      </c>
      <c r="V413" s="3" t="s">
        <v>87</v>
      </c>
    </row>
    <row r="414" spans="4:22" ht="17.649999999999999" x14ac:dyDescent="0.5">
      <c r="D414" s="3" t="s">
        <v>100</v>
      </c>
      <c r="S414">
        <v>1</v>
      </c>
      <c r="T414">
        <v>2</v>
      </c>
      <c r="V414" s="3" t="s">
        <v>87</v>
      </c>
    </row>
    <row r="415" spans="4:22" ht="17.649999999999999" x14ac:dyDescent="0.5">
      <c r="D415" s="3" t="s">
        <v>77</v>
      </c>
      <c r="S415">
        <v>1</v>
      </c>
      <c r="T415">
        <v>2</v>
      </c>
      <c r="V415" s="3" t="s">
        <v>87</v>
      </c>
    </row>
    <row r="416" spans="4:22" ht="17.649999999999999" x14ac:dyDescent="0.5">
      <c r="D416" s="3" t="s">
        <v>59</v>
      </c>
      <c r="S416">
        <v>1</v>
      </c>
      <c r="T416">
        <v>2</v>
      </c>
      <c r="V416" s="3" t="s">
        <v>87</v>
      </c>
    </row>
    <row r="417" spans="4:22" ht="17.649999999999999" x14ac:dyDescent="0.5">
      <c r="D417" s="3" t="s">
        <v>130</v>
      </c>
      <c r="S417">
        <v>1</v>
      </c>
      <c r="T417">
        <v>2</v>
      </c>
      <c r="V417" s="3" t="s">
        <v>87</v>
      </c>
    </row>
    <row r="418" spans="4:22" ht="17.649999999999999" x14ac:dyDescent="0.5">
      <c r="D418" s="3" t="s">
        <v>51</v>
      </c>
      <c r="S418">
        <v>1</v>
      </c>
      <c r="T418">
        <v>2</v>
      </c>
      <c r="V418" s="3" t="s">
        <v>87</v>
      </c>
    </row>
    <row r="419" spans="4:22" ht="17.649999999999999" x14ac:dyDescent="0.5">
      <c r="D419" s="3" t="s">
        <v>101</v>
      </c>
      <c r="S419">
        <v>1</v>
      </c>
      <c r="T419">
        <v>2</v>
      </c>
      <c r="V419" s="3" t="s">
        <v>87</v>
      </c>
    </row>
    <row r="420" spans="4:22" ht="17.649999999999999" x14ac:dyDescent="0.5">
      <c r="D420" s="3" t="s">
        <v>107</v>
      </c>
      <c r="S420">
        <v>1</v>
      </c>
      <c r="T420">
        <v>2</v>
      </c>
      <c r="V420" s="3" t="s">
        <v>87</v>
      </c>
    </row>
    <row r="421" spans="4:22" ht="17.649999999999999" x14ac:dyDescent="0.5">
      <c r="D421" s="3" t="s">
        <v>92</v>
      </c>
      <c r="S421">
        <v>1</v>
      </c>
      <c r="T421">
        <v>2</v>
      </c>
      <c r="V421" s="3" t="s">
        <v>87</v>
      </c>
    </row>
    <row r="422" spans="4:22" ht="17.649999999999999" x14ac:dyDescent="0.5">
      <c r="D422" s="3" t="s">
        <v>93</v>
      </c>
      <c r="S422">
        <v>1</v>
      </c>
      <c r="T422">
        <v>2</v>
      </c>
      <c r="V422" s="3" t="s">
        <v>87</v>
      </c>
    </row>
    <row r="423" spans="4:22" ht="17.649999999999999" x14ac:dyDescent="0.5">
      <c r="D423" s="3" t="s">
        <v>118</v>
      </c>
      <c r="S423">
        <v>1</v>
      </c>
      <c r="T423">
        <v>2</v>
      </c>
      <c r="V423" s="3" t="s">
        <v>87</v>
      </c>
    </row>
    <row r="424" spans="4:22" ht="17.649999999999999" x14ac:dyDescent="0.5">
      <c r="D424" s="3" t="s">
        <v>77</v>
      </c>
      <c r="S424">
        <v>1</v>
      </c>
      <c r="T424">
        <v>2</v>
      </c>
      <c r="V424" s="3" t="s">
        <v>87</v>
      </c>
    </row>
    <row r="425" spans="4:22" ht="17.649999999999999" x14ac:dyDescent="0.5">
      <c r="D425" s="3" t="s">
        <v>73</v>
      </c>
      <c r="S425">
        <v>1</v>
      </c>
      <c r="T425">
        <v>2</v>
      </c>
      <c r="V425" s="3" t="s">
        <v>87</v>
      </c>
    </row>
    <row r="426" spans="4:22" ht="17.649999999999999" x14ac:dyDescent="0.5">
      <c r="D426" s="3" t="s">
        <v>48</v>
      </c>
      <c r="S426">
        <v>1</v>
      </c>
      <c r="T426">
        <v>2</v>
      </c>
      <c r="V426" s="3" t="s">
        <v>87</v>
      </c>
    </row>
    <row r="427" spans="4:22" ht="17.649999999999999" x14ac:dyDescent="0.5">
      <c r="D427" s="3" t="s">
        <v>124</v>
      </c>
      <c r="S427">
        <v>1</v>
      </c>
      <c r="T427">
        <v>2</v>
      </c>
      <c r="V427" s="3" t="s">
        <v>87</v>
      </c>
    </row>
    <row r="428" spans="4:22" ht="17.649999999999999" x14ac:dyDescent="0.5">
      <c r="D428" s="3" t="s">
        <v>131</v>
      </c>
      <c r="S428">
        <v>1</v>
      </c>
      <c r="T428">
        <v>2</v>
      </c>
      <c r="V428" s="3" t="s">
        <v>87</v>
      </c>
    </row>
    <row r="429" spans="4:22" ht="17.649999999999999" x14ac:dyDescent="0.5">
      <c r="D429" s="3" t="s">
        <v>89</v>
      </c>
      <c r="S429">
        <v>1</v>
      </c>
      <c r="T429">
        <v>2</v>
      </c>
      <c r="V429" s="3" t="s">
        <v>87</v>
      </c>
    </row>
    <row r="430" spans="4:22" ht="17.649999999999999" x14ac:dyDescent="0.5">
      <c r="D430" s="3" t="s">
        <v>43</v>
      </c>
      <c r="S430">
        <v>1</v>
      </c>
      <c r="T430">
        <v>2</v>
      </c>
      <c r="V430" s="3" t="s">
        <v>87</v>
      </c>
    </row>
    <row r="431" spans="4:22" ht="17.649999999999999" x14ac:dyDescent="0.5">
      <c r="D431" s="3" t="s">
        <v>76</v>
      </c>
      <c r="S431">
        <v>1</v>
      </c>
      <c r="T431">
        <v>2</v>
      </c>
      <c r="V431" s="3" t="s">
        <v>87</v>
      </c>
    </row>
    <row r="432" spans="4:22" ht="17.649999999999999" x14ac:dyDescent="0.5">
      <c r="D432" s="3" t="s">
        <v>121</v>
      </c>
      <c r="S432">
        <v>1</v>
      </c>
      <c r="T432">
        <v>2</v>
      </c>
      <c r="V432" s="3" t="s">
        <v>87</v>
      </c>
    </row>
    <row r="433" spans="4:22" ht="17.649999999999999" x14ac:dyDescent="0.5">
      <c r="D433" s="3" t="s">
        <v>57</v>
      </c>
      <c r="S433">
        <v>1</v>
      </c>
      <c r="T433">
        <v>2</v>
      </c>
      <c r="V433" s="3" t="s">
        <v>87</v>
      </c>
    </row>
    <row r="434" spans="4:22" ht="17.649999999999999" x14ac:dyDescent="0.5">
      <c r="D434" s="3" t="s">
        <v>110</v>
      </c>
      <c r="S434">
        <v>1</v>
      </c>
      <c r="T434">
        <v>2</v>
      </c>
      <c r="V434" s="3" t="s">
        <v>87</v>
      </c>
    </row>
    <row r="435" spans="4:22" ht="17.649999999999999" x14ac:dyDescent="0.5">
      <c r="D435" s="3" t="s">
        <v>115</v>
      </c>
      <c r="S435">
        <v>1</v>
      </c>
      <c r="T435">
        <v>2</v>
      </c>
      <c r="V435" s="3" t="s">
        <v>87</v>
      </c>
    </row>
    <row r="436" spans="4:22" ht="17.649999999999999" x14ac:dyDescent="0.5">
      <c r="D436" s="3" t="s">
        <v>98</v>
      </c>
      <c r="S436">
        <v>1</v>
      </c>
      <c r="T436">
        <v>2</v>
      </c>
      <c r="V436" s="3" t="s">
        <v>87</v>
      </c>
    </row>
    <row r="437" spans="4:22" ht="17.649999999999999" x14ac:dyDescent="0.5">
      <c r="D437" s="3" t="s">
        <v>102</v>
      </c>
      <c r="S437">
        <v>1</v>
      </c>
      <c r="T437">
        <v>3</v>
      </c>
      <c r="V437" s="3" t="s">
        <v>113</v>
      </c>
    </row>
    <row r="438" spans="4:22" ht="17.649999999999999" x14ac:dyDescent="0.5">
      <c r="D438" s="3" t="s">
        <v>54</v>
      </c>
      <c r="S438">
        <v>1</v>
      </c>
      <c r="T438">
        <v>3</v>
      </c>
      <c r="V438" s="3" t="s">
        <v>113</v>
      </c>
    </row>
    <row r="439" spans="4:22" ht="17.649999999999999" x14ac:dyDescent="0.5">
      <c r="D439" s="3" t="s">
        <v>132</v>
      </c>
      <c r="S439">
        <v>1</v>
      </c>
      <c r="T439">
        <v>3</v>
      </c>
      <c r="V439" s="3" t="s">
        <v>113</v>
      </c>
    </row>
    <row r="440" spans="4:22" ht="17.649999999999999" x14ac:dyDescent="0.5">
      <c r="D440" s="3" t="s">
        <v>47</v>
      </c>
      <c r="S440">
        <v>1</v>
      </c>
      <c r="T440">
        <v>3</v>
      </c>
      <c r="V440" s="3" t="s">
        <v>113</v>
      </c>
    </row>
    <row r="441" spans="4:22" ht="17.649999999999999" x14ac:dyDescent="0.5">
      <c r="D441" s="3" t="s">
        <v>48</v>
      </c>
      <c r="S441">
        <v>1</v>
      </c>
      <c r="T441">
        <v>3</v>
      </c>
      <c r="V441" s="3" t="s">
        <v>113</v>
      </c>
    </row>
    <row r="442" spans="4:22" ht="17.649999999999999" x14ac:dyDescent="0.5">
      <c r="D442" s="3" t="s">
        <v>97</v>
      </c>
      <c r="S442">
        <v>1</v>
      </c>
      <c r="T442">
        <v>3</v>
      </c>
      <c r="V442" s="3" t="s">
        <v>113</v>
      </c>
    </row>
    <row r="443" spans="4:22" ht="17.649999999999999" x14ac:dyDescent="0.5">
      <c r="D443" s="3" t="s">
        <v>86</v>
      </c>
      <c r="S443">
        <v>1</v>
      </c>
      <c r="T443">
        <v>3</v>
      </c>
      <c r="V443" s="3" t="s">
        <v>113</v>
      </c>
    </row>
    <row r="444" spans="4:22" ht="17.649999999999999" x14ac:dyDescent="0.5">
      <c r="D444" s="3" t="s">
        <v>81</v>
      </c>
      <c r="S444">
        <v>1</v>
      </c>
      <c r="T444">
        <v>3</v>
      </c>
      <c r="V444" s="3" t="s">
        <v>113</v>
      </c>
    </row>
    <row r="445" spans="4:22" ht="17.649999999999999" x14ac:dyDescent="0.5">
      <c r="D445" s="3" t="s">
        <v>48</v>
      </c>
      <c r="S445">
        <v>1</v>
      </c>
      <c r="T445">
        <v>3</v>
      </c>
      <c r="V445" s="3" t="s">
        <v>113</v>
      </c>
    </row>
    <row r="446" spans="4:22" ht="17.649999999999999" x14ac:dyDescent="0.5">
      <c r="D446" s="3" t="s">
        <v>50</v>
      </c>
      <c r="S446">
        <v>1</v>
      </c>
      <c r="T446">
        <v>3</v>
      </c>
      <c r="V446" s="3" t="s">
        <v>113</v>
      </c>
    </row>
    <row r="447" spans="4:22" ht="17.649999999999999" x14ac:dyDescent="0.5">
      <c r="D447" s="3" t="s">
        <v>63</v>
      </c>
      <c r="S447">
        <v>1</v>
      </c>
      <c r="T447">
        <v>3</v>
      </c>
      <c r="V447" s="3" t="s">
        <v>113</v>
      </c>
    </row>
    <row r="448" spans="4:22" ht="17.649999999999999" x14ac:dyDescent="0.5">
      <c r="D448" s="3" t="s">
        <v>75</v>
      </c>
      <c r="S448">
        <v>1</v>
      </c>
      <c r="T448">
        <v>3</v>
      </c>
      <c r="V448" s="3" t="s">
        <v>113</v>
      </c>
    </row>
    <row r="449" spans="4:22" ht="17.649999999999999" x14ac:dyDescent="0.5">
      <c r="D449" s="3" t="s">
        <v>69</v>
      </c>
      <c r="S449">
        <v>1</v>
      </c>
      <c r="T449">
        <v>3</v>
      </c>
      <c r="V449" s="3" t="s">
        <v>119</v>
      </c>
    </row>
    <row r="450" spans="4:22" ht="17.649999999999999" x14ac:dyDescent="0.5">
      <c r="D450" s="3" t="s">
        <v>78</v>
      </c>
      <c r="S450">
        <v>1</v>
      </c>
      <c r="T450">
        <v>3</v>
      </c>
      <c r="V450" s="3" t="s">
        <v>119</v>
      </c>
    </row>
    <row r="451" spans="4:22" ht="17.649999999999999" x14ac:dyDescent="0.5">
      <c r="D451" s="3" t="s">
        <v>84</v>
      </c>
      <c r="S451">
        <v>1</v>
      </c>
      <c r="T451">
        <v>3</v>
      </c>
      <c r="V451" s="3" t="s">
        <v>119</v>
      </c>
    </row>
    <row r="452" spans="4:22" ht="17.649999999999999" x14ac:dyDescent="0.5">
      <c r="D452" s="3" t="s">
        <v>45</v>
      </c>
      <c r="S452">
        <v>1</v>
      </c>
      <c r="T452">
        <v>3</v>
      </c>
      <c r="V452" s="3" t="s">
        <v>119</v>
      </c>
    </row>
    <row r="453" spans="4:22" ht="17.649999999999999" x14ac:dyDescent="0.5">
      <c r="D453" s="3" t="s">
        <v>100</v>
      </c>
      <c r="S453">
        <v>1</v>
      </c>
      <c r="T453">
        <v>3</v>
      </c>
      <c r="V453" s="3" t="s">
        <v>119</v>
      </c>
    </row>
    <row r="454" spans="4:22" ht="17.649999999999999" x14ac:dyDescent="0.5">
      <c r="D454" s="3" t="s">
        <v>57</v>
      </c>
      <c r="S454">
        <v>1</v>
      </c>
      <c r="T454">
        <v>3</v>
      </c>
      <c r="V454" s="3" t="s">
        <v>119</v>
      </c>
    </row>
    <row r="455" spans="4:22" ht="17.649999999999999" x14ac:dyDescent="0.5">
      <c r="D455" s="3" t="s">
        <v>67</v>
      </c>
      <c r="S455">
        <v>1</v>
      </c>
      <c r="T455">
        <v>3</v>
      </c>
      <c r="V455" s="3" t="s">
        <v>119</v>
      </c>
    </row>
    <row r="456" spans="4:22" ht="17.649999999999999" x14ac:dyDescent="0.5">
      <c r="D456" s="3" t="s">
        <v>80</v>
      </c>
      <c r="S456">
        <v>1</v>
      </c>
      <c r="T456">
        <v>3</v>
      </c>
      <c r="V456" s="3" t="s">
        <v>119</v>
      </c>
    </row>
    <row r="457" spans="4:22" ht="17.649999999999999" x14ac:dyDescent="0.5">
      <c r="D457" s="3" t="s">
        <v>65</v>
      </c>
      <c r="S457">
        <v>1</v>
      </c>
      <c r="T457">
        <v>3</v>
      </c>
      <c r="V457" s="3" t="s">
        <v>65</v>
      </c>
    </row>
    <row r="458" spans="4:22" ht="17.649999999999999" x14ac:dyDescent="0.5">
      <c r="D458" s="3" t="s">
        <v>85</v>
      </c>
      <c r="S458">
        <v>1</v>
      </c>
      <c r="T458">
        <v>3</v>
      </c>
      <c r="V458" s="3" t="s">
        <v>65</v>
      </c>
    </row>
    <row r="459" spans="4:22" ht="17.649999999999999" x14ac:dyDescent="0.5">
      <c r="D459" s="3" t="s">
        <v>74</v>
      </c>
      <c r="S459">
        <v>1</v>
      </c>
      <c r="T459">
        <v>3</v>
      </c>
      <c r="V459" s="3" t="s">
        <v>65</v>
      </c>
    </row>
    <row r="460" spans="4:22" ht="17.649999999999999" x14ac:dyDescent="0.5">
      <c r="D460" s="3" t="s">
        <v>114</v>
      </c>
      <c r="S460">
        <v>1</v>
      </c>
      <c r="T460">
        <v>3</v>
      </c>
      <c r="V460" s="3" t="s">
        <v>65</v>
      </c>
    </row>
    <row r="461" spans="4:22" ht="17.649999999999999" x14ac:dyDescent="0.5">
      <c r="D461" s="3" t="s">
        <v>41</v>
      </c>
      <c r="S461">
        <v>1</v>
      </c>
      <c r="T461">
        <v>3</v>
      </c>
      <c r="V461" s="3" t="s">
        <v>65</v>
      </c>
    </row>
    <row r="462" spans="4:22" ht="17.649999999999999" x14ac:dyDescent="0.5">
      <c r="D462" s="3" t="s">
        <v>76</v>
      </c>
      <c r="S462">
        <v>1</v>
      </c>
      <c r="T462">
        <v>3</v>
      </c>
      <c r="V462" s="3" t="s">
        <v>65</v>
      </c>
    </row>
    <row r="463" spans="4:22" ht="17.649999999999999" x14ac:dyDescent="0.5">
      <c r="D463" s="3" t="s">
        <v>41</v>
      </c>
      <c r="S463">
        <v>1</v>
      </c>
      <c r="T463">
        <v>3</v>
      </c>
      <c r="V463" s="3" t="s">
        <v>65</v>
      </c>
    </row>
    <row r="464" spans="4:22" ht="17.649999999999999" x14ac:dyDescent="0.5">
      <c r="D464" s="3" t="s">
        <v>129</v>
      </c>
      <c r="S464">
        <v>1</v>
      </c>
      <c r="T464">
        <v>3</v>
      </c>
      <c r="V464" s="3" t="s">
        <v>65</v>
      </c>
    </row>
    <row r="465" spans="4:22" ht="17.649999999999999" x14ac:dyDescent="0.5">
      <c r="D465" s="3" t="s">
        <v>111</v>
      </c>
      <c r="S465">
        <v>1</v>
      </c>
      <c r="T465">
        <v>3</v>
      </c>
      <c r="V465" s="3" t="s">
        <v>65</v>
      </c>
    </row>
    <row r="466" spans="4:22" ht="17.649999999999999" x14ac:dyDescent="0.5">
      <c r="D466" s="3" t="s">
        <v>85</v>
      </c>
      <c r="S466">
        <v>1</v>
      </c>
      <c r="T466">
        <v>3</v>
      </c>
      <c r="V466" s="3" t="s">
        <v>65</v>
      </c>
    </row>
    <row r="467" spans="4:22" ht="17.649999999999999" x14ac:dyDescent="0.5">
      <c r="D467" s="3" t="s">
        <v>98</v>
      </c>
      <c r="S467">
        <v>1</v>
      </c>
      <c r="T467">
        <v>3</v>
      </c>
      <c r="V467" s="3" t="s">
        <v>65</v>
      </c>
    </row>
    <row r="468" spans="4:22" ht="17.649999999999999" x14ac:dyDescent="0.5">
      <c r="D468" s="3" t="s">
        <v>82</v>
      </c>
      <c r="S468">
        <v>1</v>
      </c>
      <c r="T468">
        <v>3</v>
      </c>
      <c r="V468" s="3" t="s">
        <v>65</v>
      </c>
    </row>
    <row r="469" spans="4:22" ht="17.649999999999999" x14ac:dyDescent="0.5">
      <c r="D469" s="3" t="s">
        <v>87</v>
      </c>
      <c r="S469">
        <v>1</v>
      </c>
      <c r="T469">
        <v>3</v>
      </c>
      <c r="V469" s="3" t="s">
        <v>65</v>
      </c>
    </row>
    <row r="470" spans="4:22" ht="17.649999999999999" x14ac:dyDescent="0.5">
      <c r="D470" s="3" t="s">
        <v>101</v>
      </c>
      <c r="S470">
        <v>1</v>
      </c>
      <c r="T470">
        <v>3</v>
      </c>
      <c r="V470" s="3" t="s">
        <v>65</v>
      </c>
    </row>
    <row r="471" spans="4:22" ht="17.649999999999999" x14ac:dyDescent="0.5">
      <c r="D471" s="3" t="s">
        <v>75</v>
      </c>
      <c r="S471">
        <v>1</v>
      </c>
      <c r="T471">
        <v>3</v>
      </c>
      <c r="V471" s="3" t="s">
        <v>65</v>
      </c>
    </row>
    <row r="472" spans="4:22" ht="17.649999999999999" x14ac:dyDescent="0.5">
      <c r="D472" s="3" t="s">
        <v>44</v>
      </c>
      <c r="S472">
        <v>1</v>
      </c>
      <c r="T472">
        <v>3</v>
      </c>
      <c r="V472" s="3" t="s">
        <v>65</v>
      </c>
    </row>
    <row r="473" spans="4:22" ht="17.649999999999999" x14ac:dyDescent="0.5">
      <c r="D473" s="3" t="s">
        <v>48</v>
      </c>
      <c r="S473">
        <v>1</v>
      </c>
      <c r="T473">
        <v>3</v>
      </c>
      <c r="V473" s="3" t="s">
        <v>65</v>
      </c>
    </row>
    <row r="474" spans="4:22" ht="17.649999999999999" x14ac:dyDescent="0.5">
      <c r="D474" s="3" t="s">
        <v>128</v>
      </c>
      <c r="S474">
        <v>1</v>
      </c>
      <c r="T474">
        <v>3</v>
      </c>
      <c r="V474" s="3" t="s">
        <v>65</v>
      </c>
    </row>
    <row r="475" spans="4:22" ht="17.649999999999999" x14ac:dyDescent="0.5">
      <c r="D475" s="3" t="s">
        <v>57</v>
      </c>
      <c r="S475">
        <v>1</v>
      </c>
      <c r="T475">
        <v>3</v>
      </c>
      <c r="V475" s="3" t="s">
        <v>65</v>
      </c>
    </row>
    <row r="476" spans="4:22" ht="17.649999999999999" x14ac:dyDescent="0.5">
      <c r="D476" s="3" t="s">
        <v>75</v>
      </c>
      <c r="S476">
        <v>1</v>
      </c>
      <c r="T476">
        <v>3</v>
      </c>
      <c r="V476" s="3" t="s">
        <v>65</v>
      </c>
    </row>
    <row r="477" spans="4:22" ht="17.649999999999999" x14ac:dyDescent="0.5">
      <c r="D477" s="3" t="s">
        <v>53</v>
      </c>
      <c r="S477">
        <v>1</v>
      </c>
      <c r="T477">
        <v>3</v>
      </c>
      <c r="V477" s="3" t="s">
        <v>65</v>
      </c>
    </row>
    <row r="478" spans="4:22" ht="17.649999999999999" x14ac:dyDescent="0.5">
      <c r="D478" s="3" t="s">
        <v>56</v>
      </c>
      <c r="S478">
        <v>1</v>
      </c>
      <c r="T478">
        <v>3</v>
      </c>
      <c r="V478" s="3" t="s">
        <v>65</v>
      </c>
    </row>
    <row r="479" spans="4:22" ht="17.649999999999999" x14ac:dyDescent="0.5">
      <c r="D479" s="3" t="s">
        <v>53</v>
      </c>
      <c r="S479">
        <v>1</v>
      </c>
      <c r="T479">
        <v>3</v>
      </c>
      <c r="V479" s="3" t="s">
        <v>65</v>
      </c>
    </row>
    <row r="480" spans="4:22" ht="17.649999999999999" x14ac:dyDescent="0.5">
      <c r="D480" s="3" t="s">
        <v>99</v>
      </c>
      <c r="S480">
        <v>1</v>
      </c>
      <c r="T480">
        <v>3</v>
      </c>
      <c r="V480" s="3" t="s">
        <v>65</v>
      </c>
    </row>
    <row r="481" spans="4:22" ht="17.649999999999999" x14ac:dyDescent="0.5">
      <c r="D481" s="3" t="s">
        <v>44</v>
      </c>
      <c r="S481">
        <v>1</v>
      </c>
      <c r="T481">
        <v>3</v>
      </c>
      <c r="V481" s="3" t="s">
        <v>65</v>
      </c>
    </row>
    <row r="482" spans="4:22" ht="17.649999999999999" x14ac:dyDescent="0.5">
      <c r="D482" s="3" t="s">
        <v>113</v>
      </c>
      <c r="S482">
        <v>1</v>
      </c>
      <c r="T482">
        <v>3</v>
      </c>
      <c r="V482" s="3" t="s">
        <v>65</v>
      </c>
    </row>
    <row r="483" spans="4:22" ht="17.649999999999999" x14ac:dyDescent="0.5">
      <c r="D483" s="3" t="s">
        <v>107</v>
      </c>
      <c r="S483">
        <v>1</v>
      </c>
      <c r="T483">
        <v>3</v>
      </c>
      <c r="V483" s="3" t="s">
        <v>65</v>
      </c>
    </row>
    <row r="484" spans="4:22" ht="17.649999999999999" x14ac:dyDescent="0.5">
      <c r="D484" s="3" t="s">
        <v>90</v>
      </c>
      <c r="S484">
        <v>1</v>
      </c>
      <c r="T484">
        <v>3</v>
      </c>
      <c r="V484" s="3" t="s">
        <v>65</v>
      </c>
    </row>
    <row r="485" spans="4:22" ht="17.649999999999999" x14ac:dyDescent="0.5">
      <c r="D485" s="3" t="s">
        <v>64</v>
      </c>
      <c r="S485">
        <v>1</v>
      </c>
      <c r="T485">
        <v>3</v>
      </c>
      <c r="V485" s="3" t="s">
        <v>65</v>
      </c>
    </row>
    <row r="486" spans="4:22" ht="17.649999999999999" x14ac:dyDescent="0.5">
      <c r="D486" s="3" t="s">
        <v>43</v>
      </c>
      <c r="S486">
        <v>1</v>
      </c>
      <c r="T486">
        <v>3</v>
      </c>
      <c r="V486" s="3" t="s">
        <v>77</v>
      </c>
    </row>
    <row r="487" spans="4:22" ht="17.649999999999999" x14ac:dyDescent="0.5">
      <c r="D487" s="3" t="s">
        <v>73</v>
      </c>
      <c r="S487">
        <v>1</v>
      </c>
      <c r="T487">
        <v>3</v>
      </c>
      <c r="V487" s="3" t="s">
        <v>77</v>
      </c>
    </row>
    <row r="488" spans="4:22" ht="17.649999999999999" x14ac:dyDescent="0.5">
      <c r="D488" s="3" t="s">
        <v>91</v>
      </c>
      <c r="S488">
        <v>1</v>
      </c>
      <c r="T488">
        <v>3</v>
      </c>
      <c r="V488" s="3" t="s">
        <v>77</v>
      </c>
    </row>
    <row r="489" spans="4:22" ht="17.649999999999999" x14ac:dyDescent="0.5">
      <c r="D489" s="3" t="s">
        <v>50</v>
      </c>
      <c r="S489">
        <v>1</v>
      </c>
      <c r="T489">
        <v>3</v>
      </c>
      <c r="V489" s="3" t="s">
        <v>77</v>
      </c>
    </row>
    <row r="490" spans="4:22" ht="17.649999999999999" x14ac:dyDescent="0.5">
      <c r="D490" s="3" t="s">
        <v>118</v>
      </c>
      <c r="S490">
        <v>1</v>
      </c>
      <c r="T490">
        <v>3</v>
      </c>
      <c r="V490" s="3" t="s">
        <v>77</v>
      </c>
    </row>
    <row r="491" spans="4:22" ht="17.649999999999999" x14ac:dyDescent="0.5">
      <c r="D491" s="3" t="s">
        <v>54</v>
      </c>
      <c r="S491">
        <v>1</v>
      </c>
      <c r="T491">
        <v>3</v>
      </c>
      <c r="V491" s="3" t="s">
        <v>77</v>
      </c>
    </row>
    <row r="492" spans="4:22" ht="17.649999999999999" x14ac:dyDescent="0.5">
      <c r="D492" s="3" t="s">
        <v>104</v>
      </c>
      <c r="S492">
        <v>1</v>
      </c>
      <c r="T492">
        <v>3</v>
      </c>
      <c r="V492" s="3" t="s">
        <v>77</v>
      </c>
    </row>
    <row r="493" spans="4:22" ht="17.649999999999999" x14ac:dyDescent="0.5">
      <c r="D493" s="3" t="s">
        <v>63</v>
      </c>
      <c r="S493">
        <v>1</v>
      </c>
      <c r="T493">
        <v>3</v>
      </c>
      <c r="V493" s="3" t="s">
        <v>77</v>
      </c>
    </row>
    <row r="494" spans="4:22" ht="17.649999999999999" x14ac:dyDescent="0.5">
      <c r="D494" s="3" t="s">
        <v>45</v>
      </c>
      <c r="S494">
        <v>1</v>
      </c>
      <c r="T494">
        <v>3</v>
      </c>
      <c r="V494" s="3" t="s">
        <v>77</v>
      </c>
    </row>
    <row r="495" spans="4:22" ht="17.649999999999999" x14ac:dyDescent="0.5">
      <c r="D495" s="3" t="s">
        <v>88</v>
      </c>
      <c r="S495">
        <v>1</v>
      </c>
      <c r="T495">
        <v>3</v>
      </c>
      <c r="V495" s="3" t="s">
        <v>77</v>
      </c>
    </row>
    <row r="496" spans="4:22" ht="17.649999999999999" x14ac:dyDescent="0.5">
      <c r="D496" s="3" t="s">
        <v>43</v>
      </c>
      <c r="S496">
        <v>1</v>
      </c>
      <c r="T496">
        <v>3</v>
      </c>
      <c r="V496" s="3" t="s">
        <v>77</v>
      </c>
    </row>
    <row r="497" spans="4:22" ht="17.649999999999999" x14ac:dyDescent="0.5">
      <c r="D497" s="3" t="s">
        <v>96</v>
      </c>
      <c r="S497">
        <v>1</v>
      </c>
      <c r="T497">
        <v>3</v>
      </c>
      <c r="V497" s="3" t="s">
        <v>77</v>
      </c>
    </row>
    <row r="498" spans="4:22" ht="17.649999999999999" x14ac:dyDescent="0.5">
      <c r="D498" s="3" t="s">
        <v>117</v>
      </c>
      <c r="S498">
        <v>1</v>
      </c>
      <c r="T498">
        <v>3</v>
      </c>
      <c r="V498" s="3" t="s">
        <v>77</v>
      </c>
    </row>
    <row r="499" spans="4:22" ht="17.649999999999999" x14ac:dyDescent="0.5">
      <c r="D499" s="3" t="s">
        <v>111</v>
      </c>
      <c r="S499">
        <v>1</v>
      </c>
      <c r="T499">
        <v>3</v>
      </c>
      <c r="V499" s="3" t="s">
        <v>77</v>
      </c>
    </row>
    <row r="500" spans="4:22" ht="17.649999999999999" x14ac:dyDescent="0.5">
      <c r="D500" s="3" t="s">
        <v>83</v>
      </c>
      <c r="S500">
        <v>1</v>
      </c>
      <c r="T500">
        <v>3</v>
      </c>
      <c r="V500" s="3" t="s">
        <v>77</v>
      </c>
    </row>
    <row r="501" spans="4:22" ht="17.649999999999999" x14ac:dyDescent="0.5">
      <c r="D501" s="3" t="s">
        <v>45</v>
      </c>
      <c r="S501">
        <v>1</v>
      </c>
      <c r="T501">
        <v>3</v>
      </c>
      <c r="V501" s="3" t="s">
        <v>77</v>
      </c>
    </row>
    <row r="502" spans="4:22" ht="17.649999999999999" x14ac:dyDescent="0.5">
      <c r="D502" s="3" t="s">
        <v>68</v>
      </c>
      <c r="S502">
        <v>1</v>
      </c>
      <c r="T502">
        <v>3</v>
      </c>
      <c r="V502" s="3" t="s">
        <v>77</v>
      </c>
    </row>
    <row r="503" spans="4:22" ht="17.649999999999999" x14ac:dyDescent="0.5">
      <c r="D503" s="3" t="s">
        <v>57</v>
      </c>
      <c r="S503">
        <v>1</v>
      </c>
      <c r="T503">
        <v>3</v>
      </c>
      <c r="V503" s="3" t="s">
        <v>77</v>
      </c>
    </row>
    <row r="504" spans="4:22" ht="17.649999999999999" x14ac:dyDescent="0.5">
      <c r="D504" s="3" t="s">
        <v>66</v>
      </c>
      <c r="S504">
        <v>1</v>
      </c>
      <c r="T504">
        <v>3</v>
      </c>
      <c r="V504" s="3" t="s">
        <v>77</v>
      </c>
    </row>
    <row r="505" spans="4:22" ht="17.649999999999999" x14ac:dyDescent="0.5">
      <c r="D505" s="3" t="s">
        <v>53</v>
      </c>
      <c r="S505">
        <v>1</v>
      </c>
      <c r="T505">
        <v>3</v>
      </c>
      <c r="V505" s="3" t="s">
        <v>77</v>
      </c>
    </row>
    <row r="506" spans="4:22" ht="17.649999999999999" x14ac:dyDescent="0.5">
      <c r="D506" s="3" t="s">
        <v>87</v>
      </c>
      <c r="S506">
        <v>1</v>
      </c>
      <c r="T506">
        <v>3</v>
      </c>
      <c r="V506" s="3" t="s">
        <v>77</v>
      </c>
    </row>
    <row r="507" spans="4:22" ht="17.649999999999999" x14ac:dyDescent="0.5">
      <c r="D507" s="3" t="s">
        <v>75</v>
      </c>
      <c r="S507">
        <v>1</v>
      </c>
      <c r="T507">
        <v>3</v>
      </c>
      <c r="V507" s="3" t="s">
        <v>77</v>
      </c>
    </row>
    <row r="508" spans="4:22" ht="17.649999999999999" x14ac:dyDescent="0.5">
      <c r="D508" s="3" t="s">
        <v>58</v>
      </c>
      <c r="S508">
        <v>1</v>
      </c>
      <c r="T508">
        <v>3</v>
      </c>
      <c r="V508" s="3" t="s">
        <v>77</v>
      </c>
    </row>
    <row r="509" spans="4:22" ht="17.649999999999999" x14ac:dyDescent="0.5">
      <c r="D509" s="3" t="s">
        <v>114</v>
      </c>
      <c r="S509">
        <v>1</v>
      </c>
      <c r="T509">
        <v>3</v>
      </c>
      <c r="V509" s="3" t="s">
        <v>77</v>
      </c>
    </row>
    <row r="510" spans="4:22" ht="17.649999999999999" x14ac:dyDescent="0.5">
      <c r="D510" s="3" t="s">
        <v>61</v>
      </c>
      <c r="S510">
        <v>1</v>
      </c>
      <c r="T510">
        <v>3</v>
      </c>
      <c r="V510" s="3" t="s">
        <v>77</v>
      </c>
    </row>
    <row r="511" spans="4:22" ht="17.649999999999999" x14ac:dyDescent="0.5">
      <c r="D511" s="3" t="s">
        <v>81</v>
      </c>
      <c r="S511">
        <v>1</v>
      </c>
      <c r="T511">
        <v>3</v>
      </c>
      <c r="V511" s="3" t="s">
        <v>77</v>
      </c>
    </row>
    <row r="512" spans="4:22" ht="17.649999999999999" x14ac:dyDescent="0.5">
      <c r="D512" s="3" t="s">
        <v>110</v>
      </c>
      <c r="S512">
        <v>1</v>
      </c>
      <c r="T512">
        <v>3</v>
      </c>
      <c r="V512" s="3" t="s">
        <v>77</v>
      </c>
    </row>
    <row r="513" spans="4:22" ht="17.649999999999999" x14ac:dyDescent="0.5">
      <c r="D513" s="3" t="s">
        <v>78</v>
      </c>
      <c r="S513">
        <v>1</v>
      </c>
      <c r="T513">
        <v>3</v>
      </c>
      <c r="V513" s="3" t="s">
        <v>77</v>
      </c>
    </row>
    <row r="514" spans="4:22" ht="17.649999999999999" x14ac:dyDescent="0.5">
      <c r="D514" s="3" t="s">
        <v>98</v>
      </c>
      <c r="S514">
        <v>1</v>
      </c>
      <c r="T514">
        <v>3</v>
      </c>
      <c r="V514" s="3" t="s">
        <v>77</v>
      </c>
    </row>
    <row r="515" spans="4:22" ht="17.649999999999999" x14ac:dyDescent="0.5">
      <c r="D515" s="3" t="s">
        <v>52</v>
      </c>
      <c r="S515">
        <v>1</v>
      </c>
      <c r="T515">
        <v>3</v>
      </c>
      <c r="V515" s="3" t="s">
        <v>77</v>
      </c>
    </row>
    <row r="516" spans="4:22" ht="17.649999999999999" x14ac:dyDescent="0.5">
      <c r="D516" s="3" t="s">
        <v>51</v>
      </c>
      <c r="S516">
        <v>1</v>
      </c>
      <c r="T516">
        <v>3</v>
      </c>
      <c r="V516" s="3" t="s">
        <v>77</v>
      </c>
    </row>
    <row r="517" spans="4:22" ht="17.649999999999999" x14ac:dyDescent="0.5">
      <c r="D517" s="3" t="s">
        <v>79</v>
      </c>
      <c r="S517">
        <v>1</v>
      </c>
      <c r="T517">
        <v>3</v>
      </c>
      <c r="V517" s="3" t="s">
        <v>77</v>
      </c>
    </row>
    <row r="518" spans="4:22" ht="17.649999999999999" x14ac:dyDescent="0.5">
      <c r="D518" s="3" t="s">
        <v>96</v>
      </c>
      <c r="S518">
        <v>1</v>
      </c>
      <c r="T518">
        <v>3</v>
      </c>
      <c r="V518" s="3" t="s">
        <v>77</v>
      </c>
    </row>
    <row r="519" spans="4:22" ht="17.649999999999999" x14ac:dyDescent="0.5">
      <c r="D519" s="3" t="s">
        <v>62</v>
      </c>
      <c r="S519">
        <v>1</v>
      </c>
      <c r="T519">
        <v>3</v>
      </c>
      <c r="V519" s="3" t="s">
        <v>77</v>
      </c>
    </row>
    <row r="520" spans="4:22" ht="17.649999999999999" x14ac:dyDescent="0.5">
      <c r="D520" s="3" t="s">
        <v>85</v>
      </c>
      <c r="S520">
        <v>1</v>
      </c>
      <c r="T520">
        <v>4</v>
      </c>
      <c r="V520" s="3" t="s">
        <v>86</v>
      </c>
    </row>
    <row r="521" spans="4:22" ht="17.649999999999999" x14ac:dyDescent="0.5">
      <c r="D521" s="3" t="s">
        <v>81</v>
      </c>
      <c r="S521">
        <v>1</v>
      </c>
      <c r="T521">
        <v>4</v>
      </c>
      <c r="V521" s="3" t="s">
        <v>86</v>
      </c>
    </row>
    <row r="522" spans="4:22" ht="17.649999999999999" x14ac:dyDescent="0.5">
      <c r="D522" s="3" t="s">
        <v>128</v>
      </c>
      <c r="S522">
        <v>1</v>
      </c>
      <c r="T522">
        <v>4</v>
      </c>
      <c r="V522" s="3" t="s">
        <v>86</v>
      </c>
    </row>
    <row r="523" spans="4:22" ht="17.649999999999999" x14ac:dyDescent="0.5">
      <c r="D523" s="3" t="s">
        <v>67</v>
      </c>
      <c r="S523">
        <v>1</v>
      </c>
      <c r="T523">
        <v>4</v>
      </c>
      <c r="V523" s="3" t="s">
        <v>86</v>
      </c>
    </row>
    <row r="524" spans="4:22" ht="17.649999999999999" x14ac:dyDescent="0.5">
      <c r="D524" s="3" t="s">
        <v>68</v>
      </c>
      <c r="S524">
        <v>1</v>
      </c>
      <c r="T524">
        <v>4</v>
      </c>
      <c r="V524" s="3" t="s">
        <v>86</v>
      </c>
    </row>
    <row r="525" spans="4:22" ht="17.649999999999999" x14ac:dyDescent="0.5">
      <c r="D525" s="3" t="s">
        <v>96</v>
      </c>
      <c r="S525">
        <v>1</v>
      </c>
      <c r="T525">
        <v>4</v>
      </c>
      <c r="V525" s="3" t="s">
        <v>86</v>
      </c>
    </row>
    <row r="526" spans="4:22" ht="17.649999999999999" x14ac:dyDescent="0.5">
      <c r="D526" s="3" t="s">
        <v>54</v>
      </c>
      <c r="S526">
        <v>1</v>
      </c>
      <c r="T526">
        <v>4</v>
      </c>
      <c r="V526" s="3" t="s">
        <v>86</v>
      </c>
    </row>
    <row r="527" spans="4:22" ht="17.649999999999999" x14ac:dyDescent="0.5">
      <c r="D527" s="3" t="s">
        <v>94</v>
      </c>
      <c r="S527">
        <v>1</v>
      </c>
      <c r="T527">
        <v>4</v>
      </c>
      <c r="V527" s="3" t="s">
        <v>86</v>
      </c>
    </row>
    <row r="528" spans="4:22" ht="17.649999999999999" x14ac:dyDescent="0.5">
      <c r="D528" s="3" t="s">
        <v>85</v>
      </c>
      <c r="S528">
        <v>1</v>
      </c>
      <c r="T528">
        <v>4</v>
      </c>
      <c r="V528" s="3" t="s">
        <v>86</v>
      </c>
    </row>
    <row r="529" spans="4:22" ht="17.649999999999999" x14ac:dyDescent="0.5">
      <c r="D529" s="3" t="s">
        <v>95</v>
      </c>
      <c r="S529">
        <v>1</v>
      </c>
      <c r="T529">
        <v>4</v>
      </c>
      <c r="V529" s="3" t="s">
        <v>86</v>
      </c>
    </row>
    <row r="530" spans="4:22" ht="17.649999999999999" x14ac:dyDescent="0.5">
      <c r="D530" s="3" t="s">
        <v>57</v>
      </c>
      <c r="S530">
        <v>1</v>
      </c>
      <c r="T530">
        <v>4</v>
      </c>
      <c r="V530" s="3" t="s">
        <v>86</v>
      </c>
    </row>
    <row r="531" spans="4:22" ht="17.649999999999999" x14ac:dyDescent="0.5">
      <c r="D531" s="3" t="s">
        <v>80</v>
      </c>
      <c r="S531">
        <v>1</v>
      </c>
      <c r="T531">
        <v>4</v>
      </c>
      <c r="V531" s="3" t="s">
        <v>99</v>
      </c>
    </row>
    <row r="532" spans="4:22" ht="17.649999999999999" x14ac:dyDescent="0.5">
      <c r="D532" s="3" t="s">
        <v>83</v>
      </c>
      <c r="S532">
        <v>1</v>
      </c>
      <c r="T532">
        <v>4</v>
      </c>
      <c r="V532" s="3" t="s">
        <v>99</v>
      </c>
    </row>
    <row r="533" spans="4:22" ht="17.649999999999999" x14ac:dyDescent="0.5">
      <c r="D533" s="3" t="s">
        <v>63</v>
      </c>
      <c r="S533">
        <v>1</v>
      </c>
      <c r="T533">
        <v>4</v>
      </c>
      <c r="V533" s="3" t="s">
        <v>99</v>
      </c>
    </row>
    <row r="534" spans="4:22" ht="17.649999999999999" x14ac:dyDescent="0.5">
      <c r="D534" s="3" t="s">
        <v>57</v>
      </c>
      <c r="S534">
        <v>1</v>
      </c>
      <c r="T534">
        <v>4</v>
      </c>
      <c r="V534" s="3" t="s">
        <v>99</v>
      </c>
    </row>
    <row r="535" spans="4:22" ht="17.649999999999999" x14ac:dyDescent="0.5">
      <c r="D535" s="3" t="s">
        <v>41</v>
      </c>
      <c r="S535">
        <v>1</v>
      </c>
      <c r="T535">
        <v>4</v>
      </c>
      <c r="V535" s="3" t="s">
        <v>99</v>
      </c>
    </row>
    <row r="536" spans="4:22" ht="17.649999999999999" x14ac:dyDescent="0.5">
      <c r="D536" s="3" t="s">
        <v>98</v>
      </c>
      <c r="S536">
        <v>1</v>
      </c>
      <c r="T536">
        <v>4</v>
      </c>
      <c r="V536" s="3" t="s">
        <v>99</v>
      </c>
    </row>
    <row r="537" spans="4:22" ht="17.649999999999999" x14ac:dyDescent="0.5">
      <c r="D537" s="3" t="s">
        <v>61</v>
      </c>
      <c r="S537">
        <v>1</v>
      </c>
      <c r="T537">
        <v>4</v>
      </c>
      <c r="V537" s="3" t="s">
        <v>99</v>
      </c>
    </row>
    <row r="538" spans="4:22" ht="17.649999999999999" x14ac:dyDescent="0.5">
      <c r="D538" s="3" t="s">
        <v>56</v>
      </c>
      <c r="S538">
        <v>1</v>
      </c>
      <c r="T538">
        <v>4</v>
      </c>
      <c r="V538" s="3" t="s">
        <v>99</v>
      </c>
    </row>
    <row r="539" spans="4:22" ht="17.649999999999999" x14ac:dyDescent="0.5">
      <c r="D539" s="3" t="s">
        <v>83</v>
      </c>
      <c r="S539">
        <v>1</v>
      </c>
      <c r="T539">
        <v>4</v>
      </c>
      <c r="V539" s="3" t="s">
        <v>46</v>
      </c>
    </row>
    <row r="540" spans="4:22" ht="17.649999999999999" x14ac:dyDescent="0.5">
      <c r="D540" s="3" t="s">
        <v>107</v>
      </c>
      <c r="S540">
        <v>1</v>
      </c>
      <c r="T540">
        <v>4</v>
      </c>
      <c r="V540" s="3" t="s">
        <v>46</v>
      </c>
    </row>
    <row r="541" spans="4:22" ht="17.649999999999999" x14ac:dyDescent="0.5">
      <c r="D541" s="3" t="s">
        <v>68</v>
      </c>
      <c r="S541">
        <v>1</v>
      </c>
      <c r="T541">
        <v>4</v>
      </c>
      <c r="V541" s="3" t="s">
        <v>46</v>
      </c>
    </row>
    <row r="542" spans="4:22" ht="17.649999999999999" x14ac:dyDescent="0.5">
      <c r="D542" s="3" t="s">
        <v>46</v>
      </c>
      <c r="S542">
        <v>1</v>
      </c>
      <c r="T542">
        <v>4</v>
      </c>
      <c r="V542" s="3" t="s">
        <v>46</v>
      </c>
    </row>
    <row r="543" spans="4:22" ht="17.649999999999999" x14ac:dyDescent="0.5">
      <c r="D543" s="3" t="s">
        <v>43</v>
      </c>
      <c r="S543">
        <v>1</v>
      </c>
      <c r="T543">
        <v>4</v>
      </c>
      <c r="V543" s="3" t="s">
        <v>46</v>
      </c>
    </row>
    <row r="544" spans="4:22" ht="17.649999999999999" x14ac:dyDescent="0.5">
      <c r="D544" s="3" t="s">
        <v>77</v>
      </c>
      <c r="S544">
        <v>1</v>
      </c>
      <c r="T544">
        <v>4</v>
      </c>
      <c r="V544" s="3" t="s">
        <v>46</v>
      </c>
    </row>
    <row r="545" spans="4:22" ht="17.649999999999999" x14ac:dyDescent="0.5">
      <c r="D545" s="3" t="s">
        <v>91</v>
      </c>
      <c r="S545">
        <v>1</v>
      </c>
      <c r="T545">
        <v>4</v>
      </c>
      <c r="V545" s="3" t="s">
        <v>46</v>
      </c>
    </row>
    <row r="546" spans="4:22" ht="17.649999999999999" x14ac:dyDescent="0.5">
      <c r="D546" s="3" t="s">
        <v>76</v>
      </c>
      <c r="S546">
        <v>1</v>
      </c>
      <c r="T546">
        <v>4</v>
      </c>
      <c r="V546" s="3" t="s">
        <v>46</v>
      </c>
    </row>
    <row r="547" spans="4:22" ht="17.649999999999999" x14ac:dyDescent="0.5">
      <c r="D547" s="3" t="s">
        <v>44</v>
      </c>
      <c r="S547">
        <v>1</v>
      </c>
      <c r="T547">
        <v>4</v>
      </c>
      <c r="V547" s="3" t="s">
        <v>46</v>
      </c>
    </row>
    <row r="548" spans="4:22" ht="17.649999999999999" x14ac:dyDescent="0.5">
      <c r="D548" s="3" t="s">
        <v>66</v>
      </c>
      <c r="S548">
        <v>1</v>
      </c>
      <c r="T548">
        <v>4</v>
      </c>
      <c r="V548" s="3" t="s">
        <v>46</v>
      </c>
    </row>
    <row r="549" spans="4:22" ht="17.649999999999999" x14ac:dyDescent="0.5">
      <c r="D549" s="3" t="s">
        <v>132</v>
      </c>
      <c r="S549">
        <v>1</v>
      </c>
      <c r="T549">
        <v>4</v>
      </c>
      <c r="V549" s="3" t="s">
        <v>46</v>
      </c>
    </row>
    <row r="550" spans="4:22" ht="17.649999999999999" x14ac:dyDescent="0.5">
      <c r="D550" s="3" t="s">
        <v>66</v>
      </c>
      <c r="S550">
        <v>1</v>
      </c>
      <c r="T550">
        <v>4</v>
      </c>
      <c r="V550" s="3" t="s">
        <v>46</v>
      </c>
    </row>
    <row r="551" spans="4:22" ht="17.649999999999999" x14ac:dyDescent="0.5">
      <c r="D551" s="3" t="s">
        <v>94</v>
      </c>
      <c r="S551">
        <v>1</v>
      </c>
      <c r="T551">
        <v>4</v>
      </c>
      <c r="V551" s="3" t="s">
        <v>46</v>
      </c>
    </row>
    <row r="552" spans="4:22" ht="17.649999999999999" x14ac:dyDescent="0.5">
      <c r="D552" s="3" t="s">
        <v>74</v>
      </c>
      <c r="S552">
        <v>1</v>
      </c>
      <c r="T552">
        <v>4</v>
      </c>
      <c r="V552" s="3" t="s">
        <v>46</v>
      </c>
    </row>
    <row r="553" spans="4:22" ht="17.649999999999999" x14ac:dyDescent="0.5">
      <c r="D553" s="3" t="s">
        <v>72</v>
      </c>
      <c r="S553">
        <v>1</v>
      </c>
      <c r="T553">
        <v>4</v>
      </c>
      <c r="V553" s="3" t="s">
        <v>46</v>
      </c>
    </row>
    <row r="554" spans="4:22" ht="17.649999999999999" x14ac:dyDescent="0.5">
      <c r="D554" s="3" t="s">
        <v>49</v>
      </c>
      <c r="S554">
        <v>1</v>
      </c>
      <c r="T554">
        <v>4</v>
      </c>
      <c r="V554" s="3" t="s">
        <v>46</v>
      </c>
    </row>
    <row r="555" spans="4:22" ht="17.649999999999999" x14ac:dyDescent="0.5">
      <c r="D555" s="3" t="s">
        <v>61</v>
      </c>
      <c r="S555">
        <v>1</v>
      </c>
      <c r="T555">
        <v>4</v>
      </c>
      <c r="V555" s="3" t="s">
        <v>46</v>
      </c>
    </row>
    <row r="556" spans="4:22" ht="17.649999999999999" x14ac:dyDescent="0.5">
      <c r="D556" s="3" t="s">
        <v>105</v>
      </c>
      <c r="S556">
        <v>1</v>
      </c>
      <c r="T556">
        <v>4</v>
      </c>
      <c r="V556" s="3" t="s">
        <v>46</v>
      </c>
    </row>
    <row r="557" spans="4:22" ht="17.649999999999999" x14ac:dyDescent="0.5">
      <c r="D557" s="3" t="s">
        <v>50</v>
      </c>
      <c r="S557">
        <v>1</v>
      </c>
      <c r="T557">
        <v>4</v>
      </c>
      <c r="V557" s="3" t="s">
        <v>46</v>
      </c>
    </row>
    <row r="558" spans="4:22" ht="17.649999999999999" x14ac:dyDescent="0.5">
      <c r="D558" s="3" t="s">
        <v>77</v>
      </c>
      <c r="S558">
        <v>1</v>
      </c>
      <c r="T558">
        <v>4</v>
      </c>
      <c r="V558" s="3" t="s">
        <v>46</v>
      </c>
    </row>
    <row r="559" spans="4:22" ht="17.649999999999999" x14ac:dyDescent="0.5">
      <c r="D559" s="3" t="s">
        <v>55</v>
      </c>
      <c r="S559">
        <v>1</v>
      </c>
      <c r="T559">
        <v>4</v>
      </c>
      <c r="V559" s="3" t="s">
        <v>46</v>
      </c>
    </row>
    <row r="560" spans="4:22" ht="17.649999999999999" x14ac:dyDescent="0.5">
      <c r="D560" s="3" t="s">
        <v>85</v>
      </c>
      <c r="S560">
        <v>1</v>
      </c>
      <c r="T560">
        <v>4</v>
      </c>
      <c r="V560" s="3" t="s">
        <v>46</v>
      </c>
    </row>
    <row r="561" spans="4:22" ht="17.649999999999999" x14ac:dyDescent="0.5">
      <c r="D561" s="3" t="s">
        <v>94</v>
      </c>
      <c r="S561">
        <v>1</v>
      </c>
      <c r="T561">
        <v>4</v>
      </c>
      <c r="V561" s="3" t="s">
        <v>46</v>
      </c>
    </row>
    <row r="562" spans="4:22" ht="17.649999999999999" x14ac:dyDescent="0.5">
      <c r="D562" s="3" t="s">
        <v>41</v>
      </c>
      <c r="S562">
        <v>1</v>
      </c>
      <c r="T562">
        <v>4</v>
      </c>
      <c r="V562" s="3" t="s">
        <v>46</v>
      </c>
    </row>
    <row r="563" spans="4:22" ht="17.649999999999999" x14ac:dyDescent="0.5">
      <c r="D563" s="3" t="s">
        <v>49</v>
      </c>
      <c r="S563">
        <v>1</v>
      </c>
      <c r="T563">
        <v>4</v>
      </c>
      <c r="V563" s="3" t="s">
        <v>46</v>
      </c>
    </row>
    <row r="564" spans="4:22" ht="17.649999999999999" x14ac:dyDescent="0.5">
      <c r="D564" s="3" t="s">
        <v>105</v>
      </c>
      <c r="S564">
        <v>1</v>
      </c>
      <c r="T564">
        <v>4</v>
      </c>
      <c r="V564" s="3" t="s">
        <v>46</v>
      </c>
    </row>
    <row r="565" spans="4:22" ht="17.649999999999999" x14ac:dyDescent="0.5">
      <c r="D565" s="3" t="s">
        <v>104</v>
      </c>
      <c r="S565">
        <v>1</v>
      </c>
      <c r="T565">
        <v>4</v>
      </c>
      <c r="V565" s="3" t="s">
        <v>46</v>
      </c>
    </row>
    <row r="566" spans="4:22" ht="17.649999999999999" x14ac:dyDescent="0.5">
      <c r="D566" s="3" t="s">
        <v>46</v>
      </c>
      <c r="S566">
        <v>1</v>
      </c>
      <c r="T566">
        <v>4</v>
      </c>
      <c r="V566" s="3" t="s">
        <v>46</v>
      </c>
    </row>
    <row r="567" spans="4:22" ht="17.649999999999999" x14ac:dyDescent="0.5">
      <c r="D567" s="3" t="s">
        <v>92</v>
      </c>
      <c r="S567">
        <v>1</v>
      </c>
      <c r="T567">
        <v>4</v>
      </c>
      <c r="V567" s="3" t="s">
        <v>46</v>
      </c>
    </row>
    <row r="568" spans="4:22" ht="17.649999999999999" x14ac:dyDescent="0.5">
      <c r="D568" s="3" t="s">
        <v>66</v>
      </c>
      <c r="S568">
        <v>1</v>
      </c>
      <c r="T568">
        <v>4</v>
      </c>
      <c r="V568" s="3" t="s">
        <v>46</v>
      </c>
    </row>
    <row r="569" spans="4:22" ht="17.649999999999999" x14ac:dyDescent="0.5">
      <c r="D569" s="3" t="s">
        <v>56</v>
      </c>
      <c r="S569">
        <v>1</v>
      </c>
      <c r="T569">
        <v>4</v>
      </c>
      <c r="V569" s="3" t="s">
        <v>46</v>
      </c>
    </row>
    <row r="570" spans="4:22" ht="17.649999999999999" x14ac:dyDescent="0.5">
      <c r="D570" s="3" t="s">
        <v>118</v>
      </c>
      <c r="S570">
        <v>1</v>
      </c>
      <c r="T570">
        <v>4</v>
      </c>
      <c r="V570" s="3" t="s">
        <v>46</v>
      </c>
    </row>
    <row r="571" spans="4:22" ht="17.649999999999999" x14ac:dyDescent="0.5">
      <c r="D571" s="3" t="s">
        <v>68</v>
      </c>
      <c r="S571">
        <v>1</v>
      </c>
      <c r="T571">
        <v>4</v>
      </c>
      <c r="V571" s="3" t="s">
        <v>46</v>
      </c>
    </row>
    <row r="572" spans="4:22" ht="17.649999999999999" x14ac:dyDescent="0.5">
      <c r="D572" s="3" t="s">
        <v>63</v>
      </c>
      <c r="S572">
        <v>1</v>
      </c>
      <c r="T572">
        <v>4</v>
      </c>
      <c r="V572" s="3" t="s">
        <v>46</v>
      </c>
    </row>
    <row r="573" spans="4:22" ht="17.649999999999999" x14ac:dyDescent="0.5">
      <c r="D573" s="3" t="s">
        <v>105</v>
      </c>
      <c r="S573">
        <v>1</v>
      </c>
      <c r="T573">
        <v>4</v>
      </c>
      <c r="V573" s="3" t="s">
        <v>49</v>
      </c>
    </row>
    <row r="574" spans="4:22" ht="17.649999999999999" x14ac:dyDescent="0.5">
      <c r="D574" s="3" t="s">
        <v>52</v>
      </c>
      <c r="S574">
        <v>1</v>
      </c>
      <c r="T574">
        <v>4</v>
      </c>
      <c r="V574" s="3" t="s">
        <v>49</v>
      </c>
    </row>
    <row r="575" spans="4:22" ht="17.649999999999999" x14ac:dyDescent="0.5">
      <c r="D575" s="3" t="s">
        <v>51</v>
      </c>
      <c r="S575">
        <v>1</v>
      </c>
      <c r="T575">
        <v>4</v>
      </c>
      <c r="V575" s="3" t="s">
        <v>49</v>
      </c>
    </row>
    <row r="576" spans="4:22" ht="17.649999999999999" x14ac:dyDescent="0.5">
      <c r="D576" s="3" t="s">
        <v>52</v>
      </c>
      <c r="S576">
        <v>1</v>
      </c>
      <c r="T576">
        <v>4</v>
      </c>
      <c r="V576" s="3" t="s">
        <v>49</v>
      </c>
    </row>
    <row r="577" spans="4:22" ht="17.649999999999999" x14ac:dyDescent="0.5">
      <c r="D577" s="3" t="s">
        <v>115</v>
      </c>
      <c r="S577">
        <v>1</v>
      </c>
      <c r="T577">
        <v>4</v>
      </c>
      <c r="V577" s="3" t="s">
        <v>49</v>
      </c>
    </row>
    <row r="578" spans="4:22" ht="17.649999999999999" x14ac:dyDescent="0.5">
      <c r="D578" s="3" t="s">
        <v>42</v>
      </c>
      <c r="S578">
        <v>1</v>
      </c>
      <c r="T578">
        <v>4</v>
      </c>
      <c r="V578" s="3" t="s">
        <v>49</v>
      </c>
    </row>
    <row r="579" spans="4:22" ht="17.649999999999999" x14ac:dyDescent="0.5">
      <c r="D579" s="3" t="s">
        <v>77</v>
      </c>
      <c r="S579">
        <v>1</v>
      </c>
      <c r="T579">
        <v>4</v>
      </c>
      <c r="V579" s="3" t="s">
        <v>49</v>
      </c>
    </row>
    <row r="580" spans="4:22" ht="17.649999999999999" x14ac:dyDescent="0.5">
      <c r="D580" s="3" t="s">
        <v>113</v>
      </c>
      <c r="S580">
        <v>1</v>
      </c>
      <c r="T580">
        <v>4</v>
      </c>
      <c r="V580" s="3" t="s">
        <v>49</v>
      </c>
    </row>
    <row r="581" spans="4:22" ht="17.649999999999999" x14ac:dyDescent="0.5">
      <c r="D581" s="3" t="s">
        <v>64</v>
      </c>
      <c r="S581">
        <v>1</v>
      </c>
      <c r="T581">
        <v>4</v>
      </c>
      <c r="V581" s="3" t="s">
        <v>49</v>
      </c>
    </row>
    <row r="582" spans="4:22" ht="17.649999999999999" x14ac:dyDescent="0.5">
      <c r="D582" s="3" t="s">
        <v>114</v>
      </c>
      <c r="S582">
        <v>1</v>
      </c>
      <c r="T582">
        <v>4</v>
      </c>
      <c r="V582" s="3" t="s">
        <v>49</v>
      </c>
    </row>
    <row r="583" spans="4:22" ht="17.649999999999999" x14ac:dyDescent="0.5">
      <c r="D583" s="3" t="s">
        <v>88</v>
      </c>
      <c r="S583">
        <v>1</v>
      </c>
      <c r="T583">
        <v>4</v>
      </c>
      <c r="V583" s="3" t="s">
        <v>49</v>
      </c>
    </row>
    <row r="584" spans="4:22" ht="17.649999999999999" x14ac:dyDescent="0.5">
      <c r="D584" s="3" t="s">
        <v>41</v>
      </c>
      <c r="S584">
        <v>1</v>
      </c>
      <c r="T584">
        <v>4</v>
      </c>
      <c r="V584" s="3" t="s">
        <v>49</v>
      </c>
    </row>
    <row r="585" spans="4:22" ht="17.649999999999999" x14ac:dyDescent="0.5">
      <c r="D585" s="3" t="s">
        <v>129</v>
      </c>
      <c r="S585">
        <v>1</v>
      </c>
      <c r="T585">
        <v>4</v>
      </c>
      <c r="V585" s="3" t="s">
        <v>49</v>
      </c>
    </row>
    <row r="586" spans="4:22" ht="17.649999999999999" x14ac:dyDescent="0.5">
      <c r="D586" s="3" t="s">
        <v>81</v>
      </c>
      <c r="S586">
        <v>1</v>
      </c>
      <c r="T586">
        <v>4</v>
      </c>
      <c r="V586" s="3" t="s">
        <v>49</v>
      </c>
    </row>
    <row r="587" spans="4:22" ht="17.649999999999999" x14ac:dyDescent="0.5">
      <c r="D587" s="3" t="s">
        <v>65</v>
      </c>
      <c r="S587">
        <v>1</v>
      </c>
      <c r="T587">
        <v>4</v>
      </c>
      <c r="V587" s="3" t="s">
        <v>49</v>
      </c>
    </row>
    <row r="588" spans="4:22" ht="17.649999999999999" x14ac:dyDescent="0.5">
      <c r="D588" s="3" t="s">
        <v>77</v>
      </c>
      <c r="S588">
        <v>1</v>
      </c>
      <c r="T588">
        <v>4</v>
      </c>
      <c r="V588" s="3" t="s">
        <v>49</v>
      </c>
    </row>
    <row r="589" spans="4:22" ht="17.649999999999999" x14ac:dyDescent="0.5">
      <c r="D589" s="3" t="s">
        <v>50</v>
      </c>
      <c r="S589">
        <v>1</v>
      </c>
      <c r="T589">
        <v>4</v>
      </c>
      <c r="V589" s="3" t="s">
        <v>49</v>
      </c>
    </row>
    <row r="590" spans="4:22" ht="17.649999999999999" x14ac:dyDescent="0.5">
      <c r="D590" s="3" t="s">
        <v>78</v>
      </c>
      <c r="S590">
        <v>1</v>
      </c>
      <c r="T590">
        <v>4</v>
      </c>
      <c r="V590" s="3" t="s">
        <v>49</v>
      </c>
    </row>
    <row r="591" spans="4:22" ht="17.649999999999999" x14ac:dyDescent="0.5">
      <c r="D591" s="3" t="s">
        <v>68</v>
      </c>
      <c r="S591">
        <v>1</v>
      </c>
      <c r="T591">
        <v>4</v>
      </c>
      <c r="V591" s="3" t="s">
        <v>49</v>
      </c>
    </row>
    <row r="592" spans="4:22" ht="17.649999999999999" x14ac:dyDescent="0.5">
      <c r="D592" s="3" t="s">
        <v>52</v>
      </c>
      <c r="S592">
        <v>1</v>
      </c>
      <c r="T592">
        <v>4</v>
      </c>
      <c r="V592" s="3" t="s">
        <v>49</v>
      </c>
    </row>
    <row r="593" spans="4:22" ht="17.649999999999999" x14ac:dyDescent="0.5">
      <c r="D593" s="3" t="s">
        <v>66</v>
      </c>
      <c r="S593">
        <v>1</v>
      </c>
      <c r="T593">
        <v>4</v>
      </c>
      <c r="V593" s="3" t="s">
        <v>49</v>
      </c>
    </row>
    <row r="594" spans="4:22" ht="17.649999999999999" x14ac:dyDescent="0.5">
      <c r="D594" s="3" t="s">
        <v>41</v>
      </c>
      <c r="S594">
        <v>1</v>
      </c>
      <c r="T594">
        <v>4</v>
      </c>
      <c r="V594" s="3" t="s">
        <v>49</v>
      </c>
    </row>
    <row r="595" spans="4:22" ht="17.649999999999999" x14ac:dyDescent="0.5">
      <c r="D595" s="3" t="s">
        <v>87</v>
      </c>
      <c r="S595">
        <v>1</v>
      </c>
      <c r="T595">
        <v>4</v>
      </c>
      <c r="V595" s="3" t="s">
        <v>49</v>
      </c>
    </row>
    <row r="596" spans="4:22" ht="17.649999999999999" x14ac:dyDescent="0.5">
      <c r="D596" s="3" t="s">
        <v>92</v>
      </c>
      <c r="S596">
        <v>1</v>
      </c>
      <c r="T596">
        <v>4</v>
      </c>
      <c r="V596" s="3" t="s">
        <v>49</v>
      </c>
    </row>
    <row r="597" spans="4:22" ht="17.649999999999999" x14ac:dyDescent="0.5">
      <c r="D597" s="3" t="s">
        <v>83</v>
      </c>
      <c r="S597">
        <v>1</v>
      </c>
      <c r="T597">
        <v>4</v>
      </c>
      <c r="V597" s="3" t="s">
        <v>49</v>
      </c>
    </row>
    <row r="598" spans="4:22" ht="17.649999999999999" x14ac:dyDescent="0.5">
      <c r="D598" s="3" t="s">
        <v>125</v>
      </c>
      <c r="S598">
        <v>1</v>
      </c>
      <c r="T598">
        <v>4</v>
      </c>
      <c r="V598" s="3" t="s">
        <v>49</v>
      </c>
    </row>
    <row r="599" spans="4:22" ht="17.649999999999999" x14ac:dyDescent="0.5">
      <c r="D599" s="3" t="s">
        <v>54</v>
      </c>
      <c r="S599">
        <v>1</v>
      </c>
      <c r="T599">
        <v>4</v>
      </c>
      <c r="V599" s="3" t="s">
        <v>49</v>
      </c>
    </row>
    <row r="600" spans="4:22" ht="17.649999999999999" x14ac:dyDescent="0.5">
      <c r="D600" s="3" t="s">
        <v>94</v>
      </c>
      <c r="S600">
        <v>1</v>
      </c>
      <c r="T600">
        <v>4</v>
      </c>
      <c r="V600" s="3" t="s">
        <v>49</v>
      </c>
    </row>
    <row r="601" spans="4:22" ht="17.649999999999999" x14ac:dyDescent="0.5">
      <c r="D601" s="3" t="s">
        <v>133</v>
      </c>
      <c r="S601">
        <v>1</v>
      </c>
      <c r="T601">
        <v>4</v>
      </c>
      <c r="V601" s="3" t="s">
        <v>49</v>
      </c>
    </row>
    <row r="602" spans="4:22" ht="17.649999999999999" x14ac:dyDescent="0.5">
      <c r="D602" s="3" t="s">
        <v>59</v>
      </c>
      <c r="S602">
        <v>1</v>
      </c>
      <c r="T602">
        <v>5</v>
      </c>
      <c r="V602" s="3" t="s">
        <v>132</v>
      </c>
    </row>
    <row r="603" spans="4:22" ht="17.649999999999999" x14ac:dyDescent="0.5">
      <c r="D603" s="3" t="s">
        <v>96</v>
      </c>
      <c r="S603">
        <v>1</v>
      </c>
      <c r="T603">
        <v>5</v>
      </c>
      <c r="V603" s="3" t="s">
        <v>132</v>
      </c>
    </row>
    <row r="604" spans="4:22" ht="17.649999999999999" x14ac:dyDescent="0.5">
      <c r="D604" s="3" t="s">
        <v>59</v>
      </c>
      <c r="S604">
        <v>1</v>
      </c>
      <c r="T604">
        <v>5</v>
      </c>
      <c r="V604" s="3" t="s">
        <v>132</v>
      </c>
    </row>
    <row r="605" spans="4:22" ht="17.649999999999999" x14ac:dyDescent="0.5">
      <c r="D605" s="3" t="s">
        <v>90</v>
      </c>
      <c r="S605">
        <v>1</v>
      </c>
      <c r="T605">
        <v>5</v>
      </c>
      <c r="V605" s="3" t="s">
        <v>132</v>
      </c>
    </row>
    <row r="606" spans="4:22" ht="17.649999999999999" x14ac:dyDescent="0.5">
      <c r="D606" s="3" t="s">
        <v>91</v>
      </c>
      <c r="S606">
        <v>1</v>
      </c>
      <c r="T606">
        <v>5</v>
      </c>
      <c r="V606" s="3" t="s">
        <v>132</v>
      </c>
    </row>
    <row r="607" spans="4:22" ht="17.649999999999999" x14ac:dyDescent="0.5">
      <c r="D607" s="3" t="s">
        <v>98</v>
      </c>
      <c r="S607">
        <v>1</v>
      </c>
      <c r="T607">
        <v>5</v>
      </c>
      <c r="V607" s="3" t="s">
        <v>111</v>
      </c>
    </row>
    <row r="608" spans="4:22" ht="17.649999999999999" x14ac:dyDescent="0.5">
      <c r="D608" s="3" t="s">
        <v>109</v>
      </c>
      <c r="S608">
        <v>1</v>
      </c>
      <c r="T608">
        <v>5</v>
      </c>
      <c r="V608" s="3" t="s">
        <v>111</v>
      </c>
    </row>
    <row r="609" spans="4:22" ht="17.649999999999999" x14ac:dyDescent="0.5">
      <c r="D609" s="3" t="s">
        <v>84</v>
      </c>
      <c r="S609">
        <v>1</v>
      </c>
      <c r="T609">
        <v>5</v>
      </c>
      <c r="V609" s="3" t="s">
        <v>111</v>
      </c>
    </row>
    <row r="610" spans="4:22" ht="17.649999999999999" x14ac:dyDescent="0.5">
      <c r="D610" s="3" t="s">
        <v>113</v>
      </c>
      <c r="S610">
        <v>1</v>
      </c>
      <c r="T610">
        <v>5</v>
      </c>
      <c r="V610" s="3" t="s">
        <v>111</v>
      </c>
    </row>
    <row r="611" spans="4:22" ht="17.649999999999999" x14ac:dyDescent="0.5">
      <c r="D611" s="3" t="s">
        <v>115</v>
      </c>
      <c r="S611">
        <v>1</v>
      </c>
      <c r="T611">
        <v>5</v>
      </c>
      <c r="V611" s="3" t="s">
        <v>111</v>
      </c>
    </row>
    <row r="612" spans="4:22" ht="17.649999999999999" x14ac:dyDescent="0.5">
      <c r="D612" s="3" t="s">
        <v>53</v>
      </c>
      <c r="S612">
        <v>1</v>
      </c>
      <c r="T612">
        <v>5</v>
      </c>
      <c r="V612" s="3" t="s">
        <v>111</v>
      </c>
    </row>
    <row r="613" spans="4:22" ht="17.649999999999999" x14ac:dyDescent="0.5">
      <c r="D613" s="3" t="s">
        <v>61</v>
      </c>
      <c r="S613">
        <v>1</v>
      </c>
      <c r="T613">
        <v>5</v>
      </c>
      <c r="V613" s="3" t="s">
        <v>111</v>
      </c>
    </row>
    <row r="614" spans="4:22" ht="17.649999999999999" x14ac:dyDescent="0.5">
      <c r="D614" s="3" t="s">
        <v>103</v>
      </c>
      <c r="S614">
        <v>1</v>
      </c>
      <c r="T614">
        <v>5</v>
      </c>
      <c r="V614" s="3" t="s">
        <v>111</v>
      </c>
    </row>
    <row r="615" spans="4:22" ht="17.649999999999999" x14ac:dyDescent="0.5">
      <c r="D615" s="3" t="s">
        <v>55</v>
      </c>
      <c r="S615">
        <v>1</v>
      </c>
      <c r="T615">
        <v>5</v>
      </c>
      <c r="V615" s="3" t="s">
        <v>111</v>
      </c>
    </row>
    <row r="616" spans="4:22" ht="17.649999999999999" x14ac:dyDescent="0.5">
      <c r="D616" s="3" t="s">
        <v>79</v>
      </c>
      <c r="S616">
        <v>1</v>
      </c>
      <c r="T616">
        <v>5</v>
      </c>
      <c r="V616" s="3" t="s">
        <v>111</v>
      </c>
    </row>
    <row r="617" spans="4:22" ht="17.649999999999999" x14ac:dyDescent="0.5">
      <c r="D617" s="3" t="s">
        <v>66</v>
      </c>
      <c r="S617">
        <v>1</v>
      </c>
      <c r="T617">
        <v>5</v>
      </c>
      <c r="V617" s="3" t="s">
        <v>111</v>
      </c>
    </row>
    <row r="618" spans="4:22" ht="17.649999999999999" x14ac:dyDescent="0.5">
      <c r="D618" s="3" t="s">
        <v>73</v>
      </c>
      <c r="S618">
        <v>1</v>
      </c>
      <c r="T618">
        <v>5</v>
      </c>
      <c r="V618" s="3" t="s">
        <v>111</v>
      </c>
    </row>
    <row r="619" spans="4:22" ht="17.649999999999999" x14ac:dyDescent="0.5">
      <c r="D619" s="3" t="s">
        <v>66</v>
      </c>
      <c r="S619">
        <v>1</v>
      </c>
      <c r="T619">
        <v>5</v>
      </c>
      <c r="V619" s="3" t="s">
        <v>61</v>
      </c>
    </row>
    <row r="620" spans="4:22" ht="17.649999999999999" x14ac:dyDescent="0.5">
      <c r="D620" s="3" t="s">
        <v>48</v>
      </c>
      <c r="S620">
        <v>1</v>
      </c>
      <c r="T620">
        <v>5</v>
      </c>
      <c r="V620" s="3" t="s">
        <v>61</v>
      </c>
    </row>
    <row r="621" spans="4:22" ht="17.649999999999999" x14ac:dyDescent="0.5">
      <c r="D621" s="3" t="s">
        <v>57</v>
      </c>
      <c r="S621">
        <v>1</v>
      </c>
      <c r="T621">
        <v>5</v>
      </c>
      <c r="V621" s="3" t="s">
        <v>61</v>
      </c>
    </row>
    <row r="622" spans="4:22" ht="17.649999999999999" x14ac:dyDescent="0.5">
      <c r="D622" s="3" t="s">
        <v>102</v>
      </c>
      <c r="S622">
        <v>1</v>
      </c>
      <c r="T622">
        <v>5</v>
      </c>
      <c r="V622" s="3" t="s">
        <v>61</v>
      </c>
    </row>
    <row r="623" spans="4:22" ht="17.649999999999999" x14ac:dyDescent="0.5">
      <c r="D623" s="3" t="s">
        <v>107</v>
      </c>
      <c r="S623">
        <v>1</v>
      </c>
      <c r="T623">
        <v>5</v>
      </c>
      <c r="V623" s="3" t="s">
        <v>61</v>
      </c>
    </row>
    <row r="624" spans="4:22" ht="17.649999999999999" x14ac:dyDescent="0.5">
      <c r="D624" s="3" t="s">
        <v>41</v>
      </c>
      <c r="S624">
        <v>1</v>
      </c>
      <c r="T624">
        <v>5</v>
      </c>
      <c r="V624" s="3" t="s">
        <v>61</v>
      </c>
    </row>
    <row r="625" spans="4:22" ht="17.649999999999999" x14ac:dyDescent="0.5">
      <c r="D625" s="3" t="s">
        <v>131</v>
      </c>
      <c r="S625">
        <v>1</v>
      </c>
      <c r="T625">
        <v>5</v>
      </c>
      <c r="V625" s="3" t="s">
        <v>61</v>
      </c>
    </row>
    <row r="626" spans="4:22" ht="17.649999999999999" x14ac:dyDescent="0.5">
      <c r="D626" s="3" t="s">
        <v>91</v>
      </c>
      <c r="S626">
        <v>1</v>
      </c>
      <c r="T626">
        <v>5</v>
      </c>
      <c r="V626" s="3" t="s">
        <v>61</v>
      </c>
    </row>
    <row r="627" spans="4:22" ht="17.649999999999999" x14ac:dyDescent="0.5">
      <c r="D627" s="3" t="s">
        <v>72</v>
      </c>
      <c r="S627">
        <v>1</v>
      </c>
      <c r="T627">
        <v>5</v>
      </c>
      <c r="V627" s="3" t="s">
        <v>61</v>
      </c>
    </row>
    <row r="628" spans="4:22" ht="17.649999999999999" x14ac:dyDescent="0.5">
      <c r="D628" s="3" t="s">
        <v>112</v>
      </c>
      <c r="S628">
        <v>1</v>
      </c>
      <c r="T628">
        <v>5</v>
      </c>
      <c r="V628" s="3" t="s">
        <v>61</v>
      </c>
    </row>
    <row r="629" spans="4:22" ht="17.649999999999999" x14ac:dyDescent="0.5">
      <c r="D629" s="3" t="s">
        <v>91</v>
      </c>
      <c r="S629">
        <v>1</v>
      </c>
      <c r="T629">
        <v>5</v>
      </c>
      <c r="V629" s="3" t="s">
        <v>61</v>
      </c>
    </row>
    <row r="630" spans="4:22" ht="17.649999999999999" x14ac:dyDescent="0.5">
      <c r="D630" s="3" t="s">
        <v>84</v>
      </c>
      <c r="S630">
        <v>1</v>
      </c>
      <c r="T630">
        <v>5</v>
      </c>
      <c r="V630" s="3" t="s">
        <v>61</v>
      </c>
    </row>
    <row r="631" spans="4:22" ht="17.649999999999999" x14ac:dyDescent="0.5">
      <c r="D631" s="3" t="s">
        <v>96</v>
      </c>
      <c r="S631">
        <v>1</v>
      </c>
      <c r="T631">
        <v>5</v>
      </c>
      <c r="V631" s="3" t="s">
        <v>61</v>
      </c>
    </row>
    <row r="632" spans="4:22" ht="17.649999999999999" x14ac:dyDescent="0.5">
      <c r="D632" s="3" t="s">
        <v>52</v>
      </c>
      <c r="S632">
        <v>1</v>
      </c>
      <c r="T632">
        <v>5</v>
      </c>
      <c r="V632" s="3" t="s">
        <v>61</v>
      </c>
    </row>
    <row r="633" spans="4:22" ht="17.649999999999999" x14ac:dyDescent="0.5">
      <c r="D633" s="3" t="s">
        <v>48</v>
      </c>
      <c r="S633">
        <v>1</v>
      </c>
      <c r="T633">
        <v>5</v>
      </c>
      <c r="V633" s="3" t="s">
        <v>61</v>
      </c>
    </row>
    <row r="634" spans="4:22" ht="17.649999999999999" x14ac:dyDescent="0.5">
      <c r="D634" s="3" t="s">
        <v>81</v>
      </c>
      <c r="S634">
        <v>1</v>
      </c>
      <c r="T634">
        <v>5</v>
      </c>
      <c r="V634" s="3" t="s">
        <v>61</v>
      </c>
    </row>
    <row r="635" spans="4:22" ht="17.649999999999999" x14ac:dyDescent="0.5">
      <c r="D635" s="3" t="s">
        <v>91</v>
      </c>
      <c r="S635">
        <v>1</v>
      </c>
      <c r="T635">
        <v>5</v>
      </c>
      <c r="V635" s="3" t="s">
        <v>61</v>
      </c>
    </row>
    <row r="636" spans="4:22" ht="17.649999999999999" x14ac:dyDescent="0.5">
      <c r="D636" s="3" t="s">
        <v>114</v>
      </c>
      <c r="S636">
        <v>1</v>
      </c>
      <c r="T636">
        <v>5</v>
      </c>
      <c r="V636" s="3" t="s">
        <v>61</v>
      </c>
    </row>
    <row r="637" spans="4:22" ht="17.649999999999999" x14ac:dyDescent="0.5">
      <c r="D637" s="3" t="s">
        <v>59</v>
      </c>
      <c r="S637">
        <v>1</v>
      </c>
      <c r="T637">
        <v>5</v>
      </c>
      <c r="V637" s="3" t="s">
        <v>61</v>
      </c>
    </row>
    <row r="638" spans="4:22" ht="17.649999999999999" x14ac:dyDescent="0.5">
      <c r="D638" s="3" t="s">
        <v>60</v>
      </c>
      <c r="S638">
        <v>1</v>
      </c>
      <c r="T638">
        <v>5</v>
      </c>
      <c r="V638" s="3" t="s">
        <v>61</v>
      </c>
    </row>
    <row r="639" spans="4:22" ht="17.649999999999999" x14ac:dyDescent="0.5">
      <c r="D639" s="3" t="s">
        <v>109</v>
      </c>
      <c r="S639">
        <v>1</v>
      </c>
      <c r="T639">
        <v>5</v>
      </c>
      <c r="V639" s="3" t="s">
        <v>61</v>
      </c>
    </row>
    <row r="640" spans="4:22" ht="17.649999999999999" x14ac:dyDescent="0.5">
      <c r="D640" s="3" t="s">
        <v>63</v>
      </c>
      <c r="S640">
        <v>1</v>
      </c>
      <c r="T640">
        <v>5</v>
      </c>
      <c r="V640" s="3" t="s">
        <v>61</v>
      </c>
    </row>
    <row r="641" spans="4:22" ht="17.649999999999999" x14ac:dyDescent="0.5">
      <c r="D641" s="3" t="s">
        <v>92</v>
      </c>
      <c r="S641">
        <v>1</v>
      </c>
      <c r="T641">
        <v>5</v>
      </c>
      <c r="V641" s="3" t="s">
        <v>61</v>
      </c>
    </row>
    <row r="642" spans="4:22" ht="17.649999999999999" x14ac:dyDescent="0.5">
      <c r="D642" s="3" t="s">
        <v>80</v>
      </c>
      <c r="S642">
        <v>1</v>
      </c>
      <c r="T642">
        <v>5</v>
      </c>
      <c r="V642" s="3" t="s">
        <v>61</v>
      </c>
    </row>
    <row r="643" spans="4:22" ht="17.649999999999999" x14ac:dyDescent="0.5">
      <c r="D643" s="3" t="s">
        <v>62</v>
      </c>
      <c r="S643">
        <v>1</v>
      </c>
      <c r="T643">
        <v>5</v>
      </c>
      <c r="V643" s="3" t="s">
        <v>61</v>
      </c>
    </row>
    <row r="644" spans="4:22" ht="17.649999999999999" x14ac:dyDescent="0.5">
      <c r="D644" s="3" t="s">
        <v>83</v>
      </c>
      <c r="S644">
        <v>1</v>
      </c>
      <c r="T644">
        <v>5</v>
      </c>
      <c r="V644" s="3" t="s">
        <v>61</v>
      </c>
    </row>
    <row r="645" spans="4:22" ht="17.649999999999999" x14ac:dyDescent="0.5">
      <c r="D645" s="3" t="s">
        <v>117</v>
      </c>
      <c r="S645">
        <v>1</v>
      </c>
      <c r="T645">
        <v>5</v>
      </c>
      <c r="V645" s="3" t="s">
        <v>61</v>
      </c>
    </row>
    <row r="646" spans="4:22" ht="17.649999999999999" x14ac:dyDescent="0.5">
      <c r="D646" s="3" t="s">
        <v>45</v>
      </c>
      <c r="S646">
        <v>1</v>
      </c>
      <c r="T646">
        <v>5</v>
      </c>
      <c r="V646" s="3" t="s">
        <v>61</v>
      </c>
    </row>
    <row r="647" spans="4:22" ht="17.649999999999999" x14ac:dyDescent="0.5">
      <c r="D647" s="3" t="s">
        <v>117</v>
      </c>
      <c r="S647">
        <v>1</v>
      </c>
      <c r="T647">
        <v>5</v>
      </c>
      <c r="V647" s="3" t="s">
        <v>61</v>
      </c>
    </row>
    <row r="648" spans="4:22" ht="17.649999999999999" x14ac:dyDescent="0.5">
      <c r="D648" s="3" t="s">
        <v>62</v>
      </c>
      <c r="S648">
        <v>1</v>
      </c>
      <c r="T648">
        <v>5</v>
      </c>
      <c r="V648" s="3" t="s">
        <v>61</v>
      </c>
    </row>
    <row r="649" spans="4:22" ht="17.649999999999999" x14ac:dyDescent="0.5">
      <c r="D649" s="3" t="s">
        <v>112</v>
      </c>
      <c r="S649">
        <v>1</v>
      </c>
      <c r="T649">
        <v>5</v>
      </c>
      <c r="V649" s="3" t="s">
        <v>61</v>
      </c>
    </row>
    <row r="650" spans="4:22" ht="17.649999999999999" x14ac:dyDescent="0.5">
      <c r="D650" s="3" t="s">
        <v>97</v>
      </c>
      <c r="S650">
        <v>1</v>
      </c>
      <c r="T650">
        <v>5</v>
      </c>
      <c r="V650" s="3" t="s">
        <v>61</v>
      </c>
    </row>
    <row r="651" spans="4:22" ht="17.649999999999999" x14ac:dyDescent="0.5">
      <c r="D651" s="3" t="s">
        <v>48</v>
      </c>
      <c r="S651">
        <v>1</v>
      </c>
      <c r="T651">
        <v>5</v>
      </c>
      <c r="V651" s="3" t="s">
        <v>61</v>
      </c>
    </row>
    <row r="652" spans="4:22" ht="17.649999999999999" x14ac:dyDescent="0.5">
      <c r="D652" s="3" t="s">
        <v>70</v>
      </c>
      <c r="S652">
        <v>1</v>
      </c>
      <c r="T652">
        <v>5</v>
      </c>
      <c r="V652" s="3" t="s">
        <v>61</v>
      </c>
    </row>
    <row r="653" spans="4:22" ht="17.649999999999999" x14ac:dyDescent="0.5">
      <c r="D653" s="3" t="s">
        <v>77</v>
      </c>
      <c r="S653">
        <v>1</v>
      </c>
      <c r="T653">
        <v>5</v>
      </c>
      <c r="V653" s="3" t="s">
        <v>61</v>
      </c>
    </row>
    <row r="654" spans="4:22" ht="17.649999999999999" x14ac:dyDescent="0.5">
      <c r="D654" s="3" t="s">
        <v>108</v>
      </c>
      <c r="S654">
        <v>1</v>
      </c>
      <c r="T654">
        <v>5</v>
      </c>
      <c r="V654" s="3" t="s">
        <v>61</v>
      </c>
    </row>
    <row r="655" spans="4:22" ht="17.649999999999999" x14ac:dyDescent="0.5">
      <c r="D655" s="3" t="s">
        <v>74</v>
      </c>
      <c r="S655">
        <v>1</v>
      </c>
      <c r="T655">
        <v>5</v>
      </c>
      <c r="V655" s="3" t="s">
        <v>61</v>
      </c>
    </row>
    <row r="656" spans="4:22" ht="17.649999999999999" x14ac:dyDescent="0.5">
      <c r="D656" s="3" t="s">
        <v>56</v>
      </c>
      <c r="S656">
        <v>1</v>
      </c>
      <c r="T656">
        <v>5</v>
      </c>
      <c r="V656" s="3" t="s">
        <v>61</v>
      </c>
    </row>
    <row r="657" spans="4:22" ht="17.649999999999999" x14ac:dyDescent="0.5">
      <c r="D657" s="3" t="s">
        <v>61</v>
      </c>
      <c r="S657">
        <v>1</v>
      </c>
      <c r="T657">
        <v>5</v>
      </c>
      <c r="V657" s="3" t="s">
        <v>61</v>
      </c>
    </row>
    <row r="658" spans="4:22" ht="17.649999999999999" x14ac:dyDescent="0.5">
      <c r="D658" s="3" t="s">
        <v>101</v>
      </c>
      <c r="S658">
        <v>1</v>
      </c>
      <c r="T658">
        <v>5</v>
      </c>
      <c r="V658" s="3" t="s">
        <v>80</v>
      </c>
    </row>
    <row r="659" spans="4:22" ht="17.649999999999999" x14ac:dyDescent="0.5">
      <c r="D659" s="3" t="s">
        <v>49</v>
      </c>
      <c r="S659">
        <v>1</v>
      </c>
      <c r="T659">
        <v>5</v>
      </c>
      <c r="V659" s="3" t="s">
        <v>80</v>
      </c>
    </row>
    <row r="660" spans="4:22" ht="17.649999999999999" x14ac:dyDescent="0.5">
      <c r="D660" s="3" t="s">
        <v>56</v>
      </c>
      <c r="S660">
        <v>1</v>
      </c>
      <c r="T660">
        <v>5</v>
      </c>
      <c r="V660" s="3" t="s">
        <v>80</v>
      </c>
    </row>
    <row r="661" spans="4:22" ht="17.649999999999999" x14ac:dyDescent="0.5">
      <c r="D661" s="3" t="s">
        <v>83</v>
      </c>
      <c r="S661">
        <v>1</v>
      </c>
      <c r="T661">
        <v>5</v>
      </c>
      <c r="V661" s="3" t="s">
        <v>80</v>
      </c>
    </row>
    <row r="662" spans="4:22" ht="17.649999999999999" x14ac:dyDescent="0.5">
      <c r="D662" s="3" t="s">
        <v>48</v>
      </c>
      <c r="S662">
        <v>1</v>
      </c>
      <c r="T662">
        <v>5</v>
      </c>
      <c r="V662" s="3" t="s">
        <v>80</v>
      </c>
    </row>
    <row r="663" spans="4:22" ht="17.649999999999999" x14ac:dyDescent="0.5">
      <c r="D663" s="3" t="s">
        <v>46</v>
      </c>
      <c r="S663">
        <v>1</v>
      </c>
      <c r="T663">
        <v>5</v>
      </c>
      <c r="V663" s="3" t="s">
        <v>80</v>
      </c>
    </row>
    <row r="664" spans="4:22" ht="17.649999999999999" x14ac:dyDescent="0.5">
      <c r="D664" s="3" t="s">
        <v>99</v>
      </c>
      <c r="S664">
        <v>1</v>
      </c>
      <c r="T664">
        <v>5</v>
      </c>
      <c r="V664" s="3" t="s">
        <v>80</v>
      </c>
    </row>
    <row r="665" spans="4:22" ht="17.649999999999999" x14ac:dyDescent="0.5">
      <c r="D665" s="3" t="s">
        <v>66</v>
      </c>
      <c r="S665">
        <v>1</v>
      </c>
      <c r="T665">
        <v>5</v>
      </c>
      <c r="V665" s="3" t="s">
        <v>80</v>
      </c>
    </row>
    <row r="666" spans="4:22" ht="17.649999999999999" x14ac:dyDescent="0.5">
      <c r="D666" s="3" t="s">
        <v>44</v>
      </c>
      <c r="S666">
        <v>1</v>
      </c>
      <c r="T666">
        <v>5</v>
      </c>
      <c r="V666" s="3" t="s">
        <v>80</v>
      </c>
    </row>
    <row r="667" spans="4:22" ht="17.649999999999999" x14ac:dyDescent="0.5">
      <c r="D667" s="3" t="s">
        <v>95</v>
      </c>
      <c r="S667">
        <v>1</v>
      </c>
      <c r="T667">
        <v>5</v>
      </c>
      <c r="V667" s="3" t="s">
        <v>80</v>
      </c>
    </row>
    <row r="668" spans="4:22" ht="17.649999999999999" x14ac:dyDescent="0.5">
      <c r="D668" s="3" t="s">
        <v>52</v>
      </c>
      <c r="S668">
        <v>1</v>
      </c>
      <c r="T668">
        <v>5</v>
      </c>
      <c r="V668" s="3" t="s">
        <v>80</v>
      </c>
    </row>
    <row r="669" spans="4:22" ht="17.649999999999999" x14ac:dyDescent="0.5">
      <c r="D669" s="3" t="s">
        <v>122</v>
      </c>
      <c r="S669">
        <v>1</v>
      </c>
      <c r="T669">
        <v>5</v>
      </c>
      <c r="V669" s="3" t="s">
        <v>80</v>
      </c>
    </row>
    <row r="670" spans="4:22" ht="17.649999999999999" x14ac:dyDescent="0.5">
      <c r="D670" s="3" t="s">
        <v>54</v>
      </c>
      <c r="S670">
        <v>1</v>
      </c>
      <c r="T670">
        <v>5</v>
      </c>
      <c r="V670" s="3" t="s">
        <v>80</v>
      </c>
    </row>
    <row r="671" spans="4:22" ht="17.649999999999999" x14ac:dyDescent="0.5">
      <c r="D671" s="3" t="s">
        <v>92</v>
      </c>
      <c r="S671">
        <v>1</v>
      </c>
      <c r="T671">
        <v>5</v>
      </c>
      <c r="V671" s="3" t="s">
        <v>80</v>
      </c>
    </row>
    <row r="672" spans="4:22" ht="17.649999999999999" x14ac:dyDescent="0.5">
      <c r="D672" s="3" t="s">
        <v>103</v>
      </c>
      <c r="S672">
        <v>1</v>
      </c>
      <c r="T672">
        <v>5</v>
      </c>
      <c r="V672" s="3" t="s">
        <v>80</v>
      </c>
    </row>
    <row r="673" spans="4:22" ht="17.649999999999999" x14ac:dyDescent="0.5">
      <c r="D673" s="3" t="s">
        <v>55</v>
      </c>
      <c r="S673">
        <v>1</v>
      </c>
      <c r="T673">
        <v>5</v>
      </c>
      <c r="V673" s="3" t="s">
        <v>80</v>
      </c>
    </row>
    <row r="674" spans="4:22" ht="17.649999999999999" x14ac:dyDescent="0.5">
      <c r="D674" s="3" t="s">
        <v>66</v>
      </c>
      <c r="S674">
        <v>1</v>
      </c>
      <c r="T674">
        <v>5</v>
      </c>
      <c r="V674" s="3" t="s">
        <v>80</v>
      </c>
    </row>
    <row r="675" spans="4:22" ht="17.649999999999999" x14ac:dyDescent="0.5">
      <c r="D675" s="3" t="s">
        <v>56</v>
      </c>
      <c r="S675">
        <v>1</v>
      </c>
      <c r="T675">
        <v>5</v>
      </c>
      <c r="V675" s="3" t="s">
        <v>80</v>
      </c>
    </row>
    <row r="676" spans="4:22" ht="17.649999999999999" x14ac:dyDescent="0.5">
      <c r="D676" s="3" t="s">
        <v>134</v>
      </c>
      <c r="S676">
        <v>1</v>
      </c>
      <c r="T676">
        <v>5</v>
      </c>
      <c r="V676" s="3" t="s">
        <v>80</v>
      </c>
    </row>
    <row r="677" spans="4:22" ht="17.649999999999999" x14ac:dyDescent="0.5">
      <c r="D677" s="3" t="s">
        <v>60</v>
      </c>
      <c r="S677">
        <v>1</v>
      </c>
      <c r="T677">
        <v>5</v>
      </c>
      <c r="V677" s="3" t="s">
        <v>80</v>
      </c>
    </row>
    <row r="678" spans="4:22" ht="17.649999999999999" x14ac:dyDescent="0.5">
      <c r="D678" s="3" t="s">
        <v>75</v>
      </c>
      <c r="S678">
        <v>1</v>
      </c>
      <c r="T678">
        <v>5</v>
      </c>
      <c r="V678" s="3" t="s">
        <v>80</v>
      </c>
    </row>
    <row r="679" spans="4:22" ht="17.649999999999999" x14ac:dyDescent="0.5">
      <c r="D679" s="3" t="s">
        <v>81</v>
      </c>
      <c r="S679">
        <v>1</v>
      </c>
      <c r="T679">
        <v>5</v>
      </c>
      <c r="V679" s="3" t="s">
        <v>80</v>
      </c>
    </row>
    <row r="680" spans="4:22" ht="17.649999999999999" x14ac:dyDescent="0.5">
      <c r="D680" s="3" t="s">
        <v>61</v>
      </c>
      <c r="S680">
        <v>1</v>
      </c>
      <c r="T680">
        <v>5</v>
      </c>
      <c r="V680" s="3" t="s">
        <v>80</v>
      </c>
    </row>
    <row r="681" spans="4:22" ht="17.649999999999999" x14ac:dyDescent="0.5">
      <c r="D681" s="3" t="s">
        <v>107</v>
      </c>
      <c r="S681">
        <v>1</v>
      </c>
      <c r="T681">
        <v>5</v>
      </c>
      <c r="V681" s="3" t="s">
        <v>80</v>
      </c>
    </row>
    <row r="682" spans="4:22" ht="17.649999999999999" x14ac:dyDescent="0.5">
      <c r="D682" s="3" t="s">
        <v>50</v>
      </c>
      <c r="S682">
        <v>1</v>
      </c>
      <c r="T682">
        <v>5</v>
      </c>
      <c r="V682" s="3" t="s">
        <v>80</v>
      </c>
    </row>
    <row r="683" spans="4:22" ht="17.649999999999999" x14ac:dyDescent="0.5">
      <c r="D683" s="3" t="s">
        <v>130</v>
      </c>
      <c r="S683">
        <v>1</v>
      </c>
      <c r="T683">
        <v>5</v>
      </c>
      <c r="V683" s="3" t="s">
        <v>80</v>
      </c>
    </row>
    <row r="684" spans="4:22" ht="17.649999999999999" x14ac:dyDescent="0.5">
      <c r="D684" s="3" t="s">
        <v>57</v>
      </c>
      <c r="S684">
        <v>1</v>
      </c>
      <c r="T684">
        <v>5</v>
      </c>
      <c r="V684" s="3" t="s">
        <v>80</v>
      </c>
    </row>
    <row r="685" spans="4:22" ht="17.649999999999999" x14ac:dyDescent="0.5">
      <c r="D685" s="3" t="s">
        <v>104</v>
      </c>
      <c r="S685">
        <v>1</v>
      </c>
      <c r="T685">
        <v>6</v>
      </c>
      <c r="V685" s="3" t="s">
        <v>114</v>
      </c>
    </row>
    <row r="686" spans="4:22" ht="17.649999999999999" x14ac:dyDescent="0.5">
      <c r="D686" s="3" t="s">
        <v>90</v>
      </c>
      <c r="S686">
        <v>1</v>
      </c>
      <c r="T686">
        <v>6</v>
      </c>
      <c r="V686" s="3" t="s">
        <v>114</v>
      </c>
    </row>
    <row r="687" spans="4:22" ht="17.649999999999999" x14ac:dyDescent="0.5">
      <c r="D687" s="3" t="s">
        <v>81</v>
      </c>
      <c r="S687">
        <v>1</v>
      </c>
      <c r="T687">
        <v>6</v>
      </c>
      <c r="V687" s="3" t="s">
        <v>114</v>
      </c>
    </row>
    <row r="688" spans="4:22" ht="17.649999999999999" x14ac:dyDescent="0.5">
      <c r="D688" s="3" t="s">
        <v>92</v>
      </c>
      <c r="S688">
        <v>1</v>
      </c>
      <c r="T688">
        <v>6</v>
      </c>
      <c r="V688" s="3" t="s">
        <v>114</v>
      </c>
    </row>
    <row r="689" spans="4:22" ht="17.649999999999999" x14ac:dyDescent="0.5">
      <c r="D689" s="3" t="s">
        <v>105</v>
      </c>
      <c r="S689">
        <v>1</v>
      </c>
      <c r="T689">
        <v>6</v>
      </c>
      <c r="V689" s="3" t="s">
        <v>114</v>
      </c>
    </row>
    <row r="690" spans="4:22" ht="17.649999999999999" x14ac:dyDescent="0.5">
      <c r="D690" s="3" t="s">
        <v>44</v>
      </c>
      <c r="S690">
        <v>1</v>
      </c>
      <c r="T690">
        <v>6</v>
      </c>
      <c r="V690" s="3" t="s">
        <v>114</v>
      </c>
    </row>
    <row r="691" spans="4:22" ht="17.649999999999999" x14ac:dyDescent="0.5">
      <c r="D691" s="3" t="s">
        <v>64</v>
      </c>
      <c r="S691">
        <v>1</v>
      </c>
      <c r="T691">
        <v>6</v>
      </c>
      <c r="V691" s="3" t="s">
        <v>114</v>
      </c>
    </row>
    <row r="692" spans="4:22" ht="17.649999999999999" x14ac:dyDescent="0.5">
      <c r="D692" s="3" t="s">
        <v>75</v>
      </c>
      <c r="S692">
        <v>1</v>
      </c>
      <c r="T692">
        <v>6</v>
      </c>
      <c r="V692" s="3" t="s">
        <v>114</v>
      </c>
    </row>
    <row r="693" spans="4:22" ht="17.649999999999999" x14ac:dyDescent="0.5">
      <c r="D693" s="3" t="s">
        <v>113</v>
      </c>
      <c r="S693">
        <v>1</v>
      </c>
      <c r="T693">
        <v>6</v>
      </c>
      <c r="V693" s="3" t="s">
        <v>114</v>
      </c>
    </row>
    <row r="694" spans="4:22" ht="17.649999999999999" x14ac:dyDescent="0.5">
      <c r="D694" s="3" t="s">
        <v>46</v>
      </c>
      <c r="S694">
        <v>1</v>
      </c>
      <c r="T694">
        <v>6</v>
      </c>
      <c r="V694" s="3" t="s">
        <v>114</v>
      </c>
    </row>
    <row r="695" spans="4:22" ht="17.649999999999999" x14ac:dyDescent="0.5">
      <c r="D695" s="3" t="s">
        <v>129</v>
      </c>
      <c r="S695">
        <v>1</v>
      </c>
      <c r="T695">
        <v>6</v>
      </c>
      <c r="V695" s="3" t="s">
        <v>45</v>
      </c>
    </row>
    <row r="696" spans="4:22" ht="17.649999999999999" x14ac:dyDescent="0.5">
      <c r="D696" s="3" t="s">
        <v>41</v>
      </c>
      <c r="S696">
        <v>1</v>
      </c>
      <c r="T696">
        <v>6</v>
      </c>
      <c r="V696" s="3" t="s">
        <v>45</v>
      </c>
    </row>
    <row r="697" spans="4:22" ht="17.649999999999999" x14ac:dyDescent="0.5">
      <c r="D697" s="3" t="s">
        <v>91</v>
      </c>
      <c r="S697">
        <v>1</v>
      </c>
      <c r="T697">
        <v>6</v>
      </c>
      <c r="V697" s="3" t="s">
        <v>45</v>
      </c>
    </row>
    <row r="698" spans="4:22" ht="17.649999999999999" x14ac:dyDescent="0.5">
      <c r="D698" s="3" t="s">
        <v>96</v>
      </c>
      <c r="S698">
        <v>1</v>
      </c>
      <c r="T698">
        <v>6</v>
      </c>
      <c r="V698" s="3" t="s">
        <v>45</v>
      </c>
    </row>
    <row r="699" spans="4:22" ht="17.649999999999999" x14ac:dyDescent="0.5">
      <c r="D699" s="3" t="s">
        <v>91</v>
      </c>
      <c r="S699">
        <v>1</v>
      </c>
      <c r="T699">
        <v>6</v>
      </c>
      <c r="V699" s="3" t="s">
        <v>45</v>
      </c>
    </row>
    <row r="700" spans="4:22" ht="17.649999999999999" x14ac:dyDescent="0.5">
      <c r="D700" s="3" t="s">
        <v>98</v>
      </c>
      <c r="S700">
        <v>1</v>
      </c>
      <c r="T700">
        <v>6</v>
      </c>
      <c r="V700" s="3" t="s">
        <v>45</v>
      </c>
    </row>
    <row r="701" spans="4:22" ht="17.649999999999999" x14ac:dyDescent="0.5">
      <c r="D701" s="3" t="s">
        <v>66</v>
      </c>
      <c r="S701">
        <v>1</v>
      </c>
      <c r="T701">
        <v>6</v>
      </c>
      <c r="V701" s="3" t="s">
        <v>45</v>
      </c>
    </row>
    <row r="702" spans="4:22" ht="17.649999999999999" x14ac:dyDescent="0.5">
      <c r="D702" s="3" t="s">
        <v>134</v>
      </c>
      <c r="S702">
        <v>1</v>
      </c>
      <c r="T702">
        <v>6</v>
      </c>
      <c r="V702" s="3" t="s">
        <v>45</v>
      </c>
    </row>
    <row r="703" spans="4:22" ht="17.649999999999999" x14ac:dyDescent="0.5">
      <c r="D703" s="3" t="s">
        <v>90</v>
      </c>
      <c r="S703">
        <v>1</v>
      </c>
      <c r="T703">
        <v>6</v>
      </c>
      <c r="V703" s="3" t="s">
        <v>45</v>
      </c>
    </row>
    <row r="704" spans="4:22" ht="17.649999999999999" x14ac:dyDescent="0.5">
      <c r="D704" s="3" t="s">
        <v>126</v>
      </c>
      <c r="S704">
        <v>1</v>
      </c>
      <c r="T704">
        <v>6</v>
      </c>
      <c r="V704" s="3" t="s">
        <v>45</v>
      </c>
    </row>
    <row r="705" spans="4:22" ht="17.649999999999999" x14ac:dyDescent="0.5">
      <c r="D705" s="3" t="s">
        <v>48</v>
      </c>
      <c r="S705">
        <v>1</v>
      </c>
      <c r="T705">
        <v>6</v>
      </c>
      <c r="V705" s="3" t="s">
        <v>45</v>
      </c>
    </row>
    <row r="706" spans="4:22" ht="17.649999999999999" x14ac:dyDescent="0.5">
      <c r="D706" s="3" t="s">
        <v>81</v>
      </c>
      <c r="S706">
        <v>1</v>
      </c>
      <c r="T706">
        <v>6</v>
      </c>
      <c r="V706" s="3" t="s">
        <v>45</v>
      </c>
    </row>
    <row r="707" spans="4:22" ht="17.649999999999999" x14ac:dyDescent="0.5">
      <c r="D707" s="3" t="s">
        <v>103</v>
      </c>
      <c r="S707">
        <v>1</v>
      </c>
      <c r="T707">
        <v>6</v>
      </c>
      <c r="V707" s="3" t="s">
        <v>45</v>
      </c>
    </row>
    <row r="708" spans="4:22" ht="17.649999999999999" x14ac:dyDescent="0.5">
      <c r="D708" s="3" t="s">
        <v>72</v>
      </c>
      <c r="S708">
        <v>1</v>
      </c>
      <c r="T708">
        <v>6</v>
      </c>
      <c r="V708" s="3" t="s">
        <v>45</v>
      </c>
    </row>
    <row r="709" spans="4:22" ht="17.649999999999999" x14ac:dyDescent="0.5">
      <c r="D709" s="3" t="s">
        <v>112</v>
      </c>
      <c r="S709">
        <v>1</v>
      </c>
      <c r="T709">
        <v>6</v>
      </c>
      <c r="V709" s="3" t="s">
        <v>45</v>
      </c>
    </row>
    <row r="710" spans="4:22" ht="17.649999999999999" x14ac:dyDescent="0.5">
      <c r="D710" s="3" t="s">
        <v>91</v>
      </c>
      <c r="S710">
        <v>1</v>
      </c>
      <c r="T710">
        <v>6</v>
      </c>
      <c r="V710" s="3" t="s">
        <v>45</v>
      </c>
    </row>
    <row r="711" spans="4:22" ht="17.649999999999999" x14ac:dyDescent="0.5">
      <c r="D711" s="3" t="s">
        <v>61</v>
      </c>
      <c r="S711">
        <v>1</v>
      </c>
      <c r="T711">
        <v>6</v>
      </c>
      <c r="V711" s="3" t="s">
        <v>45</v>
      </c>
    </row>
    <row r="712" spans="4:22" ht="17.649999999999999" x14ac:dyDescent="0.5">
      <c r="D712" s="3" t="s">
        <v>66</v>
      </c>
      <c r="S712">
        <v>1</v>
      </c>
      <c r="T712">
        <v>6</v>
      </c>
      <c r="V712" s="3" t="s">
        <v>117</v>
      </c>
    </row>
    <row r="713" spans="4:22" ht="17.649999999999999" x14ac:dyDescent="0.5">
      <c r="D713" s="3" t="s">
        <v>94</v>
      </c>
      <c r="S713">
        <v>1</v>
      </c>
      <c r="T713">
        <v>6</v>
      </c>
      <c r="V713" s="3" t="s">
        <v>117</v>
      </c>
    </row>
    <row r="714" spans="4:22" ht="17.649999999999999" x14ac:dyDescent="0.5">
      <c r="D714" s="3" t="s">
        <v>78</v>
      </c>
      <c r="S714">
        <v>1</v>
      </c>
      <c r="T714">
        <v>6</v>
      </c>
      <c r="V714" s="3" t="s">
        <v>117</v>
      </c>
    </row>
    <row r="715" spans="4:22" ht="17.649999999999999" x14ac:dyDescent="0.5">
      <c r="D715" s="3" t="s">
        <v>75</v>
      </c>
      <c r="S715">
        <v>1</v>
      </c>
      <c r="T715">
        <v>6</v>
      </c>
      <c r="V715" s="3" t="s">
        <v>117</v>
      </c>
    </row>
    <row r="716" spans="4:22" ht="17.649999999999999" x14ac:dyDescent="0.5">
      <c r="D716" s="3" t="s">
        <v>41</v>
      </c>
      <c r="S716">
        <v>1</v>
      </c>
      <c r="T716">
        <v>6</v>
      </c>
      <c r="V716" s="3" t="s">
        <v>117</v>
      </c>
    </row>
    <row r="717" spans="4:22" ht="17.649999999999999" x14ac:dyDescent="0.5">
      <c r="D717" s="3" t="s">
        <v>91</v>
      </c>
      <c r="S717">
        <v>1</v>
      </c>
      <c r="T717">
        <v>6</v>
      </c>
      <c r="V717" s="3" t="s">
        <v>117</v>
      </c>
    </row>
    <row r="718" spans="4:22" ht="17.649999999999999" x14ac:dyDescent="0.5">
      <c r="D718" s="3" t="s">
        <v>125</v>
      </c>
      <c r="S718">
        <v>1</v>
      </c>
      <c r="T718">
        <v>6</v>
      </c>
      <c r="V718" s="3" t="s">
        <v>117</v>
      </c>
    </row>
    <row r="719" spans="4:22" ht="17.649999999999999" x14ac:dyDescent="0.5">
      <c r="D719" s="3" t="s">
        <v>80</v>
      </c>
      <c r="S719">
        <v>1</v>
      </c>
      <c r="T719">
        <v>6</v>
      </c>
      <c r="V719" s="3" t="s">
        <v>117</v>
      </c>
    </row>
    <row r="720" spans="4:22" ht="17.649999999999999" x14ac:dyDescent="0.5">
      <c r="D720" s="3" t="s">
        <v>135</v>
      </c>
      <c r="S720">
        <v>1</v>
      </c>
      <c r="T720">
        <v>6</v>
      </c>
      <c r="V720" s="3" t="s">
        <v>117</v>
      </c>
    </row>
    <row r="721" spans="4:22" ht="17.649999999999999" x14ac:dyDescent="0.5">
      <c r="D721" s="3" t="s">
        <v>106</v>
      </c>
      <c r="S721">
        <v>1</v>
      </c>
      <c r="T721">
        <v>6</v>
      </c>
      <c r="V721" s="3" t="s">
        <v>117</v>
      </c>
    </row>
    <row r="722" spans="4:22" ht="17.649999999999999" x14ac:dyDescent="0.5">
      <c r="D722" s="3" t="s">
        <v>65</v>
      </c>
      <c r="S722">
        <v>1</v>
      </c>
      <c r="T722">
        <v>6</v>
      </c>
      <c r="V722" s="3" t="s">
        <v>117</v>
      </c>
    </row>
    <row r="723" spans="4:22" ht="17.649999999999999" x14ac:dyDescent="0.5">
      <c r="D723" s="3" t="s">
        <v>56</v>
      </c>
      <c r="S723">
        <v>1</v>
      </c>
      <c r="T723">
        <v>6</v>
      </c>
      <c r="V723" s="3" t="s">
        <v>117</v>
      </c>
    </row>
    <row r="724" spans="4:22" ht="17.649999999999999" x14ac:dyDescent="0.5">
      <c r="D724" s="3" t="s">
        <v>49</v>
      </c>
      <c r="S724">
        <v>1</v>
      </c>
      <c r="T724">
        <v>6</v>
      </c>
      <c r="V724" s="3" t="s">
        <v>117</v>
      </c>
    </row>
    <row r="725" spans="4:22" ht="17.649999999999999" x14ac:dyDescent="0.5">
      <c r="D725" s="3" t="s">
        <v>116</v>
      </c>
      <c r="S725">
        <v>1</v>
      </c>
      <c r="T725">
        <v>6</v>
      </c>
      <c r="V725" s="3" t="s">
        <v>117</v>
      </c>
    </row>
    <row r="726" spans="4:22" ht="17.649999999999999" x14ac:dyDescent="0.5">
      <c r="D726" s="3" t="s">
        <v>84</v>
      </c>
      <c r="S726">
        <v>1</v>
      </c>
      <c r="T726">
        <v>6</v>
      </c>
      <c r="V726" s="3" t="s">
        <v>117</v>
      </c>
    </row>
    <row r="727" spans="4:22" ht="17.649999999999999" x14ac:dyDescent="0.5">
      <c r="D727" s="3" t="s">
        <v>68</v>
      </c>
      <c r="S727">
        <v>1</v>
      </c>
      <c r="T727">
        <v>6</v>
      </c>
      <c r="V727" s="3" t="s">
        <v>117</v>
      </c>
    </row>
    <row r="728" spans="4:22" ht="17.649999999999999" x14ac:dyDescent="0.5">
      <c r="D728" s="3" t="s">
        <v>54</v>
      </c>
      <c r="S728">
        <v>1</v>
      </c>
      <c r="T728">
        <v>6</v>
      </c>
      <c r="V728" s="3" t="s">
        <v>117</v>
      </c>
    </row>
    <row r="729" spans="4:22" ht="17.649999999999999" x14ac:dyDescent="0.5">
      <c r="D729" s="3" t="s">
        <v>76</v>
      </c>
      <c r="S729">
        <v>1</v>
      </c>
      <c r="T729">
        <v>6</v>
      </c>
      <c r="V729" s="3" t="s">
        <v>117</v>
      </c>
    </row>
    <row r="730" spans="4:22" ht="17.649999999999999" x14ac:dyDescent="0.5">
      <c r="D730" s="3" t="s">
        <v>107</v>
      </c>
      <c r="S730">
        <v>1</v>
      </c>
      <c r="T730">
        <v>6</v>
      </c>
      <c r="V730" s="3" t="s">
        <v>117</v>
      </c>
    </row>
    <row r="731" spans="4:22" ht="17.649999999999999" x14ac:dyDescent="0.5">
      <c r="D731" s="3" t="s">
        <v>94</v>
      </c>
      <c r="S731">
        <v>1</v>
      </c>
      <c r="T731">
        <v>6</v>
      </c>
      <c r="V731" s="3" t="s">
        <v>117</v>
      </c>
    </row>
    <row r="732" spans="4:22" ht="17.649999999999999" x14ac:dyDescent="0.5">
      <c r="D732" s="3" t="s">
        <v>110</v>
      </c>
      <c r="S732">
        <v>1</v>
      </c>
      <c r="T732">
        <v>6</v>
      </c>
      <c r="V732" s="3" t="s">
        <v>117</v>
      </c>
    </row>
    <row r="733" spans="4:22" ht="17.649999999999999" x14ac:dyDescent="0.5">
      <c r="D733" s="3" t="s">
        <v>92</v>
      </c>
      <c r="S733">
        <v>1</v>
      </c>
      <c r="T733">
        <v>6</v>
      </c>
      <c r="V733" s="3" t="s">
        <v>117</v>
      </c>
    </row>
    <row r="734" spans="4:22" ht="17.649999999999999" x14ac:dyDescent="0.5">
      <c r="D734" s="3" t="s">
        <v>127</v>
      </c>
      <c r="S734">
        <v>1</v>
      </c>
      <c r="T734">
        <v>6</v>
      </c>
      <c r="V734" s="3" t="s">
        <v>117</v>
      </c>
    </row>
    <row r="735" spans="4:22" ht="17.649999999999999" x14ac:dyDescent="0.5">
      <c r="D735" s="3" t="s">
        <v>105</v>
      </c>
      <c r="S735">
        <v>1</v>
      </c>
      <c r="T735">
        <v>6</v>
      </c>
      <c r="V735" s="3" t="s">
        <v>117</v>
      </c>
    </row>
    <row r="736" spans="4:22" ht="17.649999999999999" x14ac:dyDescent="0.5">
      <c r="D736" s="3" t="s">
        <v>94</v>
      </c>
      <c r="S736">
        <v>1</v>
      </c>
      <c r="T736">
        <v>6</v>
      </c>
      <c r="V736" s="3" t="s">
        <v>117</v>
      </c>
    </row>
    <row r="737" spans="4:22" ht="17.649999999999999" x14ac:dyDescent="0.5">
      <c r="D737" s="3" t="s">
        <v>131</v>
      </c>
      <c r="S737">
        <v>1</v>
      </c>
      <c r="T737">
        <v>6</v>
      </c>
      <c r="V737" s="3" t="s">
        <v>117</v>
      </c>
    </row>
    <row r="738" spans="4:22" ht="17.649999999999999" x14ac:dyDescent="0.5">
      <c r="D738" s="3" t="s">
        <v>67</v>
      </c>
      <c r="S738">
        <v>1</v>
      </c>
      <c r="T738">
        <v>6</v>
      </c>
      <c r="V738" s="3" t="s">
        <v>117</v>
      </c>
    </row>
    <row r="739" spans="4:22" ht="17.649999999999999" x14ac:dyDescent="0.5">
      <c r="D739" s="3" t="s">
        <v>54</v>
      </c>
      <c r="S739">
        <v>1</v>
      </c>
      <c r="T739">
        <v>6</v>
      </c>
      <c r="V739" s="3" t="s">
        <v>117</v>
      </c>
    </row>
    <row r="740" spans="4:22" ht="17.649999999999999" x14ac:dyDescent="0.5">
      <c r="D740" s="3" t="s">
        <v>87</v>
      </c>
      <c r="S740">
        <v>1</v>
      </c>
      <c r="T740">
        <v>6</v>
      </c>
      <c r="V740" s="3" t="s">
        <v>117</v>
      </c>
    </row>
    <row r="741" spans="4:22" ht="17.649999999999999" x14ac:dyDescent="0.5">
      <c r="D741" s="3" t="s">
        <v>56</v>
      </c>
      <c r="S741">
        <v>1</v>
      </c>
      <c r="T741">
        <v>6</v>
      </c>
      <c r="V741" s="3" t="s">
        <v>117</v>
      </c>
    </row>
    <row r="742" spans="4:22" ht="17.649999999999999" x14ac:dyDescent="0.5">
      <c r="D742" s="3" t="s">
        <v>114</v>
      </c>
      <c r="S742">
        <v>1</v>
      </c>
      <c r="T742">
        <v>6</v>
      </c>
      <c r="V742" s="3" t="s">
        <v>117</v>
      </c>
    </row>
    <row r="743" spans="4:22" ht="17.649999999999999" x14ac:dyDescent="0.5">
      <c r="D743" s="3" t="s">
        <v>48</v>
      </c>
      <c r="S743">
        <v>1</v>
      </c>
      <c r="T743">
        <v>6</v>
      </c>
      <c r="V743" s="3" t="s">
        <v>105</v>
      </c>
    </row>
    <row r="744" spans="4:22" ht="17.649999999999999" x14ac:dyDescent="0.5">
      <c r="D744" s="3" t="s">
        <v>46</v>
      </c>
      <c r="S744">
        <v>1</v>
      </c>
      <c r="T744">
        <v>6</v>
      </c>
      <c r="V744" s="3" t="s">
        <v>105</v>
      </c>
    </row>
    <row r="745" spans="4:22" ht="17.649999999999999" x14ac:dyDescent="0.5">
      <c r="D745" s="3" t="s">
        <v>54</v>
      </c>
      <c r="S745">
        <v>1</v>
      </c>
      <c r="T745">
        <v>6</v>
      </c>
      <c r="V745" s="3" t="s">
        <v>105</v>
      </c>
    </row>
    <row r="746" spans="4:22" ht="17.649999999999999" x14ac:dyDescent="0.5">
      <c r="D746" s="3" t="s">
        <v>53</v>
      </c>
      <c r="S746">
        <v>1</v>
      </c>
      <c r="T746">
        <v>6</v>
      </c>
      <c r="V746" s="3" t="s">
        <v>105</v>
      </c>
    </row>
    <row r="747" spans="4:22" ht="17.649999999999999" x14ac:dyDescent="0.5">
      <c r="D747" s="3" t="s">
        <v>48</v>
      </c>
      <c r="S747">
        <v>1</v>
      </c>
      <c r="T747">
        <v>6</v>
      </c>
      <c r="V747" s="3" t="s">
        <v>105</v>
      </c>
    </row>
    <row r="748" spans="4:22" ht="17.649999999999999" x14ac:dyDescent="0.5">
      <c r="D748" s="3" t="s">
        <v>53</v>
      </c>
      <c r="S748">
        <v>1</v>
      </c>
      <c r="T748">
        <v>6</v>
      </c>
      <c r="V748" s="3" t="s">
        <v>105</v>
      </c>
    </row>
    <row r="749" spans="4:22" ht="17.649999999999999" x14ac:dyDescent="0.5">
      <c r="D749" s="3" t="s">
        <v>42</v>
      </c>
      <c r="S749">
        <v>1</v>
      </c>
      <c r="T749">
        <v>6</v>
      </c>
      <c r="V749" s="3" t="s">
        <v>105</v>
      </c>
    </row>
    <row r="750" spans="4:22" ht="17.649999999999999" x14ac:dyDescent="0.5">
      <c r="D750" s="3" t="s">
        <v>97</v>
      </c>
      <c r="S750">
        <v>1</v>
      </c>
      <c r="T750">
        <v>6</v>
      </c>
      <c r="V750" s="3" t="s">
        <v>105</v>
      </c>
    </row>
    <row r="751" spans="4:22" ht="17.649999999999999" x14ac:dyDescent="0.5">
      <c r="D751" s="3" t="s">
        <v>69</v>
      </c>
      <c r="S751">
        <v>1</v>
      </c>
      <c r="T751">
        <v>6</v>
      </c>
      <c r="V751" s="3" t="s">
        <v>105</v>
      </c>
    </row>
    <row r="752" spans="4:22" ht="17.649999999999999" x14ac:dyDescent="0.5">
      <c r="D752" s="3" t="s">
        <v>72</v>
      </c>
      <c r="S752">
        <v>1</v>
      </c>
      <c r="T752">
        <v>6</v>
      </c>
      <c r="V752" s="3" t="s">
        <v>105</v>
      </c>
    </row>
    <row r="753" spans="4:22" ht="17.649999999999999" x14ac:dyDescent="0.5">
      <c r="D753" s="3" t="s">
        <v>45</v>
      </c>
      <c r="S753">
        <v>1</v>
      </c>
      <c r="T753">
        <v>6</v>
      </c>
      <c r="V753" s="3" t="s">
        <v>105</v>
      </c>
    </row>
    <row r="754" spans="4:22" ht="17.649999999999999" x14ac:dyDescent="0.5">
      <c r="D754" s="3" t="s">
        <v>80</v>
      </c>
      <c r="S754">
        <v>1</v>
      </c>
      <c r="T754">
        <v>6</v>
      </c>
      <c r="V754" s="3" t="s">
        <v>105</v>
      </c>
    </row>
    <row r="755" spans="4:22" ht="17.649999999999999" x14ac:dyDescent="0.5">
      <c r="D755" s="3" t="s">
        <v>49</v>
      </c>
      <c r="S755">
        <v>1</v>
      </c>
      <c r="T755">
        <v>6</v>
      </c>
      <c r="V755" s="3" t="s">
        <v>105</v>
      </c>
    </row>
    <row r="756" spans="4:22" ht="17.649999999999999" x14ac:dyDescent="0.5">
      <c r="D756" s="3" t="s">
        <v>65</v>
      </c>
      <c r="S756">
        <v>1</v>
      </c>
      <c r="T756">
        <v>6</v>
      </c>
      <c r="V756" s="3" t="s">
        <v>105</v>
      </c>
    </row>
    <row r="757" spans="4:22" ht="17.649999999999999" x14ac:dyDescent="0.5">
      <c r="D757" s="3" t="s">
        <v>77</v>
      </c>
      <c r="S757">
        <v>1</v>
      </c>
      <c r="T757">
        <v>6</v>
      </c>
      <c r="V757" s="3" t="s">
        <v>105</v>
      </c>
    </row>
    <row r="758" spans="4:22" ht="17.649999999999999" x14ac:dyDescent="0.5">
      <c r="D758" s="3" t="s">
        <v>51</v>
      </c>
      <c r="S758">
        <v>1</v>
      </c>
      <c r="T758">
        <v>6</v>
      </c>
      <c r="V758" s="3" t="s">
        <v>105</v>
      </c>
    </row>
    <row r="759" spans="4:22" ht="17.649999999999999" x14ac:dyDescent="0.5">
      <c r="D759" s="3" t="s">
        <v>61</v>
      </c>
      <c r="S759">
        <v>1</v>
      </c>
      <c r="T759">
        <v>6</v>
      </c>
      <c r="V759" s="3" t="s">
        <v>105</v>
      </c>
    </row>
    <row r="760" spans="4:22" ht="17.649999999999999" x14ac:dyDescent="0.5">
      <c r="D760" s="3" t="s">
        <v>65</v>
      </c>
      <c r="S760">
        <v>1</v>
      </c>
      <c r="T760">
        <v>6</v>
      </c>
      <c r="V760" s="3" t="s">
        <v>105</v>
      </c>
    </row>
    <row r="761" spans="4:22" ht="17.649999999999999" x14ac:dyDescent="0.5">
      <c r="D761" s="3" t="s">
        <v>111</v>
      </c>
      <c r="S761">
        <v>1</v>
      </c>
      <c r="T761">
        <v>6</v>
      </c>
      <c r="V761" s="3" t="s">
        <v>105</v>
      </c>
    </row>
    <row r="762" spans="4:22" ht="17.649999999999999" x14ac:dyDescent="0.5">
      <c r="D762" s="3" t="s">
        <v>66</v>
      </c>
      <c r="S762">
        <v>1</v>
      </c>
      <c r="T762">
        <v>6</v>
      </c>
      <c r="V762" s="3" t="s">
        <v>105</v>
      </c>
    </row>
    <row r="763" spans="4:22" ht="17.649999999999999" x14ac:dyDescent="0.5">
      <c r="D763" s="3" t="s">
        <v>64</v>
      </c>
      <c r="S763">
        <v>1</v>
      </c>
      <c r="T763">
        <v>6</v>
      </c>
      <c r="V763" s="3" t="s">
        <v>105</v>
      </c>
    </row>
    <row r="764" spans="4:22" ht="17.649999999999999" x14ac:dyDescent="0.5">
      <c r="D764" s="3" t="s">
        <v>82</v>
      </c>
      <c r="S764">
        <v>1</v>
      </c>
      <c r="T764">
        <v>6</v>
      </c>
      <c r="V764" s="3" t="s">
        <v>105</v>
      </c>
    </row>
    <row r="765" spans="4:22" ht="17.649999999999999" x14ac:dyDescent="0.5">
      <c r="D765" s="3" t="s">
        <v>114</v>
      </c>
      <c r="S765">
        <v>1</v>
      </c>
      <c r="T765">
        <v>6</v>
      </c>
      <c r="V765" s="3" t="s">
        <v>105</v>
      </c>
    </row>
    <row r="766" spans="4:22" ht="17.649999999999999" x14ac:dyDescent="0.5">
      <c r="D766" s="3" t="s">
        <v>81</v>
      </c>
      <c r="S766">
        <v>1</v>
      </c>
      <c r="T766">
        <v>6</v>
      </c>
      <c r="V766" s="3" t="s">
        <v>105</v>
      </c>
    </row>
    <row r="767" spans="4:22" ht="17.649999999999999" x14ac:dyDescent="0.5">
      <c r="D767" s="3" t="s">
        <v>78</v>
      </c>
      <c r="S767">
        <v>1</v>
      </c>
      <c r="T767">
        <v>7</v>
      </c>
      <c r="V767" s="3" t="s">
        <v>122</v>
      </c>
    </row>
    <row r="768" spans="4:22" ht="17.649999999999999" x14ac:dyDescent="0.5">
      <c r="D768" s="3" t="s">
        <v>41</v>
      </c>
      <c r="S768">
        <v>1</v>
      </c>
      <c r="T768">
        <v>7</v>
      </c>
      <c r="V768" s="3" t="s">
        <v>122</v>
      </c>
    </row>
    <row r="769" spans="4:22" ht="17.649999999999999" x14ac:dyDescent="0.5">
      <c r="D769" s="3" t="s">
        <v>91</v>
      </c>
      <c r="S769">
        <v>1</v>
      </c>
      <c r="T769">
        <v>7</v>
      </c>
      <c r="V769" s="3" t="s">
        <v>122</v>
      </c>
    </row>
    <row r="770" spans="4:22" ht="17.649999999999999" x14ac:dyDescent="0.5">
      <c r="D770" s="3" t="s">
        <v>107</v>
      </c>
      <c r="S770">
        <v>1</v>
      </c>
      <c r="T770">
        <v>7</v>
      </c>
      <c r="V770" s="3" t="s">
        <v>122</v>
      </c>
    </row>
    <row r="771" spans="4:22" ht="17.649999999999999" x14ac:dyDescent="0.5">
      <c r="D771" s="3" t="s">
        <v>73</v>
      </c>
      <c r="S771">
        <v>1</v>
      </c>
      <c r="T771">
        <v>7</v>
      </c>
      <c r="V771" s="3" t="s">
        <v>122</v>
      </c>
    </row>
    <row r="772" spans="4:22" ht="17.649999999999999" x14ac:dyDescent="0.5">
      <c r="D772" s="3" t="s">
        <v>41</v>
      </c>
      <c r="S772">
        <v>1</v>
      </c>
      <c r="T772">
        <v>7</v>
      </c>
      <c r="V772" s="3" t="s">
        <v>122</v>
      </c>
    </row>
    <row r="773" spans="4:22" ht="17.649999999999999" x14ac:dyDescent="0.5">
      <c r="D773" s="3" t="s">
        <v>77</v>
      </c>
      <c r="S773">
        <v>1</v>
      </c>
      <c r="T773">
        <v>7</v>
      </c>
      <c r="V773" s="3" t="s">
        <v>122</v>
      </c>
    </row>
    <row r="774" spans="4:22" ht="17.649999999999999" x14ac:dyDescent="0.5">
      <c r="D774" s="3" t="s">
        <v>44</v>
      </c>
      <c r="S774">
        <v>1</v>
      </c>
      <c r="T774">
        <v>7</v>
      </c>
      <c r="V774" s="3" t="s">
        <v>97</v>
      </c>
    </row>
    <row r="775" spans="4:22" ht="17.649999999999999" x14ac:dyDescent="0.5">
      <c r="D775" s="3" t="s">
        <v>71</v>
      </c>
      <c r="S775">
        <v>1</v>
      </c>
      <c r="T775">
        <v>7</v>
      </c>
      <c r="V775" s="3" t="s">
        <v>97</v>
      </c>
    </row>
    <row r="776" spans="4:22" ht="17.649999999999999" x14ac:dyDescent="0.5">
      <c r="D776" s="3" t="s">
        <v>95</v>
      </c>
      <c r="S776">
        <v>1</v>
      </c>
      <c r="T776">
        <v>7</v>
      </c>
      <c r="V776" s="3" t="s">
        <v>97</v>
      </c>
    </row>
    <row r="777" spans="4:22" ht="17.649999999999999" x14ac:dyDescent="0.5">
      <c r="D777" s="3" t="s">
        <v>92</v>
      </c>
      <c r="S777">
        <v>1</v>
      </c>
      <c r="T777">
        <v>7</v>
      </c>
      <c r="V777" s="3" t="s">
        <v>97</v>
      </c>
    </row>
    <row r="778" spans="4:22" ht="17.649999999999999" x14ac:dyDescent="0.5">
      <c r="D778" s="3" t="s">
        <v>81</v>
      </c>
      <c r="S778">
        <v>1</v>
      </c>
      <c r="T778">
        <v>7</v>
      </c>
      <c r="V778" s="3" t="s">
        <v>97</v>
      </c>
    </row>
    <row r="779" spans="4:22" ht="17.649999999999999" x14ac:dyDescent="0.5">
      <c r="D779" s="3" t="s">
        <v>91</v>
      </c>
      <c r="S779">
        <v>1</v>
      </c>
      <c r="T779">
        <v>7</v>
      </c>
      <c r="V779" s="3" t="s">
        <v>97</v>
      </c>
    </row>
    <row r="780" spans="4:22" ht="17.649999999999999" x14ac:dyDescent="0.5">
      <c r="D780" s="3" t="s">
        <v>61</v>
      </c>
      <c r="S780">
        <v>1</v>
      </c>
      <c r="T780">
        <v>7</v>
      </c>
      <c r="V780" s="3" t="s">
        <v>97</v>
      </c>
    </row>
    <row r="781" spans="4:22" ht="17.649999999999999" x14ac:dyDescent="0.5">
      <c r="D781" s="3" t="s">
        <v>41</v>
      </c>
      <c r="S781">
        <v>1</v>
      </c>
      <c r="T781">
        <v>7</v>
      </c>
      <c r="V781" s="3" t="s">
        <v>97</v>
      </c>
    </row>
    <row r="782" spans="4:22" ht="17.649999999999999" x14ac:dyDescent="0.5">
      <c r="D782" s="3" t="s">
        <v>111</v>
      </c>
      <c r="S782">
        <v>1</v>
      </c>
      <c r="T782">
        <v>7</v>
      </c>
      <c r="V782" s="3" t="s">
        <v>97</v>
      </c>
    </row>
    <row r="783" spans="4:22" ht="17.649999999999999" x14ac:dyDescent="0.5">
      <c r="D783" s="3" t="s">
        <v>44</v>
      </c>
      <c r="S783">
        <v>1</v>
      </c>
      <c r="T783">
        <v>7</v>
      </c>
      <c r="V783" s="3" t="s">
        <v>97</v>
      </c>
    </row>
    <row r="784" spans="4:22" ht="17.649999999999999" x14ac:dyDescent="0.5">
      <c r="D784" s="3" t="s">
        <v>62</v>
      </c>
      <c r="S784">
        <v>1</v>
      </c>
      <c r="T784">
        <v>7</v>
      </c>
      <c r="V784" s="3" t="s">
        <v>97</v>
      </c>
    </row>
    <row r="785" spans="4:22" ht="17.649999999999999" x14ac:dyDescent="0.5">
      <c r="D785" s="3" t="s">
        <v>51</v>
      </c>
      <c r="S785">
        <v>1</v>
      </c>
      <c r="T785">
        <v>7</v>
      </c>
      <c r="V785" s="3" t="s">
        <v>97</v>
      </c>
    </row>
    <row r="786" spans="4:22" ht="17.649999999999999" x14ac:dyDescent="0.5">
      <c r="D786" s="3" t="s">
        <v>53</v>
      </c>
      <c r="S786">
        <v>1</v>
      </c>
      <c r="T786">
        <v>7</v>
      </c>
      <c r="V786" s="3" t="s">
        <v>97</v>
      </c>
    </row>
    <row r="787" spans="4:22" ht="17.649999999999999" x14ac:dyDescent="0.5">
      <c r="D787" s="3" t="s">
        <v>123</v>
      </c>
      <c r="S787">
        <v>1</v>
      </c>
      <c r="T787">
        <v>7</v>
      </c>
      <c r="V787" s="3" t="s">
        <v>97</v>
      </c>
    </row>
    <row r="788" spans="4:22" ht="17.649999999999999" x14ac:dyDescent="0.5">
      <c r="D788" s="3" t="s">
        <v>86</v>
      </c>
      <c r="S788">
        <v>1</v>
      </c>
      <c r="T788">
        <v>7</v>
      </c>
      <c r="V788" s="3" t="s">
        <v>51</v>
      </c>
    </row>
    <row r="789" spans="4:22" ht="17.649999999999999" x14ac:dyDescent="0.5">
      <c r="D789" s="3" t="s">
        <v>56</v>
      </c>
      <c r="S789">
        <v>1</v>
      </c>
      <c r="T789">
        <v>7</v>
      </c>
      <c r="V789" s="3" t="s">
        <v>51</v>
      </c>
    </row>
    <row r="790" spans="4:22" ht="17.649999999999999" x14ac:dyDescent="0.5">
      <c r="D790" s="3" t="s">
        <v>85</v>
      </c>
      <c r="S790">
        <v>1</v>
      </c>
      <c r="T790">
        <v>7</v>
      </c>
      <c r="V790" s="3" t="s">
        <v>51</v>
      </c>
    </row>
    <row r="791" spans="4:22" ht="17.649999999999999" x14ac:dyDescent="0.5">
      <c r="D791" s="3" t="s">
        <v>78</v>
      </c>
      <c r="S791">
        <v>1</v>
      </c>
      <c r="T791">
        <v>7</v>
      </c>
      <c r="V791" s="3" t="s">
        <v>51</v>
      </c>
    </row>
    <row r="792" spans="4:22" ht="17.649999999999999" x14ac:dyDescent="0.5">
      <c r="D792" s="3" t="s">
        <v>83</v>
      </c>
      <c r="S792">
        <v>1</v>
      </c>
      <c r="T792">
        <v>7</v>
      </c>
      <c r="V792" s="3" t="s">
        <v>51</v>
      </c>
    </row>
    <row r="793" spans="4:22" ht="17.649999999999999" x14ac:dyDescent="0.5">
      <c r="D793" s="3" t="s">
        <v>95</v>
      </c>
      <c r="S793">
        <v>1</v>
      </c>
      <c r="T793">
        <v>7</v>
      </c>
      <c r="V793" s="3" t="s">
        <v>51</v>
      </c>
    </row>
    <row r="794" spans="4:22" ht="17.649999999999999" x14ac:dyDescent="0.5">
      <c r="D794" s="3" t="s">
        <v>56</v>
      </c>
      <c r="S794">
        <v>1</v>
      </c>
      <c r="T794">
        <v>7</v>
      </c>
      <c r="V794" s="3" t="s">
        <v>51</v>
      </c>
    </row>
    <row r="795" spans="4:22" ht="17.649999999999999" x14ac:dyDescent="0.5">
      <c r="D795" s="3" t="s">
        <v>134</v>
      </c>
      <c r="S795">
        <v>1</v>
      </c>
      <c r="T795">
        <v>7</v>
      </c>
      <c r="V795" s="3" t="s">
        <v>51</v>
      </c>
    </row>
    <row r="796" spans="4:22" ht="17.649999999999999" x14ac:dyDescent="0.5">
      <c r="D796" s="3" t="s">
        <v>54</v>
      </c>
      <c r="S796">
        <v>1</v>
      </c>
      <c r="T796">
        <v>7</v>
      </c>
      <c r="V796" s="3" t="s">
        <v>51</v>
      </c>
    </row>
    <row r="797" spans="4:22" ht="17.649999999999999" x14ac:dyDescent="0.5">
      <c r="D797" s="3" t="s">
        <v>106</v>
      </c>
      <c r="S797">
        <v>1</v>
      </c>
      <c r="T797">
        <v>7</v>
      </c>
      <c r="V797" s="3" t="s">
        <v>51</v>
      </c>
    </row>
    <row r="798" spans="4:22" ht="17.649999999999999" x14ac:dyDescent="0.5">
      <c r="D798" s="3" t="s">
        <v>66</v>
      </c>
      <c r="S798">
        <v>1</v>
      </c>
      <c r="T798">
        <v>7</v>
      </c>
      <c r="V798" s="3" t="s">
        <v>51</v>
      </c>
    </row>
    <row r="799" spans="4:22" ht="17.649999999999999" x14ac:dyDescent="0.5">
      <c r="D799" s="3" t="s">
        <v>96</v>
      </c>
      <c r="S799">
        <v>1</v>
      </c>
      <c r="T799">
        <v>7</v>
      </c>
      <c r="V799" s="3" t="s">
        <v>51</v>
      </c>
    </row>
    <row r="800" spans="4:22" ht="17.649999999999999" x14ac:dyDescent="0.5">
      <c r="D800" s="3" t="s">
        <v>84</v>
      </c>
      <c r="S800">
        <v>1</v>
      </c>
      <c r="T800">
        <v>7</v>
      </c>
      <c r="V800" s="3" t="s">
        <v>51</v>
      </c>
    </row>
    <row r="801" spans="4:22" ht="17.649999999999999" x14ac:dyDescent="0.5">
      <c r="D801" s="3" t="s">
        <v>92</v>
      </c>
      <c r="S801">
        <v>1</v>
      </c>
      <c r="T801">
        <v>7</v>
      </c>
      <c r="V801" s="3" t="s">
        <v>51</v>
      </c>
    </row>
    <row r="802" spans="4:22" ht="17.649999999999999" x14ac:dyDescent="0.5">
      <c r="D802" s="3" t="s">
        <v>56</v>
      </c>
      <c r="S802">
        <v>1</v>
      </c>
      <c r="T802">
        <v>7</v>
      </c>
      <c r="V802" s="3" t="s">
        <v>51</v>
      </c>
    </row>
    <row r="803" spans="4:22" ht="17.649999999999999" x14ac:dyDescent="0.5">
      <c r="D803" s="3" t="s">
        <v>41</v>
      </c>
      <c r="S803">
        <v>1</v>
      </c>
      <c r="T803">
        <v>7</v>
      </c>
      <c r="V803" s="3" t="s">
        <v>51</v>
      </c>
    </row>
    <row r="804" spans="4:22" ht="17.649999999999999" x14ac:dyDescent="0.5">
      <c r="D804" s="3" t="s">
        <v>74</v>
      </c>
      <c r="S804">
        <v>1</v>
      </c>
      <c r="T804">
        <v>7</v>
      </c>
      <c r="V804" s="3" t="s">
        <v>51</v>
      </c>
    </row>
    <row r="805" spans="4:22" ht="17.649999999999999" x14ac:dyDescent="0.5">
      <c r="D805" s="3" t="s">
        <v>106</v>
      </c>
      <c r="S805">
        <v>1</v>
      </c>
      <c r="T805">
        <v>7</v>
      </c>
      <c r="V805" s="3" t="s">
        <v>51</v>
      </c>
    </row>
    <row r="806" spans="4:22" ht="17.649999999999999" x14ac:dyDescent="0.5">
      <c r="D806" s="3" t="s">
        <v>52</v>
      </c>
      <c r="S806">
        <v>1</v>
      </c>
      <c r="T806">
        <v>7</v>
      </c>
      <c r="V806" s="3" t="s">
        <v>51</v>
      </c>
    </row>
    <row r="807" spans="4:22" ht="17.649999999999999" x14ac:dyDescent="0.5">
      <c r="D807" s="3" t="s">
        <v>53</v>
      </c>
      <c r="S807">
        <v>1</v>
      </c>
      <c r="T807">
        <v>7</v>
      </c>
      <c r="V807" s="3" t="s">
        <v>51</v>
      </c>
    </row>
    <row r="808" spans="4:22" ht="17.649999999999999" x14ac:dyDescent="0.5">
      <c r="D808" s="3" t="s">
        <v>46</v>
      </c>
      <c r="S808">
        <v>1</v>
      </c>
      <c r="T808">
        <v>7</v>
      </c>
      <c r="V808" s="3" t="s">
        <v>51</v>
      </c>
    </row>
    <row r="809" spans="4:22" ht="17.649999999999999" x14ac:dyDescent="0.5">
      <c r="D809" s="3" t="s">
        <v>84</v>
      </c>
      <c r="S809">
        <v>1</v>
      </c>
      <c r="T809">
        <v>7</v>
      </c>
      <c r="V809" s="3" t="s">
        <v>51</v>
      </c>
    </row>
    <row r="810" spans="4:22" ht="17.649999999999999" x14ac:dyDescent="0.5">
      <c r="D810" s="3" t="s">
        <v>48</v>
      </c>
      <c r="S810">
        <v>1</v>
      </c>
      <c r="T810">
        <v>7</v>
      </c>
      <c r="V810" s="3" t="s">
        <v>51</v>
      </c>
    </row>
    <row r="811" spans="4:22" ht="17.649999999999999" x14ac:dyDescent="0.5">
      <c r="D811" s="3" t="s">
        <v>120</v>
      </c>
      <c r="S811">
        <v>1</v>
      </c>
      <c r="T811">
        <v>7</v>
      </c>
      <c r="V811" s="3" t="s">
        <v>51</v>
      </c>
    </row>
    <row r="812" spans="4:22" ht="17.649999999999999" x14ac:dyDescent="0.5">
      <c r="D812" s="3" t="s">
        <v>78</v>
      </c>
      <c r="S812">
        <v>1</v>
      </c>
      <c r="T812">
        <v>7</v>
      </c>
      <c r="V812" s="3" t="s">
        <v>51</v>
      </c>
    </row>
    <row r="813" spans="4:22" ht="17.649999999999999" x14ac:dyDescent="0.5">
      <c r="D813" s="3" t="s">
        <v>66</v>
      </c>
      <c r="S813">
        <v>1</v>
      </c>
      <c r="T813">
        <v>7</v>
      </c>
      <c r="V813" s="3" t="s">
        <v>52</v>
      </c>
    </row>
    <row r="814" spans="4:22" ht="17.649999999999999" x14ac:dyDescent="0.5">
      <c r="D814" s="3" t="s">
        <v>57</v>
      </c>
      <c r="S814">
        <v>1</v>
      </c>
      <c r="T814">
        <v>7</v>
      </c>
      <c r="V814" s="3" t="s">
        <v>52</v>
      </c>
    </row>
    <row r="815" spans="4:22" ht="17.649999999999999" x14ac:dyDescent="0.5">
      <c r="D815" s="3" t="s">
        <v>83</v>
      </c>
      <c r="S815">
        <v>1</v>
      </c>
      <c r="T815">
        <v>7</v>
      </c>
      <c r="V815" s="3" t="s">
        <v>52</v>
      </c>
    </row>
    <row r="816" spans="4:22" ht="17.649999999999999" x14ac:dyDescent="0.5">
      <c r="D816" s="3" t="s">
        <v>84</v>
      </c>
      <c r="S816">
        <v>1</v>
      </c>
      <c r="T816">
        <v>7</v>
      </c>
      <c r="V816" s="3" t="s">
        <v>52</v>
      </c>
    </row>
    <row r="817" spans="4:22" ht="17.649999999999999" x14ac:dyDescent="0.5">
      <c r="D817" s="3" t="s">
        <v>73</v>
      </c>
      <c r="S817">
        <v>1</v>
      </c>
      <c r="T817">
        <v>7</v>
      </c>
      <c r="V817" s="3" t="s">
        <v>52</v>
      </c>
    </row>
    <row r="818" spans="4:22" ht="17.649999999999999" x14ac:dyDescent="0.5">
      <c r="D818" s="3" t="s">
        <v>63</v>
      </c>
      <c r="S818">
        <v>1</v>
      </c>
      <c r="T818">
        <v>7</v>
      </c>
      <c r="V818" s="3" t="s">
        <v>52</v>
      </c>
    </row>
    <row r="819" spans="4:22" ht="17.649999999999999" x14ac:dyDescent="0.5">
      <c r="D819" s="3" t="s">
        <v>117</v>
      </c>
      <c r="S819">
        <v>1</v>
      </c>
      <c r="T819">
        <v>7</v>
      </c>
      <c r="V819" s="3" t="s">
        <v>52</v>
      </c>
    </row>
    <row r="820" spans="4:22" ht="17.649999999999999" x14ac:dyDescent="0.5">
      <c r="D820" s="3" t="s">
        <v>80</v>
      </c>
      <c r="S820">
        <v>1</v>
      </c>
      <c r="T820">
        <v>7</v>
      </c>
      <c r="V820" s="3" t="s">
        <v>52</v>
      </c>
    </row>
    <row r="821" spans="4:22" ht="17.649999999999999" x14ac:dyDescent="0.5">
      <c r="D821" s="3" t="s">
        <v>62</v>
      </c>
      <c r="S821">
        <v>1</v>
      </c>
      <c r="T821">
        <v>7</v>
      </c>
      <c r="V821" s="3" t="s">
        <v>52</v>
      </c>
    </row>
    <row r="822" spans="4:22" ht="17.649999999999999" x14ac:dyDescent="0.5">
      <c r="D822" s="3" t="s">
        <v>90</v>
      </c>
      <c r="S822">
        <v>1</v>
      </c>
      <c r="T822">
        <v>7</v>
      </c>
      <c r="V822" s="3" t="s">
        <v>52</v>
      </c>
    </row>
    <row r="823" spans="4:22" ht="17.649999999999999" x14ac:dyDescent="0.5">
      <c r="D823" s="3" t="s">
        <v>77</v>
      </c>
      <c r="S823">
        <v>1</v>
      </c>
      <c r="T823">
        <v>7</v>
      </c>
      <c r="V823" s="3" t="s">
        <v>52</v>
      </c>
    </row>
    <row r="824" spans="4:22" ht="17.649999999999999" x14ac:dyDescent="0.5">
      <c r="D824" s="3" t="s">
        <v>68</v>
      </c>
      <c r="S824">
        <v>1</v>
      </c>
      <c r="T824">
        <v>7</v>
      </c>
      <c r="V824" s="3" t="s">
        <v>52</v>
      </c>
    </row>
    <row r="825" spans="4:22" ht="17.649999999999999" x14ac:dyDescent="0.5">
      <c r="D825" s="3" t="s">
        <v>52</v>
      </c>
      <c r="S825">
        <v>1</v>
      </c>
      <c r="T825">
        <v>7</v>
      </c>
      <c r="V825" s="3" t="s">
        <v>52</v>
      </c>
    </row>
    <row r="826" spans="4:22" ht="17.649999999999999" x14ac:dyDescent="0.5">
      <c r="D826" s="3" t="s">
        <v>67</v>
      </c>
      <c r="S826">
        <v>1</v>
      </c>
      <c r="T826">
        <v>7</v>
      </c>
      <c r="V826" s="3" t="s">
        <v>52</v>
      </c>
    </row>
    <row r="827" spans="4:22" ht="17.649999999999999" x14ac:dyDescent="0.5">
      <c r="D827" s="3" t="s">
        <v>64</v>
      </c>
      <c r="S827">
        <v>1</v>
      </c>
      <c r="T827">
        <v>7</v>
      </c>
      <c r="V827" s="3" t="s">
        <v>52</v>
      </c>
    </row>
    <row r="828" spans="4:22" ht="17.649999999999999" x14ac:dyDescent="0.5">
      <c r="D828" s="3" t="s">
        <v>90</v>
      </c>
      <c r="S828">
        <v>1</v>
      </c>
      <c r="T828">
        <v>7</v>
      </c>
      <c r="V828" s="3" t="s">
        <v>52</v>
      </c>
    </row>
    <row r="829" spans="4:22" ht="17.649999999999999" x14ac:dyDescent="0.5">
      <c r="D829" s="3" t="s">
        <v>52</v>
      </c>
      <c r="S829">
        <v>1</v>
      </c>
      <c r="T829">
        <v>7</v>
      </c>
      <c r="V829" s="3" t="s">
        <v>52</v>
      </c>
    </row>
    <row r="830" spans="4:22" ht="17.649999999999999" x14ac:dyDescent="0.5">
      <c r="D830" s="3" t="s">
        <v>75</v>
      </c>
      <c r="S830">
        <v>1</v>
      </c>
      <c r="T830">
        <v>7</v>
      </c>
      <c r="V830" s="3" t="s">
        <v>52</v>
      </c>
    </row>
    <row r="831" spans="4:22" ht="17.649999999999999" x14ac:dyDescent="0.5">
      <c r="D831" s="3" t="s">
        <v>112</v>
      </c>
      <c r="S831">
        <v>1</v>
      </c>
      <c r="T831">
        <v>7</v>
      </c>
      <c r="V831" s="3" t="s">
        <v>52</v>
      </c>
    </row>
    <row r="832" spans="4:22" ht="17.649999999999999" x14ac:dyDescent="0.5">
      <c r="D832" s="3" t="s">
        <v>99</v>
      </c>
      <c r="S832">
        <v>1</v>
      </c>
      <c r="T832">
        <v>7</v>
      </c>
      <c r="V832" s="3" t="s">
        <v>52</v>
      </c>
    </row>
    <row r="833" spans="4:22" ht="17.649999999999999" x14ac:dyDescent="0.5">
      <c r="D833" s="3" t="s">
        <v>94</v>
      </c>
      <c r="S833">
        <v>1</v>
      </c>
      <c r="T833">
        <v>7</v>
      </c>
      <c r="V833" s="3" t="s">
        <v>52</v>
      </c>
    </row>
    <row r="834" spans="4:22" ht="17.649999999999999" x14ac:dyDescent="0.5">
      <c r="D834" s="3" t="s">
        <v>73</v>
      </c>
      <c r="S834">
        <v>1</v>
      </c>
      <c r="T834">
        <v>7</v>
      </c>
      <c r="V834" s="3" t="s">
        <v>52</v>
      </c>
    </row>
    <row r="835" spans="4:22" ht="17.649999999999999" x14ac:dyDescent="0.5">
      <c r="D835" s="3" t="s">
        <v>65</v>
      </c>
      <c r="S835">
        <v>1</v>
      </c>
      <c r="T835">
        <v>7</v>
      </c>
      <c r="V835" s="3" t="s">
        <v>52</v>
      </c>
    </row>
    <row r="836" spans="4:22" ht="17.649999999999999" x14ac:dyDescent="0.5">
      <c r="D836" s="3" t="s">
        <v>55</v>
      </c>
      <c r="S836">
        <v>1</v>
      </c>
      <c r="T836">
        <v>7</v>
      </c>
      <c r="V836" s="3" t="s">
        <v>52</v>
      </c>
    </row>
    <row r="837" spans="4:22" ht="17.649999999999999" x14ac:dyDescent="0.5">
      <c r="D837" s="3" t="s">
        <v>127</v>
      </c>
      <c r="S837">
        <v>1</v>
      </c>
      <c r="T837">
        <v>7</v>
      </c>
      <c r="V837" s="3" t="s">
        <v>52</v>
      </c>
    </row>
    <row r="838" spans="4:22" ht="17.649999999999999" x14ac:dyDescent="0.5">
      <c r="D838" s="3" t="s">
        <v>93</v>
      </c>
      <c r="S838">
        <v>1</v>
      </c>
      <c r="T838">
        <v>7</v>
      </c>
      <c r="V838" s="3" t="s">
        <v>52</v>
      </c>
    </row>
    <row r="839" spans="4:22" ht="17.649999999999999" x14ac:dyDescent="0.5">
      <c r="D839" s="3" t="s">
        <v>79</v>
      </c>
      <c r="S839">
        <v>1</v>
      </c>
      <c r="T839">
        <v>7</v>
      </c>
      <c r="V839" s="3" t="s">
        <v>52</v>
      </c>
    </row>
    <row r="840" spans="4:22" ht="17.649999999999999" x14ac:dyDescent="0.5">
      <c r="D840" s="3" t="s">
        <v>66</v>
      </c>
      <c r="S840">
        <v>1</v>
      </c>
      <c r="T840">
        <v>7</v>
      </c>
      <c r="V840" s="3" t="s">
        <v>52</v>
      </c>
    </row>
    <row r="841" spans="4:22" ht="17.649999999999999" x14ac:dyDescent="0.5">
      <c r="D841" s="3" t="s">
        <v>58</v>
      </c>
      <c r="S841">
        <v>1</v>
      </c>
      <c r="T841">
        <v>7</v>
      </c>
      <c r="V841" s="3" t="s">
        <v>52</v>
      </c>
    </row>
    <row r="842" spans="4:22" ht="17.649999999999999" x14ac:dyDescent="0.5">
      <c r="D842" s="3" t="s">
        <v>53</v>
      </c>
      <c r="S842">
        <v>1</v>
      </c>
      <c r="T842">
        <v>7</v>
      </c>
      <c r="V842" s="3" t="s">
        <v>52</v>
      </c>
    </row>
    <row r="843" spans="4:22" ht="17.649999999999999" x14ac:dyDescent="0.5">
      <c r="D843" s="3" t="s">
        <v>79</v>
      </c>
      <c r="S843">
        <v>1</v>
      </c>
      <c r="T843">
        <v>7</v>
      </c>
      <c r="V843" s="3" t="s">
        <v>52</v>
      </c>
    </row>
    <row r="844" spans="4:22" ht="17.649999999999999" x14ac:dyDescent="0.5">
      <c r="D844" s="3" t="s">
        <v>69</v>
      </c>
      <c r="S844">
        <v>1</v>
      </c>
      <c r="T844">
        <v>7</v>
      </c>
      <c r="V844" s="3" t="s">
        <v>52</v>
      </c>
    </row>
    <row r="845" spans="4:22" ht="17.649999999999999" x14ac:dyDescent="0.5">
      <c r="D845" s="3" t="s">
        <v>105</v>
      </c>
      <c r="S845">
        <v>1</v>
      </c>
      <c r="T845">
        <v>7</v>
      </c>
      <c r="V845" s="3" t="s">
        <v>52</v>
      </c>
    </row>
    <row r="846" spans="4:22" ht="17.649999999999999" x14ac:dyDescent="0.5">
      <c r="D846" s="3" t="s">
        <v>116</v>
      </c>
      <c r="S846">
        <v>1</v>
      </c>
      <c r="T846">
        <v>7</v>
      </c>
      <c r="V846" s="3" t="s">
        <v>52</v>
      </c>
    </row>
    <row r="847" spans="4:22" ht="17.649999999999999" x14ac:dyDescent="0.5">
      <c r="D847" s="3" t="s">
        <v>106</v>
      </c>
      <c r="S847">
        <v>1</v>
      </c>
      <c r="T847">
        <v>7</v>
      </c>
      <c r="V847" s="3" t="s">
        <v>52</v>
      </c>
    </row>
    <row r="848" spans="4:22" ht="17.649999999999999" x14ac:dyDescent="0.5">
      <c r="D848" s="3" t="s">
        <v>120</v>
      </c>
      <c r="S848">
        <v>1</v>
      </c>
      <c r="T848">
        <v>7</v>
      </c>
      <c r="V848" s="3" t="s">
        <v>52</v>
      </c>
    </row>
    <row r="849" spans="4:22" ht="17.649999999999999" x14ac:dyDescent="0.5">
      <c r="D849" s="3" t="s">
        <v>98</v>
      </c>
      <c r="S849">
        <v>1</v>
      </c>
      <c r="T849">
        <v>8</v>
      </c>
      <c r="V849" s="3" t="s">
        <v>76</v>
      </c>
    </row>
    <row r="850" spans="4:22" ht="17.649999999999999" x14ac:dyDescent="0.5">
      <c r="D850" s="3" t="s">
        <v>115</v>
      </c>
      <c r="S850">
        <v>1</v>
      </c>
      <c r="T850">
        <v>8</v>
      </c>
      <c r="V850" s="3" t="s">
        <v>76</v>
      </c>
    </row>
    <row r="851" spans="4:22" ht="17.649999999999999" x14ac:dyDescent="0.5">
      <c r="D851" s="3" t="s">
        <v>74</v>
      </c>
      <c r="S851">
        <v>1</v>
      </c>
      <c r="T851">
        <v>8</v>
      </c>
      <c r="V851" s="3" t="s">
        <v>76</v>
      </c>
    </row>
    <row r="852" spans="4:22" ht="17.649999999999999" x14ac:dyDescent="0.5">
      <c r="D852" s="3" t="s">
        <v>106</v>
      </c>
      <c r="S852">
        <v>1</v>
      </c>
      <c r="T852">
        <v>8</v>
      </c>
      <c r="V852" s="3" t="s">
        <v>76</v>
      </c>
    </row>
    <row r="853" spans="4:22" ht="17.649999999999999" x14ac:dyDescent="0.5">
      <c r="D853" s="3" t="s">
        <v>55</v>
      </c>
      <c r="S853">
        <v>1</v>
      </c>
      <c r="T853">
        <v>8</v>
      </c>
      <c r="V853" s="3" t="s">
        <v>76</v>
      </c>
    </row>
    <row r="854" spans="4:22" ht="17.649999999999999" x14ac:dyDescent="0.5">
      <c r="D854" s="3" t="s">
        <v>73</v>
      </c>
      <c r="S854">
        <v>1</v>
      </c>
      <c r="T854">
        <v>8</v>
      </c>
      <c r="V854" s="3" t="s">
        <v>76</v>
      </c>
    </row>
    <row r="855" spans="4:22" ht="17.649999999999999" x14ac:dyDescent="0.5">
      <c r="D855" s="3" t="s">
        <v>89</v>
      </c>
      <c r="S855">
        <v>1</v>
      </c>
      <c r="T855">
        <v>8</v>
      </c>
      <c r="V855" s="3" t="s">
        <v>76</v>
      </c>
    </row>
    <row r="856" spans="4:22" ht="17.649999999999999" x14ac:dyDescent="0.5">
      <c r="D856" s="3" t="s">
        <v>64</v>
      </c>
      <c r="S856">
        <v>1</v>
      </c>
      <c r="T856">
        <v>8</v>
      </c>
      <c r="V856" s="3" t="s">
        <v>76</v>
      </c>
    </row>
    <row r="857" spans="4:22" ht="17.649999999999999" x14ac:dyDescent="0.5">
      <c r="D857" s="3" t="s">
        <v>130</v>
      </c>
      <c r="S857">
        <v>1</v>
      </c>
      <c r="T857">
        <v>8</v>
      </c>
      <c r="V857" s="3" t="s">
        <v>76</v>
      </c>
    </row>
    <row r="858" spans="4:22" ht="17.649999999999999" x14ac:dyDescent="0.5">
      <c r="D858" s="3" t="s">
        <v>96</v>
      </c>
      <c r="S858">
        <v>1</v>
      </c>
      <c r="T858">
        <v>8</v>
      </c>
      <c r="V858" s="3" t="s">
        <v>76</v>
      </c>
    </row>
    <row r="859" spans="4:22" ht="17.649999999999999" x14ac:dyDescent="0.5">
      <c r="D859" s="3" t="s">
        <v>124</v>
      </c>
      <c r="S859">
        <v>1</v>
      </c>
      <c r="T859">
        <v>8</v>
      </c>
      <c r="V859" s="3" t="s">
        <v>76</v>
      </c>
    </row>
    <row r="860" spans="4:22" ht="17.649999999999999" x14ac:dyDescent="0.5">
      <c r="D860" s="3" t="s">
        <v>65</v>
      </c>
      <c r="S860">
        <v>1</v>
      </c>
      <c r="T860">
        <v>8</v>
      </c>
      <c r="V860" s="3" t="s">
        <v>76</v>
      </c>
    </row>
    <row r="861" spans="4:22" ht="17.649999999999999" x14ac:dyDescent="0.5">
      <c r="D861" s="3" t="s">
        <v>107</v>
      </c>
      <c r="S861">
        <v>1</v>
      </c>
      <c r="T861">
        <v>8</v>
      </c>
      <c r="V861" s="3" t="s">
        <v>76</v>
      </c>
    </row>
    <row r="862" spans="4:22" ht="17.649999999999999" x14ac:dyDescent="0.5">
      <c r="D862" s="3" t="s">
        <v>90</v>
      </c>
      <c r="S862">
        <v>1</v>
      </c>
      <c r="T862">
        <v>8</v>
      </c>
      <c r="V862" s="3" t="s">
        <v>76</v>
      </c>
    </row>
    <row r="863" spans="4:22" ht="17.649999999999999" x14ac:dyDescent="0.5">
      <c r="D863" s="3" t="s">
        <v>69</v>
      </c>
      <c r="S863">
        <v>1</v>
      </c>
      <c r="T863">
        <v>8</v>
      </c>
      <c r="V863" s="3" t="s">
        <v>95</v>
      </c>
    </row>
    <row r="864" spans="4:22" ht="17.649999999999999" x14ac:dyDescent="0.5">
      <c r="D864" s="3" t="s">
        <v>67</v>
      </c>
      <c r="S864">
        <v>1</v>
      </c>
      <c r="T864">
        <v>8</v>
      </c>
      <c r="V864" s="3" t="s">
        <v>95</v>
      </c>
    </row>
    <row r="865" spans="4:22" ht="17.649999999999999" x14ac:dyDescent="0.5">
      <c r="D865" s="3" t="s">
        <v>120</v>
      </c>
      <c r="S865">
        <v>1</v>
      </c>
      <c r="T865">
        <v>8</v>
      </c>
      <c r="V865" s="3" t="s">
        <v>95</v>
      </c>
    </row>
    <row r="866" spans="4:22" ht="17.649999999999999" x14ac:dyDescent="0.5">
      <c r="D866" s="3" t="s">
        <v>112</v>
      </c>
      <c r="S866">
        <v>1</v>
      </c>
      <c r="T866">
        <v>8</v>
      </c>
      <c r="V866" s="3" t="s">
        <v>95</v>
      </c>
    </row>
    <row r="867" spans="4:22" ht="17.649999999999999" x14ac:dyDescent="0.5">
      <c r="D867" s="3" t="s">
        <v>69</v>
      </c>
      <c r="S867">
        <v>1</v>
      </c>
      <c r="T867">
        <v>8</v>
      </c>
      <c r="V867" s="3" t="s">
        <v>95</v>
      </c>
    </row>
    <row r="868" spans="4:22" ht="17.649999999999999" x14ac:dyDescent="0.5">
      <c r="D868" s="3" t="s">
        <v>46</v>
      </c>
      <c r="S868">
        <v>1</v>
      </c>
      <c r="T868">
        <v>8</v>
      </c>
      <c r="V868" s="3" t="s">
        <v>95</v>
      </c>
    </row>
    <row r="869" spans="4:22" ht="17.649999999999999" x14ac:dyDescent="0.5">
      <c r="D869" s="3" t="s">
        <v>85</v>
      </c>
      <c r="S869">
        <v>1</v>
      </c>
      <c r="T869">
        <v>8</v>
      </c>
      <c r="V869" s="3" t="s">
        <v>95</v>
      </c>
    </row>
    <row r="870" spans="4:22" ht="17.649999999999999" x14ac:dyDescent="0.5">
      <c r="D870" s="3" t="s">
        <v>100</v>
      </c>
      <c r="S870">
        <v>1</v>
      </c>
      <c r="T870">
        <v>8</v>
      </c>
      <c r="V870" s="3" t="s">
        <v>95</v>
      </c>
    </row>
    <row r="871" spans="4:22" ht="17.649999999999999" x14ac:dyDescent="0.5">
      <c r="D871" s="3" t="s">
        <v>81</v>
      </c>
      <c r="S871">
        <v>1</v>
      </c>
      <c r="T871">
        <v>8</v>
      </c>
      <c r="V871" s="3" t="s">
        <v>95</v>
      </c>
    </row>
    <row r="872" spans="4:22" ht="17.649999999999999" x14ac:dyDescent="0.5">
      <c r="D872" s="3" t="s">
        <v>46</v>
      </c>
      <c r="S872">
        <v>1</v>
      </c>
      <c r="T872">
        <v>8</v>
      </c>
      <c r="V872" s="3" t="s">
        <v>95</v>
      </c>
    </row>
    <row r="873" spans="4:22" ht="17.649999999999999" x14ac:dyDescent="0.5">
      <c r="D873" s="3" t="s">
        <v>68</v>
      </c>
      <c r="S873">
        <v>1</v>
      </c>
      <c r="T873">
        <v>8</v>
      </c>
      <c r="V873" s="3" t="s">
        <v>95</v>
      </c>
    </row>
    <row r="874" spans="4:22" ht="17.649999999999999" x14ac:dyDescent="0.5">
      <c r="D874" s="3" t="s">
        <v>52</v>
      </c>
      <c r="S874">
        <v>1</v>
      </c>
      <c r="T874">
        <v>8</v>
      </c>
      <c r="V874" s="3" t="s">
        <v>96</v>
      </c>
    </row>
    <row r="875" spans="4:22" ht="17.649999999999999" x14ac:dyDescent="0.5">
      <c r="D875" s="3" t="s">
        <v>131</v>
      </c>
      <c r="S875">
        <v>1</v>
      </c>
      <c r="T875">
        <v>8</v>
      </c>
      <c r="V875" s="3" t="s">
        <v>96</v>
      </c>
    </row>
    <row r="876" spans="4:22" ht="17.649999999999999" x14ac:dyDescent="0.5">
      <c r="D876" s="3" t="s">
        <v>55</v>
      </c>
      <c r="S876">
        <v>1</v>
      </c>
      <c r="T876">
        <v>8</v>
      </c>
      <c r="V876" s="3" t="s">
        <v>96</v>
      </c>
    </row>
    <row r="877" spans="4:22" ht="17.649999999999999" x14ac:dyDescent="0.5">
      <c r="D877" s="3" t="s">
        <v>50</v>
      </c>
      <c r="S877">
        <v>1</v>
      </c>
      <c r="T877">
        <v>8</v>
      </c>
      <c r="V877" s="3" t="s">
        <v>96</v>
      </c>
    </row>
    <row r="878" spans="4:22" ht="17.649999999999999" x14ac:dyDescent="0.5">
      <c r="D878" s="3" t="s">
        <v>70</v>
      </c>
      <c r="S878">
        <v>1</v>
      </c>
      <c r="T878">
        <v>8</v>
      </c>
      <c r="V878" s="3" t="s">
        <v>96</v>
      </c>
    </row>
    <row r="879" spans="4:22" ht="17.649999999999999" x14ac:dyDescent="0.5">
      <c r="D879" s="3" t="s">
        <v>123</v>
      </c>
      <c r="S879">
        <v>1</v>
      </c>
      <c r="T879">
        <v>8</v>
      </c>
      <c r="V879" s="3" t="s">
        <v>96</v>
      </c>
    </row>
    <row r="880" spans="4:22" ht="17.649999999999999" x14ac:dyDescent="0.5">
      <c r="D880" s="3" t="s">
        <v>80</v>
      </c>
      <c r="S880">
        <v>1</v>
      </c>
      <c r="T880">
        <v>8</v>
      </c>
      <c r="V880" s="3" t="s">
        <v>96</v>
      </c>
    </row>
    <row r="881" spans="4:22" ht="17.649999999999999" x14ac:dyDescent="0.5">
      <c r="D881" s="3" t="s">
        <v>60</v>
      </c>
      <c r="S881">
        <v>1</v>
      </c>
      <c r="T881">
        <v>8</v>
      </c>
      <c r="V881" s="3" t="s">
        <v>96</v>
      </c>
    </row>
    <row r="882" spans="4:22" ht="17.649999999999999" x14ac:dyDescent="0.5">
      <c r="D882" s="3" t="s">
        <v>42</v>
      </c>
      <c r="S882">
        <v>1</v>
      </c>
      <c r="T882">
        <v>8</v>
      </c>
      <c r="V882" s="3" t="s">
        <v>96</v>
      </c>
    </row>
    <row r="883" spans="4:22" ht="17.649999999999999" x14ac:dyDescent="0.5">
      <c r="D883" s="3" t="s">
        <v>53</v>
      </c>
      <c r="S883">
        <v>1</v>
      </c>
      <c r="T883">
        <v>8</v>
      </c>
      <c r="V883" s="3" t="s">
        <v>96</v>
      </c>
    </row>
    <row r="884" spans="4:22" ht="17.649999999999999" x14ac:dyDescent="0.5">
      <c r="D884" s="3" t="s">
        <v>105</v>
      </c>
      <c r="S884">
        <v>1</v>
      </c>
      <c r="T884">
        <v>8</v>
      </c>
      <c r="V884" s="3" t="s">
        <v>96</v>
      </c>
    </row>
    <row r="885" spans="4:22" ht="17.649999999999999" x14ac:dyDescent="0.5">
      <c r="D885" s="3" t="s">
        <v>44</v>
      </c>
      <c r="S885">
        <v>1</v>
      </c>
      <c r="T885">
        <v>8</v>
      </c>
      <c r="V885" s="3" t="s">
        <v>96</v>
      </c>
    </row>
    <row r="886" spans="4:22" ht="17.649999999999999" x14ac:dyDescent="0.5">
      <c r="D886" s="3" t="s">
        <v>103</v>
      </c>
      <c r="S886">
        <v>1</v>
      </c>
      <c r="T886">
        <v>8</v>
      </c>
      <c r="V886" s="3" t="s">
        <v>96</v>
      </c>
    </row>
    <row r="887" spans="4:22" ht="17.649999999999999" x14ac:dyDescent="0.5">
      <c r="D887" s="3" t="s">
        <v>61</v>
      </c>
      <c r="S887">
        <v>1</v>
      </c>
      <c r="T887">
        <v>8</v>
      </c>
      <c r="V887" s="3" t="s">
        <v>96</v>
      </c>
    </row>
    <row r="888" spans="4:22" ht="17.649999999999999" x14ac:dyDescent="0.5">
      <c r="D888" s="3" t="s">
        <v>75</v>
      </c>
      <c r="S888">
        <v>1</v>
      </c>
      <c r="T888">
        <v>8</v>
      </c>
      <c r="V888" s="3" t="s">
        <v>96</v>
      </c>
    </row>
    <row r="889" spans="4:22" ht="17.649999999999999" x14ac:dyDescent="0.5">
      <c r="D889" s="3" t="s">
        <v>106</v>
      </c>
      <c r="S889">
        <v>1</v>
      </c>
      <c r="T889">
        <v>8</v>
      </c>
      <c r="V889" s="3" t="s">
        <v>96</v>
      </c>
    </row>
    <row r="890" spans="4:22" ht="17.649999999999999" x14ac:dyDescent="0.5">
      <c r="D890" s="3" t="s">
        <v>74</v>
      </c>
      <c r="S890">
        <v>1</v>
      </c>
      <c r="T890">
        <v>8</v>
      </c>
      <c r="V890" s="3" t="s">
        <v>96</v>
      </c>
    </row>
    <row r="891" spans="4:22" ht="17.649999999999999" x14ac:dyDescent="0.5">
      <c r="D891" s="3" t="s">
        <v>121</v>
      </c>
      <c r="S891">
        <v>1</v>
      </c>
      <c r="T891">
        <v>8</v>
      </c>
      <c r="V891" s="3" t="s">
        <v>96</v>
      </c>
    </row>
    <row r="892" spans="4:22" ht="17.649999999999999" x14ac:dyDescent="0.5">
      <c r="D892" s="3" t="s">
        <v>49</v>
      </c>
      <c r="S892">
        <v>1</v>
      </c>
      <c r="T892">
        <v>8</v>
      </c>
      <c r="V892" s="3" t="s">
        <v>96</v>
      </c>
    </row>
    <row r="893" spans="4:22" ht="17.649999999999999" x14ac:dyDescent="0.5">
      <c r="D893" s="3" t="s">
        <v>61</v>
      </c>
      <c r="S893">
        <v>1</v>
      </c>
      <c r="T893">
        <v>8</v>
      </c>
      <c r="V893" s="3" t="s">
        <v>96</v>
      </c>
    </row>
    <row r="894" spans="4:22" ht="17.649999999999999" x14ac:dyDescent="0.5">
      <c r="D894" s="3" t="s">
        <v>115</v>
      </c>
      <c r="S894">
        <v>1</v>
      </c>
      <c r="T894">
        <v>8</v>
      </c>
      <c r="V894" s="3" t="s">
        <v>96</v>
      </c>
    </row>
    <row r="895" spans="4:22" ht="17.649999999999999" x14ac:dyDescent="0.5">
      <c r="D895" s="3" t="s">
        <v>98</v>
      </c>
      <c r="S895">
        <v>1</v>
      </c>
      <c r="T895">
        <v>8</v>
      </c>
      <c r="V895" s="3" t="s">
        <v>96</v>
      </c>
    </row>
    <row r="896" spans="4:22" ht="17.649999999999999" x14ac:dyDescent="0.5">
      <c r="D896" s="3" t="s">
        <v>100</v>
      </c>
      <c r="S896">
        <v>1</v>
      </c>
      <c r="T896">
        <v>8</v>
      </c>
      <c r="V896" s="3" t="s">
        <v>96</v>
      </c>
    </row>
    <row r="897" spans="4:22" ht="17.649999999999999" x14ac:dyDescent="0.5">
      <c r="D897" s="3" t="s">
        <v>49</v>
      </c>
      <c r="S897">
        <v>1</v>
      </c>
      <c r="T897">
        <v>8</v>
      </c>
      <c r="V897" s="3" t="s">
        <v>96</v>
      </c>
    </row>
    <row r="898" spans="4:22" ht="17.649999999999999" x14ac:dyDescent="0.5">
      <c r="D898" s="3" t="s">
        <v>44</v>
      </c>
      <c r="S898">
        <v>1</v>
      </c>
      <c r="T898">
        <v>8</v>
      </c>
      <c r="V898" s="3" t="s">
        <v>96</v>
      </c>
    </row>
    <row r="899" spans="4:22" ht="17.649999999999999" x14ac:dyDescent="0.5">
      <c r="D899" s="3" t="s">
        <v>50</v>
      </c>
      <c r="S899">
        <v>1</v>
      </c>
      <c r="T899">
        <v>8</v>
      </c>
      <c r="V899" s="3" t="s">
        <v>96</v>
      </c>
    </row>
    <row r="900" spans="4:22" ht="17.649999999999999" x14ac:dyDescent="0.5">
      <c r="D900" s="3" t="s">
        <v>87</v>
      </c>
      <c r="S900">
        <v>1</v>
      </c>
      <c r="T900">
        <v>8</v>
      </c>
      <c r="V900" s="3" t="s">
        <v>96</v>
      </c>
    </row>
    <row r="901" spans="4:22" ht="17.649999999999999" x14ac:dyDescent="0.5">
      <c r="D901" s="3" t="s">
        <v>62</v>
      </c>
      <c r="S901">
        <v>1</v>
      </c>
      <c r="T901">
        <v>8</v>
      </c>
      <c r="V901" s="3" t="s">
        <v>96</v>
      </c>
    </row>
    <row r="902" spans="4:22" ht="17.649999999999999" x14ac:dyDescent="0.5">
      <c r="D902" s="3" t="s">
        <v>81</v>
      </c>
      <c r="S902">
        <v>1</v>
      </c>
      <c r="T902">
        <v>8</v>
      </c>
      <c r="V902" s="3" t="s">
        <v>96</v>
      </c>
    </row>
    <row r="903" spans="4:22" ht="17.649999999999999" x14ac:dyDescent="0.5">
      <c r="D903" s="3" t="s">
        <v>59</v>
      </c>
      <c r="S903">
        <v>1</v>
      </c>
      <c r="T903">
        <v>8</v>
      </c>
      <c r="V903" s="3" t="s">
        <v>96</v>
      </c>
    </row>
    <row r="904" spans="4:22" ht="17.649999999999999" x14ac:dyDescent="0.5">
      <c r="D904" s="3" t="s">
        <v>112</v>
      </c>
      <c r="S904">
        <v>1</v>
      </c>
      <c r="T904">
        <v>8</v>
      </c>
      <c r="V904" s="3" t="s">
        <v>96</v>
      </c>
    </row>
    <row r="905" spans="4:22" ht="17.649999999999999" x14ac:dyDescent="0.5">
      <c r="D905" s="3" t="s">
        <v>71</v>
      </c>
      <c r="S905">
        <v>1</v>
      </c>
      <c r="T905">
        <v>8</v>
      </c>
      <c r="V905" s="3" t="s">
        <v>96</v>
      </c>
    </row>
    <row r="906" spans="4:22" ht="17.649999999999999" x14ac:dyDescent="0.5">
      <c r="D906" s="3" t="s">
        <v>102</v>
      </c>
      <c r="S906">
        <v>1</v>
      </c>
      <c r="T906">
        <v>8</v>
      </c>
      <c r="V906" s="3" t="s">
        <v>96</v>
      </c>
    </row>
    <row r="907" spans="4:22" ht="17.649999999999999" x14ac:dyDescent="0.5">
      <c r="D907" s="3" t="s">
        <v>48</v>
      </c>
      <c r="S907">
        <v>1</v>
      </c>
      <c r="T907">
        <v>8</v>
      </c>
      <c r="V907" s="3" t="s">
        <v>96</v>
      </c>
    </row>
    <row r="908" spans="4:22" ht="17.649999999999999" x14ac:dyDescent="0.5">
      <c r="D908" s="3" t="s">
        <v>128</v>
      </c>
      <c r="S908">
        <v>1</v>
      </c>
      <c r="T908">
        <v>8</v>
      </c>
      <c r="V908" s="3" t="s">
        <v>96</v>
      </c>
    </row>
    <row r="909" spans="4:22" ht="17.649999999999999" x14ac:dyDescent="0.5">
      <c r="D909" s="3" t="s">
        <v>62</v>
      </c>
      <c r="S909">
        <v>1</v>
      </c>
      <c r="T909">
        <v>8</v>
      </c>
      <c r="V909" s="3" t="s">
        <v>96</v>
      </c>
    </row>
    <row r="910" spans="4:22" ht="17.649999999999999" x14ac:dyDescent="0.5">
      <c r="D910" s="3" t="s">
        <v>76</v>
      </c>
      <c r="S910">
        <v>1</v>
      </c>
      <c r="T910">
        <v>8</v>
      </c>
      <c r="V910" s="3" t="s">
        <v>96</v>
      </c>
    </row>
    <row r="911" spans="4:22" ht="17.649999999999999" x14ac:dyDescent="0.5">
      <c r="D911" s="3" t="s">
        <v>52</v>
      </c>
      <c r="S911">
        <v>1</v>
      </c>
      <c r="T911">
        <v>8</v>
      </c>
      <c r="V911" s="3" t="s">
        <v>43</v>
      </c>
    </row>
    <row r="912" spans="4:22" ht="17.649999999999999" x14ac:dyDescent="0.5">
      <c r="D912" s="3" t="s">
        <v>80</v>
      </c>
      <c r="S912">
        <v>1</v>
      </c>
      <c r="T912">
        <v>8</v>
      </c>
      <c r="V912" s="3" t="s">
        <v>43</v>
      </c>
    </row>
    <row r="913" spans="4:22" ht="17.649999999999999" x14ac:dyDescent="0.5">
      <c r="D913" s="3" t="s">
        <v>116</v>
      </c>
      <c r="S913">
        <v>1</v>
      </c>
      <c r="T913">
        <v>8</v>
      </c>
      <c r="V913" s="3" t="s">
        <v>43</v>
      </c>
    </row>
    <row r="914" spans="4:22" ht="17.649999999999999" x14ac:dyDescent="0.5">
      <c r="D914" s="3" t="s">
        <v>83</v>
      </c>
      <c r="S914">
        <v>1</v>
      </c>
      <c r="T914">
        <v>8</v>
      </c>
      <c r="V914" s="3" t="s">
        <v>43</v>
      </c>
    </row>
    <row r="915" spans="4:22" ht="17.649999999999999" x14ac:dyDescent="0.5">
      <c r="D915" s="3" t="s">
        <v>105</v>
      </c>
      <c r="S915">
        <v>1</v>
      </c>
      <c r="T915">
        <v>8</v>
      </c>
      <c r="V915" s="3" t="s">
        <v>43</v>
      </c>
    </row>
    <row r="916" spans="4:22" ht="17.649999999999999" x14ac:dyDescent="0.5">
      <c r="D916" s="3" t="s">
        <v>74</v>
      </c>
      <c r="S916">
        <v>1</v>
      </c>
      <c r="T916">
        <v>8</v>
      </c>
      <c r="V916" s="3" t="s">
        <v>43</v>
      </c>
    </row>
    <row r="917" spans="4:22" ht="17.649999999999999" x14ac:dyDescent="0.5">
      <c r="D917" s="3" t="s">
        <v>85</v>
      </c>
      <c r="S917">
        <v>1</v>
      </c>
      <c r="T917">
        <v>8</v>
      </c>
      <c r="V917" s="3" t="s">
        <v>43</v>
      </c>
    </row>
    <row r="918" spans="4:22" ht="17.649999999999999" x14ac:dyDescent="0.5">
      <c r="D918" s="3" t="s">
        <v>82</v>
      </c>
      <c r="S918">
        <v>1</v>
      </c>
      <c r="T918">
        <v>8</v>
      </c>
      <c r="V918" s="3" t="s">
        <v>43</v>
      </c>
    </row>
    <row r="919" spans="4:22" ht="17.649999999999999" x14ac:dyDescent="0.5">
      <c r="D919" s="3" t="s">
        <v>65</v>
      </c>
      <c r="S919">
        <v>1</v>
      </c>
      <c r="T919">
        <v>8</v>
      </c>
      <c r="V919" s="3" t="s">
        <v>43</v>
      </c>
    </row>
    <row r="920" spans="4:22" ht="17.649999999999999" x14ac:dyDescent="0.5">
      <c r="D920" s="3" t="s">
        <v>55</v>
      </c>
      <c r="S920">
        <v>1</v>
      </c>
      <c r="T920">
        <v>8</v>
      </c>
      <c r="V920" s="3" t="s">
        <v>43</v>
      </c>
    </row>
    <row r="921" spans="4:22" ht="17.649999999999999" x14ac:dyDescent="0.5">
      <c r="D921" s="3" t="s">
        <v>50</v>
      </c>
      <c r="S921">
        <v>1</v>
      </c>
      <c r="T921">
        <v>8</v>
      </c>
      <c r="V921" s="3" t="s">
        <v>43</v>
      </c>
    </row>
    <row r="922" spans="4:22" ht="17.649999999999999" x14ac:dyDescent="0.5">
      <c r="D922" s="3" t="s">
        <v>79</v>
      </c>
      <c r="S922">
        <v>1</v>
      </c>
      <c r="T922">
        <v>8</v>
      </c>
      <c r="V922" s="3" t="s">
        <v>43</v>
      </c>
    </row>
    <row r="923" spans="4:22" ht="17.649999999999999" x14ac:dyDescent="0.5">
      <c r="D923" s="3" t="s">
        <v>98</v>
      </c>
      <c r="S923">
        <v>1</v>
      </c>
      <c r="T923">
        <v>8</v>
      </c>
      <c r="V923" s="3" t="s">
        <v>43</v>
      </c>
    </row>
    <row r="924" spans="4:22" ht="17.649999999999999" x14ac:dyDescent="0.5">
      <c r="D924" s="3" t="s">
        <v>96</v>
      </c>
      <c r="S924">
        <v>1</v>
      </c>
      <c r="T924">
        <v>8</v>
      </c>
      <c r="V924" s="3" t="s">
        <v>43</v>
      </c>
    </row>
    <row r="925" spans="4:22" ht="17.649999999999999" x14ac:dyDescent="0.5">
      <c r="D925" s="3" t="s">
        <v>45</v>
      </c>
      <c r="S925">
        <v>1</v>
      </c>
      <c r="T925">
        <v>8</v>
      </c>
      <c r="V925" s="3" t="s">
        <v>43</v>
      </c>
    </row>
    <row r="926" spans="4:22" ht="17.649999999999999" x14ac:dyDescent="0.5">
      <c r="D926" s="3" t="s">
        <v>84</v>
      </c>
      <c r="S926">
        <v>1</v>
      </c>
      <c r="T926">
        <v>8</v>
      </c>
      <c r="V926" s="3" t="s">
        <v>43</v>
      </c>
    </row>
    <row r="927" spans="4:22" ht="17.649999999999999" x14ac:dyDescent="0.5">
      <c r="D927" s="3" t="s">
        <v>55</v>
      </c>
      <c r="S927">
        <v>1</v>
      </c>
      <c r="T927">
        <v>8</v>
      </c>
      <c r="V927" s="3" t="s">
        <v>43</v>
      </c>
    </row>
    <row r="928" spans="4:22" ht="17.649999999999999" x14ac:dyDescent="0.5">
      <c r="D928" s="3" t="s">
        <v>98</v>
      </c>
      <c r="S928">
        <v>1</v>
      </c>
      <c r="T928">
        <v>8</v>
      </c>
      <c r="V928" s="3" t="s">
        <v>43</v>
      </c>
    </row>
    <row r="929" spans="4:22" ht="17.649999999999999" x14ac:dyDescent="0.5">
      <c r="D929" s="3" t="s">
        <v>73</v>
      </c>
      <c r="S929">
        <v>1</v>
      </c>
      <c r="T929">
        <v>8</v>
      </c>
      <c r="V929" s="3" t="s">
        <v>43</v>
      </c>
    </row>
    <row r="930" spans="4:22" ht="17.649999999999999" x14ac:dyDescent="0.5">
      <c r="D930" s="3" t="s">
        <v>113</v>
      </c>
      <c r="S930">
        <v>1</v>
      </c>
      <c r="T930">
        <v>8</v>
      </c>
      <c r="V930" s="3" t="s">
        <v>43</v>
      </c>
    </row>
    <row r="931" spans="4:22" ht="17.649999999999999" x14ac:dyDescent="0.5">
      <c r="D931" s="3" t="s">
        <v>69</v>
      </c>
      <c r="S931">
        <v>1</v>
      </c>
      <c r="T931">
        <v>9</v>
      </c>
      <c r="V931" s="3" t="s">
        <v>106</v>
      </c>
    </row>
    <row r="932" spans="4:22" ht="17.649999999999999" x14ac:dyDescent="0.5">
      <c r="D932" s="3" t="s">
        <v>73</v>
      </c>
      <c r="S932">
        <v>1</v>
      </c>
      <c r="T932">
        <v>9</v>
      </c>
      <c r="V932" s="3" t="s">
        <v>106</v>
      </c>
    </row>
    <row r="933" spans="4:22" ht="17.649999999999999" x14ac:dyDescent="0.5">
      <c r="D933" s="3" t="s">
        <v>54</v>
      </c>
      <c r="S933">
        <v>1</v>
      </c>
      <c r="T933">
        <v>9</v>
      </c>
      <c r="V933" s="3" t="s">
        <v>106</v>
      </c>
    </row>
    <row r="934" spans="4:22" ht="17.649999999999999" x14ac:dyDescent="0.5">
      <c r="D934" s="3" t="s">
        <v>103</v>
      </c>
      <c r="S934">
        <v>1</v>
      </c>
      <c r="T934">
        <v>9</v>
      </c>
      <c r="V934" s="3" t="s">
        <v>106</v>
      </c>
    </row>
    <row r="935" spans="4:22" ht="17.649999999999999" x14ac:dyDescent="0.5">
      <c r="D935" s="3" t="s">
        <v>96</v>
      </c>
      <c r="S935">
        <v>1</v>
      </c>
      <c r="T935">
        <v>9</v>
      </c>
      <c r="V935" s="3" t="s">
        <v>106</v>
      </c>
    </row>
    <row r="936" spans="4:22" ht="17.649999999999999" x14ac:dyDescent="0.5">
      <c r="D936" s="3" t="s">
        <v>52</v>
      </c>
      <c r="S936">
        <v>1</v>
      </c>
      <c r="T936">
        <v>9</v>
      </c>
      <c r="V936" s="3" t="s">
        <v>106</v>
      </c>
    </row>
    <row r="937" spans="4:22" ht="17.649999999999999" x14ac:dyDescent="0.5">
      <c r="D937" s="3" t="s">
        <v>50</v>
      </c>
      <c r="S937">
        <v>1</v>
      </c>
      <c r="T937">
        <v>9</v>
      </c>
      <c r="V937" s="3" t="s">
        <v>106</v>
      </c>
    </row>
    <row r="938" spans="4:22" ht="17.649999999999999" x14ac:dyDescent="0.5">
      <c r="D938" s="3" t="s">
        <v>49</v>
      </c>
      <c r="S938">
        <v>1</v>
      </c>
      <c r="T938">
        <v>9</v>
      </c>
      <c r="V938" s="3" t="s">
        <v>106</v>
      </c>
    </row>
    <row r="939" spans="4:22" ht="17.649999999999999" x14ac:dyDescent="0.5">
      <c r="D939" s="3" t="s">
        <v>115</v>
      </c>
      <c r="S939">
        <v>1</v>
      </c>
      <c r="T939">
        <v>9</v>
      </c>
      <c r="V939" s="3" t="s">
        <v>106</v>
      </c>
    </row>
    <row r="940" spans="4:22" ht="17.649999999999999" x14ac:dyDescent="0.5">
      <c r="D940" s="3" t="s">
        <v>61</v>
      </c>
      <c r="S940">
        <v>1</v>
      </c>
      <c r="T940">
        <v>9</v>
      </c>
      <c r="V940" s="3" t="s">
        <v>106</v>
      </c>
    </row>
    <row r="941" spans="4:22" ht="17.649999999999999" x14ac:dyDescent="0.5">
      <c r="D941" s="3" t="s">
        <v>68</v>
      </c>
      <c r="S941">
        <v>1</v>
      </c>
      <c r="T941">
        <v>9</v>
      </c>
      <c r="V941" s="3" t="s">
        <v>106</v>
      </c>
    </row>
    <row r="942" spans="4:22" ht="17.649999999999999" x14ac:dyDescent="0.5">
      <c r="D942" s="3" t="s">
        <v>89</v>
      </c>
      <c r="S942">
        <v>1</v>
      </c>
      <c r="T942">
        <v>9</v>
      </c>
      <c r="V942" s="3" t="s">
        <v>106</v>
      </c>
    </row>
    <row r="943" spans="4:22" ht="17.649999999999999" x14ac:dyDescent="0.5">
      <c r="D943" s="3" t="s">
        <v>94</v>
      </c>
      <c r="S943">
        <v>1</v>
      </c>
      <c r="T943">
        <v>9</v>
      </c>
      <c r="V943" s="3" t="s">
        <v>106</v>
      </c>
    </row>
    <row r="944" spans="4:22" ht="17.649999999999999" x14ac:dyDescent="0.5">
      <c r="D944" s="3" t="s">
        <v>124</v>
      </c>
      <c r="S944">
        <v>1</v>
      </c>
      <c r="T944">
        <v>9</v>
      </c>
      <c r="V944" s="3" t="s">
        <v>124</v>
      </c>
    </row>
    <row r="945" spans="4:22" ht="17.649999999999999" x14ac:dyDescent="0.5">
      <c r="D945" s="3" t="s">
        <v>70</v>
      </c>
      <c r="S945">
        <v>1</v>
      </c>
      <c r="T945">
        <v>9</v>
      </c>
      <c r="V945" s="3" t="s">
        <v>124</v>
      </c>
    </row>
    <row r="946" spans="4:22" ht="17.649999999999999" x14ac:dyDescent="0.5">
      <c r="D946" s="3" t="s">
        <v>48</v>
      </c>
      <c r="S946">
        <v>1</v>
      </c>
      <c r="T946">
        <v>9</v>
      </c>
      <c r="V946" s="3" t="s">
        <v>124</v>
      </c>
    </row>
    <row r="947" spans="4:22" ht="17.649999999999999" x14ac:dyDescent="0.5">
      <c r="D947" s="3" t="s">
        <v>47</v>
      </c>
      <c r="S947">
        <v>1</v>
      </c>
      <c r="T947">
        <v>9</v>
      </c>
      <c r="V947" s="3" t="s">
        <v>124</v>
      </c>
    </row>
    <row r="948" spans="4:22" ht="17.649999999999999" x14ac:dyDescent="0.5">
      <c r="D948" s="3" t="s">
        <v>75</v>
      </c>
      <c r="S948">
        <v>1</v>
      </c>
      <c r="T948">
        <v>9</v>
      </c>
      <c r="V948" s="3" t="s">
        <v>124</v>
      </c>
    </row>
    <row r="949" spans="4:22" ht="17.649999999999999" x14ac:dyDescent="0.5">
      <c r="D949" s="3" t="s">
        <v>41</v>
      </c>
      <c r="S949">
        <v>1</v>
      </c>
      <c r="T949">
        <v>9</v>
      </c>
      <c r="V949" s="3" t="s">
        <v>48</v>
      </c>
    </row>
    <row r="950" spans="4:22" ht="17.649999999999999" x14ac:dyDescent="0.5">
      <c r="D950" s="3" t="s">
        <v>66</v>
      </c>
      <c r="S950">
        <v>1</v>
      </c>
      <c r="T950">
        <v>9</v>
      </c>
      <c r="V950" s="3" t="s">
        <v>48</v>
      </c>
    </row>
    <row r="951" spans="4:22" ht="17.649999999999999" x14ac:dyDescent="0.5">
      <c r="D951" s="3" t="s">
        <v>100</v>
      </c>
      <c r="S951">
        <v>1</v>
      </c>
      <c r="T951">
        <v>9</v>
      </c>
      <c r="V951" s="3" t="s">
        <v>48</v>
      </c>
    </row>
    <row r="952" spans="4:22" ht="17.649999999999999" x14ac:dyDescent="0.5">
      <c r="D952" s="3" t="s">
        <v>107</v>
      </c>
      <c r="S952">
        <v>1</v>
      </c>
      <c r="T952">
        <v>9</v>
      </c>
      <c r="V952" s="3" t="s">
        <v>48</v>
      </c>
    </row>
    <row r="953" spans="4:22" ht="17.649999999999999" x14ac:dyDescent="0.5">
      <c r="D953" s="3" t="s">
        <v>121</v>
      </c>
      <c r="S953">
        <v>1</v>
      </c>
      <c r="T953">
        <v>9</v>
      </c>
      <c r="V953" s="3" t="s">
        <v>48</v>
      </c>
    </row>
    <row r="954" spans="4:22" ht="17.649999999999999" x14ac:dyDescent="0.5">
      <c r="D954" s="3" t="s">
        <v>112</v>
      </c>
      <c r="S954">
        <v>1</v>
      </c>
      <c r="T954">
        <v>9</v>
      </c>
      <c r="V954" s="3" t="s">
        <v>48</v>
      </c>
    </row>
    <row r="955" spans="4:22" ht="17.649999999999999" x14ac:dyDescent="0.5">
      <c r="D955" s="3" t="s">
        <v>91</v>
      </c>
      <c r="S955">
        <v>1</v>
      </c>
      <c r="T955">
        <v>9</v>
      </c>
      <c r="V955" s="3" t="s">
        <v>48</v>
      </c>
    </row>
    <row r="956" spans="4:22" ht="17.649999999999999" x14ac:dyDescent="0.5">
      <c r="D956" s="3" t="s">
        <v>103</v>
      </c>
      <c r="S956">
        <v>1</v>
      </c>
      <c r="T956">
        <v>9</v>
      </c>
      <c r="V956" s="3" t="s">
        <v>48</v>
      </c>
    </row>
    <row r="957" spans="4:22" ht="17.649999999999999" x14ac:dyDescent="0.5">
      <c r="D957" s="3" t="s">
        <v>73</v>
      </c>
      <c r="S957">
        <v>1</v>
      </c>
      <c r="T957">
        <v>9</v>
      </c>
      <c r="V957" s="3" t="s">
        <v>48</v>
      </c>
    </row>
    <row r="958" spans="4:22" ht="17.649999999999999" x14ac:dyDescent="0.5">
      <c r="D958" s="3" t="s">
        <v>55</v>
      </c>
      <c r="S958">
        <v>1</v>
      </c>
      <c r="T958">
        <v>9</v>
      </c>
      <c r="V958" s="3" t="s">
        <v>48</v>
      </c>
    </row>
    <row r="959" spans="4:22" ht="17.649999999999999" x14ac:dyDescent="0.5">
      <c r="D959" s="3" t="s">
        <v>47</v>
      </c>
      <c r="S959">
        <v>1</v>
      </c>
      <c r="T959">
        <v>9</v>
      </c>
      <c r="V959" s="3" t="s">
        <v>48</v>
      </c>
    </row>
    <row r="960" spans="4:22" ht="17.649999999999999" x14ac:dyDescent="0.5">
      <c r="D960" s="3" t="s">
        <v>46</v>
      </c>
      <c r="S960">
        <v>1</v>
      </c>
      <c r="T960">
        <v>9</v>
      </c>
      <c r="V960" s="3" t="s">
        <v>48</v>
      </c>
    </row>
    <row r="961" spans="4:22" ht="17.649999999999999" x14ac:dyDescent="0.5">
      <c r="D961" s="3" t="s">
        <v>59</v>
      </c>
      <c r="S961">
        <v>1</v>
      </c>
      <c r="T961">
        <v>9</v>
      </c>
      <c r="V961" s="3" t="s">
        <v>48</v>
      </c>
    </row>
    <row r="962" spans="4:22" ht="17.649999999999999" x14ac:dyDescent="0.5">
      <c r="D962" s="3" t="s">
        <v>101</v>
      </c>
      <c r="S962">
        <v>1</v>
      </c>
      <c r="T962">
        <v>9</v>
      </c>
      <c r="V962" s="3" t="s">
        <v>48</v>
      </c>
    </row>
    <row r="963" spans="4:22" ht="17.649999999999999" x14ac:dyDescent="0.5">
      <c r="D963" s="3" t="s">
        <v>66</v>
      </c>
      <c r="S963">
        <v>1</v>
      </c>
      <c r="T963">
        <v>9</v>
      </c>
      <c r="V963" s="3" t="s">
        <v>48</v>
      </c>
    </row>
    <row r="964" spans="4:22" ht="17.649999999999999" x14ac:dyDescent="0.5">
      <c r="D964" s="3" t="s">
        <v>61</v>
      </c>
      <c r="S964">
        <v>1</v>
      </c>
      <c r="T964">
        <v>9</v>
      </c>
      <c r="V964" s="3" t="s">
        <v>48</v>
      </c>
    </row>
    <row r="965" spans="4:22" ht="17.649999999999999" x14ac:dyDescent="0.5">
      <c r="D965" s="3" t="s">
        <v>98</v>
      </c>
      <c r="S965">
        <v>1</v>
      </c>
      <c r="T965">
        <v>9</v>
      </c>
      <c r="V965" s="3" t="s">
        <v>48</v>
      </c>
    </row>
    <row r="966" spans="4:22" ht="17.649999999999999" x14ac:dyDescent="0.5">
      <c r="D966" s="3" t="s">
        <v>87</v>
      </c>
      <c r="S966">
        <v>1</v>
      </c>
      <c r="T966">
        <v>9</v>
      </c>
      <c r="V966" s="3" t="s">
        <v>48</v>
      </c>
    </row>
    <row r="967" spans="4:22" ht="17.649999999999999" x14ac:dyDescent="0.5">
      <c r="D967" s="3" t="s">
        <v>50</v>
      </c>
      <c r="S967">
        <v>1</v>
      </c>
      <c r="T967">
        <v>9</v>
      </c>
      <c r="V967" s="3" t="s">
        <v>48</v>
      </c>
    </row>
    <row r="968" spans="4:22" ht="17.649999999999999" x14ac:dyDescent="0.5">
      <c r="D968" s="3" t="s">
        <v>54</v>
      </c>
      <c r="S968">
        <v>1</v>
      </c>
      <c r="T968">
        <v>9</v>
      </c>
      <c r="V968" s="3" t="s">
        <v>48</v>
      </c>
    </row>
    <row r="969" spans="4:22" ht="17.649999999999999" x14ac:dyDescent="0.5">
      <c r="D969" s="3" t="s">
        <v>49</v>
      </c>
      <c r="S969">
        <v>1</v>
      </c>
      <c r="T969">
        <v>9</v>
      </c>
      <c r="V969" s="3" t="s">
        <v>48</v>
      </c>
    </row>
    <row r="970" spans="4:22" ht="17.649999999999999" x14ac:dyDescent="0.5">
      <c r="D970" s="3" t="s">
        <v>76</v>
      </c>
      <c r="S970">
        <v>1</v>
      </c>
      <c r="T970">
        <v>9</v>
      </c>
      <c r="V970" s="3" t="s">
        <v>48</v>
      </c>
    </row>
    <row r="971" spans="4:22" ht="17.649999999999999" x14ac:dyDescent="0.5">
      <c r="D971" s="3" t="s">
        <v>81</v>
      </c>
      <c r="S971">
        <v>1</v>
      </c>
      <c r="T971">
        <v>9</v>
      </c>
      <c r="V971" s="3" t="s">
        <v>48</v>
      </c>
    </row>
    <row r="972" spans="4:22" ht="17.649999999999999" x14ac:dyDescent="0.5">
      <c r="D972" s="3" t="s">
        <v>106</v>
      </c>
      <c r="S972">
        <v>1</v>
      </c>
      <c r="T972">
        <v>9</v>
      </c>
      <c r="V972" s="3" t="s">
        <v>48</v>
      </c>
    </row>
    <row r="973" spans="4:22" ht="17.649999999999999" x14ac:dyDescent="0.5">
      <c r="D973" s="3" t="s">
        <v>112</v>
      </c>
      <c r="S973">
        <v>1</v>
      </c>
      <c r="T973">
        <v>9</v>
      </c>
      <c r="V973" s="3" t="s">
        <v>48</v>
      </c>
    </row>
    <row r="974" spans="4:22" ht="17.649999999999999" x14ac:dyDescent="0.5">
      <c r="D974" s="3" t="s">
        <v>113</v>
      </c>
      <c r="S974">
        <v>1</v>
      </c>
      <c r="T974">
        <v>9</v>
      </c>
      <c r="V974" s="3" t="s">
        <v>48</v>
      </c>
    </row>
    <row r="975" spans="4:22" ht="17.649999999999999" x14ac:dyDescent="0.5">
      <c r="D975" s="3" t="s">
        <v>91</v>
      </c>
      <c r="S975">
        <v>1</v>
      </c>
      <c r="T975">
        <v>9</v>
      </c>
      <c r="V975" s="3" t="s">
        <v>48</v>
      </c>
    </row>
    <row r="976" spans="4:22" ht="17.649999999999999" x14ac:dyDescent="0.5">
      <c r="D976" s="3" t="s">
        <v>47</v>
      </c>
      <c r="S976">
        <v>1</v>
      </c>
      <c r="T976">
        <v>9</v>
      </c>
      <c r="V976" s="3" t="s">
        <v>48</v>
      </c>
    </row>
    <row r="977" spans="4:22" ht="17.649999999999999" x14ac:dyDescent="0.5">
      <c r="D977" s="3" t="s">
        <v>56</v>
      </c>
      <c r="S977">
        <v>1</v>
      </c>
      <c r="T977">
        <v>9</v>
      </c>
      <c r="V977" s="3" t="s">
        <v>48</v>
      </c>
    </row>
    <row r="978" spans="4:22" ht="17.649999999999999" x14ac:dyDescent="0.5">
      <c r="D978" s="3" t="s">
        <v>105</v>
      </c>
      <c r="S978">
        <v>1</v>
      </c>
      <c r="T978">
        <v>9</v>
      </c>
      <c r="V978" s="3" t="s">
        <v>48</v>
      </c>
    </row>
    <row r="979" spans="4:22" ht="17.649999999999999" x14ac:dyDescent="0.5">
      <c r="D979" s="3" t="s">
        <v>88</v>
      </c>
      <c r="S979">
        <v>1</v>
      </c>
      <c r="T979">
        <v>9</v>
      </c>
      <c r="V979" s="3" t="s">
        <v>98</v>
      </c>
    </row>
    <row r="980" spans="4:22" ht="17.649999999999999" x14ac:dyDescent="0.5">
      <c r="D980" s="3" t="s">
        <v>92</v>
      </c>
      <c r="S980">
        <v>1</v>
      </c>
      <c r="T980">
        <v>9</v>
      </c>
      <c r="V980" s="3" t="s">
        <v>98</v>
      </c>
    </row>
    <row r="981" spans="4:22" ht="17.649999999999999" x14ac:dyDescent="0.5">
      <c r="D981" s="3" t="s">
        <v>117</v>
      </c>
      <c r="S981">
        <v>1</v>
      </c>
      <c r="T981">
        <v>9</v>
      </c>
      <c r="V981" s="3" t="s">
        <v>98</v>
      </c>
    </row>
    <row r="982" spans="4:22" ht="17.649999999999999" x14ac:dyDescent="0.5">
      <c r="D982" s="3" t="s">
        <v>135</v>
      </c>
      <c r="S982">
        <v>1</v>
      </c>
      <c r="T982">
        <v>9</v>
      </c>
      <c r="V982" s="3" t="s">
        <v>98</v>
      </c>
    </row>
    <row r="983" spans="4:22" ht="17.649999999999999" x14ac:dyDescent="0.5">
      <c r="D983" s="3" t="s">
        <v>45</v>
      </c>
      <c r="S983">
        <v>1</v>
      </c>
      <c r="T983">
        <v>9</v>
      </c>
      <c r="V983" s="3" t="s">
        <v>98</v>
      </c>
    </row>
    <row r="984" spans="4:22" ht="17.649999999999999" x14ac:dyDescent="0.5">
      <c r="D984" s="3" t="s">
        <v>82</v>
      </c>
      <c r="S984">
        <v>1</v>
      </c>
      <c r="T984">
        <v>9</v>
      </c>
      <c r="V984" s="3" t="s">
        <v>98</v>
      </c>
    </row>
    <row r="985" spans="4:22" ht="17.649999999999999" x14ac:dyDescent="0.5">
      <c r="D985" s="3" t="s">
        <v>52</v>
      </c>
      <c r="S985">
        <v>1</v>
      </c>
      <c r="T985">
        <v>9</v>
      </c>
      <c r="V985" s="3" t="s">
        <v>98</v>
      </c>
    </row>
    <row r="986" spans="4:22" ht="17.649999999999999" x14ac:dyDescent="0.5">
      <c r="D986" s="3" t="s">
        <v>126</v>
      </c>
      <c r="S986">
        <v>1</v>
      </c>
      <c r="T986">
        <v>9</v>
      </c>
      <c r="V986" s="3" t="s">
        <v>98</v>
      </c>
    </row>
    <row r="987" spans="4:22" ht="17.649999999999999" x14ac:dyDescent="0.5">
      <c r="D987" s="3" t="s">
        <v>78</v>
      </c>
      <c r="S987">
        <v>1</v>
      </c>
      <c r="T987">
        <v>9</v>
      </c>
      <c r="V987" s="3" t="s">
        <v>98</v>
      </c>
    </row>
    <row r="988" spans="4:22" ht="17.649999999999999" x14ac:dyDescent="0.5">
      <c r="D988" s="3" t="s">
        <v>51</v>
      </c>
      <c r="S988">
        <v>1</v>
      </c>
      <c r="T988">
        <v>9</v>
      </c>
      <c r="V988" s="3" t="s">
        <v>98</v>
      </c>
    </row>
    <row r="989" spans="4:22" ht="17.649999999999999" x14ac:dyDescent="0.5">
      <c r="D989" s="3" t="s">
        <v>87</v>
      </c>
      <c r="S989">
        <v>1</v>
      </c>
      <c r="T989">
        <v>9</v>
      </c>
      <c r="V989" s="3" t="s">
        <v>98</v>
      </c>
    </row>
    <row r="990" spans="4:22" ht="17.649999999999999" x14ac:dyDescent="0.5">
      <c r="D990" s="3" t="s">
        <v>73</v>
      </c>
      <c r="S990">
        <v>1</v>
      </c>
      <c r="T990">
        <v>9</v>
      </c>
      <c r="V990" s="3" t="s">
        <v>98</v>
      </c>
    </row>
    <row r="991" spans="4:22" ht="17.649999999999999" x14ac:dyDescent="0.5">
      <c r="D991" s="3" t="s">
        <v>43</v>
      </c>
      <c r="S991">
        <v>1</v>
      </c>
      <c r="T991">
        <v>9</v>
      </c>
      <c r="V991" s="3" t="s">
        <v>98</v>
      </c>
    </row>
    <row r="992" spans="4:22" ht="17.649999999999999" x14ac:dyDescent="0.5">
      <c r="D992" s="3" t="s">
        <v>80</v>
      </c>
      <c r="S992">
        <v>1</v>
      </c>
      <c r="T992">
        <v>9</v>
      </c>
      <c r="V992" s="3" t="s">
        <v>98</v>
      </c>
    </row>
    <row r="993" spans="4:22" ht="17.649999999999999" x14ac:dyDescent="0.5">
      <c r="D993" s="3" t="s">
        <v>86</v>
      </c>
      <c r="S993">
        <v>1</v>
      </c>
      <c r="T993">
        <v>9</v>
      </c>
      <c r="V993" s="3" t="s">
        <v>98</v>
      </c>
    </row>
    <row r="994" spans="4:22" ht="17.649999999999999" x14ac:dyDescent="0.5">
      <c r="D994" s="3" t="s">
        <v>107</v>
      </c>
      <c r="S994">
        <v>1</v>
      </c>
      <c r="T994">
        <v>9</v>
      </c>
      <c r="V994" s="3" t="s">
        <v>98</v>
      </c>
    </row>
    <row r="995" spans="4:22" ht="17.649999999999999" x14ac:dyDescent="0.5">
      <c r="D995" s="3" t="s">
        <v>98</v>
      </c>
      <c r="S995">
        <v>1</v>
      </c>
      <c r="T995">
        <v>9</v>
      </c>
      <c r="V995" s="3" t="s">
        <v>98</v>
      </c>
    </row>
    <row r="996" spans="4:22" ht="17.649999999999999" x14ac:dyDescent="0.5">
      <c r="D996" s="3" t="s">
        <v>92</v>
      </c>
      <c r="S996">
        <v>1</v>
      </c>
      <c r="T996">
        <v>9</v>
      </c>
      <c r="V996" s="3" t="s">
        <v>98</v>
      </c>
    </row>
    <row r="997" spans="4:22" ht="17.649999999999999" x14ac:dyDescent="0.5">
      <c r="D997" s="3" t="s">
        <v>52</v>
      </c>
      <c r="S997">
        <v>1</v>
      </c>
      <c r="T997">
        <v>9</v>
      </c>
      <c r="V997" s="3" t="s">
        <v>98</v>
      </c>
    </row>
    <row r="998" spans="4:22" ht="17.649999999999999" x14ac:dyDescent="0.5">
      <c r="D998" s="3" t="s">
        <v>102</v>
      </c>
      <c r="S998">
        <v>1</v>
      </c>
      <c r="T998">
        <v>9</v>
      </c>
      <c r="V998" s="3" t="s">
        <v>98</v>
      </c>
    </row>
    <row r="999" spans="4:22" ht="17.649999999999999" x14ac:dyDescent="0.5">
      <c r="D999" s="3" t="s">
        <v>73</v>
      </c>
      <c r="S999">
        <v>1</v>
      </c>
      <c r="T999">
        <v>9</v>
      </c>
      <c r="V999" s="3" t="s">
        <v>98</v>
      </c>
    </row>
    <row r="1000" spans="4:22" ht="17.649999999999999" x14ac:dyDescent="0.5">
      <c r="D1000" s="3" t="s">
        <v>112</v>
      </c>
      <c r="S1000">
        <v>1</v>
      </c>
      <c r="T1000">
        <v>9</v>
      </c>
      <c r="V1000" s="3" t="s">
        <v>98</v>
      </c>
    </row>
    <row r="1001" spans="4:22" ht="17.649999999999999" x14ac:dyDescent="0.5">
      <c r="D1001" s="3" t="s">
        <v>103</v>
      </c>
      <c r="S1001">
        <v>1</v>
      </c>
      <c r="T1001">
        <v>9</v>
      </c>
      <c r="V1001" s="3" t="s">
        <v>98</v>
      </c>
    </row>
    <row r="1002" spans="4:22" ht="17.649999999999999" x14ac:dyDescent="0.5">
      <c r="D1002" s="3" t="s">
        <v>134</v>
      </c>
      <c r="S1002">
        <v>1</v>
      </c>
      <c r="T1002">
        <v>9</v>
      </c>
      <c r="V1002" s="3" t="s">
        <v>98</v>
      </c>
    </row>
    <row r="1003" spans="4:22" ht="17.649999999999999" x14ac:dyDescent="0.5">
      <c r="D1003" s="3" t="s">
        <v>54</v>
      </c>
      <c r="S1003">
        <v>1</v>
      </c>
      <c r="T1003">
        <v>9</v>
      </c>
      <c r="V1003" s="3" t="s">
        <v>98</v>
      </c>
    </row>
    <row r="1004" spans="4:22" ht="17.649999999999999" x14ac:dyDescent="0.5">
      <c r="D1004" s="3" t="s">
        <v>41</v>
      </c>
      <c r="S1004">
        <v>1</v>
      </c>
      <c r="T1004">
        <v>9</v>
      </c>
      <c r="V1004" s="3" t="s">
        <v>98</v>
      </c>
    </row>
    <row r="1005" spans="4:22" ht="17.649999999999999" x14ac:dyDescent="0.5">
      <c r="D1005" s="3" t="s">
        <v>93</v>
      </c>
      <c r="S1005">
        <v>1</v>
      </c>
      <c r="T1005">
        <v>9</v>
      </c>
      <c r="V1005" s="3" t="s">
        <v>98</v>
      </c>
    </row>
    <row r="1006" spans="4:22" ht="17.649999999999999" x14ac:dyDescent="0.5">
      <c r="D1006" s="3" t="s">
        <v>48</v>
      </c>
      <c r="S1006">
        <v>1</v>
      </c>
      <c r="T1006">
        <v>9</v>
      </c>
      <c r="V1006" s="3" t="s">
        <v>98</v>
      </c>
    </row>
    <row r="1007" spans="4:22" ht="17.649999999999999" x14ac:dyDescent="0.5">
      <c r="D1007" s="3" t="s">
        <v>97</v>
      </c>
      <c r="S1007">
        <v>1</v>
      </c>
      <c r="T1007">
        <v>9</v>
      </c>
      <c r="V1007" s="3" t="s">
        <v>98</v>
      </c>
    </row>
    <row r="1008" spans="4:22" ht="17.649999999999999" x14ac:dyDescent="0.5">
      <c r="D1008" s="3" t="s">
        <v>46</v>
      </c>
      <c r="S1008">
        <v>1</v>
      </c>
      <c r="T1008">
        <v>9</v>
      </c>
      <c r="V1008" s="3" t="s">
        <v>98</v>
      </c>
    </row>
    <row r="1009" spans="4:22" ht="17.649999999999999" x14ac:dyDescent="0.5">
      <c r="D1009" s="3" t="s">
        <v>74</v>
      </c>
      <c r="S1009">
        <v>1</v>
      </c>
      <c r="T1009">
        <v>9</v>
      </c>
      <c r="V1009" s="3" t="s">
        <v>98</v>
      </c>
    </row>
    <row r="1010" spans="4:22" ht="17.649999999999999" x14ac:dyDescent="0.5">
      <c r="D1010" s="3" t="s">
        <v>87</v>
      </c>
      <c r="S1010">
        <v>1</v>
      </c>
      <c r="T1010">
        <v>9</v>
      </c>
      <c r="V1010" s="3" t="s">
        <v>98</v>
      </c>
    </row>
    <row r="1011" spans="4:22" ht="17.649999999999999" x14ac:dyDescent="0.5">
      <c r="D1011" s="3" t="s">
        <v>44</v>
      </c>
      <c r="S1011">
        <v>1</v>
      </c>
      <c r="T1011">
        <v>9</v>
      </c>
      <c r="V1011" s="3" t="s">
        <v>98</v>
      </c>
    </row>
    <row r="1012" spans="4:22" ht="17.649999999999999" x14ac:dyDescent="0.5">
      <c r="D1012" s="3" t="s">
        <v>69</v>
      </c>
      <c r="S1012">
        <v>1</v>
      </c>
      <c r="T1012">
        <v>9</v>
      </c>
      <c r="V1012" s="3" t="s">
        <v>98</v>
      </c>
    </row>
    <row r="1013" spans="4:22" ht="17.649999999999999" x14ac:dyDescent="0.5">
      <c r="D1013" s="3" t="s">
        <v>107</v>
      </c>
      <c r="S1013">
        <v>1</v>
      </c>
      <c r="T1013">
        <v>9</v>
      </c>
      <c r="V1013" s="3" t="s">
        <v>98</v>
      </c>
    </row>
    <row r="1014" spans="4:22" ht="17.649999999999999" x14ac:dyDescent="0.5">
      <c r="D1014" s="3" t="s">
        <v>117</v>
      </c>
      <c r="S1014">
        <v>2</v>
      </c>
      <c r="T1014">
        <v>1</v>
      </c>
      <c r="V1014" s="3" t="s">
        <v>110</v>
      </c>
    </row>
    <row r="1015" spans="4:22" ht="17.649999999999999" x14ac:dyDescent="0.5">
      <c r="D1015" s="3" t="s">
        <v>60</v>
      </c>
      <c r="S1015">
        <v>2</v>
      </c>
      <c r="T1015">
        <v>1</v>
      </c>
      <c r="V1015" s="3" t="s">
        <v>110</v>
      </c>
    </row>
    <row r="1016" spans="4:22" ht="17.649999999999999" x14ac:dyDescent="0.5">
      <c r="D1016" s="3" t="s">
        <v>59</v>
      </c>
      <c r="S1016">
        <v>2</v>
      </c>
      <c r="T1016">
        <v>1</v>
      </c>
      <c r="V1016" s="3" t="s">
        <v>110</v>
      </c>
    </row>
    <row r="1017" spans="4:22" ht="17.649999999999999" x14ac:dyDescent="0.5">
      <c r="D1017" s="3" t="s">
        <v>53</v>
      </c>
      <c r="S1017">
        <v>2</v>
      </c>
      <c r="T1017">
        <v>1</v>
      </c>
      <c r="V1017" s="3" t="s">
        <v>110</v>
      </c>
    </row>
    <row r="1018" spans="4:22" ht="17.649999999999999" x14ac:dyDescent="0.5">
      <c r="D1018" s="3" t="s">
        <v>103</v>
      </c>
      <c r="S1018">
        <v>2</v>
      </c>
      <c r="T1018">
        <v>1</v>
      </c>
      <c r="V1018" s="3" t="s">
        <v>110</v>
      </c>
    </row>
    <row r="1019" spans="4:22" ht="17.649999999999999" x14ac:dyDescent="0.5">
      <c r="D1019" s="3" t="s">
        <v>48</v>
      </c>
      <c r="S1019">
        <v>2</v>
      </c>
      <c r="T1019">
        <v>1</v>
      </c>
      <c r="V1019" s="3" t="s">
        <v>110</v>
      </c>
    </row>
    <row r="1020" spans="4:22" ht="17.649999999999999" x14ac:dyDescent="0.5">
      <c r="D1020" s="3" t="s">
        <v>67</v>
      </c>
      <c r="S1020">
        <v>2</v>
      </c>
      <c r="T1020">
        <v>1</v>
      </c>
      <c r="V1020" s="3" t="s">
        <v>110</v>
      </c>
    </row>
    <row r="1021" spans="4:22" ht="17.649999999999999" x14ac:dyDescent="0.5">
      <c r="D1021" s="3" t="s">
        <v>75</v>
      </c>
      <c r="S1021">
        <v>2</v>
      </c>
      <c r="T1021">
        <v>1</v>
      </c>
      <c r="V1021" s="3" t="s">
        <v>110</v>
      </c>
    </row>
    <row r="1022" spans="4:22" ht="17.649999999999999" x14ac:dyDescent="0.5">
      <c r="D1022" s="3" t="s">
        <v>59</v>
      </c>
      <c r="S1022">
        <v>2</v>
      </c>
      <c r="T1022">
        <v>1</v>
      </c>
      <c r="V1022" s="3" t="s">
        <v>110</v>
      </c>
    </row>
    <row r="1023" spans="4:22" ht="17.649999999999999" x14ac:dyDescent="0.5">
      <c r="D1023" s="3" t="s">
        <v>121</v>
      </c>
      <c r="S1023">
        <v>2</v>
      </c>
      <c r="T1023">
        <v>1</v>
      </c>
      <c r="V1023" s="3" t="s">
        <v>110</v>
      </c>
    </row>
    <row r="1024" spans="4:22" ht="17.649999999999999" x14ac:dyDescent="0.5">
      <c r="D1024" s="3" t="s">
        <v>103</v>
      </c>
      <c r="S1024">
        <v>2</v>
      </c>
      <c r="T1024">
        <v>1</v>
      </c>
      <c r="V1024" s="3" t="s">
        <v>110</v>
      </c>
    </row>
    <row r="1025" spans="4:22" ht="17.649999999999999" x14ac:dyDescent="0.5">
      <c r="D1025" s="3" t="s">
        <v>87</v>
      </c>
      <c r="S1025">
        <v>2</v>
      </c>
      <c r="T1025">
        <v>1</v>
      </c>
      <c r="V1025" s="3" t="s">
        <v>110</v>
      </c>
    </row>
    <row r="1026" spans="4:22" ht="17.649999999999999" x14ac:dyDescent="0.5">
      <c r="D1026" s="3" t="s">
        <v>51</v>
      </c>
      <c r="S1026">
        <v>2</v>
      </c>
      <c r="T1026">
        <v>1</v>
      </c>
      <c r="V1026" s="3" t="s">
        <v>110</v>
      </c>
    </row>
    <row r="1027" spans="4:22" ht="17.649999999999999" x14ac:dyDescent="0.5">
      <c r="D1027" s="3" t="s">
        <v>67</v>
      </c>
      <c r="S1027">
        <v>2</v>
      </c>
      <c r="T1027">
        <v>1</v>
      </c>
      <c r="V1027" s="3" t="s">
        <v>110</v>
      </c>
    </row>
    <row r="1028" spans="4:22" ht="17.649999999999999" x14ac:dyDescent="0.5">
      <c r="D1028" s="3" t="s">
        <v>101</v>
      </c>
      <c r="S1028">
        <v>2</v>
      </c>
      <c r="T1028">
        <v>1</v>
      </c>
      <c r="V1028" s="3" t="s">
        <v>123</v>
      </c>
    </row>
    <row r="1029" spans="4:22" ht="17.649999999999999" x14ac:dyDescent="0.5">
      <c r="D1029" s="3" t="s">
        <v>53</v>
      </c>
      <c r="S1029">
        <v>2</v>
      </c>
      <c r="T1029">
        <v>1</v>
      </c>
      <c r="V1029" s="3" t="s">
        <v>123</v>
      </c>
    </row>
    <row r="1030" spans="4:22" ht="17.649999999999999" x14ac:dyDescent="0.5">
      <c r="D1030" s="3" t="s">
        <v>105</v>
      </c>
      <c r="S1030">
        <v>2</v>
      </c>
      <c r="T1030">
        <v>1</v>
      </c>
      <c r="V1030" s="3" t="s">
        <v>123</v>
      </c>
    </row>
    <row r="1031" spans="4:22" ht="17.649999999999999" x14ac:dyDescent="0.5">
      <c r="D1031" s="3" t="s">
        <v>50</v>
      </c>
      <c r="S1031">
        <v>2</v>
      </c>
      <c r="T1031">
        <v>1</v>
      </c>
      <c r="V1031" s="3" t="s">
        <v>123</v>
      </c>
    </row>
    <row r="1032" spans="4:22" ht="17.649999999999999" x14ac:dyDescent="0.5">
      <c r="D1032" s="3" t="s">
        <v>103</v>
      </c>
      <c r="S1032">
        <v>2</v>
      </c>
      <c r="T1032">
        <v>1</v>
      </c>
      <c r="V1032" s="3" t="s">
        <v>123</v>
      </c>
    </row>
    <row r="1033" spans="4:22" ht="17.649999999999999" x14ac:dyDescent="0.5">
      <c r="D1033" s="3" t="s">
        <v>97</v>
      </c>
      <c r="S1033">
        <v>2</v>
      </c>
      <c r="T1033">
        <v>1</v>
      </c>
      <c r="V1033" s="3" t="s">
        <v>123</v>
      </c>
    </row>
    <row r="1034" spans="4:22" ht="17.649999999999999" x14ac:dyDescent="0.5">
      <c r="D1034" s="3" t="s">
        <v>73</v>
      </c>
      <c r="S1034">
        <v>2</v>
      </c>
      <c r="T1034">
        <v>1</v>
      </c>
      <c r="V1034" s="3" t="s">
        <v>123</v>
      </c>
    </row>
    <row r="1035" spans="4:22" ht="17.649999999999999" x14ac:dyDescent="0.5">
      <c r="D1035" s="3" t="s">
        <v>125</v>
      </c>
      <c r="S1035">
        <v>2</v>
      </c>
      <c r="T1035">
        <v>1</v>
      </c>
      <c r="V1035" s="3" t="s">
        <v>78</v>
      </c>
    </row>
    <row r="1036" spans="4:22" ht="17.649999999999999" x14ac:dyDescent="0.5">
      <c r="D1036" s="3" t="s">
        <v>64</v>
      </c>
      <c r="S1036">
        <v>2</v>
      </c>
      <c r="T1036">
        <v>1</v>
      </c>
      <c r="V1036" s="3" t="s">
        <v>78</v>
      </c>
    </row>
    <row r="1037" spans="4:22" ht="17.649999999999999" x14ac:dyDescent="0.5">
      <c r="D1037" s="3" t="s">
        <v>68</v>
      </c>
      <c r="S1037">
        <v>2</v>
      </c>
      <c r="T1037">
        <v>1</v>
      </c>
      <c r="V1037" s="3" t="s">
        <v>78</v>
      </c>
    </row>
    <row r="1038" spans="4:22" ht="17.649999999999999" x14ac:dyDescent="0.5">
      <c r="D1038" s="3" t="s">
        <v>50</v>
      </c>
      <c r="S1038">
        <v>2</v>
      </c>
      <c r="T1038">
        <v>1</v>
      </c>
      <c r="V1038" s="3" t="s">
        <v>78</v>
      </c>
    </row>
    <row r="1039" spans="4:22" ht="17.649999999999999" x14ac:dyDescent="0.5">
      <c r="D1039" s="3" t="s">
        <v>98</v>
      </c>
      <c r="S1039">
        <v>2</v>
      </c>
      <c r="T1039">
        <v>1</v>
      </c>
      <c r="V1039" s="3" t="s">
        <v>78</v>
      </c>
    </row>
    <row r="1040" spans="4:22" ht="17.649999999999999" x14ac:dyDescent="0.5">
      <c r="D1040" s="3" t="s">
        <v>91</v>
      </c>
      <c r="S1040">
        <v>2</v>
      </c>
      <c r="T1040">
        <v>1</v>
      </c>
      <c r="V1040" s="3" t="s">
        <v>78</v>
      </c>
    </row>
    <row r="1041" spans="4:22" ht="17.649999999999999" x14ac:dyDescent="0.5">
      <c r="D1041" s="3" t="s">
        <v>94</v>
      </c>
      <c r="S1041">
        <v>2</v>
      </c>
      <c r="T1041">
        <v>1</v>
      </c>
      <c r="V1041" s="3" t="s">
        <v>78</v>
      </c>
    </row>
    <row r="1042" spans="4:22" ht="17.649999999999999" x14ac:dyDescent="0.5">
      <c r="D1042" s="3" t="s">
        <v>41</v>
      </c>
      <c r="S1042">
        <v>2</v>
      </c>
      <c r="T1042">
        <v>1</v>
      </c>
      <c r="V1042" s="3" t="s">
        <v>78</v>
      </c>
    </row>
    <row r="1043" spans="4:22" ht="17.649999999999999" x14ac:dyDescent="0.5">
      <c r="D1043" s="3" t="s">
        <v>103</v>
      </c>
      <c r="S1043">
        <v>2</v>
      </c>
      <c r="T1043">
        <v>1</v>
      </c>
      <c r="V1043" s="3" t="s">
        <v>78</v>
      </c>
    </row>
    <row r="1044" spans="4:22" ht="17.649999999999999" x14ac:dyDescent="0.5">
      <c r="D1044" s="3" t="s">
        <v>107</v>
      </c>
      <c r="S1044">
        <v>2</v>
      </c>
      <c r="T1044">
        <v>1</v>
      </c>
      <c r="V1044" s="3" t="s">
        <v>78</v>
      </c>
    </row>
    <row r="1045" spans="4:22" ht="17.649999999999999" x14ac:dyDescent="0.5">
      <c r="D1045" s="3" t="s">
        <v>134</v>
      </c>
      <c r="S1045">
        <v>2</v>
      </c>
      <c r="T1045">
        <v>1</v>
      </c>
      <c r="V1045" s="3" t="s">
        <v>78</v>
      </c>
    </row>
    <row r="1046" spans="4:22" ht="17.649999999999999" x14ac:dyDescent="0.5">
      <c r="D1046" s="3" t="s">
        <v>77</v>
      </c>
      <c r="S1046">
        <v>2</v>
      </c>
      <c r="T1046">
        <v>1</v>
      </c>
      <c r="V1046" s="3" t="s">
        <v>78</v>
      </c>
    </row>
    <row r="1047" spans="4:22" ht="17.649999999999999" x14ac:dyDescent="0.5">
      <c r="D1047" s="3" t="s">
        <v>68</v>
      </c>
      <c r="S1047">
        <v>2</v>
      </c>
      <c r="T1047">
        <v>1</v>
      </c>
      <c r="V1047" s="3" t="s">
        <v>78</v>
      </c>
    </row>
    <row r="1048" spans="4:22" ht="17.649999999999999" x14ac:dyDescent="0.5">
      <c r="D1048" s="3" t="s">
        <v>65</v>
      </c>
      <c r="S1048">
        <v>2</v>
      </c>
      <c r="T1048">
        <v>1</v>
      </c>
      <c r="V1048" s="3" t="s">
        <v>78</v>
      </c>
    </row>
    <row r="1049" spans="4:22" ht="17.649999999999999" x14ac:dyDescent="0.5">
      <c r="D1049" s="3" t="s">
        <v>92</v>
      </c>
      <c r="S1049">
        <v>2</v>
      </c>
      <c r="T1049">
        <v>1</v>
      </c>
      <c r="V1049" s="3" t="s">
        <v>78</v>
      </c>
    </row>
    <row r="1050" spans="4:22" ht="17.649999999999999" x14ac:dyDescent="0.5">
      <c r="D1050" s="3" t="s">
        <v>91</v>
      </c>
      <c r="S1050">
        <v>2</v>
      </c>
      <c r="T1050">
        <v>1</v>
      </c>
      <c r="V1050" s="3" t="s">
        <v>78</v>
      </c>
    </row>
    <row r="1051" spans="4:22" ht="17.649999999999999" x14ac:dyDescent="0.5">
      <c r="D1051" s="3" t="s">
        <v>98</v>
      </c>
      <c r="S1051">
        <v>2</v>
      </c>
      <c r="T1051">
        <v>1</v>
      </c>
      <c r="V1051" s="3" t="s">
        <v>78</v>
      </c>
    </row>
    <row r="1052" spans="4:22" ht="17.649999999999999" x14ac:dyDescent="0.5">
      <c r="D1052" s="3" t="s">
        <v>44</v>
      </c>
      <c r="S1052">
        <v>2</v>
      </c>
      <c r="T1052">
        <v>1</v>
      </c>
      <c r="V1052" s="3" t="s">
        <v>78</v>
      </c>
    </row>
    <row r="1053" spans="4:22" ht="17.649999999999999" x14ac:dyDescent="0.5">
      <c r="D1053" s="3" t="s">
        <v>105</v>
      </c>
      <c r="S1053">
        <v>2</v>
      </c>
      <c r="T1053">
        <v>1</v>
      </c>
      <c r="V1053" s="3" t="s">
        <v>78</v>
      </c>
    </row>
    <row r="1054" spans="4:22" ht="17.649999999999999" x14ac:dyDescent="0.5">
      <c r="D1054" s="3" t="s">
        <v>61</v>
      </c>
      <c r="S1054">
        <v>2</v>
      </c>
      <c r="T1054">
        <v>1</v>
      </c>
      <c r="V1054" s="3" t="s">
        <v>78</v>
      </c>
    </row>
    <row r="1055" spans="4:22" ht="17.649999999999999" x14ac:dyDescent="0.5">
      <c r="D1055" s="3" t="s">
        <v>46</v>
      </c>
      <c r="S1055">
        <v>2</v>
      </c>
      <c r="T1055">
        <v>1</v>
      </c>
      <c r="V1055" s="3" t="s">
        <v>78</v>
      </c>
    </row>
    <row r="1056" spans="4:22" ht="17.649999999999999" x14ac:dyDescent="0.5">
      <c r="D1056" s="3" t="s">
        <v>93</v>
      </c>
      <c r="S1056">
        <v>2</v>
      </c>
      <c r="T1056">
        <v>1</v>
      </c>
      <c r="V1056" s="3" t="s">
        <v>78</v>
      </c>
    </row>
    <row r="1057" spans="4:22" ht="17.649999999999999" x14ac:dyDescent="0.5">
      <c r="D1057" s="3" t="s">
        <v>73</v>
      </c>
      <c r="S1057">
        <v>2</v>
      </c>
      <c r="T1057">
        <v>1</v>
      </c>
      <c r="V1057" s="3" t="s">
        <v>78</v>
      </c>
    </row>
    <row r="1058" spans="4:22" ht="17.649999999999999" x14ac:dyDescent="0.5">
      <c r="D1058" s="3" t="s">
        <v>103</v>
      </c>
      <c r="S1058">
        <v>2</v>
      </c>
      <c r="T1058">
        <v>1</v>
      </c>
      <c r="V1058" s="3" t="s">
        <v>78</v>
      </c>
    </row>
    <row r="1059" spans="4:22" ht="17.649999999999999" x14ac:dyDescent="0.5">
      <c r="D1059" s="3" t="s">
        <v>49</v>
      </c>
      <c r="S1059">
        <v>2</v>
      </c>
      <c r="T1059">
        <v>1</v>
      </c>
      <c r="V1059" s="3" t="s">
        <v>78</v>
      </c>
    </row>
    <row r="1060" spans="4:22" ht="17.649999999999999" x14ac:dyDescent="0.5">
      <c r="D1060" s="3" t="s">
        <v>55</v>
      </c>
      <c r="S1060">
        <v>2</v>
      </c>
      <c r="T1060">
        <v>1</v>
      </c>
      <c r="V1060" s="3" t="s">
        <v>78</v>
      </c>
    </row>
    <row r="1061" spans="4:22" ht="17.649999999999999" x14ac:dyDescent="0.5">
      <c r="D1061" s="3" t="s">
        <v>48</v>
      </c>
      <c r="S1061">
        <v>2</v>
      </c>
      <c r="T1061">
        <v>1</v>
      </c>
      <c r="V1061" s="3" t="s">
        <v>81</v>
      </c>
    </row>
    <row r="1062" spans="4:22" ht="17.649999999999999" x14ac:dyDescent="0.5">
      <c r="D1062" s="3" t="s">
        <v>127</v>
      </c>
      <c r="S1062">
        <v>2</v>
      </c>
      <c r="T1062">
        <v>1</v>
      </c>
      <c r="V1062" s="3" t="s">
        <v>81</v>
      </c>
    </row>
    <row r="1063" spans="4:22" ht="17.649999999999999" x14ac:dyDescent="0.5">
      <c r="D1063" s="3" t="s">
        <v>57</v>
      </c>
      <c r="S1063">
        <v>2</v>
      </c>
      <c r="T1063">
        <v>1</v>
      </c>
      <c r="V1063" s="3" t="s">
        <v>81</v>
      </c>
    </row>
    <row r="1064" spans="4:22" ht="17.649999999999999" x14ac:dyDescent="0.5">
      <c r="D1064" s="3" t="s">
        <v>90</v>
      </c>
      <c r="S1064">
        <v>2</v>
      </c>
      <c r="T1064">
        <v>1</v>
      </c>
      <c r="V1064" s="3" t="s">
        <v>81</v>
      </c>
    </row>
    <row r="1065" spans="4:22" ht="17.649999999999999" x14ac:dyDescent="0.5">
      <c r="D1065" s="3" t="s">
        <v>101</v>
      </c>
      <c r="S1065">
        <v>2</v>
      </c>
      <c r="T1065">
        <v>1</v>
      </c>
      <c r="V1065" s="3" t="s">
        <v>81</v>
      </c>
    </row>
    <row r="1066" spans="4:22" ht="17.649999999999999" x14ac:dyDescent="0.5">
      <c r="D1066" s="3" t="s">
        <v>42</v>
      </c>
      <c r="S1066">
        <v>2</v>
      </c>
      <c r="T1066">
        <v>1</v>
      </c>
      <c r="V1066" s="3" t="s">
        <v>81</v>
      </c>
    </row>
    <row r="1067" spans="4:22" ht="17.649999999999999" x14ac:dyDescent="0.5">
      <c r="D1067" s="3" t="s">
        <v>43</v>
      </c>
      <c r="S1067">
        <v>2</v>
      </c>
      <c r="T1067">
        <v>1</v>
      </c>
      <c r="V1067" s="3" t="s">
        <v>81</v>
      </c>
    </row>
    <row r="1068" spans="4:22" ht="17.649999999999999" x14ac:dyDescent="0.5">
      <c r="D1068" s="3" t="s">
        <v>96</v>
      </c>
      <c r="S1068">
        <v>2</v>
      </c>
      <c r="T1068">
        <v>1</v>
      </c>
      <c r="V1068" s="3" t="s">
        <v>81</v>
      </c>
    </row>
    <row r="1069" spans="4:22" ht="17.649999999999999" x14ac:dyDescent="0.5">
      <c r="D1069" s="3" t="s">
        <v>80</v>
      </c>
      <c r="S1069">
        <v>2</v>
      </c>
      <c r="T1069">
        <v>1</v>
      </c>
      <c r="V1069" s="3" t="s">
        <v>81</v>
      </c>
    </row>
    <row r="1070" spans="4:22" ht="17.649999999999999" x14ac:dyDescent="0.5">
      <c r="D1070" s="3" t="s">
        <v>93</v>
      </c>
      <c r="S1070">
        <v>2</v>
      </c>
      <c r="T1070">
        <v>1</v>
      </c>
      <c r="V1070" s="3" t="s">
        <v>81</v>
      </c>
    </row>
    <row r="1071" spans="4:22" ht="17.649999999999999" x14ac:dyDescent="0.5">
      <c r="D1071" s="3" t="s">
        <v>88</v>
      </c>
      <c r="S1071">
        <v>2</v>
      </c>
      <c r="T1071">
        <v>1</v>
      </c>
      <c r="V1071" s="3" t="s">
        <v>81</v>
      </c>
    </row>
    <row r="1072" spans="4:22" ht="17.649999999999999" x14ac:dyDescent="0.5">
      <c r="D1072" s="3" t="s">
        <v>97</v>
      </c>
      <c r="S1072">
        <v>2</v>
      </c>
      <c r="T1072">
        <v>1</v>
      </c>
      <c r="V1072" s="3" t="s">
        <v>81</v>
      </c>
    </row>
    <row r="1073" spans="4:22" ht="17.649999999999999" x14ac:dyDescent="0.5">
      <c r="D1073" s="3" t="s">
        <v>104</v>
      </c>
      <c r="S1073">
        <v>2</v>
      </c>
      <c r="T1073">
        <v>1</v>
      </c>
      <c r="V1073" s="3" t="s">
        <v>81</v>
      </c>
    </row>
    <row r="1074" spans="4:22" ht="17.649999999999999" x14ac:dyDescent="0.5">
      <c r="D1074" s="3" t="s">
        <v>98</v>
      </c>
      <c r="S1074">
        <v>2</v>
      </c>
      <c r="T1074">
        <v>1</v>
      </c>
      <c r="V1074" s="3" t="s">
        <v>81</v>
      </c>
    </row>
    <row r="1075" spans="4:22" ht="17.649999999999999" x14ac:dyDescent="0.5">
      <c r="D1075" s="3" t="s">
        <v>96</v>
      </c>
      <c r="S1075">
        <v>2</v>
      </c>
      <c r="T1075">
        <v>1</v>
      </c>
      <c r="V1075" s="3" t="s">
        <v>81</v>
      </c>
    </row>
    <row r="1076" spans="4:22" ht="17.649999999999999" x14ac:dyDescent="0.5">
      <c r="D1076" s="3" t="s">
        <v>56</v>
      </c>
      <c r="S1076">
        <v>2</v>
      </c>
      <c r="T1076">
        <v>1</v>
      </c>
      <c r="V1076" s="3" t="s">
        <v>81</v>
      </c>
    </row>
    <row r="1077" spans="4:22" ht="17.649999999999999" x14ac:dyDescent="0.5">
      <c r="D1077" s="3" t="s">
        <v>90</v>
      </c>
      <c r="S1077">
        <v>2</v>
      </c>
      <c r="T1077">
        <v>1</v>
      </c>
      <c r="V1077" s="3" t="s">
        <v>81</v>
      </c>
    </row>
    <row r="1078" spans="4:22" ht="17.649999999999999" x14ac:dyDescent="0.5">
      <c r="D1078" s="3" t="s">
        <v>41</v>
      </c>
      <c r="S1078">
        <v>2</v>
      </c>
      <c r="T1078">
        <v>1</v>
      </c>
      <c r="V1078" s="3" t="s">
        <v>81</v>
      </c>
    </row>
    <row r="1079" spans="4:22" ht="17.649999999999999" x14ac:dyDescent="0.5">
      <c r="D1079" s="3" t="s">
        <v>127</v>
      </c>
      <c r="S1079">
        <v>2</v>
      </c>
      <c r="T1079">
        <v>1</v>
      </c>
      <c r="V1079" s="3" t="s">
        <v>81</v>
      </c>
    </row>
    <row r="1080" spans="4:22" ht="17.649999999999999" x14ac:dyDescent="0.5">
      <c r="D1080" s="3" t="s">
        <v>80</v>
      </c>
      <c r="S1080">
        <v>2</v>
      </c>
      <c r="T1080">
        <v>1</v>
      </c>
      <c r="V1080" s="3" t="s">
        <v>81</v>
      </c>
    </row>
    <row r="1081" spans="4:22" ht="17.649999999999999" x14ac:dyDescent="0.5">
      <c r="D1081" s="3" t="s">
        <v>91</v>
      </c>
      <c r="S1081">
        <v>2</v>
      </c>
      <c r="T1081">
        <v>1</v>
      </c>
      <c r="V1081" s="3" t="s">
        <v>81</v>
      </c>
    </row>
    <row r="1082" spans="4:22" ht="17.649999999999999" x14ac:dyDescent="0.5">
      <c r="D1082" s="3" t="s">
        <v>73</v>
      </c>
      <c r="S1082">
        <v>2</v>
      </c>
      <c r="T1082">
        <v>1</v>
      </c>
      <c r="V1082" s="3" t="s">
        <v>81</v>
      </c>
    </row>
    <row r="1083" spans="4:22" ht="17.649999999999999" x14ac:dyDescent="0.5">
      <c r="D1083" s="3" t="s">
        <v>112</v>
      </c>
      <c r="S1083">
        <v>2</v>
      </c>
      <c r="T1083">
        <v>1</v>
      </c>
      <c r="V1083" s="3" t="s">
        <v>81</v>
      </c>
    </row>
    <row r="1084" spans="4:22" ht="17.649999999999999" x14ac:dyDescent="0.5">
      <c r="D1084" s="3" t="s">
        <v>61</v>
      </c>
      <c r="S1084">
        <v>2</v>
      </c>
      <c r="T1084">
        <v>1</v>
      </c>
      <c r="V1084" s="3" t="s">
        <v>81</v>
      </c>
    </row>
    <row r="1085" spans="4:22" ht="17.649999999999999" x14ac:dyDescent="0.5">
      <c r="D1085" s="3" t="s">
        <v>84</v>
      </c>
      <c r="S1085">
        <v>2</v>
      </c>
      <c r="T1085">
        <v>1</v>
      </c>
      <c r="V1085" s="3" t="s">
        <v>81</v>
      </c>
    </row>
    <row r="1086" spans="4:22" ht="17.649999999999999" x14ac:dyDescent="0.5">
      <c r="D1086" s="3" t="s">
        <v>62</v>
      </c>
      <c r="S1086">
        <v>2</v>
      </c>
      <c r="T1086">
        <v>1</v>
      </c>
      <c r="V1086" s="3" t="s">
        <v>81</v>
      </c>
    </row>
    <row r="1087" spans="4:22" ht="17.649999999999999" x14ac:dyDescent="0.5">
      <c r="D1087" s="3" t="s">
        <v>48</v>
      </c>
      <c r="S1087">
        <v>2</v>
      </c>
      <c r="T1087">
        <v>1</v>
      </c>
      <c r="V1087" s="3" t="s">
        <v>81</v>
      </c>
    </row>
    <row r="1088" spans="4:22" ht="17.649999999999999" x14ac:dyDescent="0.5">
      <c r="D1088" s="3" t="s">
        <v>53</v>
      </c>
      <c r="S1088">
        <v>2</v>
      </c>
      <c r="T1088">
        <v>1</v>
      </c>
      <c r="V1088" s="3" t="s">
        <v>81</v>
      </c>
    </row>
    <row r="1089" spans="4:22" ht="17.649999999999999" x14ac:dyDescent="0.5">
      <c r="D1089" s="3" t="s">
        <v>75</v>
      </c>
      <c r="S1089">
        <v>2</v>
      </c>
      <c r="T1089">
        <v>1</v>
      </c>
      <c r="V1089" s="3" t="s">
        <v>81</v>
      </c>
    </row>
    <row r="1090" spans="4:22" ht="17.649999999999999" x14ac:dyDescent="0.5">
      <c r="D1090" s="3" t="s">
        <v>59</v>
      </c>
      <c r="S1090">
        <v>2</v>
      </c>
      <c r="T1090">
        <v>1</v>
      </c>
      <c r="V1090" s="3" t="s">
        <v>81</v>
      </c>
    </row>
    <row r="1091" spans="4:22" ht="17.649999999999999" x14ac:dyDescent="0.5">
      <c r="D1091" s="3" t="s">
        <v>69</v>
      </c>
      <c r="S1091">
        <v>2</v>
      </c>
      <c r="T1091">
        <v>1</v>
      </c>
      <c r="V1091" s="3" t="s">
        <v>81</v>
      </c>
    </row>
    <row r="1092" spans="4:22" ht="17.649999999999999" x14ac:dyDescent="0.5">
      <c r="D1092" s="3" t="s">
        <v>104</v>
      </c>
      <c r="S1092">
        <v>2</v>
      </c>
      <c r="T1092">
        <v>1</v>
      </c>
      <c r="V1092" s="3" t="s">
        <v>81</v>
      </c>
    </row>
    <row r="1093" spans="4:22" ht="17.649999999999999" x14ac:dyDescent="0.5">
      <c r="D1093" s="3" t="s">
        <v>91</v>
      </c>
      <c r="S1093">
        <v>2</v>
      </c>
      <c r="T1093">
        <v>1</v>
      </c>
      <c r="V1093" s="3" t="s">
        <v>81</v>
      </c>
    </row>
    <row r="1094" spans="4:22" ht="17.649999999999999" x14ac:dyDescent="0.5">
      <c r="D1094" s="3" t="s">
        <v>135</v>
      </c>
      <c r="S1094">
        <v>2</v>
      </c>
      <c r="T1094">
        <v>1</v>
      </c>
      <c r="V1094" s="3" t="s">
        <v>81</v>
      </c>
    </row>
    <row r="1095" spans="4:22" ht="17.649999999999999" x14ac:dyDescent="0.5">
      <c r="D1095" s="3" t="s">
        <v>48</v>
      </c>
      <c r="S1095">
        <v>2</v>
      </c>
      <c r="T1095">
        <v>1</v>
      </c>
      <c r="V1095" s="3" t="s">
        <v>81</v>
      </c>
    </row>
    <row r="1096" spans="4:22" ht="17.649999999999999" x14ac:dyDescent="0.5">
      <c r="D1096" s="3" t="s">
        <v>52</v>
      </c>
      <c r="S1096">
        <v>2</v>
      </c>
      <c r="T1096">
        <v>10</v>
      </c>
      <c r="V1096" s="3" t="s">
        <v>72</v>
      </c>
    </row>
    <row r="1097" spans="4:22" ht="17.649999999999999" x14ac:dyDescent="0.5">
      <c r="D1097" s="3" t="s">
        <v>63</v>
      </c>
      <c r="S1097">
        <v>2</v>
      </c>
      <c r="T1097">
        <v>10</v>
      </c>
      <c r="V1097" s="3" t="s">
        <v>72</v>
      </c>
    </row>
    <row r="1098" spans="4:22" ht="17.649999999999999" x14ac:dyDescent="0.5">
      <c r="D1098" s="3" t="s">
        <v>83</v>
      </c>
      <c r="S1098">
        <v>2</v>
      </c>
      <c r="T1098">
        <v>10</v>
      </c>
      <c r="V1098" s="3" t="s">
        <v>72</v>
      </c>
    </row>
    <row r="1099" spans="4:22" ht="17.649999999999999" x14ac:dyDescent="0.5">
      <c r="D1099" s="3" t="s">
        <v>57</v>
      </c>
      <c r="S1099">
        <v>2</v>
      </c>
      <c r="T1099">
        <v>10</v>
      </c>
      <c r="V1099" s="3" t="s">
        <v>72</v>
      </c>
    </row>
    <row r="1100" spans="4:22" ht="17.649999999999999" x14ac:dyDescent="0.5">
      <c r="D1100" s="3" t="s">
        <v>78</v>
      </c>
      <c r="S1100">
        <v>2</v>
      </c>
      <c r="T1100">
        <v>10</v>
      </c>
      <c r="V1100" s="3" t="s">
        <v>72</v>
      </c>
    </row>
    <row r="1101" spans="4:22" ht="17.649999999999999" x14ac:dyDescent="0.5">
      <c r="D1101" s="3" t="s">
        <v>85</v>
      </c>
      <c r="S1101">
        <v>2</v>
      </c>
      <c r="T1101">
        <v>10</v>
      </c>
      <c r="V1101" s="3" t="s">
        <v>72</v>
      </c>
    </row>
    <row r="1102" spans="4:22" ht="17.649999999999999" x14ac:dyDescent="0.5">
      <c r="D1102" s="3" t="s">
        <v>53</v>
      </c>
      <c r="S1102">
        <v>2</v>
      </c>
      <c r="T1102">
        <v>10</v>
      </c>
      <c r="V1102" s="3" t="s">
        <v>72</v>
      </c>
    </row>
    <row r="1103" spans="4:22" ht="17.649999999999999" x14ac:dyDescent="0.5">
      <c r="D1103" s="3" t="s">
        <v>41</v>
      </c>
      <c r="S1103">
        <v>2</v>
      </c>
      <c r="T1103">
        <v>10</v>
      </c>
      <c r="V1103" s="3" t="s">
        <v>72</v>
      </c>
    </row>
    <row r="1104" spans="4:22" ht="17.649999999999999" x14ac:dyDescent="0.5">
      <c r="D1104" s="3" t="s">
        <v>66</v>
      </c>
      <c r="S1104">
        <v>2</v>
      </c>
      <c r="T1104">
        <v>10</v>
      </c>
      <c r="V1104" s="3" t="s">
        <v>72</v>
      </c>
    </row>
    <row r="1105" spans="4:22" ht="17.649999999999999" x14ac:dyDescent="0.5">
      <c r="D1105" s="3" t="s">
        <v>89</v>
      </c>
      <c r="S1105">
        <v>2</v>
      </c>
      <c r="T1105">
        <v>10</v>
      </c>
      <c r="V1105" s="3" t="s">
        <v>72</v>
      </c>
    </row>
    <row r="1106" spans="4:22" ht="17.649999999999999" x14ac:dyDescent="0.5">
      <c r="D1106" s="3" t="s">
        <v>112</v>
      </c>
      <c r="S1106">
        <v>2</v>
      </c>
      <c r="T1106">
        <v>10</v>
      </c>
      <c r="V1106" s="3" t="s">
        <v>72</v>
      </c>
    </row>
    <row r="1107" spans="4:22" ht="17.649999999999999" x14ac:dyDescent="0.5">
      <c r="D1107" s="3" t="s">
        <v>91</v>
      </c>
      <c r="S1107">
        <v>2</v>
      </c>
      <c r="T1107">
        <v>10</v>
      </c>
      <c r="V1107" s="3" t="s">
        <v>131</v>
      </c>
    </row>
    <row r="1108" spans="4:22" ht="17.649999999999999" x14ac:dyDescent="0.5">
      <c r="D1108" s="3" t="s">
        <v>74</v>
      </c>
      <c r="S1108">
        <v>2</v>
      </c>
      <c r="T1108">
        <v>10</v>
      </c>
      <c r="V1108" s="3" t="s">
        <v>131</v>
      </c>
    </row>
    <row r="1109" spans="4:22" ht="17.649999999999999" x14ac:dyDescent="0.5">
      <c r="D1109" s="3" t="s">
        <v>60</v>
      </c>
      <c r="S1109">
        <v>2</v>
      </c>
      <c r="T1109">
        <v>10</v>
      </c>
      <c r="V1109" s="3" t="s">
        <v>131</v>
      </c>
    </row>
    <row r="1110" spans="4:22" ht="17.649999999999999" x14ac:dyDescent="0.5">
      <c r="D1110" s="3" t="s">
        <v>105</v>
      </c>
      <c r="S1110">
        <v>2</v>
      </c>
      <c r="T1110">
        <v>10</v>
      </c>
      <c r="V1110" s="3" t="s">
        <v>131</v>
      </c>
    </row>
    <row r="1111" spans="4:22" ht="17.649999999999999" x14ac:dyDescent="0.5">
      <c r="D1111" s="3" t="s">
        <v>61</v>
      </c>
      <c r="S1111">
        <v>2</v>
      </c>
      <c r="T1111">
        <v>10</v>
      </c>
      <c r="V1111" s="3" t="s">
        <v>131</v>
      </c>
    </row>
    <row r="1112" spans="4:22" ht="17.649999999999999" x14ac:dyDescent="0.5">
      <c r="D1112" s="3" t="s">
        <v>58</v>
      </c>
      <c r="S1112">
        <v>2</v>
      </c>
      <c r="T1112">
        <v>10</v>
      </c>
      <c r="V1112" s="3" t="s">
        <v>131</v>
      </c>
    </row>
    <row r="1113" spans="4:22" ht="17.649999999999999" x14ac:dyDescent="0.5">
      <c r="D1113" s="3" t="s">
        <v>85</v>
      </c>
      <c r="S1113">
        <v>2</v>
      </c>
      <c r="T1113">
        <v>10</v>
      </c>
      <c r="V1113" s="3" t="s">
        <v>131</v>
      </c>
    </row>
    <row r="1114" spans="4:22" ht="17.649999999999999" x14ac:dyDescent="0.5">
      <c r="D1114" s="3" t="s">
        <v>79</v>
      </c>
      <c r="S1114">
        <v>2</v>
      </c>
      <c r="T1114">
        <v>10</v>
      </c>
      <c r="V1114" s="3" t="s">
        <v>131</v>
      </c>
    </row>
    <row r="1115" spans="4:22" ht="17.649999999999999" x14ac:dyDescent="0.5">
      <c r="D1115" s="3" t="s">
        <v>68</v>
      </c>
      <c r="S1115">
        <v>2</v>
      </c>
      <c r="T1115">
        <v>10</v>
      </c>
      <c r="V1115" s="3" t="s">
        <v>131</v>
      </c>
    </row>
    <row r="1116" spans="4:22" ht="17.649999999999999" x14ac:dyDescent="0.5">
      <c r="D1116" s="3" t="s">
        <v>136</v>
      </c>
      <c r="S1116">
        <v>2</v>
      </c>
      <c r="T1116">
        <v>10</v>
      </c>
      <c r="V1116" s="3" t="s">
        <v>131</v>
      </c>
    </row>
    <row r="1117" spans="4:22" ht="17.649999999999999" x14ac:dyDescent="0.5">
      <c r="D1117" s="3" t="s">
        <v>76</v>
      </c>
      <c r="S1117">
        <v>2</v>
      </c>
      <c r="T1117">
        <v>10</v>
      </c>
      <c r="V1117" s="3" t="s">
        <v>131</v>
      </c>
    </row>
    <row r="1118" spans="4:22" ht="17.649999999999999" x14ac:dyDescent="0.5">
      <c r="D1118" s="3" t="s">
        <v>61</v>
      </c>
      <c r="S1118">
        <v>2</v>
      </c>
      <c r="T1118">
        <v>10</v>
      </c>
      <c r="V1118" s="3" t="s">
        <v>115</v>
      </c>
    </row>
    <row r="1119" spans="4:22" ht="17.649999999999999" x14ac:dyDescent="0.5">
      <c r="D1119" s="3" t="s">
        <v>69</v>
      </c>
      <c r="S1119">
        <v>2</v>
      </c>
      <c r="T1119">
        <v>10</v>
      </c>
      <c r="V1119" s="3" t="s">
        <v>115</v>
      </c>
    </row>
    <row r="1120" spans="4:22" ht="17.649999999999999" x14ac:dyDescent="0.5">
      <c r="D1120" s="3" t="s">
        <v>56</v>
      </c>
      <c r="S1120">
        <v>2</v>
      </c>
      <c r="T1120">
        <v>10</v>
      </c>
      <c r="V1120" s="3" t="s">
        <v>115</v>
      </c>
    </row>
    <row r="1121" spans="4:22" ht="17.649999999999999" x14ac:dyDescent="0.5">
      <c r="D1121" s="3" t="s">
        <v>84</v>
      </c>
      <c r="S1121">
        <v>2</v>
      </c>
      <c r="T1121">
        <v>10</v>
      </c>
      <c r="V1121" s="3" t="s">
        <v>115</v>
      </c>
    </row>
    <row r="1122" spans="4:22" ht="17.649999999999999" x14ac:dyDescent="0.5">
      <c r="D1122" s="3" t="s">
        <v>68</v>
      </c>
      <c r="S1122">
        <v>2</v>
      </c>
      <c r="T1122">
        <v>10</v>
      </c>
      <c r="V1122" s="3" t="s">
        <v>115</v>
      </c>
    </row>
    <row r="1123" spans="4:22" ht="17.649999999999999" x14ac:dyDescent="0.5">
      <c r="D1123" s="3" t="s">
        <v>117</v>
      </c>
      <c r="S1123">
        <v>2</v>
      </c>
      <c r="T1123">
        <v>10</v>
      </c>
      <c r="V1123" s="3" t="s">
        <v>115</v>
      </c>
    </row>
    <row r="1124" spans="4:22" ht="17.649999999999999" x14ac:dyDescent="0.5">
      <c r="D1124" s="3" t="s">
        <v>119</v>
      </c>
      <c r="S1124">
        <v>2</v>
      </c>
      <c r="T1124">
        <v>10</v>
      </c>
      <c r="V1124" s="3" t="s">
        <v>115</v>
      </c>
    </row>
    <row r="1125" spans="4:22" ht="17.649999999999999" x14ac:dyDescent="0.5">
      <c r="D1125" s="3" t="s">
        <v>116</v>
      </c>
      <c r="S1125">
        <v>2</v>
      </c>
      <c r="T1125">
        <v>10</v>
      </c>
      <c r="V1125" s="3" t="s">
        <v>115</v>
      </c>
    </row>
    <row r="1126" spans="4:22" ht="17.649999999999999" x14ac:dyDescent="0.5">
      <c r="D1126" s="3" t="s">
        <v>50</v>
      </c>
      <c r="S1126">
        <v>2</v>
      </c>
      <c r="T1126">
        <v>10</v>
      </c>
      <c r="V1126" s="3" t="s">
        <v>115</v>
      </c>
    </row>
    <row r="1127" spans="4:22" ht="17.649999999999999" x14ac:dyDescent="0.5">
      <c r="D1127" s="3" t="s">
        <v>64</v>
      </c>
      <c r="S1127">
        <v>2</v>
      </c>
      <c r="T1127">
        <v>10</v>
      </c>
      <c r="V1127" s="3" t="s">
        <v>115</v>
      </c>
    </row>
    <row r="1128" spans="4:22" ht="17.649999999999999" x14ac:dyDescent="0.5">
      <c r="D1128" s="3" t="s">
        <v>87</v>
      </c>
      <c r="S1128">
        <v>2</v>
      </c>
      <c r="T1128">
        <v>10</v>
      </c>
      <c r="V1128" s="3" t="s">
        <v>115</v>
      </c>
    </row>
    <row r="1129" spans="4:22" ht="17.649999999999999" x14ac:dyDescent="0.5">
      <c r="D1129" s="3" t="s">
        <v>52</v>
      </c>
      <c r="S1129">
        <v>2</v>
      </c>
      <c r="T1129">
        <v>10</v>
      </c>
      <c r="V1129" s="3" t="s">
        <v>115</v>
      </c>
    </row>
    <row r="1130" spans="4:22" ht="17.649999999999999" x14ac:dyDescent="0.5">
      <c r="D1130" s="3" t="s">
        <v>72</v>
      </c>
      <c r="S1130">
        <v>2</v>
      </c>
      <c r="T1130">
        <v>10</v>
      </c>
      <c r="V1130" s="3" t="s">
        <v>115</v>
      </c>
    </row>
    <row r="1131" spans="4:22" ht="17.649999999999999" x14ac:dyDescent="0.5">
      <c r="D1131" s="3" t="s">
        <v>106</v>
      </c>
      <c r="S1131">
        <v>2</v>
      </c>
      <c r="T1131">
        <v>10</v>
      </c>
      <c r="V1131" s="3" t="s">
        <v>115</v>
      </c>
    </row>
    <row r="1132" spans="4:22" ht="17.649999999999999" x14ac:dyDescent="0.5">
      <c r="D1132" s="3" t="s">
        <v>128</v>
      </c>
      <c r="S1132">
        <v>2</v>
      </c>
      <c r="T1132">
        <v>10</v>
      </c>
      <c r="V1132" s="3" t="s">
        <v>115</v>
      </c>
    </row>
    <row r="1133" spans="4:22" ht="17.649999999999999" x14ac:dyDescent="0.5">
      <c r="D1133" s="3" t="s">
        <v>87</v>
      </c>
      <c r="S1133">
        <v>2</v>
      </c>
      <c r="T1133">
        <v>10</v>
      </c>
      <c r="V1133" s="3" t="s">
        <v>115</v>
      </c>
    </row>
    <row r="1134" spans="4:22" ht="17.649999999999999" x14ac:dyDescent="0.5">
      <c r="D1134" s="3" t="s">
        <v>103</v>
      </c>
      <c r="S1134">
        <v>2</v>
      </c>
      <c r="T1134">
        <v>10</v>
      </c>
      <c r="V1134" s="3" t="s">
        <v>115</v>
      </c>
    </row>
    <row r="1135" spans="4:22" ht="17.649999999999999" x14ac:dyDescent="0.5">
      <c r="D1135" s="3" t="s">
        <v>109</v>
      </c>
      <c r="S1135">
        <v>2</v>
      </c>
      <c r="T1135">
        <v>10</v>
      </c>
      <c r="V1135" s="3" t="s">
        <v>115</v>
      </c>
    </row>
    <row r="1136" spans="4:22" ht="17.649999999999999" x14ac:dyDescent="0.5">
      <c r="D1136" s="3" t="s">
        <v>77</v>
      </c>
      <c r="S1136">
        <v>2</v>
      </c>
      <c r="T1136">
        <v>10</v>
      </c>
      <c r="V1136" s="3" t="s">
        <v>115</v>
      </c>
    </row>
    <row r="1137" spans="4:22" ht="17.649999999999999" x14ac:dyDescent="0.5">
      <c r="D1137" s="3" t="s">
        <v>63</v>
      </c>
      <c r="S1137">
        <v>2</v>
      </c>
      <c r="T1137">
        <v>10</v>
      </c>
      <c r="V1137" s="3" t="s">
        <v>115</v>
      </c>
    </row>
    <row r="1138" spans="4:22" ht="17.649999999999999" x14ac:dyDescent="0.5">
      <c r="D1138" s="3" t="s">
        <v>68</v>
      </c>
      <c r="S1138">
        <v>2</v>
      </c>
      <c r="T1138">
        <v>10</v>
      </c>
      <c r="V1138" s="3" t="s">
        <v>115</v>
      </c>
    </row>
    <row r="1139" spans="4:22" ht="17.649999999999999" x14ac:dyDescent="0.5">
      <c r="D1139" s="3" t="s">
        <v>57</v>
      </c>
      <c r="S1139">
        <v>2</v>
      </c>
      <c r="T1139">
        <v>10</v>
      </c>
      <c r="V1139" s="3" t="s">
        <v>115</v>
      </c>
    </row>
    <row r="1140" spans="4:22" ht="17.649999999999999" x14ac:dyDescent="0.5">
      <c r="D1140" s="3" t="s">
        <v>103</v>
      </c>
      <c r="S1140">
        <v>2</v>
      </c>
      <c r="T1140">
        <v>10</v>
      </c>
      <c r="V1140" s="3" t="s">
        <v>115</v>
      </c>
    </row>
    <row r="1141" spans="4:22" ht="17.649999999999999" x14ac:dyDescent="0.5">
      <c r="D1141" s="3" t="s">
        <v>109</v>
      </c>
      <c r="S1141">
        <v>2</v>
      </c>
      <c r="T1141">
        <v>10</v>
      </c>
      <c r="V1141" s="3" t="s">
        <v>74</v>
      </c>
    </row>
    <row r="1142" spans="4:22" ht="17.649999999999999" x14ac:dyDescent="0.5">
      <c r="D1142" s="3" t="s">
        <v>55</v>
      </c>
      <c r="S1142">
        <v>2</v>
      </c>
      <c r="T1142">
        <v>10</v>
      </c>
      <c r="V1142" s="3" t="s">
        <v>74</v>
      </c>
    </row>
    <row r="1143" spans="4:22" ht="17.649999999999999" x14ac:dyDescent="0.5">
      <c r="D1143" s="3" t="s">
        <v>66</v>
      </c>
      <c r="S1143">
        <v>2</v>
      </c>
      <c r="T1143">
        <v>10</v>
      </c>
      <c r="V1143" s="3" t="s">
        <v>74</v>
      </c>
    </row>
    <row r="1144" spans="4:22" ht="17.649999999999999" x14ac:dyDescent="0.5">
      <c r="D1144" s="3" t="s">
        <v>83</v>
      </c>
      <c r="S1144">
        <v>2</v>
      </c>
      <c r="T1144">
        <v>10</v>
      </c>
      <c r="V1144" s="3" t="s">
        <v>74</v>
      </c>
    </row>
    <row r="1145" spans="4:22" ht="17.649999999999999" x14ac:dyDescent="0.5">
      <c r="D1145" s="3" t="s">
        <v>59</v>
      </c>
      <c r="S1145">
        <v>2</v>
      </c>
      <c r="T1145">
        <v>10</v>
      </c>
      <c r="V1145" s="3" t="s">
        <v>74</v>
      </c>
    </row>
    <row r="1146" spans="4:22" ht="17.649999999999999" x14ac:dyDescent="0.5">
      <c r="D1146" s="3" t="s">
        <v>98</v>
      </c>
      <c r="S1146">
        <v>2</v>
      </c>
      <c r="T1146">
        <v>10</v>
      </c>
      <c r="V1146" s="3" t="s">
        <v>74</v>
      </c>
    </row>
    <row r="1147" spans="4:22" ht="17.649999999999999" x14ac:dyDescent="0.5">
      <c r="D1147" s="3" t="s">
        <v>50</v>
      </c>
      <c r="S1147">
        <v>2</v>
      </c>
      <c r="T1147">
        <v>10</v>
      </c>
      <c r="V1147" s="3" t="s">
        <v>74</v>
      </c>
    </row>
    <row r="1148" spans="4:22" ht="17.649999999999999" x14ac:dyDescent="0.5">
      <c r="D1148" s="3" t="s">
        <v>96</v>
      </c>
      <c r="S1148">
        <v>2</v>
      </c>
      <c r="T1148">
        <v>10</v>
      </c>
      <c r="V1148" s="3" t="s">
        <v>74</v>
      </c>
    </row>
    <row r="1149" spans="4:22" ht="17.649999999999999" x14ac:dyDescent="0.5">
      <c r="D1149" s="3" t="s">
        <v>47</v>
      </c>
      <c r="S1149">
        <v>2</v>
      </c>
      <c r="T1149">
        <v>10</v>
      </c>
      <c r="V1149" s="3" t="s">
        <v>74</v>
      </c>
    </row>
    <row r="1150" spans="4:22" ht="17.649999999999999" x14ac:dyDescent="0.5">
      <c r="D1150" s="3" t="s">
        <v>41</v>
      </c>
      <c r="S1150">
        <v>2</v>
      </c>
      <c r="T1150">
        <v>10</v>
      </c>
      <c r="V1150" s="3" t="s">
        <v>74</v>
      </c>
    </row>
    <row r="1151" spans="4:22" ht="17.649999999999999" x14ac:dyDescent="0.5">
      <c r="D1151" s="3" t="s">
        <v>80</v>
      </c>
      <c r="S1151">
        <v>2</v>
      </c>
      <c r="T1151">
        <v>10</v>
      </c>
      <c r="V1151" s="3" t="s">
        <v>74</v>
      </c>
    </row>
    <row r="1152" spans="4:22" ht="17.649999999999999" x14ac:dyDescent="0.5">
      <c r="D1152" s="3" t="s">
        <v>55</v>
      </c>
      <c r="S1152">
        <v>2</v>
      </c>
      <c r="T1152">
        <v>10</v>
      </c>
      <c r="V1152" s="3" t="s">
        <v>74</v>
      </c>
    </row>
    <row r="1153" spans="4:22" ht="17.649999999999999" x14ac:dyDescent="0.5">
      <c r="D1153" s="3" t="s">
        <v>47</v>
      </c>
      <c r="S1153">
        <v>2</v>
      </c>
      <c r="T1153">
        <v>10</v>
      </c>
      <c r="V1153" s="3" t="s">
        <v>74</v>
      </c>
    </row>
    <row r="1154" spans="4:22" ht="17.649999999999999" x14ac:dyDescent="0.5">
      <c r="D1154" s="3" t="s">
        <v>68</v>
      </c>
      <c r="S1154">
        <v>2</v>
      </c>
      <c r="T1154">
        <v>10</v>
      </c>
      <c r="V1154" s="3" t="s">
        <v>74</v>
      </c>
    </row>
    <row r="1155" spans="4:22" ht="17.649999999999999" x14ac:dyDescent="0.5">
      <c r="D1155" s="3" t="s">
        <v>50</v>
      </c>
      <c r="S1155">
        <v>2</v>
      </c>
      <c r="T1155">
        <v>10</v>
      </c>
      <c r="V1155" s="3" t="s">
        <v>74</v>
      </c>
    </row>
    <row r="1156" spans="4:22" ht="17.649999999999999" x14ac:dyDescent="0.5">
      <c r="D1156" s="3" t="s">
        <v>43</v>
      </c>
      <c r="S1156">
        <v>2</v>
      </c>
      <c r="T1156">
        <v>10</v>
      </c>
      <c r="V1156" s="3" t="s">
        <v>74</v>
      </c>
    </row>
    <row r="1157" spans="4:22" ht="17.649999999999999" x14ac:dyDescent="0.5">
      <c r="D1157" s="3" t="s">
        <v>112</v>
      </c>
      <c r="S1157">
        <v>2</v>
      </c>
      <c r="T1157">
        <v>10</v>
      </c>
      <c r="V1157" s="3" t="s">
        <v>74</v>
      </c>
    </row>
    <row r="1158" spans="4:22" ht="17.649999999999999" x14ac:dyDescent="0.5">
      <c r="D1158" s="3" t="s">
        <v>103</v>
      </c>
      <c r="S1158">
        <v>2</v>
      </c>
      <c r="T1158">
        <v>10</v>
      </c>
      <c r="V1158" s="3" t="s">
        <v>74</v>
      </c>
    </row>
    <row r="1159" spans="4:22" ht="17.649999999999999" x14ac:dyDescent="0.5">
      <c r="D1159" s="3" t="s">
        <v>111</v>
      </c>
      <c r="S1159">
        <v>2</v>
      </c>
      <c r="T1159">
        <v>10</v>
      </c>
      <c r="V1159" s="3" t="s">
        <v>74</v>
      </c>
    </row>
    <row r="1160" spans="4:22" ht="17.649999999999999" x14ac:dyDescent="0.5">
      <c r="D1160" s="3" t="s">
        <v>52</v>
      </c>
      <c r="S1160">
        <v>2</v>
      </c>
      <c r="T1160">
        <v>10</v>
      </c>
      <c r="V1160" s="3" t="s">
        <v>74</v>
      </c>
    </row>
    <row r="1161" spans="4:22" ht="17.649999999999999" x14ac:dyDescent="0.5">
      <c r="D1161" s="3" t="s">
        <v>121</v>
      </c>
      <c r="S1161">
        <v>2</v>
      </c>
      <c r="T1161">
        <v>10</v>
      </c>
      <c r="V1161" s="3" t="s">
        <v>74</v>
      </c>
    </row>
    <row r="1162" spans="4:22" ht="17.649999999999999" x14ac:dyDescent="0.5">
      <c r="D1162" s="3" t="s">
        <v>107</v>
      </c>
      <c r="S1162">
        <v>2</v>
      </c>
      <c r="T1162">
        <v>10</v>
      </c>
      <c r="V1162" s="3" t="s">
        <v>74</v>
      </c>
    </row>
    <row r="1163" spans="4:22" ht="17.649999999999999" x14ac:dyDescent="0.5">
      <c r="D1163" s="3" t="s">
        <v>91</v>
      </c>
      <c r="S1163">
        <v>2</v>
      </c>
      <c r="T1163">
        <v>10</v>
      </c>
      <c r="V1163" s="3" t="s">
        <v>74</v>
      </c>
    </row>
    <row r="1164" spans="4:22" ht="17.649999999999999" x14ac:dyDescent="0.5">
      <c r="D1164" s="3" t="s">
        <v>102</v>
      </c>
      <c r="S1164">
        <v>2</v>
      </c>
      <c r="T1164">
        <v>10</v>
      </c>
      <c r="V1164" s="3" t="s">
        <v>74</v>
      </c>
    </row>
    <row r="1165" spans="4:22" ht="17.649999999999999" x14ac:dyDescent="0.5">
      <c r="D1165" s="3" t="s">
        <v>68</v>
      </c>
      <c r="S1165">
        <v>2</v>
      </c>
      <c r="T1165">
        <v>10</v>
      </c>
      <c r="V1165" s="3" t="s">
        <v>74</v>
      </c>
    </row>
    <row r="1166" spans="4:22" ht="17.649999999999999" x14ac:dyDescent="0.5">
      <c r="D1166" s="3" t="s">
        <v>91</v>
      </c>
      <c r="S1166">
        <v>2</v>
      </c>
      <c r="T1166">
        <v>10</v>
      </c>
      <c r="V1166" s="3" t="s">
        <v>74</v>
      </c>
    </row>
    <row r="1167" spans="4:22" ht="17.649999999999999" x14ac:dyDescent="0.5">
      <c r="D1167" s="3" t="s">
        <v>51</v>
      </c>
      <c r="S1167">
        <v>2</v>
      </c>
      <c r="T1167">
        <v>10</v>
      </c>
      <c r="V1167" s="3" t="s">
        <v>74</v>
      </c>
    </row>
    <row r="1168" spans="4:22" ht="17.649999999999999" x14ac:dyDescent="0.5">
      <c r="D1168" s="3" t="s">
        <v>77</v>
      </c>
      <c r="S1168">
        <v>2</v>
      </c>
      <c r="T1168">
        <v>10</v>
      </c>
      <c r="V1168" s="3" t="s">
        <v>74</v>
      </c>
    </row>
    <row r="1169" spans="4:22" ht="17.649999999999999" x14ac:dyDescent="0.5">
      <c r="D1169" s="3" t="s">
        <v>90</v>
      </c>
      <c r="S1169">
        <v>2</v>
      </c>
      <c r="T1169">
        <v>10</v>
      </c>
      <c r="V1169" s="3" t="s">
        <v>74</v>
      </c>
    </row>
    <row r="1170" spans="4:22" ht="17.649999999999999" x14ac:dyDescent="0.5">
      <c r="D1170" s="3" t="s">
        <v>46</v>
      </c>
      <c r="S1170">
        <v>2</v>
      </c>
      <c r="T1170">
        <v>10</v>
      </c>
      <c r="V1170" s="3" t="s">
        <v>74</v>
      </c>
    </row>
    <row r="1171" spans="4:22" ht="17.649999999999999" x14ac:dyDescent="0.5">
      <c r="D1171" s="3" t="s">
        <v>98</v>
      </c>
      <c r="S1171">
        <v>2</v>
      </c>
      <c r="T1171">
        <v>10</v>
      </c>
      <c r="V1171" s="3" t="s">
        <v>74</v>
      </c>
    </row>
    <row r="1172" spans="4:22" ht="17.649999999999999" x14ac:dyDescent="0.5">
      <c r="D1172" s="3" t="s">
        <v>80</v>
      </c>
      <c r="S1172">
        <v>2</v>
      </c>
      <c r="T1172">
        <v>10</v>
      </c>
      <c r="V1172" s="3" t="s">
        <v>74</v>
      </c>
    </row>
    <row r="1173" spans="4:22" ht="17.649999999999999" x14ac:dyDescent="0.5">
      <c r="D1173" s="3" t="s">
        <v>44</v>
      </c>
      <c r="S1173">
        <v>2</v>
      </c>
      <c r="T1173">
        <v>10</v>
      </c>
      <c r="V1173" s="3" t="s">
        <v>74</v>
      </c>
    </row>
    <row r="1174" spans="4:22" ht="17.649999999999999" x14ac:dyDescent="0.5">
      <c r="D1174" s="3" t="s">
        <v>47</v>
      </c>
      <c r="S1174">
        <v>2</v>
      </c>
      <c r="T1174">
        <v>10</v>
      </c>
      <c r="V1174" s="3" t="s">
        <v>74</v>
      </c>
    </row>
    <row r="1175" spans="4:22" ht="17.649999999999999" x14ac:dyDescent="0.5">
      <c r="D1175" s="3" t="s">
        <v>68</v>
      </c>
      <c r="S1175">
        <v>2</v>
      </c>
      <c r="T1175">
        <v>10</v>
      </c>
      <c r="V1175" s="3" t="s">
        <v>74</v>
      </c>
    </row>
    <row r="1176" spans="4:22" ht="17.649999999999999" x14ac:dyDescent="0.5">
      <c r="D1176" s="3" t="s">
        <v>64</v>
      </c>
      <c r="S1176">
        <v>2</v>
      </c>
      <c r="T1176">
        <v>10</v>
      </c>
      <c r="V1176" s="3" t="s">
        <v>74</v>
      </c>
    </row>
    <row r="1177" spans="4:22" ht="17.649999999999999" x14ac:dyDescent="0.5">
      <c r="D1177" s="3" t="s">
        <v>115</v>
      </c>
      <c r="S1177">
        <v>2</v>
      </c>
      <c r="T1177">
        <v>10</v>
      </c>
      <c r="V1177" s="3" t="s">
        <v>74</v>
      </c>
    </row>
    <row r="1178" spans="4:22" ht="17.649999999999999" x14ac:dyDescent="0.5">
      <c r="D1178" s="3" t="s">
        <v>131</v>
      </c>
      <c r="S1178">
        <v>2</v>
      </c>
      <c r="T1178">
        <v>11</v>
      </c>
      <c r="V1178" s="3" t="s">
        <v>108</v>
      </c>
    </row>
    <row r="1179" spans="4:22" ht="17.649999999999999" x14ac:dyDescent="0.5">
      <c r="D1179" s="3" t="s">
        <v>43</v>
      </c>
      <c r="S1179">
        <v>2</v>
      </c>
      <c r="T1179">
        <v>11</v>
      </c>
      <c r="V1179" s="3" t="s">
        <v>108</v>
      </c>
    </row>
    <row r="1180" spans="4:22" ht="17.649999999999999" x14ac:dyDescent="0.5">
      <c r="D1180" s="3" t="s">
        <v>60</v>
      </c>
      <c r="S1180">
        <v>2</v>
      </c>
      <c r="T1180">
        <v>11</v>
      </c>
      <c r="V1180" s="3" t="s">
        <v>108</v>
      </c>
    </row>
    <row r="1181" spans="4:22" ht="17.649999999999999" x14ac:dyDescent="0.5">
      <c r="D1181" s="3" t="s">
        <v>117</v>
      </c>
      <c r="S1181">
        <v>2</v>
      </c>
      <c r="T1181">
        <v>11</v>
      </c>
      <c r="V1181" s="3" t="s">
        <v>108</v>
      </c>
    </row>
    <row r="1182" spans="4:22" ht="17.649999999999999" x14ac:dyDescent="0.5">
      <c r="D1182" s="3" t="s">
        <v>87</v>
      </c>
      <c r="S1182">
        <v>2</v>
      </c>
      <c r="T1182">
        <v>11</v>
      </c>
      <c r="V1182" s="3" t="s">
        <v>108</v>
      </c>
    </row>
    <row r="1183" spans="4:22" ht="17.649999999999999" x14ac:dyDescent="0.5">
      <c r="D1183" s="3" t="s">
        <v>65</v>
      </c>
      <c r="S1183">
        <v>2</v>
      </c>
      <c r="T1183">
        <v>11</v>
      </c>
      <c r="V1183" s="3" t="s">
        <v>93</v>
      </c>
    </row>
    <row r="1184" spans="4:22" ht="17.649999999999999" x14ac:dyDescent="0.5">
      <c r="D1184" s="3" t="s">
        <v>74</v>
      </c>
      <c r="S1184">
        <v>2</v>
      </c>
      <c r="T1184">
        <v>11</v>
      </c>
      <c r="V1184" s="3" t="s">
        <v>93</v>
      </c>
    </row>
    <row r="1185" spans="4:22" ht="17.649999999999999" x14ac:dyDescent="0.5">
      <c r="D1185" s="3" t="s">
        <v>46</v>
      </c>
      <c r="S1185">
        <v>2</v>
      </c>
      <c r="T1185">
        <v>11</v>
      </c>
      <c r="V1185" s="3" t="s">
        <v>93</v>
      </c>
    </row>
    <row r="1186" spans="4:22" ht="17.649999999999999" x14ac:dyDescent="0.5">
      <c r="D1186" s="3" t="s">
        <v>44</v>
      </c>
      <c r="S1186">
        <v>2</v>
      </c>
      <c r="T1186">
        <v>11</v>
      </c>
      <c r="V1186" s="3" t="s">
        <v>93</v>
      </c>
    </row>
    <row r="1187" spans="4:22" ht="17.649999999999999" x14ac:dyDescent="0.5">
      <c r="D1187" s="3" t="s">
        <v>69</v>
      </c>
      <c r="S1187">
        <v>2</v>
      </c>
      <c r="T1187">
        <v>11</v>
      </c>
      <c r="V1187" s="3" t="s">
        <v>93</v>
      </c>
    </row>
    <row r="1188" spans="4:22" ht="17.649999999999999" x14ac:dyDescent="0.5">
      <c r="D1188" s="3" t="s">
        <v>54</v>
      </c>
      <c r="S1188">
        <v>2</v>
      </c>
      <c r="T1188">
        <v>11</v>
      </c>
      <c r="V1188" s="3" t="s">
        <v>93</v>
      </c>
    </row>
    <row r="1189" spans="4:22" ht="17.649999999999999" x14ac:dyDescent="0.5">
      <c r="D1189" s="3" t="s">
        <v>115</v>
      </c>
      <c r="S1189">
        <v>2</v>
      </c>
      <c r="T1189">
        <v>11</v>
      </c>
      <c r="V1189" s="3" t="s">
        <v>55</v>
      </c>
    </row>
    <row r="1190" spans="4:22" ht="17.649999999999999" x14ac:dyDescent="0.5">
      <c r="D1190" s="3" t="s">
        <v>78</v>
      </c>
      <c r="S1190">
        <v>2</v>
      </c>
      <c r="T1190">
        <v>11</v>
      </c>
      <c r="V1190" s="3" t="s">
        <v>55</v>
      </c>
    </row>
    <row r="1191" spans="4:22" ht="17.649999999999999" x14ac:dyDescent="0.5">
      <c r="D1191" s="3" t="s">
        <v>98</v>
      </c>
      <c r="S1191">
        <v>2</v>
      </c>
      <c r="T1191">
        <v>11</v>
      </c>
      <c r="V1191" s="3" t="s">
        <v>55</v>
      </c>
    </row>
    <row r="1192" spans="4:22" ht="17.649999999999999" x14ac:dyDescent="0.5">
      <c r="D1192" s="3" t="s">
        <v>96</v>
      </c>
      <c r="S1192">
        <v>2</v>
      </c>
      <c r="T1192">
        <v>11</v>
      </c>
      <c r="V1192" s="3" t="s">
        <v>55</v>
      </c>
    </row>
    <row r="1193" spans="4:22" ht="17.649999999999999" x14ac:dyDescent="0.5">
      <c r="D1193" s="3" t="s">
        <v>49</v>
      </c>
      <c r="S1193">
        <v>2</v>
      </c>
      <c r="T1193">
        <v>11</v>
      </c>
      <c r="V1193" s="3" t="s">
        <v>55</v>
      </c>
    </row>
    <row r="1194" spans="4:22" ht="17.649999999999999" x14ac:dyDescent="0.5">
      <c r="D1194" s="3" t="s">
        <v>74</v>
      </c>
      <c r="S1194">
        <v>2</v>
      </c>
      <c r="T1194">
        <v>11</v>
      </c>
      <c r="V1194" s="3" t="s">
        <v>55</v>
      </c>
    </row>
    <row r="1195" spans="4:22" ht="17.649999999999999" x14ac:dyDescent="0.5">
      <c r="D1195" s="3" t="s">
        <v>82</v>
      </c>
      <c r="S1195">
        <v>2</v>
      </c>
      <c r="T1195">
        <v>11</v>
      </c>
      <c r="V1195" s="3" t="s">
        <v>55</v>
      </c>
    </row>
    <row r="1196" spans="4:22" ht="17.649999999999999" x14ac:dyDescent="0.5">
      <c r="D1196" s="3" t="s">
        <v>66</v>
      </c>
      <c r="S1196">
        <v>2</v>
      </c>
      <c r="T1196">
        <v>11</v>
      </c>
      <c r="V1196" s="3" t="s">
        <v>55</v>
      </c>
    </row>
    <row r="1197" spans="4:22" ht="17.649999999999999" x14ac:dyDescent="0.5">
      <c r="D1197" s="3" t="s">
        <v>96</v>
      </c>
      <c r="S1197">
        <v>2</v>
      </c>
      <c r="T1197">
        <v>11</v>
      </c>
      <c r="V1197" s="3" t="s">
        <v>55</v>
      </c>
    </row>
    <row r="1198" spans="4:22" ht="17.649999999999999" x14ac:dyDescent="0.5">
      <c r="D1198" s="3" t="s">
        <v>59</v>
      </c>
      <c r="S1198">
        <v>2</v>
      </c>
      <c r="T1198">
        <v>11</v>
      </c>
      <c r="V1198" s="3" t="s">
        <v>55</v>
      </c>
    </row>
    <row r="1199" spans="4:22" ht="17.649999999999999" x14ac:dyDescent="0.5">
      <c r="D1199" s="3" t="s">
        <v>112</v>
      </c>
      <c r="S1199">
        <v>2</v>
      </c>
      <c r="T1199">
        <v>11</v>
      </c>
      <c r="V1199" s="3" t="s">
        <v>55</v>
      </c>
    </row>
    <row r="1200" spans="4:22" ht="17.649999999999999" x14ac:dyDescent="0.5">
      <c r="D1200" s="3" t="s">
        <v>68</v>
      </c>
      <c r="S1200">
        <v>2</v>
      </c>
      <c r="T1200">
        <v>11</v>
      </c>
      <c r="V1200" s="3" t="s">
        <v>55</v>
      </c>
    </row>
    <row r="1201" spans="4:22" ht="17.649999999999999" x14ac:dyDescent="0.5">
      <c r="D1201" s="3" t="s">
        <v>75</v>
      </c>
      <c r="S1201">
        <v>2</v>
      </c>
      <c r="T1201">
        <v>11</v>
      </c>
      <c r="V1201" s="3" t="s">
        <v>55</v>
      </c>
    </row>
    <row r="1202" spans="4:22" ht="17.649999999999999" x14ac:dyDescent="0.5">
      <c r="D1202" s="3" t="s">
        <v>90</v>
      </c>
      <c r="S1202">
        <v>2</v>
      </c>
      <c r="T1202">
        <v>11</v>
      </c>
      <c r="V1202" s="3" t="s">
        <v>55</v>
      </c>
    </row>
    <row r="1203" spans="4:22" ht="17.649999999999999" x14ac:dyDescent="0.5">
      <c r="D1203" s="3" t="s">
        <v>56</v>
      </c>
      <c r="S1203">
        <v>2</v>
      </c>
      <c r="T1203">
        <v>11</v>
      </c>
      <c r="V1203" s="3" t="s">
        <v>55</v>
      </c>
    </row>
    <row r="1204" spans="4:22" ht="17.649999999999999" x14ac:dyDescent="0.5">
      <c r="D1204" s="3" t="s">
        <v>59</v>
      </c>
      <c r="S1204">
        <v>2</v>
      </c>
      <c r="T1204">
        <v>11</v>
      </c>
      <c r="V1204" s="3" t="s">
        <v>55</v>
      </c>
    </row>
    <row r="1205" spans="4:22" ht="17.649999999999999" x14ac:dyDescent="0.5">
      <c r="D1205" s="3" t="s">
        <v>54</v>
      </c>
      <c r="S1205">
        <v>2</v>
      </c>
      <c r="T1205">
        <v>11</v>
      </c>
      <c r="V1205" s="3" t="s">
        <v>55</v>
      </c>
    </row>
    <row r="1206" spans="4:22" ht="17.649999999999999" x14ac:dyDescent="0.5">
      <c r="D1206" s="3" t="s">
        <v>78</v>
      </c>
      <c r="S1206">
        <v>2</v>
      </c>
      <c r="T1206">
        <v>11</v>
      </c>
      <c r="V1206" s="3" t="s">
        <v>55</v>
      </c>
    </row>
    <row r="1207" spans="4:22" ht="17.649999999999999" x14ac:dyDescent="0.5">
      <c r="D1207" s="3" t="s">
        <v>48</v>
      </c>
      <c r="S1207">
        <v>2</v>
      </c>
      <c r="T1207">
        <v>11</v>
      </c>
      <c r="V1207" s="3" t="s">
        <v>55</v>
      </c>
    </row>
    <row r="1208" spans="4:22" ht="17.649999999999999" x14ac:dyDescent="0.5">
      <c r="D1208" s="3" t="s">
        <v>81</v>
      </c>
      <c r="S1208">
        <v>2</v>
      </c>
      <c r="T1208">
        <v>11</v>
      </c>
      <c r="V1208" s="3" t="s">
        <v>55</v>
      </c>
    </row>
    <row r="1209" spans="4:22" ht="17.649999999999999" x14ac:dyDescent="0.5">
      <c r="D1209" s="3" t="s">
        <v>112</v>
      </c>
      <c r="S1209">
        <v>2</v>
      </c>
      <c r="T1209">
        <v>11</v>
      </c>
      <c r="V1209" s="3" t="s">
        <v>55</v>
      </c>
    </row>
    <row r="1210" spans="4:22" ht="17.649999999999999" x14ac:dyDescent="0.5">
      <c r="D1210" s="3" t="s">
        <v>98</v>
      </c>
      <c r="S1210">
        <v>2</v>
      </c>
      <c r="T1210">
        <v>11</v>
      </c>
      <c r="V1210" s="3" t="s">
        <v>55</v>
      </c>
    </row>
    <row r="1211" spans="4:22" ht="17.649999999999999" x14ac:dyDescent="0.5">
      <c r="D1211" s="3" t="s">
        <v>50</v>
      </c>
      <c r="S1211">
        <v>2</v>
      </c>
      <c r="T1211">
        <v>11</v>
      </c>
      <c r="V1211" s="3" t="s">
        <v>55</v>
      </c>
    </row>
    <row r="1212" spans="4:22" ht="17.649999999999999" x14ac:dyDescent="0.5">
      <c r="D1212" s="3" t="s">
        <v>94</v>
      </c>
      <c r="S1212">
        <v>2</v>
      </c>
      <c r="T1212">
        <v>11</v>
      </c>
      <c r="V1212" s="3" t="s">
        <v>55</v>
      </c>
    </row>
    <row r="1213" spans="4:22" ht="17.649999999999999" x14ac:dyDescent="0.5">
      <c r="D1213" s="3" t="s">
        <v>80</v>
      </c>
      <c r="S1213">
        <v>2</v>
      </c>
      <c r="T1213">
        <v>11</v>
      </c>
      <c r="V1213" s="3" t="s">
        <v>55</v>
      </c>
    </row>
    <row r="1214" spans="4:22" ht="17.649999999999999" x14ac:dyDescent="0.5">
      <c r="D1214" s="3" t="s">
        <v>49</v>
      </c>
      <c r="S1214">
        <v>2</v>
      </c>
      <c r="T1214">
        <v>11</v>
      </c>
      <c r="V1214" s="3" t="s">
        <v>55</v>
      </c>
    </row>
    <row r="1215" spans="4:22" ht="17.649999999999999" x14ac:dyDescent="0.5">
      <c r="D1215" s="3" t="s">
        <v>59</v>
      </c>
      <c r="S1215">
        <v>2</v>
      </c>
      <c r="T1215">
        <v>11</v>
      </c>
      <c r="V1215" s="3" t="s">
        <v>55</v>
      </c>
    </row>
    <row r="1216" spans="4:22" ht="17.649999999999999" x14ac:dyDescent="0.5">
      <c r="D1216" s="3" t="s">
        <v>58</v>
      </c>
      <c r="S1216">
        <v>2</v>
      </c>
      <c r="T1216">
        <v>11</v>
      </c>
      <c r="V1216" s="3" t="s">
        <v>55</v>
      </c>
    </row>
    <row r="1217" spans="4:22" ht="17.649999999999999" x14ac:dyDescent="0.5">
      <c r="D1217" s="3" t="s">
        <v>91</v>
      </c>
      <c r="S1217">
        <v>2</v>
      </c>
      <c r="T1217">
        <v>11</v>
      </c>
      <c r="V1217" s="3" t="s">
        <v>55</v>
      </c>
    </row>
    <row r="1218" spans="4:22" ht="17.649999999999999" x14ac:dyDescent="0.5">
      <c r="D1218" s="3" t="s">
        <v>116</v>
      </c>
      <c r="S1218">
        <v>2</v>
      </c>
      <c r="T1218">
        <v>11</v>
      </c>
      <c r="V1218" s="3" t="s">
        <v>55</v>
      </c>
    </row>
    <row r="1219" spans="4:22" ht="17.649999999999999" x14ac:dyDescent="0.5">
      <c r="D1219" s="3" t="s">
        <v>117</v>
      </c>
      <c r="S1219">
        <v>2</v>
      </c>
      <c r="T1219">
        <v>11</v>
      </c>
      <c r="V1219" s="3" t="s">
        <v>55</v>
      </c>
    </row>
    <row r="1220" spans="4:22" ht="17.649999999999999" x14ac:dyDescent="0.5">
      <c r="D1220" s="3" t="s">
        <v>65</v>
      </c>
      <c r="S1220">
        <v>2</v>
      </c>
      <c r="T1220">
        <v>11</v>
      </c>
      <c r="V1220" s="3" t="s">
        <v>66</v>
      </c>
    </row>
    <row r="1221" spans="4:22" ht="17.649999999999999" x14ac:dyDescent="0.5">
      <c r="D1221" s="3" t="s">
        <v>68</v>
      </c>
      <c r="S1221">
        <v>2</v>
      </c>
      <c r="T1221">
        <v>11</v>
      </c>
      <c r="V1221" s="3" t="s">
        <v>66</v>
      </c>
    </row>
    <row r="1222" spans="4:22" ht="17.649999999999999" x14ac:dyDescent="0.5">
      <c r="D1222" s="3" t="s">
        <v>120</v>
      </c>
      <c r="S1222">
        <v>2</v>
      </c>
      <c r="T1222">
        <v>11</v>
      </c>
      <c r="V1222" s="3" t="s">
        <v>66</v>
      </c>
    </row>
    <row r="1223" spans="4:22" ht="17.649999999999999" x14ac:dyDescent="0.5">
      <c r="D1223" s="3" t="s">
        <v>77</v>
      </c>
      <c r="S1223">
        <v>2</v>
      </c>
      <c r="T1223">
        <v>11</v>
      </c>
      <c r="V1223" s="3" t="s">
        <v>66</v>
      </c>
    </row>
    <row r="1224" spans="4:22" ht="17.649999999999999" x14ac:dyDescent="0.5">
      <c r="D1224" s="3" t="s">
        <v>90</v>
      </c>
      <c r="S1224">
        <v>2</v>
      </c>
      <c r="T1224">
        <v>11</v>
      </c>
      <c r="V1224" s="3" t="s">
        <v>66</v>
      </c>
    </row>
    <row r="1225" spans="4:22" ht="17.649999999999999" x14ac:dyDescent="0.5">
      <c r="D1225" s="3" t="s">
        <v>81</v>
      </c>
      <c r="S1225">
        <v>2</v>
      </c>
      <c r="T1225">
        <v>11</v>
      </c>
      <c r="V1225" s="3" t="s">
        <v>66</v>
      </c>
    </row>
    <row r="1226" spans="4:22" ht="17.649999999999999" x14ac:dyDescent="0.5">
      <c r="D1226" s="3" t="s">
        <v>77</v>
      </c>
      <c r="S1226">
        <v>2</v>
      </c>
      <c r="T1226">
        <v>11</v>
      </c>
      <c r="V1226" s="3" t="s">
        <v>66</v>
      </c>
    </row>
    <row r="1227" spans="4:22" ht="17.649999999999999" x14ac:dyDescent="0.5">
      <c r="D1227" s="3" t="s">
        <v>53</v>
      </c>
      <c r="S1227">
        <v>2</v>
      </c>
      <c r="T1227">
        <v>11</v>
      </c>
      <c r="V1227" s="3" t="s">
        <v>66</v>
      </c>
    </row>
    <row r="1228" spans="4:22" ht="17.649999999999999" x14ac:dyDescent="0.5">
      <c r="D1228" s="3" t="s">
        <v>92</v>
      </c>
      <c r="S1228">
        <v>2</v>
      </c>
      <c r="T1228">
        <v>11</v>
      </c>
      <c r="V1228" s="3" t="s">
        <v>66</v>
      </c>
    </row>
    <row r="1229" spans="4:22" ht="17.649999999999999" x14ac:dyDescent="0.5">
      <c r="D1229" s="3" t="s">
        <v>97</v>
      </c>
      <c r="S1229">
        <v>2</v>
      </c>
      <c r="T1229">
        <v>11</v>
      </c>
      <c r="V1229" s="3" t="s">
        <v>66</v>
      </c>
    </row>
    <row r="1230" spans="4:22" ht="17.649999999999999" x14ac:dyDescent="0.5">
      <c r="D1230" s="3" t="s">
        <v>47</v>
      </c>
      <c r="S1230">
        <v>2</v>
      </c>
      <c r="T1230">
        <v>11</v>
      </c>
      <c r="V1230" s="3" t="s">
        <v>66</v>
      </c>
    </row>
    <row r="1231" spans="4:22" ht="17.649999999999999" x14ac:dyDescent="0.5">
      <c r="D1231" s="3" t="s">
        <v>134</v>
      </c>
      <c r="S1231">
        <v>2</v>
      </c>
      <c r="T1231">
        <v>11</v>
      </c>
      <c r="V1231" s="3" t="s">
        <v>66</v>
      </c>
    </row>
    <row r="1232" spans="4:22" ht="17.649999999999999" x14ac:dyDescent="0.5">
      <c r="D1232" s="3" t="s">
        <v>117</v>
      </c>
      <c r="S1232">
        <v>2</v>
      </c>
      <c r="T1232">
        <v>11</v>
      </c>
      <c r="V1232" s="3" t="s">
        <v>66</v>
      </c>
    </row>
    <row r="1233" spans="4:22" ht="17.649999999999999" x14ac:dyDescent="0.5">
      <c r="D1233" s="3" t="s">
        <v>85</v>
      </c>
      <c r="S1233">
        <v>2</v>
      </c>
      <c r="T1233">
        <v>11</v>
      </c>
      <c r="V1233" s="3" t="s">
        <v>66</v>
      </c>
    </row>
    <row r="1234" spans="4:22" ht="17.649999999999999" x14ac:dyDescent="0.5">
      <c r="D1234" s="3" t="s">
        <v>101</v>
      </c>
      <c r="S1234">
        <v>2</v>
      </c>
      <c r="T1234">
        <v>11</v>
      </c>
      <c r="V1234" s="3" t="s">
        <v>66</v>
      </c>
    </row>
    <row r="1235" spans="4:22" ht="17.649999999999999" x14ac:dyDescent="0.5">
      <c r="D1235" s="3" t="s">
        <v>47</v>
      </c>
      <c r="S1235">
        <v>2</v>
      </c>
      <c r="T1235">
        <v>11</v>
      </c>
      <c r="V1235" s="3" t="s">
        <v>66</v>
      </c>
    </row>
    <row r="1236" spans="4:22" ht="17.649999999999999" x14ac:dyDescent="0.5">
      <c r="D1236" s="3" t="s">
        <v>43</v>
      </c>
      <c r="S1236">
        <v>2</v>
      </c>
      <c r="T1236">
        <v>11</v>
      </c>
      <c r="V1236" s="3" t="s">
        <v>66</v>
      </c>
    </row>
    <row r="1237" spans="4:22" ht="17.649999999999999" x14ac:dyDescent="0.5">
      <c r="D1237" s="3" t="s">
        <v>96</v>
      </c>
      <c r="S1237">
        <v>2</v>
      </c>
      <c r="T1237">
        <v>11</v>
      </c>
      <c r="V1237" s="3" t="s">
        <v>66</v>
      </c>
    </row>
    <row r="1238" spans="4:22" ht="17.649999999999999" x14ac:dyDescent="0.5">
      <c r="D1238" s="3" t="s">
        <v>54</v>
      </c>
      <c r="S1238">
        <v>2</v>
      </c>
      <c r="T1238">
        <v>11</v>
      </c>
      <c r="V1238" s="3" t="s">
        <v>66</v>
      </c>
    </row>
    <row r="1239" spans="4:22" ht="17.649999999999999" x14ac:dyDescent="0.5">
      <c r="D1239" s="3" t="s">
        <v>57</v>
      </c>
      <c r="S1239">
        <v>2</v>
      </c>
      <c r="T1239">
        <v>11</v>
      </c>
      <c r="V1239" s="3" t="s">
        <v>66</v>
      </c>
    </row>
    <row r="1240" spans="4:22" ht="17.649999999999999" x14ac:dyDescent="0.5">
      <c r="D1240" s="3" t="s">
        <v>88</v>
      </c>
      <c r="S1240">
        <v>2</v>
      </c>
      <c r="T1240">
        <v>11</v>
      </c>
      <c r="V1240" s="3" t="s">
        <v>66</v>
      </c>
    </row>
    <row r="1241" spans="4:22" ht="17.649999999999999" x14ac:dyDescent="0.5">
      <c r="D1241" s="3" t="s">
        <v>59</v>
      </c>
      <c r="S1241">
        <v>2</v>
      </c>
      <c r="T1241">
        <v>11</v>
      </c>
      <c r="V1241" s="3" t="s">
        <v>66</v>
      </c>
    </row>
    <row r="1242" spans="4:22" ht="17.649999999999999" x14ac:dyDescent="0.5">
      <c r="D1242" s="3" t="s">
        <v>61</v>
      </c>
      <c r="S1242">
        <v>2</v>
      </c>
      <c r="T1242">
        <v>11</v>
      </c>
      <c r="V1242" s="3" t="s">
        <v>66</v>
      </c>
    </row>
    <row r="1243" spans="4:22" ht="17.649999999999999" x14ac:dyDescent="0.5">
      <c r="D1243" s="3" t="s">
        <v>107</v>
      </c>
      <c r="S1243">
        <v>2</v>
      </c>
      <c r="T1243">
        <v>11</v>
      </c>
      <c r="V1243" s="3" t="s">
        <v>66</v>
      </c>
    </row>
    <row r="1244" spans="4:22" ht="17.649999999999999" x14ac:dyDescent="0.5">
      <c r="D1244" s="3" t="s">
        <v>67</v>
      </c>
      <c r="S1244">
        <v>2</v>
      </c>
      <c r="T1244">
        <v>11</v>
      </c>
      <c r="V1244" s="3" t="s">
        <v>66</v>
      </c>
    </row>
    <row r="1245" spans="4:22" ht="17.649999999999999" x14ac:dyDescent="0.5">
      <c r="D1245" s="3" t="s">
        <v>82</v>
      </c>
      <c r="S1245">
        <v>2</v>
      </c>
      <c r="T1245">
        <v>11</v>
      </c>
      <c r="V1245" s="3" t="s">
        <v>66</v>
      </c>
    </row>
    <row r="1246" spans="4:22" ht="17.649999999999999" x14ac:dyDescent="0.5">
      <c r="D1246" s="3" t="s">
        <v>94</v>
      </c>
      <c r="S1246">
        <v>2</v>
      </c>
      <c r="T1246">
        <v>11</v>
      </c>
      <c r="V1246" s="3" t="s">
        <v>66</v>
      </c>
    </row>
    <row r="1247" spans="4:22" ht="17.649999999999999" x14ac:dyDescent="0.5">
      <c r="D1247" s="3" t="s">
        <v>105</v>
      </c>
      <c r="S1247">
        <v>2</v>
      </c>
      <c r="T1247">
        <v>11</v>
      </c>
      <c r="V1247" s="3" t="s">
        <v>66</v>
      </c>
    </row>
    <row r="1248" spans="4:22" ht="17.649999999999999" x14ac:dyDescent="0.5">
      <c r="D1248" s="3" t="s">
        <v>121</v>
      </c>
      <c r="S1248">
        <v>2</v>
      </c>
      <c r="T1248">
        <v>11</v>
      </c>
      <c r="V1248" s="3" t="s">
        <v>66</v>
      </c>
    </row>
    <row r="1249" spans="4:22" ht="17.649999999999999" x14ac:dyDescent="0.5">
      <c r="D1249" s="3" t="s">
        <v>52</v>
      </c>
      <c r="S1249">
        <v>2</v>
      </c>
      <c r="T1249">
        <v>11</v>
      </c>
      <c r="V1249" s="3" t="s">
        <v>66</v>
      </c>
    </row>
    <row r="1250" spans="4:22" ht="17.649999999999999" x14ac:dyDescent="0.5">
      <c r="D1250" s="3" t="s">
        <v>55</v>
      </c>
      <c r="S1250">
        <v>2</v>
      </c>
      <c r="T1250">
        <v>11</v>
      </c>
      <c r="V1250" s="3" t="s">
        <v>66</v>
      </c>
    </row>
    <row r="1251" spans="4:22" ht="17.649999999999999" x14ac:dyDescent="0.5">
      <c r="D1251" s="3" t="s">
        <v>74</v>
      </c>
      <c r="S1251">
        <v>2</v>
      </c>
      <c r="T1251">
        <v>11</v>
      </c>
      <c r="V1251" s="3" t="s">
        <v>66</v>
      </c>
    </row>
    <row r="1252" spans="4:22" ht="17.649999999999999" x14ac:dyDescent="0.5">
      <c r="D1252" s="3" t="s">
        <v>83</v>
      </c>
      <c r="S1252">
        <v>2</v>
      </c>
      <c r="T1252">
        <v>11</v>
      </c>
      <c r="V1252" s="3" t="s">
        <v>66</v>
      </c>
    </row>
    <row r="1253" spans="4:22" ht="17.649999999999999" x14ac:dyDescent="0.5">
      <c r="D1253" s="3" t="s">
        <v>123</v>
      </c>
      <c r="S1253">
        <v>2</v>
      </c>
      <c r="T1253">
        <v>11</v>
      </c>
      <c r="V1253" s="3" t="s">
        <v>66</v>
      </c>
    </row>
    <row r="1254" spans="4:22" ht="17.649999999999999" x14ac:dyDescent="0.5">
      <c r="D1254" s="3" t="s">
        <v>80</v>
      </c>
      <c r="S1254">
        <v>2</v>
      </c>
      <c r="T1254">
        <v>11</v>
      </c>
      <c r="V1254" s="3" t="s">
        <v>66</v>
      </c>
    </row>
    <row r="1255" spans="4:22" ht="17.649999999999999" x14ac:dyDescent="0.5">
      <c r="D1255" s="3" t="s">
        <v>94</v>
      </c>
      <c r="S1255">
        <v>2</v>
      </c>
      <c r="T1255">
        <v>11</v>
      </c>
      <c r="V1255" s="3" t="s">
        <v>66</v>
      </c>
    </row>
    <row r="1256" spans="4:22" ht="17.649999999999999" x14ac:dyDescent="0.5">
      <c r="D1256" s="3" t="s">
        <v>63</v>
      </c>
      <c r="S1256">
        <v>2</v>
      </c>
      <c r="T1256">
        <v>11</v>
      </c>
      <c r="V1256" s="3" t="s">
        <v>66</v>
      </c>
    </row>
    <row r="1257" spans="4:22" ht="17.649999999999999" x14ac:dyDescent="0.5">
      <c r="D1257" s="3" t="s">
        <v>77</v>
      </c>
      <c r="S1257">
        <v>2</v>
      </c>
      <c r="T1257">
        <v>11</v>
      </c>
      <c r="V1257" s="3" t="s">
        <v>66</v>
      </c>
    </row>
    <row r="1258" spans="4:22" ht="17.649999999999999" x14ac:dyDescent="0.5">
      <c r="D1258" s="3" t="s">
        <v>54</v>
      </c>
      <c r="S1258">
        <v>2</v>
      </c>
      <c r="T1258">
        <v>11</v>
      </c>
      <c r="V1258" s="3" t="s">
        <v>66</v>
      </c>
    </row>
    <row r="1259" spans="4:22" ht="17.649999999999999" x14ac:dyDescent="0.5">
      <c r="D1259" s="3" t="s">
        <v>67</v>
      </c>
      <c r="S1259">
        <v>2</v>
      </c>
      <c r="T1259">
        <v>11</v>
      </c>
      <c r="V1259" s="3" t="s">
        <v>66</v>
      </c>
    </row>
    <row r="1260" spans="4:22" ht="17.649999999999999" x14ac:dyDescent="0.5">
      <c r="D1260" s="3" t="s">
        <v>63</v>
      </c>
      <c r="S1260">
        <v>2</v>
      </c>
      <c r="T1260">
        <v>12</v>
      </c>
      <c r="V1260" s="3" t="s">
        <v>135</v>
      </c>
    </row>
    <row r="1261" spans="4:22" ht="17.649999999999999" x14ac:dyDescent="0.5">
      <c r="D1261" s="3" t="s">
        <v>103</v>
      </c>
      <c r="S1261">
        <v>2</v>
      </c>
      <c r="T1261">
        <v>12</v>
      </c>
      <c r="V1261" s="3" t="s">
        <v>135</v>
      </c>
    </row>
    <row r="1262" spans="4:22" ht="17.649999999999999" x14ac:dyDescent="0.5">
      <c r="D1262" s="3" t="s">
        <v>43</v>
      </c>
      <c r="S1262">
        <v>2</v>
      </c>
      <c r="T1262">
        <v>12</v>
      </c>
      <c r="V1262" s="3" t="s">
        <v>135</v>
      </c>
    </row>
    <row r="1263" spans="4:22" ht="17.649999999999999" x14ac:dyDescent="0.5">
      <c r="D1263" s="3" t="s">
        <v>60</v>
      </c>
      <c r="S1263">
        <v>2</v>
      </c>
      <c r="T1263">
        <v>12</v>
      </c>
      <c r="V1263" s="3" t="s">
        <v>135</v>
      </c>
    </row>
    <row r="1264" spans="4:22" ht="17.649999999999999" x14ac:dyDescent="0.5">
      <c r="D1264" s="3" t="s">
        <v>81</v>
      </c>
      <c r="S1264">
        <v>2</v>
      </c>
      <c r="T1264">
        <v>12</v>
      </c>
      <c r="V1264" s="3" t="s">
        <v>135</v>
      </c>
    </row>
    <row r="1265" spans="4:22" ht="17.649999999999999" x14ac:dyDescent="0.5">
      <c r="D1265" s="3" t="s">
        <v>112</v>
      </c>
      <c r="S1265">
        <v>2</v>
      </c>
      <c r="T1265">
        <v>12</v>
      </c>
      <c r="V1265" s="3" t="s">
        <v>135</v>
      </c>
    </row>
    <row r="1266" spans="4:22" ht="17.649999999999999" x14ac:dyDescent="0.5">
      <c r="D1266" s="3" t="s">
        <v>78</v>
      </c>
      <c r="S1266">
        <v>2</v>
      </c>
      <c r="T1266">
        <v>12</v>
      </c>
      <c r="V1266" s="3" t="s">
        <v>135</v>
      </c>
    </row>
    <row r="1267" spans="4:22" ht="17.649999999999999" x14ac:dyDescent="0.5">
      <c r="D1267" s="3" t="s">
        <v>101</v>
      </c>
      <c r="S1267">
        <v>2</v>
      </c>
      <c r="T1267">
        <v>12</v>
      </c>
      <c r="V1267" s="3" t="s">
        <v>135</v>
      </c>
    </row>
    <row r="1268" spans="4:22" ht="17.649999999999999" x14ac:dyDescent="0.5">
      <c r="D1268" s="3" t="s">
        <v>81</v>
      </c>
      <c r="S1268">
        <v>2</v>
      </c>
      <c r="T1268">
        <v>12</v>
      </c>
      <c r="V1268" s="3" t="s">
        <v>135</v>
      </c>
    </row>
    <row r="1269" spans="4:22" ht="17.649999999999999" x14ac:dyDescent="0.5">
      <c r="D1269" s="3" t="s">
        <v>94</v>
      </c>
      <c r="S1269">
        <v>2</v>
      </c>
      <c r="T1269">
        <v>12</v>
      </c>
      <c r="V1269" s="3" t="s">
        <v>62</v>
      </c>
    </row>
    <row r="1270" spans="4:22" ht="17.649999999999999" x14ac:dyDescent="0.5">
      <c r="D1270" s="3" t="s">
        <v>52</v>
      </c>
      <c r="S1270">
        <v>2</v>
      </c>
      <c r="T1270">
        <v>12</v>
      </c>
      <c r="V1270" s="3" t="s">
        <v>62</v>
      </c>
    </row>
    <row r="1271" spans="4:22" ht="17.649999999999999" x14ac:dyDescent="0.5">
      <c r="D1271" s="3" t="s">
        <v>70</v>
      </c>
      <c r="S1271">
        <v>2</v>
      </c>
      <c r="T1271">
        <v>12</v>
      </c>
      <c r="V1271" s="3" t="s">
        <v>62</v>
      </c>
    </row>
    <row r="1272" spans="4:22" ht="17.649999999999999" x14ac:dyDescent="0.5">
      <c r="D1272" s="3" t="s">
        <v>108</v>
      </c>
      <c r="S1272">
        <v>2</v>
      </c>
      <c r="T1272">
        <v>12</v>
      </c>
      <c r="V1272" s="3" t="s">
        <v>62</v>
      </c>
    </row>
    <row r="1273" spans="4:22" ht="17.649999999999999" x14ac:dyDescent="0.5">
      <c r="D1273" s="3" t="s">
        <v>107</v>
      </c>
      <c r="S1273">
        <v>2</v>
      </c>
      <c r="T1273">
        <v>12</v>
      </c>
      <c r="V1273" s="3" t="s">
        <v>62</v>
      </c>
    </row>
    <row r="1274" spans="4:22" ht="17.649999999999999" x14ac:dyDescent="0.5">
      <c r="D1274" s="3" t="s">
        <v>77</v>
      </c>
      <c r="S1274">
        <v>2</v>
      </c>
      <c r="T1274">
        <v>12</v>
      </c>
      <c r="V1274" s="3" t="s">
        <v>62</v>
      </c>
    </row>
    <row r="1275" spans="4:22" ht="17.649999999999999" x14ac:dyDescent="0.5">
      <c r="D1275" s="3" t="s">
        <v>43</v>
      </c>
      <c r="S1275">
        <v>2</v>
      </c>
      <c r="T1275">
        <v>12</v>
      </c>
      <c r="V1275" s="3" t="s">
        <v>62</v>
      </c>
    </row>
    <row r="1276" spans="4:22" ht="17.649999999999999" x14ac:dyDescent="0.5">
      <c r="D1276" s="3" t="s">
        <v>109</v>
      </c>
      <c r="S1276">
        <v>2</v>
      </c>
      <c r="T1276">
        <v>12</v>
      </c>
      <c r="V1276" s="3" t="s">
        <v>62</v>
      </c>
    </row>
    <row r="1277" spans="4:22" ht="17.649999999999999" x14ac:dyDescent="0.5">
      <c r="D1277" s="3" t="s">
        <v>110</v>
      </c>
      <c r="S1277">
        <v>2</v>
      </c>
      <c r="T1277">
        <v>12</v>
      </c>
      <c r="V1277" s="3" t="s">
        <v>62</v>
      </c>
    </row>
    <row r="1278" spans="4:22" ht="17.649999999999999" x14ac:dyDescent="0.5">
      <c r="D1278" s="3" t="s">
        <v>79</v>
      </c>
      <c r="S1278">
        <v>2</v>
      </c>
      <c r="T1278">
        <v>12</v>
      </c>
      <c r="V1278" s="3" t="s">
        <v>62</v>
      </c>
    </row>
    <row r="1279" spans="4:22" ht="17.649999999999999" x14ac:dyDescent="0.5">
      <c r="D1279" s="3" t="s">
        <v>44</v>
      </c>
      <c r="S1279">
        <v>2</v>
      </c>
      <c r="T1279">
        <v>12</v>
      </c>
      <c r="V1279" s="3" t="s">
        <v>62</v>
      </c>
    </row>
    <row r="1280" spans="4:22" ht="17.649999999999999" x14ac:dyDescent="0.5">
      <c r="D1280" s="3" t="s">
        <v>67</v>
      </c>
      <c r="S1280">
        <v>2</v>
      </c>
      <c r="T1280">
        <v>12</v>
      </c>
      <c r="V1280" s="3" t="s">
        <v>62</v>
      </c>
    </row>
    <row r="1281" spans="4:22" ht="17.649999999999999" x14ac:dyDescent="0.5">
      <c r="D1281" s="3" t="s">
        <v>99</v>
      </c>
      <c r="S1281">
        <v>2</v>
      </c>
      <c r="T1281">
        <v>12</v>
      </c>
      <c r="V1281" s="3" t="s">
        <v>62</v>
      </c>
    </row>
    <row r="1282" spans="4:22" ht="17.649999999999999" x14ac:dyDescent="0.5">
      <c r="D1282" s="3" t="s">
        <v>74</v>
      </c>
      <c r="S1282">
        <v>2</v>
      </c>
      <c r="T1282">
        <v>12</v>
      </c>
      <c r="V1282" s="3" t="s">
        <v>62</v>
      </c>
    </row>
    <row r="1283" spans="4:22" ht="17.649999999999999" x14ac:dyDescent="0.5">
      <c r="D1283" s="3" t="s">
        <v>113</v>
      </c>
      <c r="S1283">
        <v>2</v>
      </c>
      <c r="T1283">
        <v>12</v>
      </c>
      <c r="V1283" s="3" t="s">
        <v>62</v>
      </c>
    </row>
    <row r="1284" spans="4:22" ht="17.649999999999999" x14ac:dyDescent="0.5">
      <c r="D1284" s="3" t="s">
        <v>55</v>
      </c>
      <c r="S1284">
        <v>2</v>
      </c>
      <c r="T1284">
        <v>12</v>
      </c>
      <c r="V1284" s="3" t="s">
        <v>62</v>
      </c>
    </row>
    <row r="1285" spans="4:22" ht="17.649999999999999" x14ac:dyDescent="0.5">
      <c r="D1285" s="3" t="s">
        <v>56</v>
      </c>
      <c r="S1285">
        <v>2</v>
      </c>
      <c r="T1285">
        <v>12</v>
      </c>
      <c r="V1285" s="3" t="s">
        <v>44</v>
      </c>
    </row>
    <row r="1286" spans="4:22" ht="17.649999999999999" x14ac:dyDescent="0.5">
      <c r="D1286" s="3" t="s">
        <v>126</v>
      </c>
      <c r="S1286">
        <v>2</v>
      </c>
      <c r="T1286">
        <v>12</v>
      </c>
      <c r="V1286" s="3" t="s">
        <v>44</v>
      </c>
    </row>
    <row r="1287" spans="4:22" ht="17.649999999999999" x14ac:dyDescent="0.5">
      <c r="D1287" s="3" t="s">
        <v>46</v>
      </c>
      <c r="S1287">
        <v>2</v>
      </c>
      <c r="T1287">
        <v>12</v>
      </c>
      <c r="V1287" s="3" t="s">
        <v>44</v>
      </c>
    </row>
    <row r="1288" spans="4:22" ht="17.649999999999999" x14ac:dyDescent="0.5">
      <c r="D1288" s="3" t="s">
        <v>41</v>
      </c>
      <c r="S1288">
        <v>2</v>
      </c>
      <c r="T1288">
        <v>12</v>
      </c>
      <c r="V1288" s="3" t="s">
        <v>44</v>
      </c>
    </row>
    <row r="1289" spans="4:22" ht="17.649999999999999" x14ac:dyDescent="0.5">
      <c r="D1289" s="3" t="s">
        <v>66</v>
      </c>
      <c r="S1289">
        <v>2</v>
      </c>
      <c r="T1289">
        <v>12</v>
      </c>
      <c r="V1289" s="3" t="s">
        <v>44</v>
      </c>
    </row>
    <row r="1290" spans="4:22" ht="17.649999999999999" x14ac:dyDescent="0.5">
      <c r="D1290" s="3" t="s">
        <v>41</v>
      </c>
      <c r="S1290">
        <v>2</v>
      </c>
      <c r="T1290">
        <v>12</v>
      </c>
      <c r="V1290" s="3" t="s">
        <v>44</v>
      </c>
    </row>
    <row r="1291" spans="4:22" ht="17.649999999999999" x14ac:dyDescent="0.5">
      <c r="D1291" s="3" t="s">
        <v>41</v>
      </c>
      <c r="S1291">
        <v>2</v>
      </c>
      <c r="T1291">
        <v>12</v>
      </c>
      <c r="V1291" s="3" t="s">
        <v>44</v>
      </c>
    </row>
    <row r="1292" spans="4:22" ht="17.649999999999999" x14ac:dyDescent="0.5">
      <c r="D1292" s="3" t="s">
        <v>69</v>
      </c>
      <c r="S1292">
        <v>2</v>
      </c>
      <c r="T1292">
        <v>12</v>
      </c>
      <c r="V1292" s="3" t="s">
        <v>44</v>
      </c>
    </row>
    <row r="1293" spans="4:22" ht="17.649999999999999" x14ac:dyDescent="0.5">
      <c r="D1293" s="3" t="s">
        <v>45</v>
      </c>
      <c r="S1293">
        <v>2</v>
      </c>
      <c r="T1293">
        <v>12</v>
      </c>
      <c r="V1293" s="3" t="s">
        <v>44</v>
      </c>
    </row>
    <row r="1294" spans="4:22" ht="17.649999999999999" x14ac:dyDescent="0.5">
      <c r="D1294" s="3" t="s">
        <v>98</v>
      </c>
      <c r="S1294">
        <v>2</v>
      </c>
      <c r="T1294">
        <v>12</v>
      </c>
      <c r="V1294" s="3" t="s">
        <v>44</v>
      </c>
    </row>
    <row r="1295" spans="4:22" ht="17.649999999999999" x14ac:dyDescent="0.5">
      <c r="D1295" s="3" t="s">
        <v>122</v>
      </c>
      <c r="S1295">
        <v>2</v>
      </c>
      <c r="T1295">
        <v>12</v>
      </c>
      <c r="V1295" s="3" t="s">
        <v>44</v>
      </c>
    </row>
    <row r="1296" spans="4:22" ht="17.649999999999999" x14ac:dyDescent="0.5">
      <c r="D1296" s="3" t="s">
        <v>116</v>
      </c>
      <c r="S1296">
        <v>2</v>
      </c>
      <c r="T1296">
        <v>12</v>
      </c>
      <c r="V1296" s="3" t="s">
        <v>44</v>
      </c>
    </row>
    <row r="1297" spans="4:22" ht="17.649999999999999" x14ac:dyDescent="0.5">
      <c r="D1297" s="3" t="s">
        <v>54</v>
      </c>
      <c r="S1297">
        <v>2</v>
      </c>
      <c r="T1297">
        <v>12</v>
      </c>
      <c r="V1297" s="3" t="s">
        <v>44</v>
      </c>
    </row>
    <row r="1298" spans="4:22" ht="17.649999999999999" x14ac:dyDescent="0.5">
      <c r="D1298" s="3" t="s">
        <v>65</v>
      </c>
      <c r="S1298">
        <v>2</v>
      </c>
      <c r="T1298">
        <v>12</v>
      </c>
      <c r="V1298" s="3" t="s">
        <v>44</v>
      </c>
    </row>
    <row r="1299" spans="4:22" ht="17.649999999999999" x14ac:dyDescent="0.5">
      <c r="D1299" s="3" t="s">
        <v>46</v>
      </c>
      <c r="S1299">
        <v>2</v>
      </c>
      <c r="T1299">
        <v>12</v>
      </c>
      <c r="V1299" s="3" t="s">
        <v>44</v>
      </c>
    </row>
    <row r="1300" spans="4:22" ht="17.649999999999999" x14ac:dyDescent="0.5">
      <c r="D1300" s="3" t="s">
        <v>98</v>
      </c>
      <c r="S1300">
        <v>2</v>
      </c>
      <c r="T1300">
        <v>12</v>
      </c>
      <c r="V1300" s="3" t="s">
        <v>44</v>
      </c>
    </row>
    <row r="1301" spans="4:22" ht="17.649999999999999" x14ac:dyDescent="0.5">
      <c r="D1301" s="3" t="s">
        <v>125</v>
      </c>
      <c r="S1301">
        <v>2</v>
      </c>
      <c r="T1301">
        <v>12</v>
      </c>
      <c r="V1301" s="3" t="s">
        <v>44</v>
      </c>
    </row>
    <row r="1302" spans="4:22" ht="17.649999999999999" x14ac:dyDescent="0.5">
      <c r="D1302" s="3" t="s">
        <v>101</v>
      </c>
      <c r="S1302">
        <v>2</v>
      </c>
      <c r="T1302">
        <v>12</v>
      </c>
      <c r="V1302" s="3" t="s">
        <v>44</v>
      </c>
    </row>
    <row r="1303" spans="4:22" ht="17.649999999999999" x14ac:dyDescent="0.5">
      <c r="D1303" s="3" t="s">
        <v>54</v>
      </c>
      <c r="S1303">
        <v>2</v>
      </c>
      <c r="T1303">
        <v>12</v>
      </c>
      <c r="V1303" s="3" t="s">
        <v>44</v>
      </c>
    </row>
    <row r="1304" spans="4:22" ht="17.649999999999999" x14ac:dyDescent="0.5">
      <c r="D1304" s="3" t="s">
        <v>59</v>
      </c>
      <c r="S1304">
        <v>2</v>
      </c>
      <c r="T1304">
        <v>12</v>
      </c>
      <c r="V1304" s="3" t="s">
        <v>44</v>
      </c>
    </row>
    <row r="1305" spans="4:22" ht="17.649999999999999" x14ac:dyDescent="0.5">
      <c r="D1305" s="3" t="s">
        <v>107</v>
      </c>
      <c r="S1305">
        <v>2</v>
      </c>
      <c r="T1305">
        <v>12</v>
      </c>
      <c r="V1305" s="3" t="s">
        <v>44</v>
      </c>
    </row>
    <row r="1306" spans="4:22" ht="17.649999999999999" x14ac:dyDescent="0.5">
      <c r="D1306" s="3" t="s">
        <v>115</v>
      </c>
      <c r="S1306">
        <v>2</v>
      </c>
      <c r="T1306">
        <v>12</v>
      </c>
      <c r="V1306" s="3" t="s">
        <v>44</v>
      </c>
    </row>
    <row r="1307" spans="4:22" ht="17.649999999999999" x14ac:dyDescent="0.5">
      <c r="D1307" s="3" t="s">
        <v>94</v>
      </c>
      <c r="S1307">
        <v>2</v>
      </c>
      <c r="T1307">
        <v>12</v>
      </c>
      <c r="V1307" s="3" t="s">
        <v>44</v>
      </c>
    </row>
    <row r="1308" spans="4:22" ht="17.649999999999999" x14ac:dyDescent="0.5">
      <c r="D1308" s="3" t="s">
        <v>59</v>
      </c>
      <c r="S1308">
        <v>2</v>
      </c>
      <c r="T1308">
        <v>12</v>
      </c>
      <c r="V1308" s="3" t="s">
        <v>44</v>
      </c>
    </row>
    <row r="1309" spans="4:22" ht="17.649999999999999" x14ac:dyDescent="0.5">
      <c r="D1309" s="3" t="s">
        <v>113</v>
      </c>
      <c r="S1309">
        <v>2</v>
      </c>
      <c r="T1309">
        <v>12</v>
      </c>
      <c r="V1309" s="3" t="s">
        <v>44</v>
      </c>
    </row>
    <row r="1310" spans="4:22" ht="17.649999999999999" x14ac:dyDescent="0.5">
      <c r="D1310" s="3" t="s">
        <v>109</v>
      </c>
      <c r="S1310">
        <v>2</v>
      </c>
      <c r="T1310">
        <v>12</v>
      </c>
      <c r="V1310" s="3" t="s">
        <v>44</v>
      </c>
    </row>
    <row r="1311" spans="4:22" ht="17.649999999999999" x14ac:dyDescent="0.5">
      <c r="D1311" s="3" t="s">
        <v>64</v>
      </c>
      <c r="S1311">
        <v>2</v>
      </c>
      <c r="T1311">
        <v>12</v>
      </c>
      <c r="V1311" s="3" t="s">
        <v>44</v>
      </c>
    </row>
    <row r="1312" spans="4:22" ht="17.649999999999999" x14ac:dyDescent="0.5">
      <c r="D1312" s="3" t="s">
        <v>59</v>
      </c>
      <c r="S1312">
        <v>2</v>
      </c>
      <c r="T1312">
        <v>12</v>
      </c>
      <c r="V1312" s="3" t="s">
        <v>44</v>
      </c>
    </row>
    <row r="1313" spans="4:22" ht="17.649999999999999" x14ac:dyDescent="0.5">
      <c r="D1313" s="3" t="s">
        <v>130</v>
      </c>
      <c r="S1313">
        <v>2</v>
      </c>
      <c r="T1313">
        <v>12</v>
      </c>
      <c r="V1313" s="3" t="s">
        <v>44</v>
      </c>
    </row>
    <row r="1314" spans="4:22" ht="17.649999999999999" x14ac:dyDescent="0.5">
      <c r="D1314" s="3" t="s">
        <v>133</v>
      </c>
      <c r="S1314">
        <v>2</v>
      </c>
      <c r="T1314">
        <v>12</v>
      </c>
      <c r="V1314" s="3" t="s">
        <v>44</v>
      </c>
    </row>
    <row r="1315" spans="4:22" ht="17.649999999999999" x14ac:dyDescent="0.5">
      <c r="D1315" s="3" t="s">
        <v>83</v>
      </c>
      <c r="S1315">
        <v>2</v>
      </c>
      <c r="T1315">
        <v>12</v>
      </c>
      <c r="V1315" s="3" t="s">
        <v>44</v>
      </c>
    </row>
    <row r="1316" spans="4:22" ht="17.649999999999999" x14ac:dyDescent="0.5">
      <c r="D1316" s="3" t="s">
        <v>61</v>
      </c>
      <c r="S1316">
        <v>2</v>
      </c>
      <c r="T1316">
        <v>12</v>
      </c>
      <c r="V1316" s="3" t="s">
        <v>44</v>
      </c>
    </row>
    <row r="1317" spans="4:22" ht="17.649999999999999" x14ac:dyDescent="0.5">
      <c r="D1317" s="3" t="s">
        <v>50</v>
      </c>
      <c r="S1317">
        <v>2</v>
      </c>
      <c r="T1317">
        <v>12</v>
      </c>
      <c r="V1317" s="3" t="s">
        <v>44</v>
      </c>
    </row>
    <row r="1318" spans="4:22" ht="17.649999999999999" x14ac:dyDescent="0.5">
      <c r="D1318" s="3" t="s">
        <v>69</v>
      </c>
      <c r="S1318">
        <v>2</v>
      </c>
      <c r="T1318">
        <v>12</v>
      </c>
      <c r="V1318" s="3" t="s">
        <v>44</v>
      </c>
    </row>
    <row r="1319" spans="4:22" ht="17.649999999999999" x14ac:dyDescent="0.5">
      <c r="D1319" s="3" t="s">
        <v>84</v>
      </c>
      <c r="S1319">
        <v>2</v>
      </c>
      <c r="T1319">
        <v>12</v>
      </c>
      <c r="V1319" s="3" t="s">
        <v>44</v>
      </c>
    </row>
    <row r="1320" spans="4:22" ht="17.649999999999999" x14ac:dyDescent="0.5">
      <c r="D1320" s="3" t="s">
        <v>78</v>
      </c>
      <c r="S1320">
        <v>2</v>
      </c>
      <c r="T1320">
        <v>12</v>
      </c>
      <c r="V1320" s="3" t="s">
        <v>44</v>
      </c>
    </row>
    <row r="1321" spans="4:22" ht="17.649999999999999" x14ac:dyDescent="0.5">
      <c r="D1321" s="3" t="s">
        <v>51</v>
      </c>
      <c r="S1321">
        <v>2</v>
      </c>
      <c r="T1321">
        <v>12</v>
      </c>
      <c r="V1321" s="3" t="s">
        <v>47</v>
      </c>
    </row>
    <row r="1322" spans="4:22" ht="17.649999999999999" x14ac:dyDescent="0.5">
      <c r="D1322" s="3" t="s">
        <v>74</v>
      </c>
      <c r="S1322">
        <v>2</v>
      </c>
      <c r="T1322">
        <v>12</v>
      </c>
      <c r="V1322" s="3" t="s">
        <v>47</v>
      </c>
    </row>
    <row r="1323" spans="4:22" ht="17.649999999999999" x14ac:dyDescent="0.5">
      <c r="D1323" s="3" t="s">
        <v>101</v>
      </c>
      <c r="S1323">
        <v>2</v>
      </c>
      <c r="T1323">
        <v>12</v>
      </c>
      <c r="V1323" s="3" t="s">
        <v>47</v>
      </c>
    </row>
    <row r="1324" spans="4:22" ht="17.649999999999999" x14ac:dyDescent="0.5">
      <c r="D1324" s="3" t="s">
        <v>125</v>
      </c>
      <c r="S1324">
        <v>2</v>
      </c>
      <c r="T1324">
        <v>12</v>
      </c>
      <c r="V1324" s="3" t="s">
        <v>47</v>
      </c>
    </row>
    <row r="1325" spans="4:22" ht="17.649999999999999" x14ac:dyDescent="0.5">
      <c r="D1325" s="3" t="s">
        <v>47</v>
      </c>
      <c r="S1325">
        <v>2</v>
      </c>
      <c r="T1325">
        <v>12</v>
      </c>
      <c r="V1325" s="3" t="s">
        <v>47</v>
      </c>
    </row>
    <row r="1326" spans="4:22" ht="17.649999999999999" x14ac:dyDescent="0.5">
      <c r="D1326" s="3" t="s">
        <v>73</v>
      </c>
      <c r="S1326">
        <v>2</v>
      </c>
      <c r="T1326">
        <v>12</v>
      </c>
      <c r="V1326" s="3" t="s">
        <v>47</v>
      </c>
    </row>
    <row r="1327" spans="4:22" ht="17.649999999999999" x14ac:dyDescent="0.5">
      <c r="D1327" s="3" t="s">
        <v>56</v>
      </c>
      <c r="S1327">
        <v>2</v>
      </c>
      <c r="T1327">
        <v>12</v>
      </c>
      <c r="V1327" s="3" t="s">
        <v>47</v>
      </c>
    </row>
    <row r="1328" spans="4:22" ht="17.649999999999999" x14ac:dyDescent="0.5">
      <c r="D1328" s="3" t="s">
        <v>90</v>
      </c>
      <c r="S1328">
        <v>2</v>
      </c>
      <c r="T1328">
        <v>12</v>
      </c>
      <c r="V1328" s="3" t="s">
        <v>47</v>
      </c>
    </row>
    <row r="1329" spans="4:22" ht="17.649999999999999" x14ac:dyDescent="0.5">
      <c r="D1329" s="3" t="s">
        <v>105</v>
      </c>
      <c r="S1329">
        <v>2</v>
      </c>
      <c r="T1329">
        <v>12</v>
      </c>
      <c r="V1329" s="3" t="s">
        <v>47</v>
      </c>
    </row>
    <row r="1330" spans="4:22" ht="17.649999999999999" x14ac:dyDescent="0.5">
      <c r="D1330" s="3" t="s">
        <v>73</v>
      </c>
      <c r="S1330">
        <v>2</v>
      </c>
      <c r="T1330">
        <v>12</v>
      </c>
      <c r="V1330" s="3" t="s">
        <v>47</v>
      </c>
    </row>
    <row r="1331" spans="4:22" ht="17.649999999999999" x14ac:dyDescent="0.5">
      <c r="D1331" s="3" t="s">
        <v>119</v>
      </c>
      <c r="S1331">
        <v>2</v>
      </c>
      <c r="T1331">
        <v>12</v>
      </c>
      <c r="V1331" s="3" t="s">
        <v>47</v>
      </c>
    </row>
    <row r="1332" spans="4:22" ht="17.649999999999999" x14ac:dyDescent="0.5">
      <c r="D1332" s="3" t="s">
        <v>92</v>
      </c>
      <c r="S1332">
        <v>2</v>
      </c>
      <c r="T1332">
        <v>12</v>
      </c>
      <c r="V1332" s="3" t="s">
        <v>47</v>
      </c>
    </row>
    <row r="1333" spans="4:22" ht="17.649999999999999" x14ac:dyDescent="0.5">
      <c r="D1333" s="3" t="s">
        <v>74</v>
      </c>
      <c r="S1333">
        <v>2</v>
      </c>
      <c r="T1333">
        <v>12</v>
      </c>
      <c r="V1333" s="3" t="s">
        <v>47</v>
      </c>
    </row>
    <row r="1334" spans="4:22" ht="17.649999999999999" x14ac:dyDescent="0.5">
      <c r="D1334" s="3" t="s">
        <v>117</v>
      </c>
      <c r="S1334">
        <v>2</v>
      </c>
      <c r="T1334">
        <v>12</v>
      </c>
      <c r="V1334" s="3" t="s">
        <v>47</v>
      </c>
    </row>
    <row r="1335" spans="4:22" ht="17.649999999999999" x14ac:dyDescent="0.5">
      <c r="D1335" s="3" t="s">
        <v>80</v>
      </c>
      <c r="S1335">
        <v>2</v>
      </c>
      <c r="T1335">
        <v>12</v>
      </c>
      <c r="V1335" s="3" t="s">
        <v>47</v>
      </c>
    </row>
    <row r="1336" spans="4:22" ht="17.649999999999999" x14ac:dyDescent="0.5">
      <c r="D1336" s="3" t="s">
        <v>90</v>
      </c>
      <c r="S1336">
        <v>2</v>
      </c>
      <c r="T1336">
        <v>12</v>
      </c>
      <c r="V1336" s="3" t="s">
        <v>47</v>
      </c>
    </row>
    <row r="1337" spans="4:22" ht="17.649999999999999" x14ac:dyDescent="0.5">
      <c r="D1337" s="3" t="s">
        <v>103</v>
      </c>
      <c r="S1337">
        <v>2</v>
      </c>
      <c r="T1337">
        <v>12</v>
      </c>
      <c r="V1337" s="3" t="s">
        <v>47</v>
      </c>
    </row>
    <row r="1338" spans="4:22" ht="17.649999999999999" x14ac:dyDescent="0.5">
      <c r="D1338" s="3" t="s">
        <v>123</v>
      </c>
      <c r="S1338">
        <v>2</v>
      </c>
      <c r="T1338">
        <v>12</v>
      </c>
      <c r="V1338" s="3" t="s">
        <v>47</v>
      </c>
    </row>
    <row r="1339" spans="4:22" ht="17.649999999999999" x14ac:dyDescent="0.5">
      <c r="D1339" s="3" t="s">
        <v>115</v>
      </c>
      <c r="S1339">
        <v>2</v>
      </c>
      <c r="T1339">
        <v>12</v>
      </c>
      <c r="V1339" s="3" t="s">
        <v>47</v>
      </c>
    </row>
    <row r="1340" spans="4:22" ht="17.649999999999999" x14ac:dyDescent="0.5">
      <c r="D1340" s="3" t="s">
        <v>41</v>
      </c>
      <c r="S1340">
        <v>2</v>
      </c>
      <c r="T1340">
        <v>12</v>
      </c>
      <c r="V1340" s="3" t="s">
        <v>47</v>
      </c>
    </row>
    <row r="1341" spans="4:22" ht="17.649999999999999" x14ac:dyDescent="0.5">
      <c r="D1341" s="3" t="s">
        <v>131</v>
      </c>
      <c r="S1341">
        <v>2</v>
      </c>
      <c r="T1341">
        <v>12</v>
      </c>
      <c r="V1341" s="3" t="s">
        <v>47</v>
      </c>
    </row>
    <row r="1342" spans="4:22" ht="17.649999999999999" x14ac:dyDescent="0.5">
      <c r="D1342" s="3" t="s">
        <v>52</v>
      </c>
      <c r="S1342">
        <v>2</v>
      </c>
      <c r="T1342">
        <v>12</v>
      </c>
      <c r="V1342" s="3" t="s">
        <v>47</v>
      </c>
    </row>
    <row r="1343" spans="4:22" ht="17.649999999999999" x14ac:dyDescent="0.5">
      <c r="D1343" s="3" t="s">
        <v>115</v>
      </c>
      <c r="S1343">
        <v>2</v>
      </c>
      <c r="T1343">
        <v>2</v>
      </c>
      <c r="V1343" s="3" t="s">
        <v>109</v>
      </c>
    </row>
    <row r="1344" spans="4:22" ht="17.649999999999999" x14ac:dyDescent="0.5">
      <c r="D1344" s="3" t="s">
        <v>117</v>
      </c>
      <c r="S1344">
        <v>2</v>
      </c>
      <c r="T1344">
        <v>2</v>
      </c>
      <c r="V1344" s="3" t="s">
        <v>109</v>
      </c>
    </row>
    <row r="1345" spans="4:22" ht="17.649999999999999" x14ac:dyDescent="0.5">
      <c r="D1345" s="3" t="s">
        <v>47</v>
      </c>
      <c r="S1345">
        <v>2</v>
      </c>
      <c r="T1345">
        <v>2</v>
      </c>
      <c r="V1345" s="3" t="s">
        <v>109</v>
      </c>
    </row>
    <row r="1346" spans="4:22" ht="17.649999999999999" x14ac:dyDescent="0.5">
      <c r="D1346" s="3" t="s">
        <v>127</v>
      </c>
      <c r="S1346">
        <v>2</v>
      </c>
      <c r="T1346">
        <v>2</v>
      </c>
      <c r="V1346" s="3" t="s">
        <v>109</v>
      </c>
    </row>
    <row r="1347" spans="4:22" ht="17.649999999999999" x14ac:dyDescent="0.5">
      <c r="D1347" s="3" t="s">
        <v>44</v>
      </c>
      <c r="S1347">
        <v>2</v>
      </c>
      <c r="T1347">
        <v>2</v>
      </c>
      <c r="V1347" s="3" t="s">
        <v>109</v>
      </c>
    </row>
    <row r="1348" spans="4:22" ht="17.649999999999999" x14ac:dyDescent="0.5">
      <c r="D1348" s="3" t="s">
        <v>54</v>
      </c>
      <c r="S1348">
        <v>2</v>
      </c>
      <c r="T1348">
        <v>2</v>
      </c>
      <c r="V1348" s="3" t="s">
        <v>109</v>
      </c>
    </row>
    <row r="1349" spans="4:22" ht="17.649999999999999" x14ac:dyDescent="0.5">
      <c r="D1349" s="3" t="s">
        <v>110</v>
      </c>
      <c r="S1349">
        <v>2</v>
      </c>
      <c r="T1349">
        <v>2</v>
      </c>
      <c r="V1349" s="3" t="s">
        <v>109</v>
      </c>
    </row>
    <row r="1350" spans="4:22" ht="17.649999999999999" x14ac:dyDescent="0.5">
      <c r="D1350" s="3" t="s">
        <v>50</v>
      </c>
      <c r="S1350">
        <v>2</v>
      </c>
      <c r="T1350">
        <v>2</v>
      </c>
      <c r="V1350" s="3" t="s">
        <v>109</v>
      </c>
    </row>
    <row r="1351" spans="4:22" ht="17.649999999999999" x14ac:dyDescent="0.5">
      <c r="D1351" s="3" t="s">
        <v>107</v>
      </c>
      <c r="S1351">
        <v>2</v>
      </c>
      <c r="T1351">
        <v>2</v>
      </c>
      <c r="V1351" s="3" t="s">
        <v>109</v>
      </c>
    </row>
    <row r="1352" spans="4:22" ht="17.649999999999999" x14ac:dyDescent="0.5">
      <c r="D1352" s="3" t="s">
        <v>87</v>
      </c>
      <c r="S1352">
        <v>2</v>
      </c>
      <c r="T1352">
        <v>2</v>
      </c>
      <c r="V1352" s="3" t="s">
        <v>109</v>
      </c>
    </row>
    <row r="1353" spans="4:22" ht="17.649999999999999" x14ac:dyDescent="0.5">
      <c r="D1353" s="3" t="s">
        <v>117</v>
      </c>
      <c r="S1353">
        <v>2</v>
      </c>
      <c r="T1353">
        <v>2</v>
      </c>
      <c r="V1353" s="3" t="s">
        <v>109</v>
      </c>
    </row>
    <row r="1354" spans="4:22" ht="17.649999999999999" x14ac:dyDescent="0.5">
      <c r="D1354" s="3" t="s">
        <v>51</v>
      </c>
      <c r="S1354">
        <v>2</v>
      </c>
      <c r="T1354">
        <v>2</v>
      </c>
      <c r="V1354" s="3" t="s">
        <v>118</v>
      </c>
    </row>
    <row r="1355" spans="4:22" ht="17.649999999999999" x14ac:dyDescent="0.5">
      <c r="D1355" s="3" t="s">
        <v>74</v>
      </c>
      <c r="S1355">
        <v>2</v>
      </c>
      <c r="T1355">
        <v>2</v>
      </c>
      <c r="V1355" s="3" t="s">
        <v>118</v>
      </c>
    </row>
    <row r="1356" spans="4:22" ht="17.649999999999999" x14ac:dyDescent="0.5">
      <c r="D1356" s="3" t="s">
        <v>59</v>
      </c>
      <c r="S1356">
        <v>2</v>
      </c>
      <c r="T1356">
        <v>2</v>
      </c>
      <c r="V1356" s="3" t="s">
        <v>118</v>
      </c>
    </row>
    <row r="1357" spans="4:22" ht="17.649999999999999" x14ac:dyDescent="0.5">
      <c r="D1357" s="3" t="s">
        <v>83</v>
      </c>
      <c r="S1357">
        <v>2</v>
      </c>
      <c r="T1357">
        <v>2</v>
      </c>
      <c r="V1357" s="3" t="s">
        <v>118</v>
      </c>
    </row>
    <row r="1358" spans="4:22" ht="17.649999999999999" x14ac:dyDescent="0.5">
      <c r="D1358" s="3" t="s">
        <v>98</v>
      </c>
      <c r="S1358">
        <v>2</v>
      </c>
      <c r="T1358">
        <v>2</v>
      </c>
      <c r="V1358" s="3" t="s">
        <v>118</v>
      </c>
    </row>
    <row r="1359" spans="4:22" ht="17.649999999999999" x14ac:dyDescent="0.5">
      <c r="D1359" s="3" t="s">
        <v>63</v>
      </c>
      <c r="S1359">
        <v>2</v>
      </c>
      <c r="T1359">
        <v>2</v>
      </c>
      <c r="V1359" s="3" t="s">
        <v>118</v>
      </c>
    </row>
    <row r="1360" spans="4:22" ht="17.649999999999999" x14ac:dyDescent="0.5">
      <c r="D1360" s="3" t="s">
        <v>94</v>
      </c>
      <c r="S1360">
        <v>2</v>
      </c>
      <c r="T1360">
        <v>2</v>
      </c>
      <c r="V1360" s="3" t="s">
        <v>118</v>
      </c>
    </row>
    <row r="1361" spans="4:22" ht="17.649999999999999" x14ac:dyDescent="0.5">
      <c r="D1361" s="3" t="s">
        <v>77</v>
      </c>
      <c r="S1361">
        <v>2</v>
      </c>
      <c r="T1361">
        <v>2</v>
      </c>
      <c r="V1361" s="3" t="s">
        <v>118</v>
      </c>
    </row>
    <row r="1362" spans="4:22" ht="17.649999999999999" x14ac:dyDescent="0.5">
      <c r="D1362" s="3" t="s">
        <v>115</v>
      </c>
      <c r="S1362">
        <v>2</v>
      </c>
      <c r="T1362">
        <v>2</v>
      </c>
      <c r="V1362" s="3" t="s">
        <v>118</v>
      </c>
    </row>
    <row r="1363" spans="4:22" ht="17.649999999999999" x14ac:dyDescent="0.5">
      <c r="D1363" s="3" t="s">
        <v>131</v>
      </c>
      <c r="S1363">
        <v>2</v>
      </c>
      <c r="T1363">
        <v>2</v>
      </c>
      <c r="V1363" s="3" t="s">
        <v>53</v>
      </c>
    </row>
    <row r="1364" spans="4:22" ht="17.649999999999999" x14ac:dyDescent="0.5">
      <c r="D1364" s="3" t="s">
        <v>118</v>
      </c>
      <c r="S1364">
        <v>2</v>
      </c>
      <c r="T1364">
        <v>2</v>
      </c>
      <c r="V1364" s="3" t="s">
        <v>53</v>
      </c>
    </row>
    <row r="1365" spans="4:22" ht="17.649999999999999" x14ac:dyDescent="0.5">
      <c r="D1365" s="3" t="s">
        <v>96</v>
      </c>
      <c r="S1365">
        <v>2</v>
      </c>
      <c r="T1365">
        <v>2</v>
      </c>
      <c r="V1365" s="3" t="s">
        <v>53</v>
      </c>
    </row>
    <row r="1366" spans="4:22" ht="17.649999999999999" x14ac:dyDescent="0.5">
      <c r="D1366" s="3" t="s">
        <v>74</v>
      </c>
      <c r="S1366">
        <v>2</v>
      </c>
      <c r="T1366">
        <v>2</v>
      </c>
      <c r="V1366" s="3" t="s">
        <v>53</v>
      </c>
    </row>
    <row r="1367" spans="4:22" ht="17.649999999999999" x14ac:dyDescent="0.5">
      <c r="D1367" s="3" t="s">
        <v>101</v>
      </c>
      <c r="S1367">
        <v>2</v>
      </c>
      <c r="T1367">
        <v>2</v>
      </c>
      <c r="V1367" s="3" t="s">
        <v>53</v>
      </c>
    </row>
    <row r="1368" spans="4:22" ht="17.649999999999999" x14ac:dyDescent="0.5">
      <c r="D1368" s="3" t="s">
        <v>118</v>
      </c>
      <c r="S1368">
        <v>2</v>
      </c>
      <c r="T1368">
        <v>2</v>
      </c>
      <c r="V1368" s="3" t="s">
        <v>53</v>
      </c>
    </row>
    <row r="1369" spans="4:22" ht="17.649999999999999" x14ac:dyDescent="0.5">
      <c r="D1369" s="3" t="s">
        <v>128</v>
      </c>
      <c r="S1369">
        <v>2</v>
      </c>
      <c r="T1369">
        <v>2</v>
      </c>
      <c r="V1369" s="3" t="s">
        <v>53</v>
      </c>
    </row>
    <row r="1370" spans="4:22" ht="17.649999999999999" x14ac:dyDescent="0.5">
      <c r="D1370" s="3" t="s">
        <v>86</v>
      </c>
      <c r="S1370">
        <v>2</v>
      </c>
      <c r="T1370">
        <v>2</v>
      </c>
      <c r="V1370" s="3" t="s">
        <v>53</v>
      </c>
    </row>
    <row r="1371" spans="4:22" ht="17.649999999999999" x14ac:dyDescent="0.5">
      <c r="D1371" s="3" t="s">
        <v>74</v>
      </c>
      <c r="S1371">
        <v>2</v>
      </c>
      <c r="T1371">
        <v>2</v>
      </c>
      <c r="V1371" s="3" t="s">
        <v>53</v>
      </c>
    </row>
    <row r="1372" spans="4:22" ht="17.649999999999999" x14ac:dyDescent="0.5">
      <c r="D1372" s="3" t="s">
        <v>94</v>
      </c>
      <c r="S1372">
        <v>2</v>
      </c>
      <c r="T1372">
        <v>2</v>
      </c>
      <c r="V1372" s="3" t="s">
        <v>53</v>
      </c>
    </row>
    <row r="1373" spans="4:22" ht="17.649999999999999" x14ac:dyDescent="0.5">
      <c r="D1373" s="3" t="s">
        <v>47</v>
      </c>
      <c r="S1373">
        <v>2</v>
      </c>
      <c r="T1373">
        <v>2</v>
      </c>
      <c r="V1373" s="3" t="s">
        <v>53</v>
      </c>
    </row>
    <row r="1374" spans="4:22" ht="17.649999999999999" x14ac:dyDescent="0.5">
      <c r="D1374" s="3" t="s">
        <v>68</v>
      </c>
      <c r="S1374">
        <v>2</v>
      </c>
      <c r="T1374">
        <v>2</v>
      </c>
      <c r="V1374" s="3" t="s">
        <v>53</v>
      </c>
    </row>
    <row r="1375" spans="4:22" ht="17.649999999999999" x14ac:dyDescent="0.5">
      <c r="D1375" s="3" t="s">
        <v>112</v>
      </c>
      <c r="S1375">
        <v>2</v>
      </c>
      <c r="T1375">
        <v>2</v>
      </c>
      <c r="V1375" s="3" t="s">
        <v>53</v>
      </c>
    </row>
    <row r="1376" spans="4:22" ht="17.649999999999999" x14ac:dyDescent="0.5">
      <c r="D1376" s="3" t="s">
        <v>49</v>
      </c>
      <c r="S1376">
        <v>2</v>
      </c>
      <c r="T1376">
        <v>2</v>
      </c>
      <c r="V1376" s="3" t="s">
        <v>53</v>
      </c>
    </row>
    <row r="1377" spans="4:22" ht="17.649999999999999" x14ac:dyDescent="0.5">
      <c r="D1377" s="3" t="s">
        <v>125</v>
      </c>
      <c r="S1377">
        <v>2</v>
      </c>
      <c r="T1377">
        <v>2</v>
      </c>
      <c r="V1377" s="3" t="s">
        <v>53</v>
      </c>
    </row>
    <row r="1378" spans="4:22" ht="17.649999999999999" x14ac:dyDescent="0.5">
      <c r="D1378" s="3" t="s">
        <v>53</v>
      </c>
      <c r="S1378">
        <v>2</v>
      </c>
      <c r="T1378">
        <v>2</v>
      </c>
      <c r="V1378" s="3" t="s">
        <v>53</v>
      </c>
    </row>
    <row r="1379" spans="4:22" ht="17.649999999999999" x14ac:dyDescent="0.5">
      <c r="D1379" s="3" t="s">
        <v>81</v>
      </c>
      <c r="S1379">
        <v>2</v>
      </c>
      <c r="T1379">
        <v>2</v>
      </c>
      <c r="V1379" s="3" t="s">
        <v>53</v>
      </c>
    </row>
    <row r="1380" spans="4:22" ht="17.649999999999999" x14ac:dyDescent="0.5">
      <c r="D1380" s="3" t="s">
        <v>48</v>
      </c>
      <c r="S1380">
        <v>2</v>
      </c>
      <c r="T1380">
        <v>2</v>
      </c>
      <c r="V1380" s="3" t="s">
        <v>53</v>
      </c>
    </row>
    <row r="1381" spans="4:22" ht="17.649999999999999" x14ac:dyDescent="0.5">
      <c r="D1381" s="3" t="s">
        <v>90</v>
      </c>
      <c r="S1381">
        <v>2</v>
      </c>
      <c r="T1381">
        <v>2</v>
      </c>
      <c r="V1381" s="3" t="s">
        <v>53</v>
      </c>
    </row>
    <row r="1382" spans="4:22" ht="17.649999999999999" x14ac:dyDescent="0.5">
      <c r="D1382" s="3" t="s">
        <v>71</v>
      </c>
      <c r="S1382">
        <v>2</v>
      </c>
      <c r="T1382">
        <v>2</v>
      </c>
      <c r="V1382" s="3" t="s">
        <v>53</v>
      </c>
    </row>
    <row r="1383" spans="4:22" ht="17.649999999999999" x14ac:dyDescent="0.5">
      <c r="D1383" s="3" t="s">
        <v>78</v>
      </c>
      <c r="S1383">
        <v>2</v>
      </c>
      <c r="T1383">
        <v>2</v>
      </c>
      <c r="V1383" s="3" t="s">
        <v>53</v>
      </c>
    </row>
    <row r="1384" spans="4:22" ht="17.649999999999999" x14ac:dyDescent="0.5">
      <c r="D1384" s="3" t="s">
        <v>127</v>
      </c>
      <c r="S1384">
        <v>2</v>
      </c>
      <c r="T1384">
        <v>2</v>
      </c>
      <c r="V1384" s="3" t="s">
        <v>53</v>
      </c>
    </row>
    <row r="1385" spans="4:22" ht="17.649999999999999" x14ac:dyDescent="0.5">
      <c r="D1385" s="3" t="s">
        <v>91</v>
      </c>
      <c r="S1385">
        <v>2</v>
      </c>
      <c r="T1385">
        <v>2</v>
      </c>
      <c r="V1385" s="3" t="s">
        <v>53</v>
      </c>
    </row>
    <row r="1386" spans="4:22" ht="17.649999999999999" x14ac:dyDescent="0.5">
      <c r="D1386" s="3" t="s">
        <v>105</v>
      </c>
      <c r="S1386">
        <v>2</v>
      </c>
      <c r="T1386">
        <v>2</v>
      </c>
      <c r="V1386" s="3" t="s">
        <v>53</v>
      </c>
    </row>
    <row r="1387" spans="4:22" ht="17.649999999999999" x14ac:dyDescent="0.5">
      <c r="D1387" s="3" t="s">
        <v>53</v>
      </c>
      <c r="S1387">
        <v>2</v>
      </c>
      <c r="T1387">
        <v>2</v>
      </c>
      <c r="V1387" s="3" t="s">
        <v>53</v>
      </c>
    </row>
    <row r="1388" spans="4:22" ht="17.649999999999999" x14ac:dyDescent="0.5">
      <c r="D1388" s="3" t="s">
        <v>57</v>
      </c>
      <c r="S1388">
        <v>2</v>
      </c>
      <c r="T1388">
        <v>2</v>
      </c>
      <c r="V1388" s="3" t="s">
        <v>53</v>
      </c>
    </row>
    <row r="1389" spans="4:22" ht="17.649999999999999" x14ac:dyDescent="0.5">
      <c r="D1389" s="3" t="s">
        <v>135</v>
      </c>
      <c r="S1389">
        <v>2</v>
      </c>
      <c r="T1389">
        <v>2</v>
      </c>
      <c r="V1389" s="3" t="s">
        <v>53</v>
      </c>
    </row>
    <row r="1390" spans="4:22" ht="17.649999999999999" x14ac:dyDescent="0.5">
      <c r="D1390" s="3" t="s">
        <v>97</v>
      </c>
      <c r="S1390">
        <v>2</v>
      </c>
      <c r="T1390">
        <v>2</v>
      </c>
      <c r="V1390" s="3" t="s">
        <v>53</v>
      </c>
    </row>
    <row r="1391" spans="4:22" ht="17.649999999999999" x14ac:dyDescent="0.5">
      <c r="D1391" s="3" t="s">
        <v>91</v>
      </c>
      <c r="S1391">
        <v>2</v>
      </c>
      <c r="T1391">
        <v>2</v>
      </c>
      <c r="V1391" s="3" t="s">
        <v>53</v>
      </c>
    </row>
    <row r="1392" spans="4:22" ht="17.649999999999999" x14ac:dyDescent="0.5">
      <c r="D1392" s="3" t="s">
        <v>114</v>
      </c>
      <c r="S1392">
        <v>2</v>
      </c>
      <c r="T1392">
        <v>2</v>
      </c>
      <c r="V1392" s="3" t="s">
        <v>53</v>
      </c>
    </row>
    <row r="1393" spans="4:22" ht="17.649999999999999" x14ac:dyDescent="0.5">
      <c r="D1393" s="3" t="s">
        <v>67</v>
      </c>
      <c r="S1393">
        <v>2</v>
      </c>
      <c r="T1393">
        <v>2</v>
      </c>
      <c r="V1393" s="3" t="s">
        <v>53</v>
      </c>
    </row>
    <row r="1394" spans="4:22" ht="17.649999999999999" x14ac:dyDescent="0.5">
      <c r="D1394" s="3" t="s">
        <v>46</v>
      </c>
      <c r="S1394">
        <v>2</v>
      </c>
      <c r="T1394">
        <v>2</v>
      </c>
      <c r="V1394" s="3" t="s">
        <v>57</v>
      </c>
    </row>
    <row r="1395" spans="4:22" ht="17.649999999999999" x14ac:dyDescent="0.5">
      <c r="D1395" s="3" t="s">
        <v>99</v>
      </c>
      <c r="S1395">
        <v>2</v>
      </c>
      <c r="T1395">
        <v>2</v>
      </c>
      <c r="V1395" s="3" t="s">
        <v>57</v>
      </c>
    </row>
    <row r="1396" spans="4:22" ht="17.649999999999999" x14ac:dyDescent="0.5">
      <c r="D1396" s="3" t="s">
        <v>83</v>
      </c>
      <c r="S1396">
        <v>2</v>
      </c>
      <c r="T1396">
        <v>2</v>
      </c>
      <c r="V1396" s="3" t="s">
        <v>57</v>
      </c>
    </row>
    <row r="1397" spans="4:22" ht="17.649999999999999" x14ac:dyDescent="0.5">
      <c r="D1397" s="3" t="s">
        <v>79</v>
      </c>
      <c r="S1397">
        <v>2</v>
      </c>
      <c r="T1397">
        <v>2</v>
      </c>
      <c r="V1397" s="3" t="s">
        <v>57</v>
      </c>
    </row>
    <row r="1398" spans="4:22" ht="17.649999999999999" x14ac:dyDescent="0.5">
      <c r="D1398" s="3" t="s">
        <v>52</v>
      </c>
      <c r="S1398">
        <v>2</v>
      </c>
      <c r="T1398">
        <v>2</v>
      </c>
      <c r="V1398" s="3" t="s">
        <v>57</v>
      </c>
    </row>
    <row r="1399" spans="4:22" ht="17.649999999999999" x14ac:dyDescent="0.5">
      <c r="D1399" s="3" t="s">
        <v>86</v>
      </c>
      <c r="S1399">
        <v>2</v>
      </c>
      <c r="T1399">
        <v>2</v>
      </c>
      <c r="V1399" s="3" t="s">
        <v>57</v>
      </c>
    </row>
    <row r="1400" spans="4:22" ht="17.649999999999999" x14ac:dyDescent="0.5">
      <c r="D1400" s="3" t="s">
        <v>47</v>
      </c>
      <c r="S1400">
        <v>2</v>
      </c>
      <c r="T1400">
        <v>2</v>
      </c>
      <c r="V1400" s="3" t="s">
        <v>57</v>
      </c>
    </row>
    <row r="1401" spans="4:22" ht="17.649999999999999" x14ac:dyDescent="0.5">
      <c r="D1401" s="3" t="s">
        <v>107</v>
      </c>
      <c r="S1401">
        <v>2</v>
      </c>
      <c r="T1401">
        <v>2</v>
      </c>
      <c r="V1401" s="3" t="s">
        <v>57</v>
      </c>
    </row>
    <row r="1402" spans="4:22" ht="17.649999999999999" x14ac:dyDescent="0.5">
      <c r="D1402" s="3" t="s">
        <v>67</v>
      </c>
      <c r="S1402">
        <v>2</v>
      </c>
      <c r="T1402">
        <v>2</v>
      </c>
      <c r="V1402" s="3" t="s">
        <v>57</v>
      </c>
    </row>
    <row r="1403" spans="4:22" ht="17.649999999999999" x14ac:dyDescent="0.5">
      <c r="D1403" s="3" t="s">
        <v>57</v>
      </c>
      <c r="S1403">
        <v>2</v>
      </c>
      <c r="T1403">
        <v>2</v>
      </c>
      <c r="V1403" s="3" t="s">
        <v>57</v>
      </c>
    </row>
    <row r="1404" spans="4:22" ht="17.649999999999999" x14ac:dyDescent="0.5">
      <c r="D1404" s="3" t="s">
        <v>100</v>
      </c>
      <c r="S1404">
        <v>2</v>
      </c>
      <c r="T1404">
        <v>2</v>
      </c>
      <c r="V1404" s="3" t="s">
        <v>57</v>
      </c>
    </row>
    <row r="1405" spans="4:22" ht="17.649999999999999" x14ac:dyDescent="0.5">
      <c r="D1405" s="3" t="s">
        <v>121</v>
      </c>
      <c r="S1405">
        <v>2</v>
      </c>
      <c r="T1405">
        <v>2</v>
      </c>
      <c r="V1405" s="3" t="s">
        <v>57</v>
      </c>
    </row>
    <row r="1406" spans="4:22" ht="17.649999999999999" x14ac:dyDescent="0.5">
      <c r="D1406" s="3" t="s">
        <v>46</v>
      </c>
      <c r="S1406">
        <v>2</v>
      </c>
      <c r="T1406">
        <v>2</v>
      </c>
      <c r="V1406" s="3" t="s">
        <v>57</v>
      </c>
    </row>
    <row r="1407" spans="4:22" ht="17.649999999999999" x14ac:dyDescent="0.5">
      <c r="D1407" s="3" t="s">
        <v>91</v>
      </c>
      <c r="S1407">
        <v>2</v>
      </c>
      <c r="T1407">
        <v>2</v>
      </c>
      <c r="V1407" s="3" t="s">
        <v>57</v>
      </c>
    </row>
    <row r="1408" spans="4:22" ht="17.649999999999999" x14ac:dyDescent="0.5">
      <c r="D1408" s="3" t="s">
        <v>75</v>
      </c>
      <c r="S1408">
        <v>2</v>
      </c>
      <c r="T1408">
        <v>2</v>
      </c>
      <c r="V1408" s="3" t="s">
        <v>57</v>
      </c>
    </row>
    <row r="1409" spans="4:22" ht="17.649999999999999" x14ac:dyDescent="0.5">
      <c r="D1409" s="3" t="s">
        <v>86</v>
      </c>
      <c r="S1409">
        <v>2</v>
      </c>
      <c r="T1409">
        <v>2</v>
      </c>
      <c r="V1409" s="3" t="s">
        <v>57</v>
      </c>
    </row>
    <row r="1410" spans="4:22" ht="17.649999999999999" x14ac:dyDescent="0.5">
      <c r="D1410" s="3" t="s">
        <v>129</v>
      </c>
      <c r="S1410">
        <v>2</v>
      </c>
      <c r="T1410">
        <v>2</v>
      </c>
      <c r="V1410" s="3" t="s">
        <v>57</v>
      </c>
    </row>
    <row r="1411" spans="4:22" ht="17.649999999999999" x14ac:dyDescent="0.5">
      <c r="D1411" s="3" t="s">
        <v>64</v>
      </c>
      <c r="S1411">
        <v>2</v>
      </c>
      <c r="T1411">
        <v>2</v>
      </c>
      <c r="V1411" s="3" t="s">
        <v>57</v>
      </c>
    </row>
    <row r="1412" spans="4:22" ht="17.649999999999999" x14ac:dyDescent="0.5">
      <c r="D1412" s="3" t="s">
        <v>86</v>
      </c>
      <c r="S1412">
        <v>2</v>
      </c>
      <c r="T1412">
        <v>2</v>
      </c>
      <c r="V1412" s="3" t="s">
        <v>57</v>
      </c>
    </row>
    <row r="1413" spans="4:22" ht="17.649999999999999" x14ac:dyDescent="0.5">
      <c r="D1413" s="3" t="s">
        <v>44</v>
      </c>
      <c r="S1413">
        <v>2</v>
      </c>
      <c r="T1413">
        <v>2</v>
      </c>
      <c r="V1413" s="3" t="s">
        <v>57</v>
      </c>
    </row>
    <row r="1414" spans="4:22" ht="17.649999999999999" x14ac:dyDescent="0.5">
      <c r="D1414" s="3" t="s">
        <v>83</v>
      </c>
      <c r="S1414">
        <v>2</v>
      </c>
      <c r="T1414">
        <v>2</v>
      </c>
      <c r="V1414" s="3" t="s">
        <v>57</v>
      </c>
    </row>
    <row r="1415" spans="4:22" ht="17.649999999999999" x14ac:dyDescent="0.5">
      <c r="D1415" s="3" t="s">
        <v>103</v>
      </c>
      <c r="S1415">
        <v>2</v>
      </c>
      <c r="T1415">
        <v>2</v>
      </c>
      <c r="V1415" s="3" t="s">
        <v>57</v>
      </c>
    </row>
    <row r="1416" spans="4:22" ht="17.649999999999999" x14ac:dyDescent="0.5">
      <c r="D1416" s="3" t="s">
        <v>64</v>
      </c>
      <c r="S1416">
        <v>2</v>
      </c>
      <c r="T1416">
        <v>2</v>
      </c>
      <c r="V1416" s="3" t="s">
        <v>57</v>
      </c>
    </row>
    <row r="1417" spans="4:22" ht="17.649999999999999" x14ac:dyDescent="0.5">
      <c r="D1417" s="3" t="s">
        <v>130</v>
      </c>
      <c r="S1417">
        <v>2</v>
      </c>
      <c r="T1417">
        <v>2</v>
      </c>
      <c r="V1417" s="3" t="s">
        <v>57</v>
      </c>
    </row>
    <row r="1418" spans="4:22" ht="17.649999999999999" x14ac:dyDescent="0.5">
      <c r="D1418" s="3" t="s">
        <v>77</v>
      </c>
      <c r="S1418">
        <v>2</v>
      </c>
      <c r="T1418">
        <v>2</v>
      </c>
      <c r="V1418" s="3" t="s">
        <v>57</v>
      </c>
    </row>
    <row r="1419" spans="4:22" ht="17.649999999999999" x14ac:dyDescent="0.5">
      <c r="D1419" s="3" t="s">
        <v>112</v>
      </c>
      <c r="S1419">
        <v>2</v>
      </c>
      <c r="T1419">
        <v>2</v>
      </c>
      <c r="V1419" s="3" t="s">
        <v>57</v>
      </c>
    </row>
    <row r="1420" spans="4:22" ht="17.649999999999999" x14ac:dyDescent="0.5">
      <c r="D1420" s="3" t="s">
        <v>78</v>
      </c>
      <c r="S1420">
        <v>2</v>
      </c>
      <c r="T1420">
        <v>2</v>
      </c>
      <c r="V1420" s="3" t="s">
        <v>57</v>
      </c>
    </row>
    <row r="1421" spans="4:22" ht="17.649999999999999" x14ac:dyDescent="0.5">
      <c r="D1421" s="3" t="s">
        <v>45</v>
      </c>
      <c r="S1421">
        <v>2</v>
      </c>
      <c r="T1421">
        <v>2</v>
      </c>
      <c r="V1421" s="3" t="s">
        <v>57</v>
      </c>
    </row>
    <row r="1422" spans="4:22" ht="17.649999999999999" x14ac:dyDescent="0.5">
      <c r="D1422" s="3" t="s">
        <v>115</v>
      </c>
      <c r="S1422">
        <v>2</v>
      </c>
      <c r="T1422">
        <v>2</v>
      </c>
      <c r="V1422" s="3" t="s">
        <v>57</v>
      </c>
    </row>
    <row r="1423" spans="4:22" ht="17.649999999999999" x14ac:dyDescent="0.5">
      <c r="D1423" s="3" t="s">
        <v>81</v>
      </c>
      <c r="S1423">
        <v>2</v>
      </c>
      <c r="T1423">
        <v>2</v>
      </c>
      <c r="V1423" s="3" t="s">
        <v>57</v>
      </c>
    </row>
    <row r="1424" spans="4:22" ht="17.649999999999999" x14ac:dyDescent="0.5">
      <c r="D1424" s="3" t="s">
        <v>103</v>
      </c>
      <c r="S1424">
        <v>2</v>
      </c>
      <c r="T1424">
        <v>2</v>
      </c>
      <c r="V1424" s="3" t="s">
        <v>57</v>
      </c>
    </row>
    <row r="1425" spans="4:22" ht="17.649999999999999" x14ac:dyDescent="0.5">
      <c r="D1425" s="3" t="s">
        <v>55</v>
      </c>
      <c r="S1425">
        <v>2</v>
      </c>
      <c r="T1425">
        <v>3</v>
      </c>
      <c r="V1425" s="3" t="s">
        <v>130</v>
      </c>
    </row>
    <row r="1426" spans="4:22" ht="17.649999999999999" x14ac:dyDescent="0.5">
      <c r="D1426" s="3" t="s">
        <v>101</v>
      </c>
      <c r="S1426">
        <v>2</v>
      </c>
      <c r="T1426">
        <v>3</v>
      </c>
      <c r="V1426" s="3" t="s">
        <v>130</v>
      </c>
    </row>
    <row r="1427" spans="4:22" ht="17.649999999999999" x14ac:dyDescent="0.5">
      <c r="D1427" s="3" t="s">
        <v>94</v>
      </c>
      <c r="S1427">
        <v>2</v>
      </c>
      <c r="T1427">
        <v>3</v>
      </c>
      <c r="V1427" s="3" t="s">
        <v>130</v>
      </c>
    </row>
    <row r="1428" spans="4:22" ht="17.649999999999999" x14ac:dyDescent="0.5">
      <c r="D1428" s="3" t="s">
        <v>136</v>
      </c>
      <c r="S1428">
        <v>2</v>
      </c>
      <c r="T1428">
        <v>3</v>
      </c>
      <c r="V1428" s="3" t="s">
        <v>130</v>
      </c>
    </row>
    <row r="1429" spans="4:22" ht="17.649999999999999" x14ac:dyDescent="0.5">
      <c r="D1429" s="3" t="s">
        <v>50</v>
      </c>
      <c r="S1429">
        <v>2</v>
      </c>
      <c r="T1429">
        <v>3</v>
      </c>
      <c r="V1429" s="3" t="s">
        <v>130</v>
      </c>
    </row>
    <row r="1430" spans="4:22" ht="17.649999999999999" x14ac:dyDescent="0.5">
      <c r="D1430" s="3" t="s">
        <v>95</v>
      </c>
      <c r="S1430">
        <v>2</v>
      </c>
      <c r="T1430">
        <v>3</v>
      </c>
      <c r="V1430" s="3" t="s">
        <v>130</v>
      </c>
    </row>
    <row r="1431" spans="4:22" ht="17.649999999999999" x14ac:dyDescent="0.5">
      <c r="D1431" s="3" t="s">
        <v>96</v>
      </c>
      <c r="S1431">
        <v>2</v>
      </c>
      <c r="T1431">
        <v>3</v>
      </c>
      <c r="V1431" s="3" t="s">
        <v>130</v>
      </c>
    </row>
    <row r="1432" spans="4:22" ht="17.649999999999999" x14ac:dyDescent="0.5">
      <c r="D1432" s="3" t="s">
        <v>84</v>
      </c>
      <c r="S1432">
        <v>2</v>
      </c>
      <c r="T1432">
        <v>3</v>
      </c>
      <c r="V1432" s="3" t="s">
        <v>130</v>
      </c>
    </row>
    <row r="1433" spans="4:22" ht="17.649999999999999" x14ac:dyDescent="0.5">
      <c r="D1433" s="3" t="s">
        <v>98</v>
      </c>
      <c r="S1433">
        <v>2</v>
      </c>
      <c r="T1433">
        <v>3</v>
      </c>
      <c r="V1433" s="3" t="s">
        <v>130</v>
      </c>
    </row>
    <row r="1434" spans="4:22" ht="17.649999999999999" x14ac:dyDescent="0.5">
      <c r="D1434" s="3" t="s">
        <v>122</v>
      </c>
      <c r="S1434">
        <v>2</v>
      </c>
      <c r="T1434">
        <v>3</v>
      </c>
      <c r="V1434" s="3" t="s">
        <v>130</v>
      </c>
    </row>
    <row r="1435" spans="4:22" ht="17.649999999999999" x14ac:dyDescent="0.5">
      <c r="D1435" s="3" t="s">
        <v>131</v>
      </c>
      <c r="S1435">
        <v>2</v>
      </c>
      <c r="T1435">
        <v>3</v>
      </c>
      <c r="V1435" s="3" t="s">
        <v>130</v>
      </c>
    </row>
    <row r="1436" spans="4:22" ht="17.649999999999999" x14ac:dyDescent="0.5">
      <c r="D1436" s="3" t="s">
        <v>62</v>
      </c>
      <c r="S1436">
        <v>2</v>
      </c>
      <c r="T1436">
        <v>3</v>
      </c>
      <c r="V1436" s="3" t="s">
        <v>127</v>
      </c>
    </row>
    <row r="1437" spans="4:22" ht="17.649999999999999" x14ac:dyDescent="0.5">
      <c r="D1437" s="3" t="s">
        <v>122</v>
      </c>
      <c r="S1437">
        <v>2</v>
      </c>
      <c r="T1437">
        <v>3</v>
      </c>
      <c r="V1437" s="3" t="s">
        <v>127</v>
      </c>
    </row>
    <row r="1438" spans="4:22" ht="17.649999999999999" x14ac:dyDescent="0.5">
      <c r="D1438" s="3" t="s">
        <v>101</v>
      </c>
      <c r="S1438">
        <v>2</v>
      </c>
      <c r="T1438">
        <v>3</v>
      </c>
      <c r="V1438" s="3" t="s">
        <v>127</v>
      </c>
    </row>
    <row r="1439" spans="4:22" ht="17.649999999999999" x14ac:dyDescent="0.5">
      <c r="D1439" s="3" t="s">
        <v>65</v>
      </c>
      <c r="S1439">
        <v>2</v>
      </c>
      <c r="T1439">
        <v>3</v>
      </c>
      <c r="V1439" s="3" t="s">
        <v>127</v>
      </c>
    </row>
    <row r="1440" spans="4:22" ht="17.649999999999999" x14ac:dyDescent="0.5">
      <c r="D1440" s="3" t="s">
        <v>81</v>
      </c>
      <c r="S1440">
        <v>2</v>
      </c>
      <c r="T1440">
        <v>3</v>
      </c>
      <c r="V1440" s="3" t="s">
        <v>127</v>
      </c>
    </row>
    <row r="1441" spans="4:22" ht="17.649999999999999" x14ac:dyDescent="0.5">
      <c r="D1441" s="3" t="s">
        <v>85</v>
      </c>
      <c r="S1441">
        <v>2</v>
      </c>
      <c r="T1441">
        <v>3</v>
      </c>
      <c r="V1441" s="3" t="s">
        <v>127</v>
      </c>
    </row>
    <row r="1442" spans="4:22" ht="17.649999999999999" x14ac:dyDescent="0.5">
      <c r="D1442" s="3" t="s">
        <v>43</v>
      </c>
      <c r="S1442">
        <v>2</v>
      </c>
      <c r="T1442">
        <v>3</v>
      </c>
      <c r="V1442" s="3" t="s">
        <v>127</v>
      </c>
    </row>
    <row r="1443" spans="4:22" ht="17.649999999999999" x14ac:dyDescent="0.5">
      <c r="D1443" s="3" t="s">
        <v>44</v>
      </c>
      <c r="S1443">
        <v>2</v>
      </c>
      <c r="T1443">
        <v>3</v>
      </c>
      <c r="V1443" s="3" t="s">
        <v>127</v>
      </c>
    </row>
    <row r="1444" spans="4:22" ht="17.649999999999999" x14ac:dyDescent="0.5">
      <c r="D1444" s="3" t="s">
        <v>110</v>
      </c>
      <c r="S1444">
        <v>2</v>
      </c>
      <c r="T1444">
        <v>3</v>
      </c>
      <c r="V1444" s="3" t="s">
        <v>127</v>
      </c>
    </row>
    <row r="1445" spans="4:22" ht="17.649999999999999" x14ac:dyDescent="0.5">
      <c r="D1445" s="3" t="s">
        <v>81</v>
      </c>
      <c r="S1445">
        <v>2</v>
      </c>
      <c r="T1445">
        <v>3</v>
      </c>
      <c r="V1445" s="3" t="s">
        <v>90</v>
      </c>
    </row>
    <row r="1446" spans="4:22" ht="17.649999999999999" x14ac:dyDescent="0.5">
      <c r="D1446" s="3" t="s">
        <v>61</v>
      </c>
      <c r="S1446">
        <v>2</v>
      </c>
      <c r="T1446">
        <v>3</v>
      </c>
      <c r="V1446" s="3" t="s">
        <v>90</v>
      </c>
    </row>
    <row r="1447" spans="4:22" ht="17.649999999999999" x14ac:dyDescent="0.5">
      <c r="D1447" s="3" t="s">
        <v>131</v>
      </c>
      <c r="S1447">
        <v>2</v>
      </c>
      <c r="T1447">
        <v>3</v>
      </c>
      <c r="V1447" s="3" t="s">
        <v>90</v>
      </c>
    </row>
    <row r="1448" spans="4:22" ht="17.649999999999999" x14ac:dyDescent="0.5">
      <c r="D1448" s="3" t="s">
        <v>129</v>
      </c>
      <c r="S1448">
        <v>2</v>
      </c>
      <c r="T1448">
        <v>3</v>
      </c>
      <c r="V1448" s="3" t="s">
        <v>90</v>
      </c>
    </row>
    <row r="1449" spans="4:22" ht="17.649999999999999" x14ac:dyDescent="0.5">
      <c r="D1449" s="3" t="s">
        <v>96</v>
      </c>
      <c r="S1449">
        <v>2</v>
      </c>
      <c r="T1449">
        <v>3</v>
      </c>
      <c r="V1449" s="3" t="s">
        <v>90</v>
      </c>
    </row>
    <row r="1450" spans="4:22" ht="17.649999999999999" x14ac:dyDescent="0.5">
      <c r="D1450" s="3" t="s">
        <v>65</v>
      </c>
      <c r="S1450">
        <v>2</v>
      </c>
      <c r="T1450">
        <v>3</v>
      </c>
      <c r="V1450" s="3" t="s">
        <v>90</v>
      </c>
    </row>
    <row r="1451" spans="4:22" ht="17.649999999999999" x14ac:dyDescent="0.5">
      <c r="D1451" s="3" t="s">
        <v>74</v>
      </c>
      <c r="S1451">
        <v>2</v>
      </c>
      <c r="T1451">
        <v>3</v>
      </c>
      <c r="V1451" s="3" t="s">
        <v>90</v>
      </c>
    </row>
    <row r="1452" spans="4:22" ht="17.649999999999999" x14ac:dyDescent="0.5">
      <c r="D1452" s="3" t="s">
        <v>65</v>
      </c>
      <c r="S1452">
        <v>2</v>
      </c>
      <c r="T1452">
        <v>3</v>
      </c>
      <c r="V1452" s="3" t="s">
        <v>90</v>
      </c>
    </row>
    <row r="1453" spans="4:22" ht="17.649999999999999" x14ac:dyDescent="0.5">
      <c r="D1453" s="3" t="s">
        <v>73</v>
      </c>
      <c r="S1453">
        <v>2</v>
      </c>
      <c r="T1453">
        <v>3</v>
      </c>
      <c r="V1453" s="3" t="s">
        <v>90</v>
      </c>
    </row>
    <row r="1454" spans="4:22" ht="17.649999999999999" x14ac:dyDescent="0.5">
      <c r="D1454" s="3" t="s">
        <v>69</v>
      </c>
      <c r="S1454">
        <v>2</v>
      </c>
      <c r="T1454">
        <v>3</v>
      </c>
      <c r="V1454" s="3" t="s">
        <v>90</v>
      </c>
    </row>
    <row r="1455" spans="4:22" ht="17.649999999999999" x14ac:dyDescent="0.5">
      <c r="D1455" s="3" t="s">
        <v>111</v>
      </c>
      <c r="S1455">
        <v>2</v>
      </c>
      <c r="T1455">
        <v>3</v>
      </c>
      <c r="V1455" s="3" t="s">
        <v>90</v>
      </c>
    </row>
    <row r="1456" spans="4:22" ht="17.649999999999999" x14ac:dyDescent="0.5">
      <c r="D1456" s="3" t="s">
        <v>49</v>
      </c>
      <c r="S1456">
        <v>2</v>
      </c>
      <c r="T1456">
        <v>3</v>
      </c>
      <c r="V1456" s="3" t="s">
        <v>90</v>
      </c>
    </row>
    <row r="1457" spans="4:22" ht="17.649999999999999" x14ac:dyDescent="0.5">
      <c r="D1457" s="3" t="s">
        <v>92</v>
      </c>
      <c r="S1457">
        <v>2</v>
      </c>
      <c r="T1457">
        <v>3</v>
      </c>
      <c r="V1457" s="3" t="s">
        <v>90</v>
      </c>
    </row>
    <row r="1458" spans="4:22" ht="17.649999999999999" x14ac:dyDescent="0.5">
      <c r="D1458" s="3" t="s">
        <v>83</v>
      </c>
      <c r="S1458">
        <v>2</v>
      </c>
      <c r="T1458">
        <v>3</v>
      </c>
      <c r="V1458" s="3" t="s">
        <v>90</v>
      </c>
    </row>
    <row r="1459" spans="4:22" ht="17.649999999999999" x14ac:dyDescent="0.5">
      <c r="D1459" s="3" t="s">
        <v>111</v>
      </c>
      <c r="S1459">
        <v>2</v>
      </c>
      <c r="T1459">
        <v>3</v>
      </c>
      <c r="V1459" s="3" t="s">
        <v>90</v>
      </c>
    </row>
    <row r="1460" spans="4:22" ht="17.649999999999999" x14ac:dyDescent="0.5">
      <c r="D1460" s="3" t="s">
        <v>55</v>
      </c>
      <c r="S1460">
        <v>2</v>
      </c>
      <c r="T1460">
        <v>3</v>
      </c>
      <c r="V1460" s="3" t="s">
        <v>90</v>
      </c>
    </row>
    <row r="1461" spans="4:22" ht="17.649999999999999" x14ac:dyDescent="0.5">
      <c r="D1461" s="3" t="s">
        <v>54</v>
      </c>
      <c r="S1461">
        <v>2</v>
      </c>
      <c r="T1461">
        <v>3</v>
      </c>
      <c r="V1461" s="3" t="s">
        <v>90</v>
      </c>
    </row>
    <row r="1462" spans="4:22" ht="17.649999999999999" x14ac:dyDescent="0.5">
      <c r="D1462" s="3" t="s">
        <v>121</v>
      </c>
      <c r="S1462">
        <v>2</v>
      </c>
      <c r="T1462">
        <v>3</v>
      </c>
      <c r="V1462" s="3" t="s">
        <v>90</v>
      </c>
    </row>
    <row r="1463" spans="4:22" ht="17.649999999999999" x14ac:dyDescent="0.5">
      <c r="D1463" s="3" t="s">
        <v>86</v>
      </c>
      <c r="S1463">
        <v>2</v>
      </c>
      <c r="T1463">
        <v>3</v>
      </c>
      <c r="V1463" s="3" t="s">
        <v>90</v>
      </c>
    </row>
    <row r="1464" spans="4:22" ht="17.649999999999999" x14ac:dyDescent="0.5">
      <c r="D1464" s="3" t="s">
        <v>74</v>
      </c>
      <c r="S1464">
        <v>2</v>
      </c>
      <c r="T1464">
        <v>3</v>
      </c>
      <c r="V1464" s="3" t="s">
        <v>90</v>
      </c>
    </row>
    <row r="1465" spans="4:22" ht="17.649999999999999" x14ac:dyDescent="0.5">
      <c r="D1465" s="3" t="s">
        <v>80</v>
      </c>
      <c r="S1465">
        <v>2</v>
      </c>
      <c r="T1465">
        <v>3</v>
      </c>
      <c r="V1465" s="3" t="s">
        <v>90</v>
      </c>
    </row>
    <row r="1466" spans="4:22" ht="17.649999999999999" x14ac:dyDescent="0.5">
      <c r="D1466" s="3" t="s">
        <v>53</v>
      </c>
      <c r="S1466">
        <v>2</v>
      </c>
      <c r="T1466">
        <v>3</v>
      </c>
      <c r="V1466" s="3" t="s">
        <v>90</v>
      </c>
    </row>
    <row r="1467" spans="4:22" ht="17.649999999999999" x14ac:dyDescent="0.5">
      <c r="D1467" s="3" t="s">
        <v>89</v>
      </c>
      <c r="S1467">
        <v>2</v>
      </c>
      <c r="T1467">
        <v>3</v>
      </c>
      <c r="V1467" s="3" t="s">
        <v>90</v>
      </c>
    </row>
    <row r="1468" spans="4:22" ht="17.649999999999999" x14ac:dyDescent="0.5">
      <c r="D1468" s="3" t="s">
        <v>117</v>
      </c>
      <c r="S1468">
        <v>2</v>
      </c>
      <c r="T1468">
        <v>3</v>
      </c>
      <c r="V1468" s="3" t="s">
        <v>90</v>
      </c>
    </row>
    <row r="1469" spans="4:22" ht="17.649999999999999" x14ac:dyDescent="0.5">
      <c r="D1469" s="3" t="s">
        <v>77</v>
      </c>
      <c r="S1469">
        <v>2</v>
      </c>
      <c r="T1469">
        <v>3</v>
      </c>
      <c r="V1469" s="3" t="s">
        <v>90</v>
      </c>
    </row>
    <row r="1470" spans="4:22" ht="17.649999999999999" x14ac:dyDescent="0.5">
      <c r="D1470" s="3" t="s">
        <v>68</v>
      </c>
      <c r="S1470">
        <v>2</v>
      </c>
      <c r="T1470">
        <v>3</v>
      </c>
      <c r="V1470" s="3" t="s">
        <v>90</v>
      </c>
    </row>
    <row r="1471" spans="4:22" ht="17.649999999999999" x14ac:dyDescent="0.5">
      <c r="D1471" s="3" t="s">
        <v>125</v>
      </c>
      <c r="S1471">
        <v>2</v>
      </c>
      <c r="T1471">
        <v>3</v>
      </c>
      <c r="V1471" s="3" t="s">
        <v>90</v>
      </c>
    </row>
    <row r="1472" spans="4:22" ht="17.649999999999999" x14ac:dyDescent="0.5">
      <c r="D1472" s="3" t="s">
        <v>103</v>
      </c>
      <c r="S1472">
        <v>2</v>
      </c>
      <c r="T1472">
        <v>3</v>
      </c>
      <c r="V1472" s="3" t="s">
        <v>90</v>
      </c>
    </row>
    <row r="1473" spans="4:22" ht="17.649999999999999" x14ac:dyDescent="0.5">
      <c r="D1473" s="3" t="s">
        <v>44</v>
      </c>
      <c r="S1473">
        <v>2</v>
      </c>
      <c r="T1473">
        <v>3</v>
      </c>
      <c r="V1473" s="3" t="s">
        <v>90</v>
      </c>
    </row>
    <row r="1474" spans="4:22" ht="17.649999999999999" x14ac:dyDescent="0.5">
      <c r="D1474" s="3" t="s">
        <v>94</v>
      </c>
      <c r="S1474">
        <v>2</v>
      </c>
      <c r="T1474">
        <v>3</v>
      </c>
      <c r="V1474" s="3" t="s">
        <v>90</v>
      </c>
    </row>
    <row r="1475" spans="4:22" ht="17.649999999999999" x14ac:dyDescent="0.5">
      <c r="D1475" s="3" t="s">
        <v>56</v>
      </c>
      <c r="S1475">
        <v>2</v>
      </c>
      <c r="T1475">
        <v>3</v>
      </c>
      <c r="V1475" s="3" t="s">
        <v>90</v>
      </c>
    </row>
    <row r="1476" spans="4:22" ht="17.649999999999999" x14ac:dyDescent="0.5">
      <c r="D1476" s="3" t="s">
        <v>54</v>
      </c>
      <c r="S1476">
        <v>2</v>
      </c>
      <c r="T1476">
        <v>3</v>
      </c>
      <c r="V1476" s="3" t="s">
        <v>90</v>
      </c>
    </row>
    <row r="1477" spans="4:22" ht="17.649999999999999" x14ac:dyDescent="0.5">
      <c r="D1477" s="3" t="s">
        <v>78</v>
      </c>
      <c r="S1477">
        <v>2</v>
      </c>
      <c r="T1477">
        <v>3</v>
      </c>
      <c r="V1477" s="3" t="s">
        <v>90</v>
      </c>
    </row>
    <row r="1478" spans="4:22" ht="17.649999999999999" x14ac:dyDescent="0.5">
      <c r="D1478" s="3" t="s">
        <v>84</v>
      </c>
      <c r="S1478">
        <v>2</v>
      </c>
      <c r="T1478">
        <v>3</v>
      </c>
      <c r="V1478" s="3" t="s">
        <v>90</v>
      </c>
    </row>
    <row r="1479" spans="4:22" ht="17.649999999999999" x14ac:dyDescent="0.5">
      <c r="D1479" s="3" t="s">
        <v>67</v>
      </c>
      <c r="S1479">
        <v>2</v>
      </c>
      <c r="T1479">
        <v>3</v>
      </c>
      <c r="V1479" s="3" t="s">
        <v>90</v>
      </c>
    </row>
    <row r="1480" spans="4:22" ht="17.649999999999999" x14ac:dyDescent="0.5">
      <c r="D1480" s="3" t="s">
        <v>59</v>
      </c>
      <c r="S1480">
        <v>2</v>
      </c>
      <c r="T1480">
        <v>3</v>
      </c>
      <c r="V1480" s="3" t="s">
        <v>90</v>
      </c>
    </row>
    <row r="1481" spans="4:22" ht="17.649999999999999" x14ac:dyDescent="0.5">
      <c r="D1481" s="3" t="s">
        <v>117</v>
      </c>
      <c r="S1481">
        <v>2</v>
      </c>
      <c r="T1481">
        <v>3</v>
      </c>
      <c r="V1481" s="3" t="s">
        <v>64</v>
      </c>
    </row>
    <row r="1482" spans="4:22" ht="17.649999999999999" x14ac:dyDescent="0.5">
      <c r="D1482" s="3" t="s">
        <v>47</v>
      </c>
      <c r="S1482">
        <v>2</v>
      </c>
      <c r="T1482">
        <v>3</v>
      </c>
      <c r="V1482" s="3" t="s">
        <v>64</v>
      </c>
    </row>
    <row r="1483" spans="4:22" ht="17.649999999999999" x14ac:dyDescent="0.5">
      <c r="D1483" s="3" t="s">
        <v>96</v>
      </c>
      <c r="S1483">
        <v>2</v>
      </c>
      <c r="T1483">
        <v>3</v>
      </c>
      <c r="V1483" s="3" t="s">
        <v>64</v>
      </c>
    </row>
    <row r="1484" spans="4:22" ht="17.649999999999999" x14ac:dyDescent="0.5">
      <c r="D1484" s="3" t="s">
        <v>56</v>
      </c>
      <c r="S1484">
        <v>2</v>
      </c>
      <c r="T1484">
        <v>3</v>
      </c>
      <c r="V1484" s="3" t="s">
        <v>64</v>
      </c>
    </row>
    <row r="1485" spans="4:22" ht="17.649999999999999" x14ac:dyDescent="0.5">
      <c r="D1485" s="3" t="s">
        <v>44</v>
      </c>
      <c r="S1485">
        <v>2</v>
      </c>
      <c r="T1485">
        <v>3</v>
      </c>
      <c r="V1485" s="3" t="s">
        <v>64</v>
      </c>
    </row>
    <row r="1486" spans="4:22" ht="17.649999999999999" x14ac:dyDescent="0.5">
      <c r="D1486" s="3" t="s">
        <v>103</v>
      </c>
      <c r="S1486">
        <v>2</v>
      </c>
      <c r="T1486">
        <v>3</v>
      </c>
      <c r="V1486" s="3" t="s">
        <v>64</v>
      </c>
    </row>
    <row r="1487" spans="4:22" ht="17.649999999999999" x14ac:dyDescent="0.5">
      <c r="D1487" s="3" t="s">
        <v>58</v>
      </c>
      <c r="S1487">
        <v>2</v>
      </c>
      <c r="T1487">
        <v>3</v>
      </c>
      <c r="V1487" s="3" t="s">
        <v>64</v>
      </c>
    </row>
    <row r="1488" spans="4:22" ht="17.649999999999999" x14ac:dyDescent="0.5">
      <c r="D1488" s="3" t="s">
        <v>78</v>
      </c>
      <c r="S1488">
        <v>2</v>
      </c>
      <c r="T1488">
        <v>3</v>
      </c>
      <c r="V1488" s="3" t="s">
        <v>64</v>
      </c>
    </row>
    <row r="1489" spans="4:22" ht="17.649999999999999" x14ac:dyDescent="0.5">
      <c r="D1489" s="3" t="s">
        <v>74</v>
      </c>
      <c r="S1489">
        <v>2</v>
      </c>
      <c r="T1489">
        <v>3</v>
      </c>
      <c r="V1489" s="3" t="s">
        <v>64</v>
      </c>
    </row>
    <row r="1490" spans="4:22" ht="17.649999999999999" x14ac:dyDescent="0.5">
      <c r="D1490" s="3" t="s">
        <v>104</v>
      </c>
      <c r="S1490">
        <v>2</v>
      </c>
      <c r="T1490">
        <v>3</v>
      </c>
      <c r="V1490" s="3" t="s">
        <v>64</v>
      </c>
    </row>
    <row r="1491" spans="4:22" ht="17.649999999999999" x14ac:dyDescent="0.5">
      <c r="D1491" s="3" t="s">
        <v>75</v>
      </c>
      <c r="S1491">
        <v>2</v>
      </c>
      <c r="T1491">
        <v>3</v>
      </c>
      <c r="V1491" s="3" t="s">
        <v>64</v>
      </c>
    </row>
    <row r="1492" spans="4:22" ht="17.649999999999999" x14ac:dyDescent="0.5">
      <c r="D1492" s="3" t="s">
        <v>81</v>
      </c>
      <c r="S1492">
        <v>2</v>
      </c>
      <c r="T1492">
        <v>3</v>
      </c>
      <c r="V1492" s="3" t="s">
        <v>64</v>
      </c>
    </row>
    <row r="1493" spans="4:22" ht="17.649999999999999" x14ac:dyDescent="0.5">
      <c r="D1493" s="3" t="s">
        <v>41</v>
      </c>
      <c r="S1493">
        <v>2</v>
      </c>
      <c r="T1493">
        <v>3</v>
      </c>
      <c r="V1493" s="3" t="s">
        <v>64</v>
      </c>
    </row>
    <row r="1494" spans="4:22" ht="17.649999999999999" x14ac:dyDescent="0.5">
      <c r="D1494" s="3" t="s">
        <v>46</v>
      </c>
      <c r="S1494">
        <v>2</v>
      </c>
      <c r="T1494">
        <v>3</v>
      </c>
      <c r="V1494" s="3" t="s">
        <v>64</v>
      </c>
    </row>
    <row r="1495" spans="4:22" ht="17.649999999999999" x14ac:dyDescent="0.5">
      <c r="D1495" s="3" t="s">
        <v>107</v>
      </c>
      <c r="S1495">
        <v>2</v>
      </c>
      <c r="T1495">
        <v>3</v>
      </c>
      <c r="V1495" s="3" t="s">
        <v>64</v>
      </c>
    </row>
    <row r="1496" spans="4:22" ht="17.649999999999999" x14ac:dyDescent="0.5">
      <c r="D1496" s="3" t="s">
        <v>101</v>
      </c>
      <c r="S1496">
        <v>2</v>
      </c>
      <c r="T1496">
        <v>3</v>
      </c>
      <c r="V1496" s="3" t="s">
        <v>64</v>
      </c>
    </row>
    <row r="1497" spans="4:22" ht="17.649999999999999" x14ac:dyDescent="0.5">
      <c r="D1497" s="3" t="s">
        <v>105</v>
      </c>
      <c r="S1497">
        <v>2</v>
      </c>
      <c r="T1497">
        <v>3</v>
      </c>
      <c r="V1497" s="3" t="s">
        <v>64</v>
      </c>
    </row>
    <row r="1498" spans="4:22" ht="17.649999999999999" x14ac:dyDescent="0.5">
      <c r="D1498" s="3" t="s">
        <v>92</v>
      </c>
      <c r="S1498">
        <v>2</v>
      </c>
      <c r="T1498">
        <v>3</v>
      </c>
      <c r="V1498" s="3" t="s">
        <v>64</v>
      </c>
    </row>
    <row r="1499" spans="4:22" ht="17.649999999999999" x14ac:dyDescent="0.5">
      <c r="D1499" s="3" t="s">
        <v>131</v>
      </c>
      <c r="S1499">
        <v>2</v>
      </c>
      <c r="T1499">
        <v>3</v>
      </c>
      <c r="V1499" s="3" t="s">
        <v>64</v>
      </c>
    </row>
    <row r="1500" spans="4:22" ht="17.649999999999999" x14ac:dyDescent="0.5">
      <c r="D1500" s="3" t="s">
        <v>101</v>
      </c>
      <c r="S1500">
        <v>2</v>
      </c>
      <c r="T1500">
        <v>3</v>
      </c>
      <c r="V1500" s="3" t="s">
        <v>64</v>
      </c>
    </row>
    <row r="1501" spans="4:22" ht="17.649999999999999" x14ac:dyDescent="0.5">
      <c r="D1501" s="3" t="s">
        <v>92</v>
      </c>
      <c r="S1501">
        <v>2</v>
      </c>
      <c r="T1501">
        <v>3</v>
      </c>
      <c r="V1501" s="3" t="s">
        <v>64</v>
      </c>
    </row>
    <row r="1502" spans="4:22" ht="17.649999999999999" x14ac:dyDescent="0.5">
      <c r="D1502" s="3" t="s">
        <v>127</v>
      </c>
      <c r="S1502">
        <v>2</v>
      </c>
      <c r="T1502">
        <v>3</v>
      </c>
      <c r="V1502" s="3" t="s">
        <v>64</v>
      </c>
    </row>
    <row r="1503" spans="4:22" ht="17.649999999999999" x14ac:dyDescent="0.5">
      <c r="D1503" s="3" t="s">
        <v>84</v>
      </c>
      <c r="S1503">
        <v>2</v>
      </c>
      <c r="T1503">
        <v>3</v>
      </c>
      <c r="V1503" s="3" t="s">
        <v>64</v>
      </c>
    </row>
    <row r="1504" spans="4:22" ht="17.649999999999999" x14ac:dyDescent="0.5">
      <c r="D1504" s="3" t="s">
        <v>47</v>
      </c>
      <c r="S1504">
        <v>2</v>
      </c>
      <c r="T1504">
        <v>3</v>
      </c>
      <c r="V1504" s="3" t="s">
        <v>64</v>
      </c>
    </row>
    <row r="1505" spans="4:22" ht="17.649999999999999" x14ac:dyDescent="0.5">
      <c r="D1505" s="3" t="s">
        <v>90</v>
      </c>
      <c r="S1505">
        <v>2</v>
      </c>
      <c r="T1505">
        <v>3</v>
      </c>
      <c r="V1505" s="3" t="s">
        <v>64</v>
      </c>
    </row>
    <row r="1506" spans="4:22" ht="17.649999999999999" x14ac:dyDescent="0.5">
      <c r="D1506" s="3" t="s">
        <v>117</v>
      </c>
      <c r="S1506">
        <v>2</v>
      </c>
      <c r="T1506">
        <v>3</v>
      </c>
      <c r="V1506" s="3" t="s">
        <v>64</v>
      </c>
    </row>
    <row r="1507" spans="4:22" ht="17.649999999999999" x14ac:dyDescent="0.5">
      <c r="D1507" s="3" t="s">
        <v>43</v>
      </c>
      <c r="S1507">
        <v>2</v>
      </c>
      <c r="T1507">
        <v>3</v>
      </c>
      <c r="V1507" s="3" t="s">
        <v>64</v>
      </c>
    </row>
    <row r="1508" spans="4:22" ht="17.649999999999999" x14ac:dyDescent="0.5">
      <c r="D1508" s="3" t="s">
        <v>44</v>
      </c>
      <c r="S1508">
        <v>2</v>
      </c>
      <c r="T1508">
        <v>4</v>
      </c>
      <c r="V1508" s="3" t="s">
        <v>82</v>
      </c>
    </row>
    <row r="1509" spans="4:22" ht="17.649999999999999" x14ac:dyDescent="0.5">
      <c r="D1509" s="3" t="s">
        <v>64</v>
      </c>
      <c r="S1509">
        <v>2</v>
      </c>
      <c r="T1509">
        <v>4</v>
      </c>
      <c r="V1509" s="3" t="s">
        <v>82</v>
      </c>
    </row>
    <row r="1510" spans="4:22" ht="17.649999999999999" x14ac:dyDescent="0.5">
      <c r="D1510" s="3" t="s">
        <v>78</v>
      </c>
      <c r="S1510">
        <v>2</v>
      </c>
      <c r="T1510">
        <v>4</v>
      </c>
      <c r="V1510" s="3" t="s">
        <v>82</v>
      </c>
    </row>
    <row r="1511" spans="4:22" ht="17.649999999999999" x14ac:dyDescent="0.5">
      <c r="D1511" s="3" t="s">
        <v>74</v>
      </c>
      <c r="S1511">
        <v>2</v>
      </c>
      <c r="T1511">
        <v>4</v>
      </c>
      <c r="V1511" s="3" t="s">
        <v>82</v>
      </c>
    </row>
    <row r="1512" spans="4:22" ht="17.649999999999999" x14ac:dyDescent="0.5">
      <c r="D1512" s="3" t="s">
        <v>57</v>
      </c>
      <c r="S1512">
        <v>2</v>
      </c>
      <c r="T1512">
        <v>4</v>
      </c>
      <c r="V1512" s="3" t="s">
        <v>82</v>
      </c>
    </row>
    <row r="1513" spans="4:22" ht="17.649999999999999" x14ac:dyDescent="0.5">
      <c r="D1513" s="3" t="s">
        <v>41</v>
      </c>
      <c r="S1513">
        <v>2</v>
      </c>
      <c r="T1513">
        <v>4</v>
      </c>
      <c r="V1513" s="3" t="s">
        <v>82</v>
      </c>
    </row>
    <row r="1514" spans="4:22" ht="17.649999999999999" x14ac:dyDescent="0.5">
      <c r="D1514" s="3" t="s">
        <v>83</v>
      </c>
      <c r="S1514">
        <v>2</v>
      </c>
      <c r="T1514">
        <v>4</v>
      </c>
      <c r="V1514" s="3" t="s">
        <v>82</v>
      </c>
    </row>
    <row r="1515" spans="4:22" ht="17.649999999999999" x14ac:dyDescent="0.5">
      <c r="D1515" s="3" t="s">
        <v>133</v>
      </c>
      <c r="S1515">
        <v>2</v>
      </c>
      <c r="T1515">
        <v>4</v>
      </c>
      <c r="V1515" s="3" t="s">
        <v>82</v>
      </c>
    </row>
    <row r="1516" spans="4:22" ht="17.649999999999999" x14ac:dyDescent="0.5">
      <c r="D1516" s="3" t="s">
        <v>81</v>
      </c>
      <c r="S1516">
        <v>2</v>
      </c>
      <c r="T1516">
        <v>4</v>
      </c>
      <c r="V1516" s="3" t="s">
        <v>82</v>
      </c>
    </row>
    <row r="1517" spans="4:22" ht="17.649999999999999" x14ac:dyDescent="0.5">
      <c r="D1517" s="3" t="s">
        <v>72</v>
      </c>
      <c r="S1517">
        <v>2</v>
      </c>
      <c r="T1517">
        <v>4</v>
      </c>
      <c r="V1517" s="3" t="s">
        <v>120</v>
      </c>
    </row>
    <row r="1518" spans="4:22" ht="17.649999999999999" x14ac:dyDescent="0.5">
      <c r="D1518" s="3" t="s">
        <v>103</v>
      </c>
      <c r="S1518">
        <v>2</v>
      </c>
      <c r="T1518">
        <v>4</v>
      </c>
      <c r="V1518" s="3" t="s">
        <v>120</v>
      </c>
    </row>
    <row r="1519" spans="4:22" ht="17.649999999999999" x14ac:dyDescent="0.5">
      <c r="D1519" s="3" t="s">
        <v>117</v>
      </c>
      <c r="S1519">
        <v>2</v>
      </c>
      <c r="T1519">
        <v>4</v>
      </c>
      <c r="V1519" s="3" t="s">
        <v>120</v>
      </c>
    </row>
    <row r="1520" spans="4:22" ht="17.649999999999999" x14ac:dyDescent="0.5">
      <c r="D1520" s="3" t="s">
        <v>46</v>
      </c>
      <c r="S1520">
        <v>2</v>
      </c>
      <c r="T1520">
        <v>4</v>
      </c>
      <c r="V1520" s="3" t="s">
        <v>120</v>
      </c>
    </row>
    <row r="1521" spans="4:22" ht="17.649999999999999" x14ac:dyDescent="0.5">
      <c r="D1521" s="3" t="s">
        <v>103</v>
      </c>
      <c r="S1521">
        <v>2</v>
      </c>
      <c r="T1521">
        <v>4</v>
      </c>
      <c r="V1521" s="3" t="s">
        <v>120</v>
      </c>
    </row>
    <row r="1522" spans="4:22" ht="17.649999999999999" x14ac:dyDescent="0.5">
      <c r="D1522" s="3" t="s">
        <v>87</v>
      </c>
      <c r="S1522">
        <v>2</v>
      </c>
      <c r="T1522">
        <v>4</v>
      </c>
      <c r="V1522" s="3" t="s">
        <v>94</v>
      </c>
    </row>
    <row r="1523" spans="4:22" ht="17.649999999999999" x14ac:dyDescent="0.5">
      <c r="D1523" s="3" t="s">
        <v>81</v>
      </c>
      <c r="S1523">
        <v>2</v>
      </c>
      <c r="T1523">
        <v>4</v>
      </c>
      <c r="V1523" s="3" t="s">
        <v>94</v>
      </c>
    </row>
    <row r="1524" spans="4:22" ht="17.649999999999999" x14ac:dyDescent="0.5">
      <c r="D1524" s="3" t="s">
        <v>46</v>
      </c>
      <c r="S1524">
        <v>2</v>
      </c>
      <c r="T1524">
        <v>4</v>
      </c>
      <c r="V1524" s="3" t="s">
        <v>94</v>
      </c>
    </row>
    <row r="1525" spans="4:22" ht="17.649999999999999" x14ac:dyDescent="0.5">
      <c r="D1525" s="3" t="s">
        <v>41</v>
      </c>
      <c r="S1525">
        <v>2</v>
      </c>
      <c r="T1525">
        <v>4</v>
      </c>
      <c r="V1525" s="3" t="s">
        <v>94</v>
      </c>
    </row>
    <row r="1526" spans="4:22" ht="17.649999999999999" x14ac:dyDescent="0.5">
      <c r="D1526" s="3" t="s">
        <v>92</v>
      </c>
      <c r="S1526">
        <v>2</v>
      </c>
      <c r="T1526">
        <v>4</v>
      </c>
      <c r="V1526" s="3" t="s">
        <v>94</v>
      </c>
    </row>
    <row r="1527" spans="4:22" ht="17.649999999999999" x14ac:dyDescent="0.5">
      <c r="D1527" s="3" t="s">
        <v>96</v>
      </c>
      <c r="S1527">
        <v>2</v>
      </c>
      <c r="T1527">
        <v>4</v>
      </c>
      <c r="V1527" s="3" t="s">
        <v>94</v>
      </c>
    </row>
    <row r="1528" spans="4:22" ht="17.649999999999999" x14ac:dyDescent="0.5">
      <c r="D1528" s="3" t="s">
        <v>71</v>
      </c>
      <c r="S1528">
        <v>2</v>
      </c>
      <c r="T1528">
        <v>4</v>
      </c>
      <c r="V1528" s="3" t="s">
        <v>94</v>
      </c>
    </row>
    <row r="1529" spans="4:22" ht="17.649999999999999" x14ac:dyDescent="0.5">
      <c r="D1529" s="3" t="s">
        <v>84</v>
      </c>
      <c r="S1529">
        <v>2</v>
      </c>
      <c r="T1529">
        <v>4</v>
      </c>
      <c r="V1529" s="3" t="s">
        <v>94</v>
      </c>
    </row>
    <row r="1530" spans="4:22" ht="17.649999999999999" x14ac:dyDescent="0.5">
      <c r="D1530" s="3" t="s">
        <v>51</v>
      </c>
      <c r="S1530">
        <v>2</v>
      </c>
      <c r="T1530">
        <v>4</v>
      </c>
      <c r="V1530" s="3" t="s">
        <v>94</v>
      </c>
    </row>
    <row r="1531" spans="4:22" ht="17.649999999999999" x14ac:dyDescent="0.5">
      <c r="D1531" s="3" t="s">
        <v>103</v>
      </c>
      <c r="S1531">
        <v>2</v>
      </c>
      <c r="T1531">
        <v>4</v>
      </c>
      <c r="V1531" s="3" t="s">
        <v>94</v>
      </c>
    </row>
    <row r="1532" spans="4:22" ht="17.649999999999999" x14ac:dyDescent="0.5">
      <c r="D1532" s="3" t="s">
        <v>52</v>
      </c>
      <c r="S1532">
        <v>2</v>
      </c>
      <c r="T1532">
        <v>4</v>
      </c>
      <c r="V1532" s="3" t="s">
        <v>94</v>
      </c>
    </row>
    <row r="1533" spans="4:22" ht="17.649999999999999" x14ac:dyDescent="0.5">
      <c r="D1533" s="3" t="s">
        <v>73</v>
      </c>
      <c r="S1533">
        <v>2</v>
      </c>
      <c r="T1533">
        <v>4</v>
      </c>
      <c r="V1533" s="3" t="s">
        <v>94</v>
      </c>
    </row>
    <row r="1534" spans="4:22" ht="17.649999999999999" x14ac:dyDescent="0.5">
      <c r="D1534" s="3" t="s">
        <v>83</v>
      </c>
      <c r="S1534">
        <v>2</v>
      </c>
      <c r="T1534">
        <v>4</v>
      </c>
      <c r="V1534" s="3" t="s">
        <v>94</v>
      </c>
    </row>
    <row r="1535" spans="4:22" ht="17.649999999999999" x14ac:dyDescent="0.5">
      <c r="D1535" s="3" t="s">
        <v>103</v>
      </c>
      <c r="S1535">
        <v>2</v>
      </c>
      <c r="T1535">
        <v>4</v>
      </c>
      <c r="V1535" s="3" t="s">
        <v>94</v>
      </c>
    </row>
    <row r="1536" spans="4:22" ht="17.649999999999999" x14ac:dyDescent="0.5">
      <c r="D1536" s="3" t="s">
        <v>66</v>
      </c>
      <c r="S1536">
        <v>2</v>
      </c>
      <c r="T1536">
        <v>4</v>
      </c>
      <c r="V1536" s="3" t="s">
        <v>94</v>
      </c>
    </row>
    <row r="1537" spans="4:22" ht="17.649999999999999" x14ac:dyDescent="0.5">
      <c r="D1537" s="3" t="s">
        <v>87</v>
      </c>
      <c r="S1537">
        <v>2</v>
      </c>
      <c r="T1537">
        <v>4</v>
      </c>
      <c r="V1537" s="3" t="s">
        <v>94</v>
      </c>
    </row>
    <row r="1538" spans="4:22" ht="17.649999999999999" x14ac:dyDescent="0.5">
      <c r="D1538" s="3" t="s">
        <v>53</v>
      </c>
      <c r="S1538">
        <v>2</v>
      </c>
      <c r="T1538">
        <v>4</v>
      </c>
      <c r="V1538" s="3" t="s">
        <v>94</v>
      </c>
    </row>
    <row r="1539" spans="4:22" ht="17.649999999999999" x14ac:dyDescent="0.5">
      <c r="D1539" s="3" t="s">
        <v>48</v>
      </c>
      <c r="S1539">
        <v>2</v>
      </c>
      <c r="T1539">
        <v>4</v>
      </c>
      <c r="V1539" s="3" t="s">
        <v>94</v>
      </c>
    </row>
    <row r="1540" spans="4:22" ht="17.649999999999999" x14ac:dyDescent="0.5">
      <c r="D1540" s="3" t="s">
        <v>54</v>
      </c>
      <c r="S1540">
        <v>2</v>
      </c>
      <c r="T1540">
        <v>4</v>
      </c>
      <c r="V1540" s="3" t="s">
        <v>94</v>
      </c>
    </row>
    <row r="1541" spans="4:22" ht="17.649999999999999" x14ac:dyDescent="0.5">
      <c r="D1541" s="3" t="s">
        <v>132</v>
      </c>
      <c r="S1541">
        <v>2</v>
      </c>
      <c r="T1541">
        <v>4</v>
      </c>
      <c r="V1541" s="3" t="s">
        <v>94</v>
      </c>
    </row>
    <row r="1542" spans="4:22" ht="17.649999999999999" x14ac:dyDescent="0.5">
      <c r="D1542" s="3" t="s">
        <v>98</v>
      </c>
      <c r="S1542">
        <v>2</v>
      </c>
      <c r="T1542">
        <v>4</v>
      </c>
      <c r="V1542" s="3" t="s">
        <v>94</v>
      </c>
    </row>
    <row r="1543" spans="4:22" ht="17.649999999999999" x14ac:dyDescent="0.5">
      <c r="D1543" s="3" t="s">
        <v>61</v>
      </c>
      <c r="S1543">
        <v>2</v>
      </c>
      <c r="T1543">
        <v>4</v>
      </c>
      <c r="V1543" s="3" t="s">
        <v>94</v>
      </c>
    </row>
    <row r="1544" spans="4:22" ht="17.649999999999999" x14ac:dyDescent="0.5">
      <c r="D1544" s="3" t="s">
        <v>135</v>
      </c>
      <c r="S1544">
        <v>2</v>
      </c>
      <c r="T1544">
        <v>4</v>
      </c>
      <c r="V1544" s="3" t="s">
        <v>94</v>
      </c>
    </row>
    <row r="1545" spans="4:22" ht="17.649999999999999" x14ac:dyDescent="0.5">
      <c r="D1545" s="3" t="s">
        <v>75</v>
      </c>
      <c r="S1545">
        <v>2</v>
      </c>
      <c r="T1545">
        <v>4</v>
      </c>
      <c r="V1545" s="3" t="s">
        <v>94</v>
      </c>
    </row>
    <row r="1546" spans="4:22" ht="17.649999999999999" x14ac:dyDescent="0.5">
      <c r="D1546" s="3" t="s">
        <v>90</v>
      </c>
      <c r="S1546">
        <v>2</v>
      </c>
      <c r="T1546">
        <v>4</v>
      </c>
      <c r="V1546" s="3" t="s">
        <v>94</v>
      </c>
    </row>
    <row r="1547" spans="4:22" ht="17.649999999999999" x14ac:dyDescent="0.5">
      <c r="D1547" s="3" t="s">
        <v>79</v>
      </c>
      <c r="S1547">
        <v>2</v>
      </c>
      <c r="T1547">
        <v>4</v>
      </c>
      <c r="V1547" s="3" t="s">
        <v>94</v>
      </c>
    </row>
    <row r="1548" spans="4:22" ht="17.649999999999999" x14ac:dyDescent="0.5">
      <c r="D1548" s="3" t="s">
        <v>50</v>
      </c>
      <c r="S1548">
        <v>2</v>
      </c>
      <c r="T1548">
        <v>4</v>
      </c>
      <c r="V1548" s="3" t="s">
        <v>94</v>
      </c>
    </row>
    <row r="1549" spans="4:22" ht="17.649999999999999" x14ac:dyDescent="0.5">
      <c r="D1549" s="3" t="s">
        <v>57</v>
      </c>
      <c r="S1549">
        <v>2</v>
      </c>
      <c r="T1549">
        <v>4</v>
      </c>
      <c r="V1549" s="3" t="s">
        <v>94</v>
      </c>
    </row>
    <row r="1550" spans="4:22" ht="17.649999999999999" x14ac:dyDescent="0.5">
      <c r="D1550" s="3" t="s">
        <v>49</v>
      </c>
      <c r="S1550">
        <v>2</v>
      </c>
      <c r="T1550">
        <v>4</v>
      </c>
      <c r="V1550" s="3" t="s">
        <v>94</v>
      </c>
    </row>
    <row r="1551" spans="4:22" ht="17.649999999999999" x14ac:dyDescent="0.5">
      <c r="D1551" s="3" t="s">
        <v>68</v>
      </c>
      <c r="S1551">
        <v>2</v>
      </c>
      <c r="T1551">
        <v>4</v>
      </c>
      <c r="V1551" s="3" t="s">
        <v>94</v>
      </c>
    </row>
    <row r="1552" spans="4:22" ht="17.649999999999999" x14ac:dyDescent="0.5">
      <c r="D1552" s="3" t="s">
        <v>84</v>
      </c>
      <c r="S1552">
        <v>2</v>
      </c>
      <c r="T1552">
        <v>4</v>
      </c>
      <c r="V1552" s="3" t="s">
        <v>94</v>
      </c>
    </row>
    <row r="1553" spans="4:22" ht="17.649999999999999" x14ac:dyDescent="0.5">
      <c r="D1553" s="3" t="s">
        <v>110</v>
      </c>
      <c r="S1553">
        <v>2</v>
      </c>
      <c r="T1553">
        <v>4</v>
      </c>
      <c r="V1553" s="3" t="s">
        <v>94</v>
      </c>
    </row>
    <row r="1554" spans="4:22" ht="17.649999999999999" x14ac:dyDescent="0.5">
      <c r="D1554" s="3" t="s">
        <v>98</v>
      </c>
      <c r="S1554">
        <v>2</v>
      </c>
      <c r="T1554">
        <v>4</v>
      </c>
      <c r="V1554" s="3" t="s">
        <v>54</v>
      </c>
    </row>
    <row r="1555" spans="4:22" ht="17.649999999999999" x14ac:dyDescent="0.5">
      <c r="D1555" s="3" t="s">
        <v>117</v>
      </c>
      <c r="S1555">
        <v>2</v>
      </c>
      <c r="T1555">
        <v>4</v>
      </c>
      <c r="V1555" s="3" t="s">
        <v>54</v>
      </c>
    </row>
    <row r="1556" spans="4:22" ht="17.649999999999999" x14ac:dyDescent="0.5">
      <c r="D1556" s="3" t="s">
        <v>76</v>
      </c>
      <c r="S1556">
        <v>2</v>
      </c>
      <c r="T1556">
        <v>4</v>
      </c>
      <c r="V1556" s="3" t="s">
        <v>54</v>
      </c>
    </row>
    <row r="1557" spans="4:22" ht="17.649999999999999" x14ac:dyDescent="0.5">
      <c r="D1557" s="3" t="s">
        <v>52</v>
      </c>
      <c r="S1557">
        <v>2</v>
      </c>
      <c r="T1557">
        <v>4</v>
      </c>
      <c r="V1557" s="3" t="s">
        <v>54</v>
      </c>
    </row>
    <row r="1558" spans="4:22" ht="17.649999999999999" x14ac:dyDescent="0.5">
      <c r="D1558" s="3" t="s">
        <v>129</v>
      </c>
      <c r="S1558">
        <v>2</v>
      </c>
      <c r="T1558">
        <v>4</v>
      </c>
      <c r="V1558" s="3" t="s">
        <v>54</v>
      </c>
    </row>
    <row r="1559" spans="4:22" ht="17.649999999999999" x14ac:dyDescent="0.5">
      <c r="D1559" s="3" t="s">
        <v>112</v>
      </c>
      <c r="S1559">
        <v>2</v>
      </c>
      <c r="T1559">
        <v>4</v>
      </c>
      <c r="V1559" s="3" t="s">
        <v>54</v>
      </c>
    </row>
    <row r="1560" spans="4:22" ht="17.649999999999999" x14ac:dyDescent="0.5">
      <c r="D1560" s="3" t="s">
        <v>105</v>
      </c>
      <c r="S1560">
        <v>2</v>
      </c>
      <c r="T1560">
        <v>4</v>
      </c>
      <c r="V1560" s="3" t="s">
        <v>54</v>
      </c>
    </row>
    <row r="1561" spans="4:22" ht="17.649999999999999" x14ac:dyDescent="0.5">
      <c r="D1561" s="3" t="s">
        <v>77</v>
      </c>
      <c r="S1561">
        <v>2</v>
      </c>
      <c r="T1561">
        <v>4</v>
      </c>
      <c r="V1561" s="3" t="s">
        <v>54</v>
      </c>
    </row>
    <row r="1562" spans="4:22" ht="17.649999999999999" x14ac:dyDescent="0.5">
      <c r="D1562" s="3" t="s">
        <v>58</v>
      </c>
      <c r="S1562">
        <v>2</v>
      </c>
      <c r="T1562">
        <v>4</v>
      </c>
      <c r="V1562" s="3" t="s">
        <v>54</v>
      </c>
    </row>
    <row r="1563" spans="4:22" ht="17.649999999999999" x14ac:dyDescent="0.5">
      <c r="D1563" s="3" t="s">
        <v>110</v>
      </c>
      <c r="S1563">
        <v>2</v>
      </c>
      <c r="T1563">
        <v>4</v>
      </c>
      <c r="V1563" s="3" t="s">
        <v>54</v>
      </c>
    </row>
    <row r="1564" spans="4:22" ht="17.649999999999999" x14ac:dyDescent="0.5">
      <c r="D1564" s="3" t="s">
        <v>86</v>
      </c>
      <c r="S1564">
        <v>2</v>
      </c>
      <c r="T1564">
        <v>4</v>
      </c>
      <c r="V1564" s="3" t="s">
        <v>54</v>
      </c>
    </row>
    <row r="1565" spans="4:22" ht="17.649999999999999" x14ac:dyDescent="0.5">
      <c r="D1565" s="3" t="s">
        <v>91</v>
      </c>
      <c r="S1565">
        <v>2</v>
      </c>
      <c r="T1565">
        <v>4</v>
      </c>
      <c r="V1565" s="3" t="s">
        <v>54</v>
      </c>
    </row>
    <row r="1566" spans="4:22" ht="17.649999999999999" x14ac:dyDescent="0.5">
      <c r="D1566" s="3" t="s">
        <v>46</v>
      </c>
      <c r="S1566">
        <v>2</v>
      </c>
      <c r="T1566">
        <v>4</v>
      </c>
      <c r="V1566" s="3" t="s">
        <v>54</v>
      </c>
    </row>
    <row r="1567" spans="4:22" ht="17.649999999999999" x14ac:dyDescent="0.5">
      <c r="D1567" s="3" t="s">
        <v>64</v>
      </c>
      <c r="S1567">
        <v>2</v>
      </c>
      <c r="T1567">
        <v>4</v>
      </c>
      <c r="V1567" s="3" t="s">
        <v>54</v>
      </c>
    </row>
    <row r="1568" spans="4:22" ht="17.649999999999999" x14ac:dyDescent="0.5">
      <c r="D1568" s="3" t="s">
        <v>107</v>
      </c>
      <c r="S1568">
        <v>2</v>
      </c>
      <c r="T1568">
        <v>4</v>
      </c>
      <c r="V1568" s="3" t="s">
        <v>54</v>
      </c>
    </row>
    <row r="1569" spans="4:22" ht="17.649999999999999" x14ac:dyDescent="0.5">
      <c r="D1569" s="3" t="s">
        <v>113</v>
      </c>
      <c r="S1569">
        <v>2</v>
      </c>
      <c r="T1569">
        <v>4</v>
      </c>
      <c r="V1569" s="3" t="s">
        <v>54</v>
      </c>
    </row>
    <row r="1570" spans="4:22" ht="17.649999999999999" x14ac:dyDescent="0.5">
      <c r="D1570" s="3" t="s">
        <v>105</v>
      </c>
      <c r="S1570">
        <v>2</v>
      </c>
      <c r="T1570">
        <v>4</v>
      </c>
      <c r="V1570" s="3" t="s">
        <v>54</v>
      </c>
    </row>
    <row r="1571" spans="4:22" ht="17.649999999999999" x14ac:dyDescent="0.5">
      <c r="D1571" s="3" t="s">
        <v>114</v>
      </c>
      <c r="S1571">
        <v>2</v>
      </c>
      <c r="T1571">
        <v>4</v>
      </c>
      <c r="V1571" s="3" t="s">
        <v>54</v>
      </c>
    </row>
    <row r="1572" spans="4:22" ht="17.649999999999999" x14ac:dyDescent="0.5">
      <c r="D1572" s="3" t="s">
        <v>84</v>
      </c>
      <c r="S1572">
        <v>2</v>
      </c>
      <c r="T1572">
        <v>4</v>
      </c>
      <c r="V1572" s="3" t="s">
        <v>54</v>
      </c>
    </row>
    <row r="1573" spans="4:22" ht="17.649999999999999" x14ac:dyDescent="0.5">
      <c r="D1573" s="3" t="s">
        <v>83</v>
      </c>
      <c r="S1573">
        <v>2</v>
      </c>
      <c r="T1573">
        <v>4</v>
      </c>
      <c r="V1573" s="3" t="s">
        <v>54</v>
      </c>
    </row>
    <row r="1574" spans="4:22" ht="17.649999999999999" x14ac:dyDescent="0.5">
      <c r="D1574" s="3" t="s">
        <v>47</v>
      </c>
      <c r="S1574">
        <v>2</v>
      </c>
      <c r="T1574">
        <v>4</v>
      </c>
      <c r="V1574" s="3" t="s">
        <v>54</v>
      </c>
    </row>
    <row r="1575" spans="4:22" ht="17.649999999999999" x14ac:dyDescent="0.5">
      <c r="D1575" s="3" t="s">
        <v>107</v>
      </c>
      <c r="S1575">
        <v>2</v>
      </c>
      <c r="T1575">
        <v>4</v>
      </c>
      <c r="V1575" s="3" t="s">
        <v>54</v>
      </c>
    </row>
    <row r="1576" spans="4:22" ht="17.649999999999999" x14ac:dyDescent="0.5">
      <c r="D1576" s="3" t="s">
        <v>130</v>
      </c>
      <c r="S1576">
        <v>2</v>
      </c>
      <c r="T1576">
        <v>4</v>
      </c>
      <c r="V1576" s="3" t="s">
        <v>54</v>
      </c>
    </row>
    <row r="1577" spans="4:22" ht="17.649999999999999" x14ac:dyDescent="0.5">
      <c r="D1577" s="3" t="s">
        <v>92</v>
      </c>
      <c r="S1577">
        <v>2</v>
      </c>
      <c r="T1577">
        <v>4</v>
      </c>
      <c r="V1577" s="3" t="s">
        <v>54</v>
      </c>
    </row>
    <row r="1578" spans="4:22" ht="17.649999999999999" x14ac:dyDescent="0.5">
      <c r="D1578" s="3" t="s">
        <v>115</v>
      </c>
      <c r="S1578">
        <v>2</v>
      </c>
      <c r="T1578">
        <v>4</v>
      </c>
      <c r="V1578" s="3" t="s">
        <v>54</v>
      </c>
    </row>
    <row r="1579" spans="4:22" ht="17.649999999999999" x14ac:dyDescent="0.5">
      <c r="D1579" s="3" t="s">
        <v>43</v>
      </c>
      <c r="S1579">
        <v>2</v>
      </c>
      <c r="T1579">
        <v>4</v>
      </c>
      <c r="V1579" s="3" t="s">
        <v>54</v>
      </c>
    </row>
    <row r="1580" spans="4:22" ht="17.649999999999999" x14ac:dyDescent="0.5">
      <c r="D1580" s="3" t="s">
        <v>49</v>
      </c>
      <c r="S1580">
        <v>2</v>
      </c>
      <c r="T1580">
        <v>4</v>
      </c>
      <c r="V1580" s="3" t="s">
        <v>54</v>
      </c>
    </row>
    <row r="1581" spans="4:22" ht="17.649999999999999" x14ac:dyDescent="0.5">
      <c r="D1581" s="3" t="s">
        <v>109</v>
      </c>
      <c r="S1581">
        <v>2</v>
      </c>
      <c r="T1581">
        <v>4</v>
      </c>
      <c r="V1581" s="3" t="s">
        <v>54</v>
      </c>
    </row>
    <row r="1582" spans="4:22" ht="17.649999999999999" x14ac:dyDescent="0.5">
      <c r="D1582" s="3" t="s">
        <v>67</v>
      </c>
      <c r="S1582">
        <v>2</v>
      </c>
      <c r="T1582">
        <v>4</v>
      </c>
      <c r="V1582" s="3" t="s">
        <v>54</v>
      </c>
    </row>
    <row r="1583" spans="4:22" ht="17.649999999999999" x14ac:dyDescent="0.5">
      <c r="D1583" s="3" t="s">
        <v>97</v>
      </c>
      <c r="S1583">
        <v>2</v>
      </c>
      <c r="T1583">
        <v>4</v>
      </c>
      <c r="V1583" s="3" t="s">
        <v>54</v>
      </c>
    </row>
    <row r="1584" spans="4:22" ht="17.649999999999999" x14ac:dyDescent="0.5">
      <c r="D1584" s="3" t="s">
        <v>127</v>
      </c>
      <c r="S1584">
        <v>2</v>
      </c>
      <c r="T1584">
        <v>4</v>
      </c>
      <c r="V1584" s="3" t="s">
        <v>54</v>
      </c>
    </row>
    <row r="1585" spans="4:22" ht="17.649999999999999" x14ac:dyDescent="0.5">
      <c r="D1585" s="3" t="s">
        <v>90</v>
      </c>
      <c r="S1585">
        <v>2</v>
      </c>
      <c r="T1585">
        <v>4</v>
      </c>
      <c r="V1585" s="3" t="s">
        <v>54</v>
      </c>
    </row>
    <row r="1586" spans="4:22" ht="17.649999999999999" x14ac:dyDescent="0.5">
      <c r="D1586" s="3" t="s">
        <v>41</v>
      </c>
      <c r="S1586">
        <v>2</v>
      </c>
      <c r="T1586">
        <v>4</v>
      </c>
      <c r="V1586" s="3" t="s">
        <v>54</v>
      </c>
    </row>
    <row r="1587" spans="4:22" ht="17.649999999999999" x14ac:dyDescent="0.5">
      <c r="D1587" s="3" t="s">
        <v>85</v>
      </c>
      <c r="S1587">
        <v>2</v>
      </c>
      <c r="T1587">
        <v>4</v>
      </c>
      <c r="V1587" s="3" t="s">
        <v>54</v>
      </c>
    </row>
    <row r="1588" spans="4:22" ht="17.649999999999999" x14ac:dyDescent="0.5">
      <c r="D1588" s="3" t="s">
        <v>119</v>
      </c>
      <c r="S1588">
        <v>2</v>
      </c>
      <c r="T1588">
        <v>4</v>
      </c>
      <c r="V1588" s="3" t="s">
        <v>54</v>
      </c>
    </row>
    <row r="1589" spans="4:22" ht="17.649999999999999" x14ac:dyDescent="0.5">
      <c r="D1589" s="3" t="s">
        <v>49</v>
      </c>
      <c r="S1589">
        <v>2</v>
      </c>
      <c r="T1589">
        <v>4</v>
      </c>
      <c r="V1589" s="3" t="s">
        <v>54</v>
      </c>
    </row>
    <row r="1590" spans="4:22" ht="17.649999999999999" x14ac:dyDescent="0.5">
      <c r="D1590" s="3" t="s">
        <v>92</v>
      </c>
      <c r="S1590">
        <v>2</v>
      </c>
      <c r="T1590">
        <v>5</v>
      </c>
      <c r="V1590" s="3" t="s">
        <v>88</v>
      </c>
    </row>
    <row r="1591" spans="4:22" ht="17.649999999999999" x14ac:dyDescent="0.5">
      <c r="D1591" s="3" t="s">
        <v>60</v>
      </c>
      <c r="S1591">
        <v>2</v>
      </c>
      <c r="T1591">
        <v>5</v>
      </c>
      <c r="V1591" s="3" t="s">
        <v>88</v>
      </c>
    </row>
    <row r="1592" spans="4:22" ht="17.649999999999999" x14ac:dyDescent="0.5">
      <c r="D1592" s="3" t="s">
        <v>50</v>
      </c>
      <c r="S1592">
        <v>2</v>
      </c>
      <c r="T1592">
        <v>5</v>
      </c>
      <c r="V1592" s="3" t="s">
        <v>88</v>
      </c>
    </row>
    <row r="1593" spans="4:22" ht="17.649999999999999" x14ac:dyDescent="0.5">
      <c r="D1593" s="3" t="s">
        <v>94</v>
      </c>
      <c r="S1593">
        <v>2</v>
      </c>
      <c r="T1593">
        <v>5</v>
      </c>
      <c r="V1593" s="3" t="s">
        <v>88</v>
      </c>
    </row>
    <row r="1594" spans="4:22" ht="17.649999999999999" x14ac:dyDescent="0.5">
      <c r="D1594" s="3" t="s">
        <v>45</v>
      </c>
      <c r="S1594">
        <v>2</v>
      </c>
      <c r="T1594">
        <v>5</v>
      </c>
      <c r="V1594" s="3" t="s">
        <v>88</v>
      </c>
    </row>
    <row r="1595" spans="4:22" ht="17.649999999999999" x14ac:dyDescent="0.5">
      <c r="D1595" s="3" t="s">
        <v>64</v>
      </c>
      <c r="S1595">
        <v>2</v>
      </c>
      <c r="T1595">
        <v>5</v>
      </c>
      <c r="V1595" s="3" t="s">
        <v>88</v>
      </c>
    </row>
    <row r="1596" spans="4:22" ht="17.649999999999999" x14ac:dyDescent="0.5">
      <c r="D1596" s="3" t="s">
        <v>101</v>
      </c>
      <c r="S1596">
        <v>2</v>
      </c>
      <c r="T1596">
        <v>5</v>
      </c>
      <c r="V1596" s="3" t="s">
        <v>88</v>
      </c>
    </row>
    <row r="1597" spans="4:22" ht="17.649999999999999" x14ac:dyDescent="0.5">
      <c r="D1597" s="3" t="s">
        <v>91</v>
      </c>
      <c r="S1597">
        <v>2</v>
      </c>
      <c r="T1597">
        <v>5</v>
      </c>
      <c r="V1597" s="3" t="s">
        <v>88</v>
      </c>
    </row>
    <row r="1598" spans="4:22" ht="17.649999999999999" x14ac:dyDescent="0.5">
      <c r="D1598" s="3" t="s">
        <v>54</v>
      </c>
      <c r="S1598">
        <v>2</v>
      </c>
      <c r="T1598">
        <v>5</v>
      </c>
      <c r="V1598" s="3" t="s">
        <v>88</v>
      </c>
    </row>
    <row r="1599" spans="4:22" ht="17.649999999999999" x14ac:dyDescent="0.5">
      <c r="D1599" s="3" t="s">
        <v>130</v>
      </c>
      <c r="S1599">
        <v>2</v>
      </c>
      <c r="T1599">
        <v>5</v>
      </c>
      <c r="V1599" s="3" t="s">
        <v>88</v>
      </c>
    </row>
    <row r="1600" spans="4:22" ht="17.649999999999999" x14ac:dyDescent="0.5">
      <c r="D1600" s="3" t="s">
        <v>123</v>
      </c>
      <c r="S1600">
        <v>2</v>
      </c>
      <c r="T1600">
        <v>5</v>
      </c>
      <c r="V1600" s="3" t="s">
        <v>88</v>
      </c>
    </row>
    <row r="1601" spans="4:22" ht="17.649999999999999" x14ac:dyDescent="0.5">
      <c r="D1601" s="3" t="s">
        <v>115</v>
      </c>
      <c r="S1601">
        <v>2</v>
      </c>
      <c r="T1601">
        <v>5</v>
      </c>
      <c r="V1601" s="3" t="s">
        <v>88</v>
      </c>
    </row>
    <row r="1602" spans="4:22" ht="17.649999999999999" x14ac:dyDescent="0.5">
      <c r="D1602" s="3" t="s">
        <v>75</v>
      </c>
      <c r="S1602">
        <v>2</v>
      </c>
      <c r="T1602">
        <v>5</v>
      </c>
      <c r="V1602" s="3" t="s">
        <v>126</v>
      </c>
    </row>
    <row r="1603" spans="4:22" ht="17.649999999999999" x14ac:dyDescent="0.5">
      <c r="D1603" s="3" t="s">
        <v>48</v>
      </c>
      <c r="S1603">
        <v>2</v>
      </c>
      <c r="T1603">
        <v>5</v>
      </c>
      <c r="V1603" s="3" t="s">
        <v>126</v>
      </c>
    </row>
    <row r="1604" spans="4:22" ht="17.649999999999999" x14ac:dyDescent="0.5">
      <c r="D1604" s="3" t="s">
        <v>117</v>
      </c>
      <c r="S1604">
        <v>2</v>
      </c>
      <c r="T1604">
        <v>5</v>
      </c>
      <c r="V1604" s="3" t="s">
        <v>126</v>
      </c>
    </row>
    <row r="1605" spans="4:22" ht="17.649999999999999" x14ac:dyDescent="0.5">
      <c r="D1605" s="3" t="s">
        <v>59</v>
      </c>
      <c r="S1605">
        <v>2</v>
      </c>
      <c r="T1605">
        <v>5</v>
      </c>
      <c r="V1605" s="3" t="s">
        <v>126</v>
      </c>
    </row>
    <row r="1606" spans="4:22" ht="17.649999999999999" x14ac:dyDescent="0.5">
      <c r="D1606" s="3" t="s">
        <v>67</v>
      </c>
      <c r="S1606">
        <v>2</v>
      </c>
      <c r="T1606">
        <v>5</v>
      </c>
      <c r="V1606" s="3" t="s">
        <v>126</v>
      </c>
    </row>
    <row r="1607" spans="4:22" ht="17.649999999999999" x14ac:dyDescent="0.5">
      <c r="D1607" s="3" t="s">
        <v>97</v>
      </c>
      <c r="S1607">
        <v>2</v>
      </c>
      <c r="T1607">
        <v>5</v>
      </c>
      <c r="V1607" s="3" t="s">
        <v>67</v>
      </c>
    </row>
    <row r="1608" spans="4:22" ht="17.649999999999999" x14ac:dyDescent="0.5">
      <c r="D1608" s="3" t="s">
        <v>92</v>
      </c>
      <c r="S1608">
        <v>2</v>
      </c>
      <c r="T1608">
        <v>5</v>
      </c>
      <c r="V1608" s="3" t="s">
        <v>67</v>
      </c>
    </row>
    <row r="1609" spans="4:22" ht="17.649999999999999" x14ac:dyDescent="0.5">
      <c r="D1609" s="3" t="s">
        <v>67</v>
      </c>
      <c r="S1609">
        <v>2</v>
      </c>
      <c r="T1609">
        <v>5</v>
      </c>
      <c r="V1609" s="3" t="s">
        <v>67</v>
      </c>
    </row>
    <row r="1610" spans="4:22" ht="17.649999999999999" x14ac:dyDescent="0.5">
      <c r="D1610" s="3" t="s">
        <v>118</v>
      </c>
      <c r="S1610">
        <v>2</v>
      </c>
      <c r="T1610">
        <v>5</v>
      </c>
      <c r="V1610" s="3" t="s">
        <v>67</v>
      </c>
    </row>
    <row r="1611" spans="4:22" ht="17.649999999999999" x14ac:dyDescent="0.5">
      <c r="D1611" s="3" t="s">
        <v>52</v>
      </c>
      <c r="S1611">
        <v>2</v>
      </c>
      <c r="T1611">
        <v>5</v>
      </c>
      <c r="V1611" s="3" t="s">
        <v>67</v>
      </c>
    </row>
    <row r="1612" spans="4:22" ht="17.649999999999999" x14ac:dyDescent="0.5">
      <c r="D1612" s="3" t="s">
        <v>111</v>
      </c>
      <c r="S1612">
        <v>2</v>
      </c>
      <c r="T1612">
        <v>5</v>
      </c>
      <c r="V1612" s="3" t="s">
        <v>67</v>
      </c>
    </row>
    <row r="1613" spans="4:22" ht="17.649999999999999" x14ac:dyDescent="0.5">
      <c r="D1613" s="3" t="s">
        <v>57</v>
      </c>
      <c r="S1613">
        <v>2</v>
      </c>
      <c r="T1613">
        <v>5</v>
      </c>
      <c r="V1613" s="3" t="s">
        <v>67</v>
      </c>
    </row>
    <row r="1614" spans="4:22" ht="17.649999999999999" x14ac:dyDescent="0.5">
      <c r="D1614" s="3" t="s">
        <v>104</v>
      </c>
      <c r="S1614">
        <v>2</v>
      </c>
      <c r="T1614">
        <v>5</v>
      </c>
      <c r="V1614" s="3" t="s">
        <v>67</v>
      </c>
    </row>
    <row r="1615" spans="4:22" ht="17.649999999999999" x14ac:dyDescent="0.5">
      <c r="D1615" s="3" t="s">
        <v>61</v>
      </c>
      <c r="S1615">
        <v>2</v>
      </c>
      <c r="T1615">
        <v>5</v>
      </c>
      <c r="V1615" s="3" t="s">
        <v>67</v>
      </c>
    </row>
    <row r="1616" spans="4:22" ht="17.649999999999999" x14ac:dyDescent="0.5">
      <c r="D1616" s="3" t="s">
        <v>98</v>
      </c>
      <c r="S1616">
        <v>2</v>
      </c>
      <c r="T1616">
        <v>5</v>
      </c>
      <c r="V1616" s="3" t="s">
        <v>67</v>
      </c>
    </row>
    <row r="1617" spans="4:22" ht="17.649999999999999" x14ac:dyDescent="0.5">
      <c r="D1617" s="3" t="s">
        <v>115</v>
      </c>
      <c r="S1617">
        <v>2</v>
      </c>
      <c r="T1617">
        <v>5</v>
      </c>
      <c r="V1617" s="3" t="s">
        <v>67</v>
      </c>
    </row>
    <row r="1618" spans="4:22" ht="17.649999999999999" x14ac:dyDescent="0.5">
      <c r="D1618" s="3" t="s">
        <v>96</v>
      </c>
      <c r="S1618">
        <v>2</v>
      </c>
      <c r="T1618">
        <v>5</v>
      </c>
      <c r="V1618" s="3" t="s">
        <v>67</v>
      </c>
    </row>
    <row r="1619" spans="4:22" ht="17.649999999999999" x14ac:dyDescent="0.5">
      <c r="D1619" s="3" t="s">
        <v>49</v>
      </c>
      <c r="S1619">
        <v>2</v>
      </c>
      <c r="T1619">
        <v>5</v>
      </c>
      <c r="V1619" s="3" t="s">
        <v>67</v>
      </c>
    </row>
    <row r="1620" spans="4:22" ht="17.649999999999999" x14ac:dyDescent="0.5">
      <c r="D1620" s="3" t="s">
        <v>46</v>
      </c>
      <c r="S1620">
        <v>2</v>
      </c>
      <c r="T1620">
        <v>5</v>
      </c>
      <c r="V1620" s="3" t="s">
        <v>67</v>
      </c>
    </row>
    <row r="1621" spans="4:22" ht="17.649999999999999" x14ac:dyDescent="0.5">
      <c r="D1621" s="3" t="s">
        <v>62</v>
      </c>
      <c r="S1621">
        <v>2</v>
      </c>
      <c r="T1621">
        <v>5</v>
      </c>
      <c r="V1621" s="3" t="s">
        <v>67</v>
      </c>
    </row>
    <row r="1622" spans="4:22" ht="17.649999999999999" x14ac:dyDescent="0.5">
      <c r="D1622" s="3" t="s">
        <v>50</v>
      </c>
      <c r="S1622">
        <v>2</v>
      </c>
      <c r="T1622">
        <v>5</v>
      </c>
      <c r="V1622" s="3" t="s">
        <v>67</v>
      </c>
    </row>
    <row r="1623" spans="4:22" ht="17.649999999999999" x14ac:dyDescent="0.5">
      <c r="D1623" s="3" t="s">
        <v>43</v>
      </c>
      <c r="S1623">
        <v>2</v>
      </c>
      <c r="T1623">
        <v>5</v>
      </c>
      <c r="V1623" s="3" t="s">
        <v>67</v>
      </c>
    </row>
    <row r="1624" spans="4:22" ht="17.649999999999999" x14ac:dyDescent="0.5">
      <c r="D1624" s="3" t="s">
        <v>59</v>
      </c>
      <c r="S1624">
        <v>2</v>
      </c>
      <c r="T1624">
        <v>5</v>
      </c>
      <c r="V1624" s="3" t="s">
        <v>67</v>
      </c>
    </row>
    <row r="1625" spans="4:22" ht="17.649999999999999" x14ac:dyDescent="0.5">
      <c r="D1625" s="3" t="s">
        <v>116</v>
      </c>
      <c r="S1625">
        <v>2</v>
      </c>
      <c r="T1625">
        <v>5</v>
      </c>
      <c r="V1625" s="3" t="s">
        <v>67</v>
      </c>
    </row>
    <row r="1626" spans="4:22" ht="17.649999999999999" x14ac:dyDescent="0.5">
      <c r="D1626" s="3" t="s">
        <v>54</v>
      </c>
      <c r="S1626">
        <v>2</v>
      </c>
      <c r="T1626">
        <v>5</v>
      </c>
      <c r="V1626" s="3" t="s">
        <v>67</v>
      </c>
    </row>
    <row r="1627" spans="4:22" ht="17.649999999999999" x14ac:dyDescent="0.5">
      <c r="D1627" s="3" t="s">
        <v>51</v>
      </c>
      <c r="S1627">
        <v>2</v>
      </c>
      <c r="T1627">
        <v>5</v>
      </c>
      <c r="V1627" s="3" t="s">
        <v>67</v>
      </c>
    </row>
    <row r="1628" spans="4:22" ht="17.649999999999999" x14ac:dyDescent="0.5">
      <c r="D1628" s="3" t="s">
        <v>117</v>
      </c>
      <c r="S1628">
        <v>2</v>
      </c>
      <c r="T1628">
        <v>5</v>
      </c>
      <c r="V1628" s="3" t="s">
        <v>67</v>
      </c>
    </row>
    <row r="1629" spans="4:22" ht="17.649999999999999" x14ac:dyDescent="0.5">
      <c r="D1629" s="3" t="s">
        <v>101</v>
      </c>
      <c r="S1629">
        <v>2</v>
      </c>
      <c r="T1629">
        <v>5</v>
      </c>
      <c r="V1629" s="3" t="s">
        <v>67</v>
      </c>
    </row>
    <row r="1630" spans="4:22" ht="17.649999999999999" x14ac:dyDescent="0.5">
      <c r="D1630" s="3" t="s">
        <v>57</v>
      </c>
      <c r="S1630">
        <v>2</v>
      </c>
      <c r="T1630">
        <v>5</v>
      </c>
      <c r="V1630" s="3" t="s">
        <v>67</v>
      </c>
    </row>
    <row r="1631" spans="4:22" ht="17.649999999999999" x14ac:dyDescent="0.5">
      <c r="D1631" s="3" t="s">
        <v>74</v>
      </c>
      <c r="S1631">
        <v>2</v>
      </c>
      <c r="T1631">
        <v>5</v>
      </c>
      <c r="V1631" s="3" t="s">
        <v>67</v>
      </c>
    </row>
    <row r="1632" spans="4:22" ht="17.649999999999999" x14ac:dyDescent="0.5">
      <c r="D1632" s="3" t="s">
        <v>96</v>
      </c>
      <c r="S1632">
        <v>2</v>
      </c>
      <c r="T1632">
        <v>5</v>
      </c>
      <c r="V1632" s="3" t="s">
        <v>67</v>
      </c>
    </row>
    <row r="1633" spans="4:22" ht="17.649999999999999" x14ac:dyDescent="0.5">
      <c r="D1633" s="3" t="s">
        <v>69</v>
      </c>
      <c r="S1633">
        <v>2</v>
      </c>
      <c r="T1633">
        <v>5</v>
      </c>
      <c r="V1633" s="3" t="s">
        <v>67</v>
      </c>
    </row>
    <row r="1634" spans="4:22" ht="17.649999999999999" x14ac:dyDescent="0.5">
      <c r="D1634" s="3" t="s">
        <v>66</v>
      </c>
      <c r="S1634">
        <v>2</v>
      </c>
      <c r="T1634">
        <v>5</v>
      </c>
      <c r="V1634" s="3" t="s">
        <v>67</v>
      </c>
    </row>
    <row r="1635" spans="4:22" ht="17.649999999999999" x14ac:dyDescent="0.5">
      <c r="D1635" s="3" t="s">
        <v>51</v>
      </c>
      <c r="S1635">
        <v>2</v>
      </c>
      <c r="T1635">
        <v>5</v>
      </c>
      <c r="V1635" s="3" t="s">
        <v>67</v>
      </c>
    </row>
    <row r="1636" spans="4:22" ht="17.649999999999999" x14ac:dyDescent="0.5">
      <c r="D1636" s="3" t="s">
        <v>80</v>
      </c>
      <c r="S1636">
        <v>2</v>
      </c>
      <c r="T1636">
        <v>5</v>
      </c>
      <c r="V1636" s="3" t="s">
        <v>67</v>
      </c>
    </row>
    <row r="1637" spans="4:22" ht="17.649999999999999" x14ac:dyDescent="0.5">
      <c r="D1637" s="3" t="s">
        <v>59</v>
      </c>
      <c r="S1637">
        <v>2</v>
      </c>
      <c r="T1637">
        <v>5</v>
      </c>
      <c r="V1637" s="3" t="s">
        <v>107</v>
      </c>
    </row>
    <row r="1638" spans="4:22" ht="17.649999999999999" x14ac:dyDescent="0.5">
      <c r="D1638" s="3" t="s">
        <v>101</v>
      </c>
      <c r="S1638">
        <v>2</v>
      </c>
      <c r="T1638">
        <v>5</v>
      </c>
      <c r="V1638" s="3" t="s">
        <v>107</v>
      </c>
    </row>
    <row r="1639" spans="4:22" ht="17.649999999999999" x14ac:dyDescent="0.5">
      <c r="D1639" s="3" t="s">
        <v>92</v>
      </c>
      <c r="S1639">
        <v>2</v>
      </c>
      <c r="T1639">
        <v>5</v>
      </c>
      <c r="V1639" s="3" t="s">
        <v>107</v>
      </c>
    </row>
    <row r="1640" spans="4:22" ht="17.649999999999999" x14ac:dyDescent="0.5">
      <c r="D1640" s="3" t="s">
        <v>97</v>
      </c>
      <c r="S1640">
        <v>2</v>
      </c>
      <c r="T1640">
        <v>5</v>
      </c>
      <c r="V1640" s="3" t="s">
        <v>107</v>
      </c>
    </row>
    <row r="1641" spans="4:22" ht="17.649999999999999" x14ac:dyDescent="0.5">
      <c r="D1641" s="3" t="s">
        <v>63</v>
      </c>
      <c r="S1641">
        <v>2</v>
      </c>
      <c r="T1641">
        <v>5</v>
      </c>
      <c r="V1641" s="3" t="s">
        <v>107</v>
      </c>
    </row>
    <row r="1642" spans="4:22" ht="17.649999999999999" x14ac:dyDescent="0.5">
      <c r="D1642" s="3" t="s">
        <v>67</v>
      </c>
      <c r="S1642">
        <v>2</v>
      </c>
      <c r="T1642">
        <v>5</v>
      </c>
      <c r="V1642" s="3" t="s">
        <v>107</v>
      </c>
    </row>
    <row r="1643" spans="4:22" ht="17.649999999999999" x14ac:dyDescent="0.5">
      <c r="D1643" s="3" t="s">
        <v>119</v>
      </c>
      <c r="S1643">
        <v>2</v>
      </c>
      <c r="T1643">
        <v>5</v>
      </c>
      <c r="V1643" s="3" t="s">
        <v>107</v>
      </c>
    </row>
    <row r="1644" spans="4:22" ht="17.649999999999999" x14ac:dyDescent="0.5">
      <c r="D1644" s="3" t="s">
        <v>74</v>
      </c>
      <c r="S1644">
        <v>2</v>
      </c>
      <c r="T1644">
        <v>5</v>
      </c>
      <c r="V1644" s="3" t="s">
        <v>107</v>
      </c>
    </row>
    <row r="1645" spans="4:22" ht="17.649999999999999" x14ac:dyDescent="0.5">
      <c r="D1645" s="3" t="s">
        <v>96</v>
      </c>
      <c r="S1645">
        <v>2</v>
      </c>
      <c r="T1645">
        <v>5</v>
      </c>
      <c r="V1645" s="3" t="s">
        <v>107</v>
      </c>
    </row>
    <row r="1646" spans="4:22" ht="17.649999999999999" x14ac:dyDescent="0.5">
      <c r="D1646" s="3" t="s">
        <v>63</v>
      </c>
      <c r="S1646">
        <v>2</v>
      </c>
      <c r="T1646">
        <v>5</v>
      </c>
      <c r="V1646" s="3" t="s">
        <v>107</v>
      </c>
    </row>
    <row r="1647" spans="4:22" ht="17.649999999999999" x14ac:dyDescent="0.5">
      <c r="D1647" s="3" t="s">
        <v>49</v>
      </c>
      <c r="S1647">
        <v>2</v>
      </c>
      <c r="T1647">
        <v>5</v>
      </c>
      <c r="V1647" s="3" t="s">
        <v>107</v>
      </c>
    </row>
    <row r="1648" spans="4:22" ht="17.649999999999999" x14ac:dyDescent="0.5">
      <c r="D1648" s="3" t="s">
        <v>90</v>
      </c>
      <c r="S1648">
        <v>2</v>
      </c>
      <c r="T1648">
        <v>5</v>
      </c>
      <c r="V1648" s="3" t="s">
        <v>107</v>
      </c>
    </row>
    <row r="1649" spans="4:22" ht="17.649999999999999" x14ac:dyDescent="0.5">
      <c r="D1649" s="3" t="s">
        <v>107</v>
      </c>
      <c r="S1649">
        <v>2</v>
      </c>
      <c r="T1649">
        <v>5</v>
      </c>
      <c r="V1649" s="3" t="s">
        <v>107</v>
      </c>
    </row>
    <row r="1650" spans="4:22" ht="17.649999999999999" x14ac:dyDescent="0.5">
      <c r="D1650" s="3" t="s">
        <v>52</v>
      </c>
      <c r="S1650">
        <v>2</v>
      </c>
      <c r="T1650">
        <v>5</v>
      </c>
      <c r="V1650" s="3" t="s">
        <v>107</v>
      </c>
    </row>
    <row r="1651" spans="4:22" ht="17.649999999999999" x14ac:dyDescent="0.5">
      <c r="D1651" s="3" t="s">
        <v>106</v>
      </c>
      <c r="S1651">
        <v>2</v>
      </c>
      <c r="T1651">
        <v>5</v>
      </c>
      <c r="V1651" s="3" t="s">
        <v>107</v>
      </c>
    </row>
    <row r="1652" spans="4:22" ht="17.649999999999999" x14ac:dyDescent="0.5">
      <c r="D1652" s="3" t="s">
        <v>61</v>
      </c>
      <c r="S1652">
        <v>2</v>
      </c>
      <c r="T1652">
        <v>5</v>
      </c>
      <c r="V1652" s="3" t="s">
        <v>107</v>
      </c>
    </row>
    <row r="1653" spans="4:22" ht="17.649999999999999" x14ac:dyDescent="0.5">
      <c r="D1653" s="3" t="s">
        <v>64</v>
      </c>
      <c r="S1653">
        <v>2</v>
      </c>
      <c r="T1653">
        <v>5</v>
      </c>
      <c r="V1653" s="3" t="s">
        <v>107</v>
      </c>
    </row>
    <row r="1654" spans="4:22" ht="17.649999999999999" x14ac:dyDescent="0.5">
      <c r="D1654" s="3" t="s">
        <v>84</v>
      </c>
      <c r="S1654">
        <v>2</v>
      </c>
      <c r="T1654">
        <v>5</v>
      </c>
      <c r="V1654" s="3" t="s">
        <v>107</v>
      </c>
    </row>
    <row r="1655" spans="4:22" ht="17.649999999999999" x14ac:dyDescent="0.5">
      <c r="D1655" s="3" t="s">
        <v>53</v>
      </c>
      <c r="S1655">
        <v>2</v>
      </c>
      <c r="T1655">
        <v>5</v>
      </c>
      <c r="V1655" s="3" t="s">
        <v>107</v>
      </c>
    </row>
    <row r="1656" spans="4:22" ht="17.649999999999999" x14ac:dyDescent="0.5">
      <c r="D1656" s="3" t="s">
        <v>79</v>
      </c>
      <c r="S1656">
        <v>2</v>
      </c>
      <c r="T1656">
        <v>5</v>
      </c>
      <c r="V1656" s="3" t="s">
        <v>107</v>
      </c>
    </row>
    <row r="1657" spans="4:22" ht="17.649999999999999" x14ac:dyDescent="0.5">
      <c r="D1657" s="3" t="s">
        <v>50</v>
      </c>
      <c r="S1657">
        <v>2</v>
      </c>
      <c r="T1657">
        <v>5</v>
      </c>
      <c r="V1657" s="3" t="s">
        <v>107</v>
      </c>
    </row>
    <row r="1658" spans="4:22" ht="17.649999999999999" x14ac:dyDescent="0.5">
      <c r="D1658" s="3" t="s">
        <v>68</v>
      </c>
      <c r="S1658">
        <v>2</v>
      </c>
      <c r="T1658">
        <v>5</v>
      </c>
      <c r="V1658" s="3" t="s">
        <v>107</v>
      </c>
    </row>
    <row r="1659" spans="4:22" ht="17.649999999999999" x14ac:dyDescent="0.5">
      <c r="D1659" s="3" t="s">
        <v>56</v>
      </c>
      <c r="S1659">
        <v>2</v>
      </c>
      <c r="T1659">
        <v>5</v>
      </c>
      <c r="V1659" s="3" t="s">
        <v>107</v>
      </c>
    </row>
    <row r="1660" spans="4:22" ht="17.649999999999999" x14ac:dyDescent="0.5">
      <c r="D1660" s="3" t="s">
        <v>112</v>
      </c>
      <c r="S1660">
        <v>2</v>
      </c>
      <c r="T1660">
        <v>5</v>
      </c>
      <c r="V1660" s="3" t="s">
        <v>107</v>
      </c>
    </row>
    <row r="1661" spans="4:22" ht="17.649999999999999" x14ac:dyDescent="0.5">
      <c r="D1661" s="3" t="s">
        <v>42</v>
      </c>
      <c r="S1661">
        <v>2</v>
      </c>
      <c r="T1661">
        <v>5</v>
      </c>
      <c r="V1661" s="3" t="s">
        <v>107</v>
      </c>
    </row>
    <row r="1662" spans="4:22" ht="17.649999999999999" x14ac:dyDescent="0.5">
      <c r="D1662" s="3" t="s">
        <v>65</v>
      </c>
      <c r="S1662">
        <v>2</v>
      </c>
      <c r="T1662">
        <v>5</v>
      </c>
      <c r="V1662" s="3" t="s">
        <v>107</v>
      </c>
    </row>
    <row r="1663" spans="4:22" ht="17.649999999999999" x14ac:dyDescent="0.5">
      <c r="D1663" s="3" t="s">
        <v>47</v>
      </c>
      <c r="S1663">
        <v>2</v>
      </c>
      <c r="T1663">
        <v>5</v>
      </c>
      <c r="V1663" s="3" t="s">
        <v>107</v>
      </c>
    </row>
    <row r="1664" spans="4:22" ht="17.649999999999999" x14ac:dyDescent="0.5">
      <c r="D1664" s="3" t="s">
        <v>84</v>
      </c>
      <c r="S1664">
        <v>2</v>
      </c>
      <c r="T1664">
        <v>5</v>
      </c>
      <c r="V1664" s="3" t="s">
        <v>107</v>
      </c>
    </row>
    <row r="1665" spans="4:22" ht="17.649999999999999" x14ac:dyDescent="0.5">
      <c r="D1665" s="3" t="s">
        <v>92</v>
      </c>
      <c r="S1665">
        <v>2</v>
      </c>
      <c r="T1665">
        <v>5</v>
      </c>
      <c r="V1665" s="3" t="s">
        <v>107</v>
      </c>
    </row>
    <row r="1666" spans="4:22" ht="17.649999999999999" x14ac:dyDescent="0.5">
      <c r="D1666" s="3" t="s">
        <v>96</v>
      </c>
      <c r="S1666">
        <v>2</v>
      </c>
      <c r="T1666">
        <v>5</v>
      </c>
      <c r="V1666" s="3" t="s">
        <v>107</v>
      </c>
    </row>
    <row r="1667" spans="4:22" ht="17.649999999999999" x14ac:dyDescent="0.5">
      <c r="D1667" s="3" t="s">
        <v>75</v>
      </c>
      <c r="S1667">
        <v>2</v>
      </c>
      <c r="T1667">
        <v>5</v>
      </c>
      <c r="V1667" s="3" t="s">
        <v>107</v>
      </c>
    </row>
    <row r="1668" spans="4:22" ht="17.649999999999999" x14ac:dyDescent="0.5">
      <c r="D1668" s="3" t="s">
        <v>115</v>
      </c>
      <c r="S1668">
        <v>2</v>
      </c>
      <c r="T1668">
        <v>5</v>
      </c>
      <c r="V1668" s="3" t="s">
        <v>107</v>
      </c>
    </row>
    <row r="1669" spans="4:22" ht="17.649999999999999" x14ac:dyDescent="0.5">
      <c r="D1669" s="3" t="s">
        <v>91</v>
      </c>
      <c r="S1669">
        <v>2</v>
      </c>
      <c r="T1669">
        <v>5</v>
      </c>
      <c r="V1669" s="3" t="s">
        <v>107</v>
      </c>
    </row>
    <row r="1670" spans="4:22" ht="17.649999999999999" x14ac:dyDescent="0.5">
      <c r="D1670" s="3" t="s">
        <v>118</v>
      </c>
      <c r="S1670">
        <v>2</v>
      </c>
      <c r="T1670">
        <v>5</v>
      </c>
      <c r="V1670" s="3" t="s">
        <v>107</v>
      </c>
    </row>
    <row r="1671" spans="4:22" ht="17.649999999999999" x14ac:dyDescent="0.5">
      <c r="D1671" s="3" t="s">
        <v>87</v>
      </c>
      <c r="S1671">
        <v>2</v>
      </c>
      <c r="T1671">
        <v>5</v>
      </c>
      <c r="V1671" s="3" t="s">
        <v>107</v>
      </c>
    </row>
    <row r="1672" spans="4:22" ht="17.649999999999999" x14ac:dyDescent="0.5">
      <c r="D1672" s="3" t="s">
        <v>104</v>
      </c>
      <c r="S1672">
        <v>2</v>
      </c>
      <c r="T1672">
        <v>5</v>
      </c>
      <c r="V1672" s="3" t="s">
        <v>107</v>
      </c>
    </row>
    <row r="1673" spans="4:22" ht="17.649999999999999" x14ac:dyDescent="0.5">
      <c r="D1673" s="3" t="s">
        <v>65</v>
      </c>
      <c r="S1673">
        <v>2</v>
      </c>
      <c r="T1673">
        <v>6</v>
      </c>
      <c r="V1673" s="3" t="s">
        <v>102</v>
      </c>
    </row>
    <row r="1674" spans="4:22" ht="17.649999999999999" x14ac:dyDescent="0.5">
      <c r="D1674" s="3" t="s">
        <v>80</v>
      </c>
      <c r="S1674">
        <v>2</v>
      </c>
      <c r="T1674">
        <v>6</v>
      </c>
      <c r="V1674" s="3" t="s">
        <v>102</v>
      </c>
    </row>
    <row r="1675" spans="4:22" ht="17.649999999999999" x14ac:dyDescent="0.5">
      <c r="D1675" s="3" t="s">
        <v>83</v>
      </c>
      <c r="S1675">
        <v>2</v>
      </c>
      <c r="T1675">
        <v>6</v>
      </c>
      <c r="V1675" s="3" t="s">
        <v>102</v>
      </c>
    </row>
    <row r="1676" spans="4:22" ht="17.649999999999999" x14ac:dyDescent="0.5">
      <c r="D1676" s="3" t="s">
        <v>52</v>
      </c>
      <c r="S1676">
        <v>2</v>
      </c>
      <c r="T1676">
        <v>6</v>
      </c>
      <c r="V1676" s="3" t="s">
        <v>102</v>
      </c>
    </row>
    <row r="1677" spans="4:22" ht="17.649999999999999" x14ac:dyDescent="0.5">
      <c r="D1677" s="3" t="s">
        <v>50</v>
      </c>
      <c r="S1677">
        <v>2</v>
      </c>
      <c r="T1677">
        <v>6</v>
      </c>
      <c r="V1677" s="3" t="s">
        <v>102</v>
      </c>
    </row>
    <row r="1678" spans="4:22" ht="17.649999999999999" x14ac:dyDescent="0.5">
      <c r="D1678" s="3" t="s">
        <v>54</v>
      </c>
      <c r="S1678">
        <v>2</v>
      </c>
      <c r="T1678">
        <v>6</v>
      </c>
      <c r="V1678" s="3" t="s">
        <v>102</v>
      </c>
    </row>
    <row r="1679" spans="4:22" ht="17.649999999999999" x14ac:dyDescent="0.5">
      <c r="D1679" s="3" t="s">
        <v>90</v>
      </c>
      <c r="S1679">
        <v>2</v>
      </c>
      <c r="T1679">
        <v>6</v>
      </c>
      <c r="V1679" s="3" t="s">
        <v>102</v>
      </c>
    </row>
    <row r="1680" spans="4:22" ht="17.649999999999999" x14ac:dyDescent="0.5">
      <c r="D1680" s="3" t="s">
        <v>73</v>
      </c>
      <c r="S1680">
        <v>2</v>
      </c>
      <c r="T1680">
        <v>6</v>
      </c>
      <c r="V1680" s="3" t="s">
        <v>129</v>
      </c>
    </row>
    <row r="1681" spans="4:22" ht="17.649999999999999" x14ac:dyDescent="0.5">
      <c r="D1681" s="3" t="s">
        <v>57</v>
      </c>
      <c r="S1681">
        <v>2</v>
      </c>
      <c r="T1681">
        <v>6</v>
      </c>
      <c r="V1681" s="3" t="s">
        <v>129</v>
      </c>
    </row>
    <row r="1682" spans="4:22" ht="17.649999999999999" x14ac:dyDescent="0.5">
      <c r="D1682" s="3" t="s">
        <v>77</v>
      </c>
      <c r="S1682">
        <v>2</v>
      </c>
      <c r="T1682">
        <v>6</v>
      </c>
      <c r="V1682" s="3" t="s">
        <v>129</v>
      </c>
    </row>
    <row r="1683" spans="4:22" ht="17.649999999999999" x14ac:dyDescent="0.5">
      <c r="D1683" s="3" t="s">
        <v>73</v>
      </c>
      <c r="S1683">
        <v>2</v>
      </c>
      <c r="T1683">
        <v>6</v>
      </c>
      <c r="V1683" s="3" t="s">
        <v>129</v>
      </c>
    </row>
    <row r="1684" spans="4:22" ht="17.649999999999999" x14ac:dyDescent="0.5">
      <c r="D1684" s="3" t="s">
        <v>46</v>
      </c>
      <c r="S1684">
        <v>2</v>
      </c>
      <c r="T1684">
        <v>6</v>
      </c>
      <c r="V1684" s="3" t="s">
        <v>129</v>
      </c>
    </row>
    <row r="1685" spans="4:22" ht="17.649999999999999" x14ac:dyDescent="0.5">
      <c r="D1685" s="3" t="s">
        <v>66</v>
      </c>
      <c r="S1685">
        <v>2</v>
      </c>
      <c r="T1685">
        <v>6</v>
      </c>
      <c r="V1685" s="3" t="s">
        <v>129</v>
      </c>
    </row>
    <row r="1686" spans="4:22" ht="17.649999999999999" x14ac:dyDescent="0.5">
      <c r="D1686" s="3" t="s">
        <v>99</v>
      </c>
      <c r="S1686">
        <v>2</v>
      </c>
      <c r="T1686">
        <v>6</v>
      </c>
      <c r="V1686" s="3" t="s">
        <v>129</v>
      </c>
    </row>
    <row r="1687" spans="4:22" ht="17.649999999999999" x14ac:dyDescent="0.5">
      <c r="D1687" s="3" t="s">
        <v>69</v>
      </c>
      <c r="S1687">
        <v>2</v>
      </c>
      <c r="T1687">
        <v>6</v>
      </c>
      <c r="V1687" s="3" t="s">
        <v>50</v>
      </c>
    </row>
    <row r="1688" spans="4:22" ht="17.649999999999999" x14ac:dyDescent="0.5">
      <c r="D1688" s="3" t="s">
        <v>102</v>
      </c>
      <c r="S1688">
        <v>2</v>
      </c>
      <c r="T1688">
        <v>6</v>
      </c>
      <c r="V1688" s="3" t="s">
        <v>50</v>
      </c>
    </row>
    <row r="1689" spans="4:22" ht="17.649999999999999" x14ac:dyDescent="0.5">
      <c r="D1689" s="3" t="s">
        <v>68</v>
      </c>
      <c r="S1689">
        <v>2</v>
      </c>
      <c r="T1689">
        <v>6</v>
      </c>
      <c r="V1689" s="3" t="s">
        <v>50</v>
      </c>
    </row>
    <row r="1690" spans="4:22" ht="17.649999999999999" x14ac:dyDescent="0.5">
      <c r="D1690" s="3" t="s">
        <v>63</v>
      </c>
      <c r="S1690">
        <v>2</v>
      </c>
      <c r="T1690">
        <v>6</v>
      </c>
      <c r="V1690" s="3" t="s">
        <v>50</v>
      </c>
    </row>
    <row r="1691" spans="4:22" ht="17.649999999999999" x14ac:dyDescent="0.5">
      <c r="D1691" s="3" t="s">
        <v>87</v>
      </c>
      <c r="S1691">
        <v>2</v>
      </c>
      <c r="T1691">
        <v>6</v>
      </c>
      <c r="V1691" s="3" t="s">
        <v>50</v>
      </c>
    </row>
    <row r="1692" spans="4:22" ht="17.649999999999999" x14ac:dyDescent="0.5">
      <c r="D1692" s="3" t="s">
        <v>85</v>
      </c>
      <c r="S1692">
        <v>2</v>
      </c>
      <c r="T1692">
        <v>6</v>
      </c>
      <c r="V1692" s="3" t="s">
        <v>50</v>
      </c>
    </row>
    <row r="1693" spans="4:22" ht="17.649999999999999" x14ac:dyDescent="0.5">
      <c r="D1693" s="3" t="s">
        <v>74</v>
      </c>
      <c r="S1693">
        <v>2</v>
      </c>
      <c r="T1693">
        <v>6</v>
      </c>
      <c r="V1693" s="3" t="s">
        <v>50</v>
      </c>
    </row>
    <row r="1694" spans="4:22" ht="17.649999999999999" x14ac:dyDescent="0.5">
      <c r="D1694" s="3" t="s">
        <v>117</v>
      </c>
      <c r="S1694">
        <v>2</v>
      </c>
      <c r="T1694">
        <v>6</v>
      </c>
      <c r="V1694" s="3" t="s">
        <v>50</v>
      </c>
    </row>
    <row r="1695" spans="4:22" ht="17.649999999999999" x14ac:dyDescent="0.5">
      <c r="D1695" s="3" t="s">
        <v>110</v>
      </c>
      <c r="S1695">
        <v>2</v>
      </c>
      <c r="T1695">
        <v>6</v>
      </c>
      <c r="V1695" s="3" t="s">
        <v>50</v>
      </c>
    </row>
    <row r="1696" spans="4:22" ht="17.649999999999999" x14ac:dyDescent="0.5">
      <c r="D1696" s="3" t="s">
        <v>51</v>
      </c>
      <c r="S1696">
        <v>2</v>
      </c>
      <c r="T1696">
        <v>6</v>
      </c>
      <c r="V1696" s="3" t="s">
        <v>50</v>
      </c>
    </row>
    <row r="1697" spans="4:22" ht="17.649999999999999" x14ac:dyDescent="0.5">
      <c r="D1697" s="3" t="s">
        <v>52</v>
      </c>
      <c r="S1697">
        <v>2</v>
      </c>
      <c r="T1697">
        <v>6</v>
      </c>
      <c r="V1697" s="3" t="s">
        <v>50</v>
      </c>
    </row>
    <row r="1698" spans="4:22" ht="17.649999999999999" x14ac:dyDescent="0.5">
      <c r="D1698" s="3" t="s">
        <v>61</v>
      </c>
      <c r="S1698">
        <v>2</v>
      </c>
      <c r="T1698">
        <v>6</v>
      </c>
      <c r="V1698" s="3" t="s">
        <v>50</v>
      </c>
    </row>
    <row r="1699" spans="4:22" ht="17.649999999999999" x14ac:dyDescent="0.5">
      <c r="D1699" s="3" t="s">
        <v>91</v>
      </c>
      <c r="S1699">
        <v>2</v>
      </c>
      <c r="T1699">
        <v>6</v>
      </c>
      <c r="V1699" s="3" t="s">
        <v>50</v>
      </c>
    </row>
    <row r="1700" spans="4:22" ht="17.649999999999999" x14ac:dyDescent="0.5">
      <c r="D1700" s="3" t="s">
        <v>45</v>
      </c>
      <c r="S1700">
        <v>2</v>
      </c>
      <c r="T1700">
        <v>6</v>
      </c>
      <c r="V1700" s="3" t="s">
        <v>50</v>
      </c>
    </row>
    <row r="1701" spans="4:22" ht="17.649999999999999" x14ac:dyDescent="0.5">
      <c r="D1701" s="3" t="s">
        <v>83</v>
      </c>
      <c r="S1701">
        <v>2</v>
      </c>
      <c r="T1701">
        <v>6</v>
      </c>
      <c r="V1701" s="3" t="s">
        <v>50</v>
      </c>
    </row>
    <row r="1702" spans="4:22" ht="17.649999999999999" x14ac:dyDescent="0.5">
      <c r="D1702" s="3" t="s">
        <v>80</v>
      </c>
      <c r="S1702">
        <v>2</v>
      </c>
      <c r="T1702">
        <v>6</v>
      </c>
      <c r="V1702" s="3" t="s">
        <v>50</v>
      </c>
    </row>
    <row r="1703" spans="4:22" ht="17.649999999999999" x14ac:dyDescent="0.5">
      <c r="D1703" s="3" t="s">
        <v>55</v>
      </c>
      <c r="S1703">
        <v>2</v>
      </c>
      <c r="T1703">
        <v>6</v>
      </c>
      <c r="V1703" s="3" t="s">
        <v>50</v>
      </c>
    </row>
    <row r="1704" spans="4:22" ht="17.649999999999999" x14ac:dyDescent="0.5">
      <c r="D1704" s="3" t="s">
        <v>101</v>
      </c>
      <c r="S1704">
        <v>2</v>
      </c>
      <c r="T1704">
        <v>6</v>
      </c>
      <c r="V1704" s="3" t="s">
        <v>50</v>
      </c>
    </row>
    <row r="1705" spans="4:22" ht="17.649999999999999" x14ac:dyDescent="0.5">
      <c r="D1705" s="3" t="s">
        <v>136</v>
      </c>
      <c r="S1705">
        <v>2</v>
      </c>
      <c r="T1705">
        <v>6</v>
      </c>
      <c r="V1705" s="3" t="s">
        <v>50</v>
      </c>
    </row>
    <row r="1706" spans="4:22" ht="17.649999999999999" x14ac:dyDescent="0.5">
      <c r="D1706" s="3" t="s">
        <v>57</v>
      </c>
      <c r="S1706">
        <v>2</v>
      </c>
      <c r="T1706">
        <v>6</v>
      </c>
      <c r="V1706" s="3" t="s">
        <v>50</v>
      </c>
    </row>
    <row r="1707" spans="4:22" ht="17.649999999999999" x14ac:dyDescent="0.5">
      <c r="D1707" s="3" t="s">
        <v>117</v>
      </c>
      <c r="S1707">
        <v>2</v>
      </c>
      <c r="T1707">
        <v>6</v>
      </c>
      <c r="V1707" s="3" t="s">
        <v>50</v>
      </c>
    </row>
    <row r="1708" spans="4:22" ht="17.649999999999999" x14ac:dyDescent="0.5">
      <c r="D1708" s="3" t="s">
        <v>85</v>
      </c>
      <c r="S1708">
        <v>2</v>
      </c>
      <c r="T1708">
        <v>6</v>
      </c>
      <c r="V1708" s="3" t="s">
        <v>50</v>
      </c>
    </row>
    <row r="1709" spans="4:22" ht="17.649999999999999" x14ac:dyDescent="0.5">
      <c r="D1709" s="3" t="s">
        <v>96</v>
      </c>
      <c r="S1709">
        <v>2</v>
      </c>
      <c r="T1709">
        <v>6</v>
      </c>
      <c r="V1709" s="3" t="s">
        <v>50</v>
      </c>
    </row>
    <row r="1710" spans="4:22" ht="17.649999999999999" x14ac:dyDescent="0.5">
      <c r="D1710" s="3" t="s">
        <v>112</v>
      </c>
      <c r="S1710">
        <v>2</v>
      </c>
      <c r="T1710">
        <v>6</v>
      </c>
      <c r="V1710" s="3" t="s">
        <v>50</v>
      </c>
    </row>
    <row r="1711" spans="4:22" ht="17.649999999999999" x14ac:dyDescent="0.5">
      <c r="D1711" s="3" t="s">
        <v>83</v>
      </c>
      <c r="S1711">
        <v>2</v>
      </c>
      <c r="T1711">
        <v>6</v>
      </c>
      <c r="V1711" s="3" t="s">
        <v>50</v>
      </c>
    </row>
    <row r="1712" spans="4:22" ht="17.649999999999999" x14ac:dyDescent="0.5">
      <c r="D1712" s="3" t="s">
        <v>54</v>
      </c>
      <c r="S1712">
        <v>2</v>
      </c>
      <c r="T1712">
        <v>6</v>
      </c>
      <c r="V1712" s="3" t="s">
        <v>50</v>
      </c>
    </row>
    <row r="1713" spans="4:22" ht="17.649999999999999" x14ac:dyDescent="0.5">
      <c r="D1713" s="3" t="s">
        <v>71</v>
      </c>
      <c r="S1713">
        <v>2</v>
      </c>
      <c r="T1713">
        <v>6</v>
      </c>
      <c r="V1713" s="3" t="s">
        <v>50</v>
      </c>
    </row>
    <row r="1714" spans="4:22" ht="17.649999999999999" x14ac:dyDescent="0.5">
      <c r="D1714" s="3" t="s">
        <v>61</v>
      </c>
      <c r="S1714">
        <v>2</v>
      </c>
      <c r="T1714">
        <v>6</v>
      </c>
      <c r="V1714" s="3" t="s">
        <v>50</v>
      </c>
    </row>
    <row r="1715" spans="4:22" ht="17.649999999999999" x14ac:dyDescent="0.5">
      <c r="D1715" s="3" t="s">
        <v>107</v>
      </c>
      <c r="S1715">
        <v>2</v>
      </c>
      <c r="T1715">
        <v>6</v>
      </c>
      <c r="V1715" s="3" t="s">
        <v>50</v>
      </c>
    </row>
    <row r="1716" spans="4:22" ht="17.649999999999999" x14ac:dyDescent="0.5">
      <c r="D1716" s="3" t="s">
        <v>75</v>
      </c>
      <c r="S1716">
        <v>2</v>
      </c>
      <c r="T1716">
        <v>6</v>
      </c>
      <c r="V1716" s="3" t="s">
        <v>50</v>
      </c>
    </row>
    <row r="1717" spans="4:22" ht="17.649999999999999" x14ac:dyDescent="0.5">
      <c r="D1717" s="3" t="s">
        <v>83</v>
      </c>
      <c r="S1717">
        <v>2</v>
      </c>
      <c r="T1717">
        <v>6</v>
      </c>
      <c r="V1717" s="3" t="s">
        <v>50</v>
      </c>
    </row>
    <row r="1718" spans="4:22" ht="17.649999999999999" x14ac:dyDescent="0.5">
      <c r="D1718" s="3" t="s">
        <v>67</v>
      </c>
      <c r="S1718">
        <v>2</v>
      </c>
      <c r="T1718">
        <v>6</v>
      </c>
      <c r="V1718" s="3" t="s">
        <v>50</v>
      </c>
    </row>
    <row r="1719" spans="4:22" ht="17.649999999999999" x14ac:dyDescent="0.5">
      <c r="D1719" s="3" t="s">
        <v>70</v>
      </c>
      <c r="S1719">
        <v>2</v>
      </c>
      <c r="T1719">
        <v>6</v>
      </c>
      <c r="V1719" s="3" t="s">
        <v>50</v>
      </c>
    </row>
    <row r="1720" spans="4:22" ht="17.649999999999999" x14ac:dyDescent="0.5">
      <c r="D1720" s="3" t="s">
        <v>105</v>
      </c>
      <c r="S1720">
        <v>2</v>
      </c>
      <c r="T1720">
        <v>6</v>
      </c>
      <c r="V1720" s="3" t="s">
        <v>59</v>
      </c>
    </row>
    <row r="1721" spans="4:22" ht="17.649999999999999" x14ac:dyDescent="0.5">
      <c r="D1721" s="3" t="s">
        <v>130</v>
      </c>
      <c r="S1721">
        <v>2</v>
      </c>
      <c r="T1721">
        <v>6</v>
      </c>
      <c r="V1721" s="3" t="s">
        <v>59</v>
      </c>
    </row>
    <row r="1722" spans="4:22" ht="17.649999999999999" x14ac:dyDescent="0.5">
      <c r="D1722" s="3" t="s">
        <v>75</v>
      </c>
      <c r="S1722">
        <v>2</v>
      </c>
      <c r="T1722">
        <v>6</v>
      </c>
      <c r="V1722" s="3" t="s">
        <v>59</v>
      </c>
    </row>
    <row r="1723" spans="4:22" ht="17.649999999999999" x14ac:dyDescent="0.5">
      <c r="D1723" s="3" t="s">
        <v>121</v>
      </c>
      <c r="S1723">
        <v>2</v>
      </c>
      <c r="T1723">
        <v>6</v>
      </c>
      <c r="V1723" s="3" t="s">
        <v>59</v>
      </c>
    </row>
    <row r="1724" spans="4:22" ht="17.649999999999999" x14ac:dyDescent="0.5">
      <c r="D1724" s="3" t="s">
        <v>48</v>
      </c>
      <c r="S1724">
        <v>2</v>
      </c>
      <c r="T1724">
        <v>6</v>
      </c>
      <c r="V1724" s="3" t="s">
        <v>59</v>
      </c>
    </row>
    <row r="1725" spans="4:22" ht="17.649999999999999" x14ac:dyDescent="0.5">
      <c r="D1725" s="3" t="s">
        <v>57</v>
      </c>
      <c r="S1725">
        <v>2</v>
      </c>
      <c r="T1725">
        <v>6</v>
      </c>
      <c r="V1725" s="3" t="s">
        <v>59</v>
      </c>
    </row>
    <row r="1726" spans="4:22" ht="17.649999999999999" x14ac:dyDescent="0.5">
      <c r="D1726" s="3" t="s">
        <v>85</v>
      </c>
      <c r="S1726">
        <v>2</v>
      </c>
      <c r="T1726">
        <v>6</v>
      </c>
      <c r="V1726" s="3" t="s">
        <v>59</v>
      </c>
    </row>
    <row r="1727" spans="4:22" ht="17.649999999999999" x14ac:dyDescent="0.5">
      <c r="D1727" s="3" t="s">
        <v>61</v>
      </c>
      <c r="S1727">
        <v>2</v>
      </c>
      <c r="T1727">
        <v>6</v>
      </c>
      <c r="V1727" s="3" t="s">
        <v>59</v>
      </c>
    </row>
    <row r="1728" spans="4:22" ht="17.649999999999999" x14ac:dyDescent="0.5">
      <c r="D1728" s="3" t="s">
        <v>112</v>
      </c>
      <c r="S1728">
        <v>2</v>
      </c>
      <c r="T1728">
        <v>6</v>
      </c>
      <c r="V1728" s="3" t="s">
        <v>59</v>
      </c>
    </row>
    <row r="1729" spans="4:22" ht="17.649999999999999" x14ac:dyDescent="0.5">
      <c r="D1729" s="3" t="s">
        <v>94</v>
      </c>
      <c r="S1729">
        <v>2</v>
      </c>
      <c r="T1729">
        <v>6</v>
      </c>
      <c r="V1729" s="3" t="s">
        <v>59</v>
      </c>
    </row>
    <row r="1730" spans="4:22" ht="17.649999999999999" x14ac:dyDescent="0.5">
      <c r="D1730" s="3" t="s">
        <v>75</v>
      </c>
      <c r="S1730">
        <v>2</v>
      </c>
      <c r="T1730">
        <v>6</v>
      </c>
      <c r="V1730" s="3" t="s">
        <v>59</v>
      </c>
    </row>
    <row r="1731" spans="4:22" ht="17.649999999999999" x14ac:dyDescent="0.5">
      <c r="D1731" s="3" t="s">
        <v>41</v>
      </c>
      <c r="S1731">
        <v>2</v>
      </c>
      <c r="T1731">
        <v>6</v>
      </c>
      <c r="V1731" s="3" t="s">
        <v>59</v>
      </c>
    </row>
    <row r="1732" spans="4:22" ht="17.649999999999999" x14ac:dyDescent="0.5">
      <c r="D1732" s="3" t="s">
        <v>74</v>
      </c>
      <c r="S1732">
        <v>2</v>
      </c>
      <c r="T1732">
        <v>6</v>
      </c>
      <c r="V1732" s="3" t="s">
        <v>59</v>
      </c>
    </row>
    <row r="1733" spans="4:22" ht="17.649999999999999" x14ac:dyDescent="0.5">
      <c r="D1733" s="3" t="s">
        <v>56</v>
      </c>
      <c r="S1733">
        <v>2</v>
      </c>
      <c r="T1733">
        <v>6</v>
      </c>
      <c r="V1733" s="3" t="s">
        <v>59</v>
      </c>
    </row>
    <row r="1734" spans="4:22" ht="17.649999999999999" x14ac:dyDescent="0.5">
      <c r="D1734" s="3" t="s">
        <v>111</v>
      </c>
      <c r="S1734">
        <v>2</v>
      </c>
      <c r="T1734">
        <v>6</v>
      </c>
      <c r="V1734" s="3" t="s">
        <v>59</v>
      </c>
    </row>
    <row r="1735" spans="4:22" ht="17.649999999999999" x14ac:dyDescent="0.5">
      <c r="D1735" s="3" t="s">
        <v>83</v>
      </c>
      <c r="S1735">
        <v>2</v>
      </c>
      <c r="T1735">
        <v>6</v>
      </c>
      <c r="V1735" s="3" t="s">
        <v>59</v>
      </c>
    </row>
    <row r="1736" spans="4:22" ht="17.649999999999999" x14ac:dyDescent="0.5">
      <c r="D1736" s="3" t="s">
        <v>75</v>
      </c>
      <c r="S1736">
        <v>2</v>
      </c>
      <c r="T1736">
        <v>6</v>
      </c>
      <c r="V1736" s="3" t="s">
        <v>59</v>
      </c>
    </row>
    <row r="1737" spans="4:22" ht="17.649999999999999" x14ac:dyDescent="0.5">
      <c r="D1737" s="3" t="s">
        <v>59</v>
      </c>
      <c r="S1737">
        <v>2</v>
      </c>
      <c r="T1737">
        <v>6</v>
      </c>
      <c r="V1737" s="3" t="s">
        <v>59</v>
      </c>
    </row>
    <row r="1738" spans="4:22" ht="17.649999999999999" x14ac:dyDescent="0.5">
      <c r="D1738" s="3" t="s">
        <v>41</v>
      </c>
      <c r="S1738">
        <v>2</v>
      </c>
      <c r="T1738">
        <v>6</v>
      </c>
      <c r="V1738" s="3" t="s">
        <v>59</v>
      </c>
    </row>
    <row r="1739" spans="4:22" ht="17.649999999999999" x14ac:dyDescent="0.5">
      <c r="D1739" s="3" t="s">
        <v>130</v>
      </c>
      <c r="S1739">
        <v>2</v>
      </c>
      <c r="T1739">
        <v>6</v>
      </c>
      <c r="V1739" s="3" t="s">
        <v>59</v>
      </c>
    </row>
    <row r="1740" spans="4:22" ht="17.649999999999999" x14ac:dyDescent="0.5">
      <c r="D1740" s="3" t="s">
        <v>56</v>
      </c>
      <c r="S1740">
        <v>2</v>
      </c>
      <c r="T1740">
        <v>6</v>
      </c>
      <c r="V1740" s="3" t="s">
        <v>59</v>
      </c>
    </row>
    <row r="1741" spans="4:22" ht="17.649999999999999" x14ac:dyDescent="0.5">
      <c r="D1741" s="3" t="s">
        <v>83</v>
      </c>
      <c r="S1741">
        <v>2</v>
      </c>
      <c r="T1741">
        <v>6</v>
      </c>
      <c r="V1741" s="3" t="s">
        <v>59</v>
      </c>
    </row>
    <row r="1742" spans="4:22" ht="17.649999999999999" x14ac:dyDescent="0.5">
      <c r="D1742" s="3" t="s">
        <v>66</v>
      </c>
      <c r="S1742">
        <v>2</v>
      </c>
      <c r="T1742">
        <v>6</v>
      </c>
      <c r="V1742" s="3" t="s">
        <v>59</v>
      </c>
    </row>
    <row r="1743" spans="4:22" ht="17.649999999999999" x14ac:dyDescent="0.5">
      <c r="D1743" s="3" t="s">
        <v>58</v>
      </c>
      <c r="S1743">
        <v>2</v>
      </c>
      <c r="T1743">
        <v>6</v>
      </c>
      <c r="V1743" s="3" t="s">
        <v>59</v>
      </c>
    </row>
    <row r="1744" spans="4:22" ht="17.649999999999999" x14ac:dyDescent="0.5">
      <c r="D1744" s="3" t="s">
        <v>81</v>
      </c>
      <c r="S1744">
        <v>2</v>
      </c>
      <c r="T1744">
        <v>6</v>
      </c>
      <c r="V1744" s="3" t="s">
        <v>59</v>
      </c>
    </row>
    <row r="1745" spans="4:22" ht="17.649999999999999" x14ac:dyDescent="0.5">
      <c r="D1745" s="3" t="s">
        <v>77</v>
      </c>
      <c r="S1745">
        <v>2</v>
      </c>
      <c r="T1745">
        <v>6</v>
      </c>
      <c r="V1745" s="3" t="s">
        <v>59</v>
      </c>
    </row>
    <row r="1746" spans="4:22" ht="17.649999999999999" x14ac:dyDescent="0.5">
      <c r="D1746" s="3" t="s">
        <v>44</v>
      </c>
      <c r="S1746">
        <v>2</v>
      </c>
      <c r="T1746">
        <v>6</v>
      </c>
      <c r="V1746" s="3" t="s">
        <v>59</v>
      </c>
    </row>
    <row r="1747" spans="4:22" ht="17.649999999999999" x14ac:dyDescent="0.5">
      <c r="D1747" s="3" t="s">
        <v>91</v>
      </c>
      <c r="S1747">
        <v>2</v>
      </c>
      <c r="T1747">
        <v>6</v>
      </c>
      <c r="V1747" s="3" t="s">
        <v>59</v>
      </c>
    </row>
    <row r="1748" spans="4:22" ht="17.649999999999999" x14ac:dyDescent="0.5">
      <c r="D1748" s="3" t="s">
        <v>112</v>
      </c>
      <c r="S1748">
        <v>2</v>
      </c>
      <c r="T1748">
        <v>6</v>
      </c>
      <c r="V1748" s="3" t="s">
        <v>59</v>
      </c>
    </row>
    <row r="1749" spans="4:22" ht="17.649999999999999" x14ac:dyDescent="0.5">
      <c r="D1749" s="3" t="s">
        <v>70</v>
      </c>
      <c r="S1749">
        <v>2</v>
      </c>
      <c r="T1749">
        <v>6</v>
      </c>
      <c r="V1749" s="3" t="s">
        <v>59</v>
      </c>
    </row>
    <row r="1750" spans="4:22" ht="17.649999999999999" x14ac:dyDescent="0.5">
      <c r="D1750" s="3" t="s">
        <v>88</v>
      </c>
      <c r="S1750">
        <v>2</v>
      </c>
      <c r="T1750">
        <v>6</v>
      </c>
      <c r="V1750" s="3" t="s">
        <v>59</v>
      </c>
    </row>
    <row r="1751" spans="4:22" ht="17.649999999999999" x14ac:dyDescent="0.5">
      <c r="D1751" s="3" t="s">
        <v>63</v>
      </c>
      <c r="S1751">
        <v>2</v>
      </c>
      <c r="T1751">
        <v>6</v>
      </c>
      <c r="V1751" s="3" t="s">
        <v>59</v>
      </c>
    </row>
    <row r="1752" spans="4:22" ht="17.649999999999999" x14ac:dyDescent="0.5">
      <c r="D1752" s="3" t="s">
        <v>66</v>
      </c>
      <c r="S1752">
        <v>2</v>
      </c>
      <c r="T1752">
        <v>6</v>
      </c>
      <c r="V1752" s="3" t="s">
        <v>59</v>
      </c>
    </row>
    <row r="1753" spans="4:22" ht="17.649999999999999" x14ac:dyDescent="0.5">
      <c r="D1753" s="3" t="s">
        <v>130</v>
      </c>
      <c r="S1753">
        <v>2</v>
      </c>
      <c r="T1753">
        <v>6</v>
      </c>
      <c r="V1753" s="3" t="s">
        <v>59</v>
      </c>
    </row>
    <row r="1754" spans="4:22" ht="17.649999999999999" x14ac:dyDescent="0.5">
      <c r="D1754" s="3" t="s">
        <v>106</v>
      </c>
      <c r="S1754">
        <v>2</v>
      </c>
      <c r="T1754">
        <v>6</v>
      </c>
      <c r="V1754" s="3" t="s">
        <v>59</v>
      </c>
    </row>
    <row r="1755" spans="4:22" ht="17.649999999999999" x14ac:dyDescent="0.5">
      <c r="D1755" s="3" t="s">
        <v>46</v>
      </c>
      <c r="S1755">
        <v>2</v>
      </c>
      <c r="T1755">
        <v>7</v>
      </c>
      <c r="V1755" s="3" t="s">
        <v>100</v>
      </c>
    </row>
    <row r="1756" spans="4:22" ht="17.649999999999999" x14ac:dyDescent="0.5">
      <c r="D1756" s="3" t="s">
        <v>99</v>
      </c>
      <c r="S1756">
        <v>2</v>
      </c>
      <c r="T1756">
        <v>7</v>
      </c>
      <c r="V1756" s="3" t="s">
        <v>100</v>
      </c>
    </row>
    <row r="1757" spans="4:22" ht="17.649999999999999" x14ac:dyDescent="0.5">
      <c r="D1757" s="3" t="s">
        <v>87</v>
      </c>
      <c r="S1757">
        <v>2</v>
      </c>
      <c r="T1757">
        <v>7</v>
      </c>
      <c r="V1757" s="3" t="s">
        <v>100</v>
      </c>
    </row>
    <row r="1758" spans="4:22" ht="17.649999999999999" x14ac:dyDescent="0.5">
      <c r="D1758" s="3" t="s">
        <v>85</v>
      </c>
      <c r="S1758">
        <v>2</v>
      </c>
      <c r="T1758">
        <v>7</v>
      </c>
      <c r="V1758" s="3" t="s">
        <v>100</v>
      </c>
    </row>
    <row r="1759" spans="4:22" ht="17.649999999999999" x14ac:dyDescent="0.5">
      <c r="D1759" s="3" t="s">
        <v>96</v>
      </c>
      <c r="S1759">
        <v>2</v>
      </c>
      <c r="T1759">
        <v>7</v>
      </c>
      <c r="V1759" s="3" t="s">
        <v>100</v>
      </c>
    </row>
    <row r="1760" spans="4:22" ht="17.649999999999999" x14ac:dyDescent="0.5">
      <c r="D1760" s="3" t="s">
        <v>67</v>
      </c>
      <c r="S1760">
        <v>2</v>
      </c>
      <c r="T1760">
        <v>7</v>
      </c>
      <c r="V1760" s="3" t="s">
        <v>100</v>
      </c>
    </row>
    <row r="1761" spans="4:22" ht="17.649999999999999" x14ac:dyDescent="0.5">
      <c r="D1761" s="3" t="s">
        <v>105</v>
      </c>
      <c r="S1761">
        <v>2</v>
      </c>
      <c r="T1761">
        <v>7</v>
      </c>
      <c r="V1761" s="3" t="s">
        <v>100</v>
      </c>
    </row>
    <row r="1762" spans="4:22" ht="17.649999999999999" x14ac:dyDescent="0.5">
      <c r="D1762" s="3" t="s">
        <v>50</v>
      </c>
      <c r="S1762">
        <v>2</v>
      </c>
      <c r="T1762">
        <v>7</v>
      </c>
      <c r="V1762" s="3" t="s">
        <v>100</v>
      </c>
    </row>
    <row r="1763" spans="4:22" ht="17.649999999999999" x14ac:dyDescent="0.5">
      <c r="D1763" s="3" t="s">
        <v>64</v>
      </c>
      <c r="S1763">
        <v>2</v>
      </c>
      <c r="T1763">
        <v>7</v>
      </c>
      <c r="V1763" s="3" t="s">
        <v>136</v>
      </c>
    </row>
    <row r="1764" spans="4:22" ht="17.649999999999999" x14ac:dyDescent="0.5">
      <c r="D1764" s="3" t="s">
        <v>115</v>
      </c>
      <c r="S1764">
        <v>2</v>
      </c>
      <c r="T1764">
        <v>7</v>
      </c>
      <c r="V1764" s="3" t="s">
        <v>136</v>
      </c>
    </row>
    <row r="1765" spans="4:22" ht="17.649999999999999" x14ac:dyDescent="0.5">
      <c r="D1765" s="3" t="s">
        <v>95</v>
      </c>
      <c r="S1765">
        <v>2</v>
      </c>
      <c r="T1765">
        <v>7</v>
      </c>
      <c r="V1765" s="3" t="s">
        <v>136</v>
      </c>
    </row>
    <row r="1766" spans="4:22" ht="17.649999999999999" x14ac:dyDescent="0.5">
      <c r="D1766" s="3" t="s">
        <v>73</v>
      </c>
      <c r="S1766">
        <v>2</v>
      </c>
      <c r="T1766">
        <v>7</v>
      </c>
      <c r="V1766" s="3" t="s">
        <v>83</v>
      </c>
    </row>
    <row r="1767" spans="4:22" ht="17.649999999999999" x14ac:dyDescent="0.5">
      <c r="D1767" s="3" t="s">
        <v>66</v>
      </c>
      <c r="S1767">
        <v>2</v>
      </c>
      <c r="T1767">
        <v>7</v>
      </c>
      <c r="V1767" s="3" t="s">
        <v>83</v>
      </c>
    </row>
    <row r="1768" spans="4:22" ht="17.649999999999999" x14ac:dyDescent="0.5">
      <c r="D1768" s="3" t="s">
        <v>83</v>
      </c>
      <c r="S1768">
        <v>2</v>
      </c>
      <c r="T1768">
        <v>7</v>
      </c>
      <c r="V1768" s="3" t="s">
        <v>83</v>
      </c>
    </row>
    <row r="1769" spans="4:22" ht="17.649999999999999" x14ac:dyDescent="0.5">
      <c r="D1769" s="3" t="s">
        <v>79</v>
      </c>
      <c r="S1769">
        <v>2</v>
      </c>
      <c r="T1769">
        <v>7</v>
      </c>
      <c r="V1769" s="3" t="s">
        <v>83</v>
      </c>
    </row>
    <row r="1770" spans="4:22" ht="17.649999999999999" x14ac:dyDescent="0.5">
      <c r="D1770" s="3" t="s">
        <v>50</v>
      </c>
      <c r="S1770">
        <v>2</v>
      </c>
      <c r="T1770">
        <v>7</v>
      </c>
      <c r="V1770" s="3" t="s">
        <v>83</v>
      </c>
    </row>
    <row r="1771" spans="4:22" ht="17.649999999999999" x14ac:dyDescent="0.5">
      <c r="D1771" s="3" t="s">
        <v>107</v>
      </c>
      <c r="S1771">
        <v>2</v>
      </c>
      <c r="T1771">
        <v>7</v>
      </c>
      <c r="V1771" s="3" t="s">
        <v>83</v>
      </c>
    </row>
    <row r="1772" spans="4:22" ht="17.649999999999999" x14ac:dyDescent="0.5">
      <c r="D1772" s="3" t="s">
        <v>103</v>
      </c>
      <c r="S1772">
        <v>2</v>
      </c>
      <c r="T1772">
        <v>7</v>
      </c>
      <c r="V1772" s="3" t="s">
        <v>83</v>
      </c>
    </row>
    <row r="1773" spans="4:22" ht="17.649999999999999" x14ac:dyDescent="0.5">
      <c r="D1773" s="3" t="s">
        <v>88</v>
      </c>
      <c r="S1773">
        <v>2</v>
      </c>
      <c r="T1773">
        <v>7</v>
      </c>
      <c r="V1773" s="3" t="s">
        <v>83</v>
      </c>
    </row>
    <row r="1774" spans="4:22" ht="17.649999999999999" x14ac:dyDescent="0.5">
      <c r="D1774" s="3" t="s">
        <v>65</v>
      </c>
      <c r="S1774">
        <v>2</v>
      </c>
      <c r="T1774">
        <v>7</v>
      </c>
      <c r="V1774" s="3" t="s">
        <v>83</v>
      </c>
    </row>
    <row r="1775" spans="4:22" ht="17.649999999999999" x14ac:dyDescent="0.5">
      <c r="D1775" s="3" t="s">
        <v>77</v>
      </c>
      <c r="S1775">
        <v>2</v>
      </c>
      <c r="T1775">
        <v>7</v>
      </c>
      <c r="V1775" s="3" t="s">
        <v>83</v>
      </c>
    </row>
    <row r="1776" spans="4:22" ht="17.649999999999999" x14ac:dyDescent="0.5">
      <c r="D1776" s="3" t="s">
        <v>101</v>
      </c>
      <c r="S1776">
        <v>2</v>
      </c>
      <c r="T1776">
        <v>7</v>
      </c>
      <c r="V1776" s="3" t="s">
        <v>83</v>
      </c>
    </row>
    <row r="1777" spans="4:22" ht="17.649999999999999" x14ac:dyDescent="0.5">
      <c r="D1777" s="3" t="s">
        <v>105</v>
      </c>
      <c r="S1777">
        <v>2</v>
      </c>
      <c r="T1777">
        <v>7</v>
      </c>
      <c r="V1777" s="3" t="s">
        <v>83</v>
      </c>
    </row>
    <row r="1778" spans="4:22" ht="17.649999999999999" x14ac:dyDescent="0.5">
      <c r="D1778" s="3" t="s">
        <v>57</v>
      </c>
      <c r="S1778">
        <v>2</v>
      </c>
      <c r="T1778">
        <v>7</v>
      </c>
      <c r="V1778" s="3" t="s">
        <v>83</v>
      </c>
    </row>
    <row r="1779" spans="4:22" ht="17.649999999999999" x14ac:dyDescent="0.5">
      <c r="D1779" s="3" t="s">
        <v>116</v>
      </c>
      <c r="S1779">
        <v>2</v>
      </c>
      <c r="T1779">
        <v>7</v>
      </c>
      <c r="V1779" s="3" t="s">
        <v>83</v>
      </c>
    </row>
    <row r="1780" spans="4:22" ht="17.649999999999999" x14ac:dyDescent="0.5">
      <c r="D1780" s="3" t="s">
        <v>90</v>
      </c>
      <c r="S1780">
        <v>2</v>
      </c>
      <c r="T1780">
        <v>7</v>
      </c>
      <c r="V1780" s="3" t="s">
        <v>83</v>
      </c>
    </row>
    <row r="1781" spans="4:22" ht="17.649999999999999" x14ac:dyDescent="0.5">
      <c r="D1781" s="3" t="s">
        <v>77</v>
      </c>
      <c r="S1781">
        <v>2</v>
      </c>
      <c r="T1781">
        <v>7</v>
      </c>
      <c r="V1781" s="3" t="s">
        <v>83</v>
      </c>
    </row>
    <row r="1782" spans="4:22" ht="17.649999999999999" x14ac:dyDescent="0.5">
      <c r="D1782" s="3" t="s">
        <v>69</v>
      </c>
      <c r="S1782">
        <v>2</v>
      </c>
      <c r="T1782">
        <v>7</v>
      </c>
      <c r="V1782" s="3" t="s">
        <v>83</v>
      </c>
    </row>
    <row r="1783" spans="4:22" ht="17.649999999999999" x14ac:dyDescent="0.5">
      <c r="D1783" s="3" t="s">
        <v>46</v>
      </c>
      <c r="S1783">
        <v>2</v>
      </c>
      <c r="T1783">
        <v>7</v>
      </c>
      <c r="V1783" s="3" t="s">
        <v>83</v>
      </c>
    </row>
    <row r="1784" spans="4:22" ht="17.649999999999999" x14ac:dyDescent="0.5">
      <c r="D1784" s="3" t="s">
        <v>73</v>
      </c>
      <c r="S1784">
        <v>2</v>
      </c>
      <c r="T1784">
        <v>7</v>
      </c>
      <c r="V1784" s="3" t="s">
        <v>83</v>
      </c>
    </row>
    <row r="1785" spans="4:22" ht="17.649999999999999" x14ac:dyDescent="0.5">
      <c r="D1785" s="3" t="s">
        <v>54</v>
      </c>
      <c r="S1785">
        <v>2</v>
      </c>
      <c r="T1785">
        <v>7</v>
      </c>
      <c r="V1785" s="3" t="s">
        <v>83</v>
      </c>
    </row>
    <row r="1786" spans="4:22" ht="17.649999999999999" x14ac:dyDescent="0.5">
      <c r="D1786" s="3" t="s">
        <v>50</v>
      </c>
      <c r="S1786">
        <v>2</v>
      </c>
      <c r="T1786">
        <v>7</v>
      </c>
      <c r="V1786" s="3" t="s">
        <v>83</v>
      </c>
    </row>
    <row r="1787" spans="4:22" ht="17.649999999999999" x14ac:dyDescent="0.5">
      <c r="D1787" s="3" t="s">
        <v>94</v>
      </c>
      <c r="S1787">
        <v>2</v>
      </c>
      <c r="T1787">
        <v>7</v>
      </c>
      <c r="V1787" s="3" t="s">
        <v>83</v>
      </c>
    </row>
    <row r="1788" spans="4:22" ht="17.649999999999999" x14ac:dyDescent="0.5">
      <c r="D1788" s="3" t="s">
        <v>62</v>
      </c>
      <c r="S1788">
        <v>2</v>
      </c>
      <c r="T1788">
        <v>7</v>
      </c>
      <c r="V1788" s="3" t="s">
        <v>83</v>
      </c>
    </row>
    <row r="1789" spans="4:22" ht="17.649999999999999" x14ac:dyDescent="0.5">
      <c r="D1789" s="3" t="s">
        <v>55</v>
      </c>
      <c r="S1789">
        <v>2</v>
      </c>
      <c r="T1789">
        <v>7</v>
      </c>
      <c r="V1789" s="3" t="s">
        <v>83</v>
      </c>
    </row>
    <row r="1790" spans="4:22" ht="17.649999999999999" x14ac:dyDescent="0.5">
      <c r="D1790" s="3" t="s">
        <v>133</v>
      </c>
      <c r="S1790">
        <v>2</v>
      </c>
      <c r="T1790">
        <v>7</v>
      </c>
      <c r="V1790" s="3" t="s">
        <v>83</v>
      </c>
    </row>
    <row r="1791" spans="4:22" ht="17.649999999999999" x14ac:dyDescent="0.5">
      <c r="D1791" s="3" t="s">
        <v>79</v>
      </c>
      <c r="S1791">
        <v>2</v>
      </c>
      <c r="T1791">
        <v>7</v>
      </c>
      <c r="V1791" s="3" t="s">
        <v>83</v>
      </c>
    </row>
    <row r="1792" spans="4:22" ht="17.649999999999999" x14ac:dyDescent="0.5">
      <c r="D1792" s="3" t="s">
        <v>96</v>
      </c>
      <c r="S1792">
        <v>2</v>
      </c>
      <c r="T1792">
        <v>7</v>
      </c>
      <c r="V1792" s="3" t="s">
        <v>83</v>
      </c>
    </row>
    <row r="1793" spans="4:22" ht="17.649999999999999" x14ac:dyDescent="0.5">
      <c r="D1793" s="3" t="s">
        <v>52</v>
      </c>
      <c r="S1793">
        <v>2</v>
      </c>
      <c r="T1793">
        <v>7</v>
      </c>
      <c r="V1793" s="3" t="s">
        <v>83</v>
      </c>
    </row>
    <row r="1794" spans="4:22" ht="17.649999999999999" x14ac:dyDescent="0.5">
      <c r="D1794" s="3" t="s">
        <v>75</v>
      </c>
      <c r="S1794">
        <v>2</v>
      </c>
      <c r="T1794">
        <v>7</v>
      </c>
      <c r="V1794" s="3" t="s">
        <v>83</v>
      </c>
    </row>
    <row r="1795" spans="4:22" ht="17.649999999999999" x14ac:dyDescent="0.5">
      <c r="D1795" s="3" t="s">
        <v>78</v>
      </c>
      <c r="S1795">
        <v>2</v>
      </c>
      <c r="T1795">
        <v>7</v>
      </c>
      <c r="V1795" s="3" t="s">
        <v>83</v>
      </c>
    </row>
    <row r="1796" spans="4:22" ht="17.649999999999999" x14ac:dyDescent="0.5">
      <c r="D1796" s="3" t="s">
        <v>101</v>
      </c>
      <c r="S1796">
        <v>2</v>
      </c>
      <c r="T1796">
        <v>7</v>
      </c>
      <c r="V1796" s="3" t="s">
        <v>83</v>
      </c>
    </row>
    <row r="1797" spans="4:22" ht="17.649999999999999" x14ac:dyDescent="0.5">
      <c r="D1797" s="3" t="s">
        <v>61</v>
      </c>
      <c r="S1797">
        <v>2</v>
      </c>
      <c r="T1797">
        <v>7</v>
      </c>
      <c r="V1797" s="3" t="s">
        <v>83</v>
      </c>
    </row>
    <row r="1798" spans="4:22" ht="17.649999999999999" x14ac:dyDescent="0.5">
      <c r="D1798" s="3" t="s">
        <v>74</v>
      </c>
      <c r="S1798">
        <v>2</v>
      </c>
      <c r="T1798">
        <v>7</v>
      </c>
      <c r="V1798" s="3" t="s">
        <v>83</v>
      </c>
    </row>
    <row r="1799" spans="4:22" ht="17.649999999999999" x14ac:dyDescent="0.5">
      <c r="D1799" s="3" t="s">
        <v>126</v>
      </c>
      <c r="S1799">
        <v>2</v>
      </c>
      <c r="T1799">
        <v>7</v>
      </c>
      <c r="V1799" s="3" t="s">
        <v>83</v>
      </c>
    </row>
    <row r="1800" spans="4:22" ht="17.649999999999999" x14ac:dyDescent="0.5">
      <c r="D1800" s="3" t="s">
        <v>41</v>
      </c>
      <c r="S1800">
        <v>2</v>
      </c>
      <c r="T1800">
        <v>7</v>
      </c>
      <c r="V1800" s="3" t="s">
        <v>83</v>
      </c>
    </row>
    <row r="1801" spans="4:22" ht="17.649999999999999" x14ac:dyDescent="0.5">
      <c r="D1801" s="3" t="s">
        <v>81</v>
      </c>
      <c r="S1801">
        <v>2</v>
      </c>
      <c r="T1801">
        <v>7</v>
      </c>
      <c r="V1801" s="3" t="s">
        <v>83</v>
      </c>
    </row>
    <row r="1802" spans="4:22" ht="17.649999999999999" x14ac:dyDescent="0.5">
      <c r="D1802" s="3" t="s">
        <v>59</v>
      </c>
      <c r="S1802">
        <v>2</v>
      </c>
      <c r="T1802">
        <v>7</v>
      </c>
      <c r="V1802" s="3" t="s">
        <v>83</v>
      </c>
    </row>
    <row r="1803" spans="4:22" ht="17.649999999999999" x14ac:dyDescent="0.5">
      <c r="D1803" s="3" t="s">
        <v>117</v>
      </c>
      <c r="S1803">
        <v>2</v>
      </c>
      <c r="T1803">
        <v>7</v>
      </c>
      <c r="V1803" s="3" t="s">
        <v>83</v>
      </c>
    </row>
    <row r="1804" spans="4:22" ht="17.649999999999999" x14ac:dyDescent="0.5">
      <c r="D1804" s="3" t="s">
        <v>83</v>
      </c>
      <c r="S1804">
        <v>2</v>
      </c>
      <c r="T1804">
        <v>7</v>
      </c>
      <c r="V1804" s="3" t="s">
        <v>83</v>
      </c>
    </row>
    <row r="1805" spans="4:22" ht="17.649999999999999" x14ac:dyDescent="0.5">
      <c r="D1805" s="3" t="s">
        <v>59</v>
      </c>
      <c r="S1805">
        <v>2</v>
      </c>
      <c r="T1805">
        <v>7</v>
      </c>
      <c r="V1805" s="3" t="s">
        <v>56</v>
      </c>
    </row>
    <row r="1806" spans="4:22" ht="17.649999999999999" x14ac:dyDescent="0.5">
      <c r="D1806" s="3" t="s">
        <v>69</v>
      </c>
      <c r="S1806">
        <v>2</v>
      </c>
      <c r="T1806">
        <v>7</v>
      </c>
      <c r="V1806" s="3" t="s">
        <v>56</v>
      </c>
    </row>
    <row r="1807" spans="4:22" ht="17.649999999999999" x14ac:dyDescent="0.5">
      <c r="D1807" s="3" t="s">
        <v>90</v>
      </c>
      <c r="S1807">
        <v>2</v>
      </c>
      <c r="T1807">
        <v>7</v>
      </c>
      <c r="V1807" s="3" t="s">
        <v>56</v>
      </c>
    </row>
    <row r="1808" spans="4:22" ht="17.649999999999999" x14ac:dyDescent="0.5">
      <c r="D1808" s="3" t="s">
        <v>85</v>
      </c>
      <c r="S1808">
        <v>2</v>
      </c>
      <c r="T1808">
        <v>7</v>
      </c>
      <c r="V1808" s="3" t="s">
        <v>56</v>
      </c>
    </row>
    <row r="1809" spans="4:22" ht="17.649999999999999" x14ac:dyDescent="0.5">
      <c r="D1809" s="3" t="s">
        <v>46</v>
      </c>
      <c r="S1809">
        <v>2</v>
      </c>
      <c r="T1809">
        <v>7</v>
      </c>
      <c r="V1809" s="3" t="s">
        <v>56</v>
      </c>
    </row>
    <row r="1810" spans="4:22" ht="17.649999999999999" x14ac:dyDescent="0.5">
      <c r="D1810" s="3" t="s">
        <v>77</v>
      </c>
      <c r="S1810">
        <v>2</v>
      </c>
      <c r="T1810">
        <v>7</v>
      </c>
      <c r="V1810" s="3" t="s">
        <v>56</v>
      </c>
    </row>
    <row r="1811" spans="4:22" ht="17.649999999999999" x14ac:dyDescent="0.5">
      <c r="D1811" s="3" t="s">
        <v>90</v>
      </c>
      <c r="S1811">
        <v>2</v>
      </c>
      <c r="T1811">
        <v>7</v>
      </c>
      <c r="V1811" s="3" t="s">
        <v>56</v>
      </c>
    </row>
    <row r="1812" spans="4:22" ht="17.649999999999999" x14ac:dyDescent="0.5">
      <c r="D1812" s="3" t="s">
        <v>112</v>
      </c>
      <c r="S1812">
        <v>2</v>
      </c>
      <c r="T1812">
        <v>7</v>
      </c>
      <c r="V1812" s="3" t="s">
        <v>56</v>
      </c>
    </row>
    <row r="1813" spans="4:22" ht="17.649999999999999" x14ac:dyDescent="0.5">
      <c r="D1813" s="3" t="s">
        <v>51</v>
      </c>
      <c r="S1813">
        <v>2</v>
      </c>
      <c r="T1813">
        <v>7</v>
      </c>
      <c r="V1813" s="3" t="s">
        <v>56</v>
      </c>
    </row>
    <row r="1814" spans="4:22" ht="17.649999999999999" x14ac:dyDescent="0.5">
      <c r="D1814" s="3" t="s">
        <v>47</v>
      </c>
      <c r="S1814">
        <v>2</v>
      </c>
      <c r="T1814">
        <v>7</v>
      </c>
      <c r="V1814" s="3" t="s">
        <v>56</v>
      </c>
    </row>
    <row r="1815" spans="4:22" ht="17.649999999999999" x14ac:dyDescent="0.5">
      <c r="D1815" s="3" t="s">
        <v>49</v>
      </c>
      <c r="S1815">
        <v>2</v>
      </c>
      <c r="T1815">
        <v>7</v>
      </c>
      <c r="V1815" s="3" t="s">
        <v>56</v>
      </c>
    </row>
    <row r="1816" spans="4:22" ht="17.649999999999999" x14ac:dyDescent="0.5">
      <c r="D1816" s="3" t="s">
        <v>44</v>
      </c>
      <c r="S1816">
        <v>2</v>
      </c>
      <c r="T1816">
        <v>7</v>
      </c>
      <c r="V1816" s="3" t="s">
        <v>56</v>
      </c>
    </row>
    <row r="1817" spans="4:22" ht="17.649999999999999" x14ac:dyDescent="0.5">
      <c r="D1817" s="3" t="s">
        <v>91</v>
      </c>
      <c r="S1817">
        <v>2</v>
      </c>
      <c r="T1817">
        <v>7</v>
      </c>
      <c r="V1817" s="3" t="s">
        <v>56</v>
      </c>
    </row>
    <row r="1818" spans="4:22" ht="17.649999999999999" x14ac:dyDescent="0.5">
      <c r="D1818" s="3" t="s">
        <v>56</v>
      </c>
      <c r="S1818">
        <v>2</v>
      </c>
      <c r="T1818">
        <v>7</v>
      </c>
      <c r="V1818" s="3" t="s">
        <v>56</v>
      </c>
    </row>
    <row r="1819" spans="4:22" ht="17.649999999999999" x14ac:dyDescent="0.5">
      <c r="D1819" s="3" t="s">
        <v>44</v>
      </c>
      <c r="S1819">
        <v>2</v>
      </c>
      <c r="T1819">
        <v>7</v>
      </c>
      <c r="V1819" s="3" t="s">
        <v>56</v>
      </c>
    </row>
    <row r="1820" spans="4:22" ht="17.649999999999999" x14ac:dyDescent="0.5">
      <c r="D1820" s="3" t="s">
        <v>65</v>
      </c>
      <c r="S1820">
        <v>2</v>
      </c>
      <c r="T1820">
        <v>7</v>
      </c>
      <c r="V1820" s="3" t="s">
        <v>56</v>
      </c>
    </row>
    <row r="1821" spans="4:22" ht="17.649999999999999" x14ac:dyDescent="0.5">
      <c r="D1821" s="3" t="s">
        <v>84</v>
      </c>
      <c r="S1821">
        <v>2</v>
      </c>
      <c r="T1821">
        <v>7</v>
      </c>
      <c r="V1821" s="3" t="s">
        <v>56</v>
      </c>
    </row>
    <row r="1822" spans="4:22" ht="17.649999999999999" x14ac:dyDescent="0.5">
      <c r="D1822" s="3" t="s">
        <v>83</v>
      </c>
      <c r="S1822">
        <v>2</v>
      </c>
      <c r="T1822">
        <v>7</v>
      </c>
      <c r="V1822" s="3" t="s">
        <v>56</v>
      </c>
    </row>
    <row r="1823" spans="4:22" ht="17.649999999999999" x14ac:dyDescent="0.5">
      <c r="D1823" s="3" t="s">
        <v>107</v>
      </c>
      <c r="S1823">
        <v>2</v>
      </c>
      <c r="T1823">
        <v>7</v>
      </c>
      <c r="V1823" s="3" t="s">
        <v>56</v>
      </c>
    </row>
    <row r="1824" spans="4:22" ht="17.649999999999999" x14ac:dyDescent="0.5">
      <c r="D1824" s="3" t="s">
        <v>63</v>
      </c>
      <c r="S1824">
        <v>2</v>
      </c>
      <c r="T1824">
        <v>7</v>
      </c>
      <c r="V1824" s="3" t="s">
        <v>56</v>
      </c>
    </row>
    <row r="1825" spans="4:22" ht="17.649999999999999" x14ac:dyDescent="0.5">
      <c r="D1825" s="3" t="s">
        <v>84</v>
      </c>
      <c r="S1825">
        <v>2</v>
      </c>
      <c r="T1825">
        <v>7</v>
      </c>
      <c r="V1825" s="3" t="s">
        <v>56</v>
      </c>
    </row>
    <row r="1826" spans="4:22" ht="17.649999999999999" x14ac:dyDescent="0.5">
      <c r="D1826" s="3" t="s">
        <v>92</v>
      </c>
      <c r="S1826">
        <v>2</v>
      </c>
      <c r="T1826">
        <v>7</v>
      </c>
      <c r="V1826" s="3" t="s">
        <v>56</v>
      </c>
    </row>
    <row r="1827" spans="4:22" ht="17.649999999999999" x14ac:dyDescent="0.5">
      <c r="D1827" s="3" t="s">
        <v>65</v>
      </c>
      <c r="S1827">
        <v>2</v>
      </c>
      <c r="T1827">
        <v>7</v>
      </c>
      <c r="V1827" s="3" t="s">
        <v>56</v>
      </c>
    </row>
    <row r="1828" spans="4:22" ht="17.649999999999999" x14ac:dyDescent="0.5">
      <c r="D1828" s="3" t="s">
        <v>119</v>
      </c>
      <c r="S1828">
        <v>2</v>
      </c>
      <c r="T1828">
        <v>7</v>
      </c>
      <c r="V1828" s="3" t="s">
        <v>56</v>
      </c>
    </row>
    <row r="1829" spans="4:22" ht="17.649999999999999" x14ac:dyDescent="0.5">
      <c r="D1829" s="3" t="s">
        <v>66</v>
      </c>
      <c r="S1829">
        <v>2</v>
      </c>
      <c r="T1829">
        <v>7</v>
      </c>
      <c r="V1829" s="3" t="s">
        <v>56</v>
      </c>
    </row>
    <row r="1830" spans="4:22" ht="17.649999999999999" x14ac:dyDescent="0.5">
      <c r="D1830" s="3" t="s">
        <v>74</v>
      </c>
      <c r="S1830">
        <v>2</v>
      </c>
      <c r="T1830">
        <v>7</v>
      </c>
      <c r="V1830" s="3" t="s">
        <v>56</v>
      </c>
    </row>
    <row r="1831" spans="4:22" ht="17.649999999999999" x14ac:dyDescent="0.5">
      <c r="D1831" s="3" t="s">
        <v>90</v>
      </c>
      <c r="S1831">
        <v>2</v>
      </c>
      <c r="T1831">
        <v>7</v>
      </c>
      <c r="V1831" s="3" t="s">
        <v>56</v>
      </c>
    </row>
    <row r="1832" spans="4:22" ht="17.649999999999999" x14ac:dyDescent="0.5">
      <c r="D1832" s="3" t="s">
        <v>57</v>
      </c>
      <c r="S1832">
        <v>2</v>
      </c>
      <c r="T1832">
        <v>7</v>
      </c>
      <c r="V1832" s="3" t="s">
        <v>56</v>
      </c>
    </row>
    <row r="1833" spans="4:22" ht="17.649999999999999" x14ac:dyDescent="0.5">
      <c r="D1833" s="3" t="s">
        <v>135</v>
      </c>
      <c r="S1833">
        <v>2</v>
      </c>
      <c r="T1833">
        <v>7</v>
      </c>
      <c r="V1833" s="3" t="s">
        <v>56</v>
      </c>
    </row>
    <row r="1834" spans="4:22" ht="17.649999999999999" x14ac:dyDescent="0.5">
      <c r="D1834" s="3" t="s">
        <v>80</v>
      </c>
      <c r="S1834">
        <v>2</v>
      </c>
      <c r="T1834">
        <v>7</v>
      </c>
      <c r="V1834" s="3" t="s">
        <v>56</v>
      </c>
    </row>
    <row r="1835" spans="4:22" ht="17.649999999999999" x14ac:dyDescent="0.5">
      <c r="D1835" s="3" t="s">
        <v>83</v>
      </c>
      <c r="S1835">
        <v>2</v>
      </c>
      <c r="T1835">
        <v>7</v>
      </c>
      <c r="V1835" s="3" t="s">
        <v>56</v>
      </c>
    </row>
    <row r="1836" spans="4:22" ht="17.649999999999999" x14ac:dyDescent="0.5">
      <c r="D1836" s="3" t="s">
        <v>94</v>
      </c>
      <c r="S1836">
        <v>2</v>
      </c>
      <c r="T1836">
        <v>7</v>
      </c>
      <c r="V1836" s="3" t="s">
        <v>56</v>
      </c>
    </row>
    <row r="1837" spans="4:22" ht="17.649999999999999" x14ac:dyDescent="0.5">
      <c r="D1837" s="3" t="s">
        <v>64</v>
      </c>
      <c r="S1837">
        <v>2</v>
      </c>
      <c r="T1837">
        <v>8</v>
      </c>
      <c r="V1837" s="3" t="s">
        <v>60</v>
      </c>
    </row>
    <row r="1838" spans="4:22" ht="17.649999999999999" x14ac:dyDescent="0.5">
      <c r="D1838" s="3" t="s">
        <v>95</v>
      </c>
      <c r="S1838">
        <v>2</v>
      </c>
      <c r="T1838">
        <v>8</v>
      </c>
      <c r="V1838" s="3" t="s">
        <v>60</v>
      </c>
    </row>
    <row r="1839" spans="4:22" ht="17.649999999999999" x14ac:dyDescent="0.5">
      <c r="D1839" s="3" t="s">
        <v>69</v>
      </c>
      <c r="S1839">
        <v>2</v>
      </c>
      <c r="T1839">
        <v>8</v>
      </c>
      <c r="V1839" s="3" t="s">
        <v>60</v>
      </c>
    </row>
    <row r="1840" spans="4:22" ht="17.649999999999999" x14ac:dyDescent="0.5">
      <c r="D1840" s="3" t="s">
        <v>128</v>
      </c>
      <c r="S1840">
        <v>2</v>
      </c>
      <c r="T1840">
        <v>8</v>
      </c>
      <c r="V1840" s="3" t="s">
        <v>60</v>
      </c>
    </row>
    <row r="1841" spans="4:22" ht="17.649999999999999" x14ac:dyDescent="0.5">
      <c r="D1841" s="3" t="s">
        <v>73</v>
      </c>
      <c r="S1841">
        <v>2</v>
      </c>
      <c r="T1841">
        <v>8</v>
      </c>
      <c r="V1841" s="3" t="s">
        <v>60</v>
      </c>
    </row>
    <row r="1842" spans="4:22" ht="17.649999999999999" x14ac:dyDescent="0.5">
      <c r="D1842" s="3" t="s">
        <v>115</v>
      </c>
      <c r="S1842">
        <v>2</v>
      </c>
      <c r="T1842">
        <v>8</v>
      </c>
      <c r="V1842" s="3" t="s">
        <v>60</v>
      </c>
    </row>
    <row r="1843" spans="4:22" ht="17.649999999999999" x14ac:dyDescent="0.5">
      <c r="D1843" s="3" t="s">
        <v>103</v>
      </c>
      <c r="S1843">
        <v>2</v>
      </c>
      <c r="T1843">
        <v>8</v>
      </c>
      <c r="V1843" s="3" t="s">
        <v>60</v>
      </c>
    </row>
    <row r="1844" spans="4:22" ht="17.649999999999999" x14ac:dyDescent="0.5">
      <c r="D1844" s="3" t="s">
        <v>112</v>
      </c>
      <c r="S1844">
        <v>2</v>
      </c>
      <c r="T1844">
        <v>8</v>
      </c>
      <c r="V1844" s="3" t="s">
        <v>60</v>
      </c>
    </row>
    <row r="1845" spans="4:22" ht="17.649999999999999" x14ac:dyDescent="0.5">
      <c r="D1845" s="3" t="s">
        <v>54</v>
      </c>
      <c r="S1845">
        <v>2</v>
      </c>
      <c r="T1845">
        <v>8</v>
      </c>
      <c r="V1845" s="3" t="s">
        <v>60</v>
      </c>
    </row>
    <row r="1846" spans="4:22" ht="17.649999999999999" x14ac:dyDescent="0.5">
      <c r="D1846" s="3" t="s">
        <v>78</v>
      </c>
      <c r="S1846">
        <v>2</v>
      </c>
      <c r="T1846">
        <v>8</v>
      </c>
      <c r="V1846" s="3" t="s">
        <v>60</v>
      </c>
    </row>
    <row r="1847" spans="4:22" ht="17.649999999999999" x14ac:dyDescent="0.5">
      <c r="D1847" s="3" t="s">
        <v>75</v>
      </c>
      <c r="S1847">
        <v>2</v>
      </c>
      <c r="T1847">
        <v>8</v>
      </c>
      <c r="V1847" s="3" t="s">
        <v>60</v>
      </c>
    </row>
    <row r="1848" spans="4:22" ht="17.649999999999999" x14ac:dyDescent="0.5">
      <c r="D1848" s="3" t="s">
        <v>46</v>
      </c>
      <c r="S1848">
        <v>2</v>
      </c>
      <c r="T1848">
        <v>8</v>
      </c>
      <c r="V1848" s="3" t="s">
        <v>89</v>
      </c>
    </row>
    <row r="1849" spans="4:22" ht="17.649999999999999" x14ac:dyDescent="0.5">
      <c r="D1849" s="3" t="s">
        <v>68</v>
      </c>
      <c r="S1849">
        <v>2</v>
      </c>
      <c r="T1849">
        <v>8</v>
      </c>
      <c r="V1849" s="3" t="s">
        <v>89</v>
      </c>
    </row>
    <row r="1850" spans="4:22" ht="17.649999999999999" x14ac:dyDescent="0.5">
      <c r="D1850" s="3" t="s">
        <v>80</v>
      </c>
      <c r="S1850">
        <v>2</v>
      </c>
      <c r="T1850">
        <v>8</v>
      </c>
      <c r="V1850" s="3" t="s">
        <v>89</v>
      </c>
    </row>
    <row r="1851" spans="4:22" ht="17.649999999999999" x14ac:dyDescent="0.5">
      <c r="D1851" s="3" t="s">
        <v>49</v>
      </c>
      <c r="S1851">
        <v>2</v>
      </c>
      <c r="T1851">
        <v>8</v>
      </c>
      <c r="V1851" s="3" t="s">
        <v>89</v>
      </c>
    </row>
    <row r="1852" spans="4:22" ht="17.649999999999999" x14ac:dyDescent="0.5">
      <c r="D1852" s="3" t="s">
        <v>114</v>
      </c>
      <c r="S1852">
        <v>2</v>
      </c>
      <c r="T1852">
        <v>8</v>
      </c>
      <c r="V1852" s="3" t="s">
        <v>89</v>
      </c>
    </row>
    <row r="1853" spans="4:22" ht="17.649999999999999" x14ac:dyDescent="0.5">
      <c r="D1853" s="3" t="s">
        <v>74</v>
      </c>
      <c r="S1853">
        <v>2</v>
      </c>
      <c r="T1853">
        <v>8</v>
      </c>
      <c r="V1853" s="3" t="s">
        <v>89</v>
      </c>
    </row>
    <row r="1854" spans="4:22" ht="17.649999999999999" x14ac:dyDescent="0.5">
      <c r="D1854" s="3" t="s">
        <v>115</v>
      </c>
      <c r="S1854">
        <v>2</v>
      </c>
      <c r="T1854">
        <v>8</v>
      </c>
      <c r="V1854" s="3" t="s">
        <v>89</v>
      </c>
    </row>
    <row r="1855" spans="4:22" ht="17.649999999999999" x14ac:dyDescent="0.5">
      <c r="D1855" s="3" t="s">
        <v>74</v>
      </c>
      <c r="S1855">
        <v>2</v>
      </c>
      <c r="T1855">
        <v>8</v>
      </c>
      <c r="V1855" s="3" t="s">
        <v>89</v>
      </c>
    </row>
    <row r="1856" spans="4:22" ht="17.649999999999999" x14ac:dyDescent="0.5">
      <c r="D1856" s="3" t="s">
        <v>46</v>
      </c>
      <c r="S1856">
        <v>2</v>
      </c>
      <c r="T1856">
        <v>8</v>
      </c>
      <c r="V1856" s="3" t="s">
        <v>89</v>
      </c>
    </row>
    <row r="1857" spans="4:22" ht="17.649999999999999" x14ac:dyDescent="0.5">
      <c r="D1857" s="3" t="s">
        <v>125</v>
      </c>
      <c r="S1857">
        <v>2</v>
      </c>
      <c r="T1857">
        <v>8</v>
      </c>
      <c r="V1857" s="3" t="s">
        <v>89</v>
      </c>
    </row>
    <row r="1858" spans="4:22" ht="17.649999999999999" x14ac:dyDescent="0.5">
      <c r="D1858" s="3" t="s">
        <v>46</v>
      </c>
      <c r="S1858">
        <v>2</v>
      </c>
      <c r="T1858">
        <v>8</v>
      </c>
      <c r="V1858" s="3" t="s">
        <v>89</v>
      </c>
    </row>
    <row r="1859" spans="4:22" ht="17.649999999999999" x14ac:dyDescent="0.5">
      <c r="D1859" s="3" t="s">
        <v>55</v>
      </c>
      <c r="S1859">
        <v>2</v>
      </c>
      <c r="T1859">
        <v>8</v>
      </c>
      <c r="V1859" s="3" t="s">
        <v>73</v>
      </c>
    </row>
    <row r="1860" spans="4:22" ht="17.649999999999999" x14ac:dyDescent="0.5">
      <c r="D1860" s="3" t="s">
        <v>81</v>
      </c>
      <c r="S1860">
        <v>2</v>
      </c>
      <c r="T1860">
        <v>8</v>
      </c>
      <c r="V1860" s="3" t="s">
        <v>73</v>
      </c>
    </row>
    <row r="1861" spans="4:22" ht="17.649999999999999" x14ac:dyDescent="0.5">
      <c r="D1861" s="3" t="s">
        <v>98</v>
      </c>
      <c r="S1861">
        <v>2</v>
      </c>
      <c r="T1861">
        <v>8</v>
      </c>
      <c r="V1861" s="3" t="s">
        <v>73</v>
      </c>
    </row>
    <row r="1862" spans="4:22" ht="17.649999999999999" x14ac:dyDescent="0.5">
      <c r="D1862" s="3" t="s">
        <v>61</v>
      </c>
      <c r="S1862">
        <v>2</v>
      </c>
      <c r="T1862">
        <v>8</v>
      </c>
      <c r="V1862" s="3" t="s">
        <v>73</v>
      </c>
    </row>
    <row r="1863" spans="4:22" ht="17.649999999999999" x14ac:dyDescent="0.5">
      <c r="D1863" s="3" t="s">
        <v>79</v>
      </c>
      <c r="S1863">
        <v>2</v>
      </c>
      <c r="T1863">
        <v>8</v>
      </c>
      <c r="V1863" s="3" t="s">
        <v>73</v>
      </c>
    </row>
    <row r="1864" spans="4:22" ht="17.649999999999999" x14ac:dyDescent="0.5">
      <c r="D1864" s="3" t="s">
        <v>78</v>
      </c>
      <c r="S1864">
        <v>2</v>
      </c>
      <c r="T1864">
        <v>8</v>
      </c>
      <c r="V1864" s="3" t="s">
        <v>73</v>
      </c>
    </row>
    <row r="1865" spans="4:22" ht="17.649999999999999" x14ac:dyDescent="0.5">
      <c r="D1865" s="3" t="s">
        <v>69</v>
      </c>
      <c r="S1865">
        <v>2</v>
      </c>
      <c r="T1865">
        <v>8</v>
      </c>
      <c r="V1865" s="3" t="s">
        <v>73</v>
      </c>
    </row>
    <row r="1866" spans="4:22" ht="17.649999999999999" x14ac:dyDescent="0.5">
      <c r="D1866" s="3" t="s">
        <v>96</v>
      </c>
      <c r="S1866">
        <v>2</v>
      </c>
      <c r="T1866">
        <v>8</v>
      </c>
      <c r="V1866" s="3" t="s">
        <v>73</v>
      </c>
    </row>
    <row r="1867" spans="4:22" ht="17.649999999999999" x14ac:dyDescent="0.5">
      <c r="D1867" s="3" t="s">
        <v>84</v>
      </c>
      <c r="S1867">
        <v>2</v>
      </c>
      <c r="T1867">
        <v>8</v>
      </c>
      <c r="V1867" s="3" t="s">
        <v>73</v>
      </c>
    </row>
    <row r="1868" spans="4:22" ht="17.649999999999999" x14ac:dyDescent="0.5">
      <c r="D1868" s="3" t="s">
        <v>63</v>
      </c>
      <c r="S1868">
        <v>2</v>
      </c>
      <c r="T1868">
        <v>8</v>
      </c>
      <c r="V1868" s="3" t="s">
        <v>73</v>
      </c>
    </row>
    <row r="1869" spans="4:22" ht="17.649999999999999" x14ac:dyDescent="0.5">
      <c r="D1869" s="3" t="s">
        <v>62</v>
      </c>
      <c r="S1869">
        <v>2</v>
      </c>
      <c r="T1869">
        <v>8</v>
      </c>
      <c r="V1869" s="3" t="s">
        <v>73</v>
      </c>
    </row>
    <row r="1870" spans="4:22" ht="17.649999999999999" x14ac:dyDescent="0.5">
      <c r="D1870" s="3" t="s">
        <v>83</v>
      </c>
      <c r="S1870">
        <v>2</v>
      </c>
      <c r="T1870">
        <v>8</v>
      </c>
      <c r="V1870" s="3" t="s">
        <v>73</v>
      </c>
    </row>
    <row r="1871" spans="4:22" ht="17.649999999999999" x14ac:dyDescent="0.5">
      <c r="D1871" s="3" t="s">
        <v>74</v>
      </c>
      <c r="S1871">
        <v>2</v>
      </c>
      <c r="T1871">
        <v>8</v>
      </c>
      <c r="V1871" s="3" t="s">
        <v>73</v>
      </c>
    </row>
    <row r="1872" spans="4:22" ht="17.649999999999999" x14ac:dyDescent="0.5">
      <c r="D1872" s="3" t="s">
        <v>57</v>
      </c>
      <c r="S1872">
        <v>2</v>
      </c>
      <c r="T1872">
        <v>8</v>
      </c>
      <c r="V1872" s="3" t="s">
        <v>73</v>
      </c>
    </row>
    <row r="1873" spans="4:22" ht="17.649999999999999" x14ac:dyDescent="0.5">
      <c r="D1873" s="3" t="s">
        <v>83</v>
      </c>
      <c r="S1873">
        <v>2</v>
      </c>
      <c r="T1873">
        <v>8</v>
      </c>
      <c r="V1873" s="3" t="s">
        <v>73</v>
      </c>
    </row>
    <row r="1874" spans="4:22" ht="17.649999999999999" x14ac:dyDescent="0.5">
      <c r="D1874" s="3" t="s">
        <v>94</v>
      </c>
      <c r="S1874">
        <v>2</v>
      </c>
      <c r="T1874">
        <v>8</v>
      </c>
      <c r="V1874" s="3" t="s">
        <v>73</v>
      </c>
    </row>
    <row r="1875" spans="4:22" ht="17.649999999999999" x14ac:dyDescent="0.5">
      <c r="D1875" s="3" t="s">
        <v>64</v>
      </c>
      <c r="S1875">
        <v>2</v>
      </c>
      <c r="T1875">
        <v>8</v>
      </c>
      <c r="V1875" s="3" t="s">
        <v>73</v>
      </c>
    </row>
    <row r="1876" spans="4:22" ht="17.649999999999999" x14ac:dyDescent="0.5">
      <c r="D1876" s="3" t="s">
        <v>56</v>
      </c>
      <c r="S1876">
        <v>2</v>
      </c>
      <c r="T1876">
        <v>8</v>
      </c>
      <c r="V1876" s="3" t="s">
        <v>73</v>
      </c>
    </row>
    <row r="1877" spans="4:22" ht="17.649999999999999" x14ac:dyDescent="0.5">
      <c r="D1877" s="3" t="s">
        <v>61</v>
      </c>
      <c r="S1877">
        <v>2</v>
      </c>
      <c r="T1877">
        <v>8</v>
      </c>
      <c r="V1877" s="3" t="s">
        <v>73</v>
      </c>
    </row>
    <row r="1878" spans="4:22" ht="17.649999999999999" x14ac:dyDescent="0.5">
      <c r="D1878" s="3" t="s">
        <v>80</v>
      </c>
      <c r="S1878">
        <v>2</v>
      </c>
      <c r="T1878">
        <v>8</v>
      </c>
      <c r="V1878" s="3" t="s">
        <v>73</v>
      </c>
    </row>
    <row r="1879" spans="4:22" ht="17.649999999999999" x14ac:dyDescent="0.5">
      <c r="D1879" s="3" t="s">
        <v>94</v>
      </c>
      <c r="S1879">
        <v>2</v>
      </c>
      <c r="T1879">
        <v>8</v>
      </c>
      <c r="V1879" s="3" t="s">
        <v>73</v>
      </c>
    </row>
    <row r="1880" spans="4:22" ht="17.649999999999999" x14ac:dyDescent="0.5">
      <c r="D1880" s="3" t="s">
        <v>81</v>
      </c>
      <c r="S1880">
        <v>2</v>
      </c>
      <c r="T1880">
        <v>8</v>
      </c>
      <c r="V1880" s="3" t="s">
        <v>73</v>
      </c>
    </row>
    <row r="1881" spans="4:22" ht="17.649999999999999" x14ac:dyDescent="0.5">
      <c r="D1881" s="3" t="s">
        <v>49</v>
      </c>
      <c r="S1881">
        <v>2</v>
      </c>
      <c r="T1881">
        <v>8</v>
      </c>
      <c r="V1881" s="3" t="s">
        <v>73</v>
      </c>
    </row>
    <row r="1882" spans="4:22" ht="17.649999999999999" x14ac:dyDescent="0.5">
      <c r="D1882" s="3" t="s">
        <v>63</v>
      </c>
      <c r="S1882">
        <v>2</v>
      </c>
      <c r="T1882">
        <v>8</v>
      </c>
      <c r="V1882" s="3" t="s">
        <v>73</v>
      </c>
    </row>
    <row r="1883" spans="4:22" ht="17.649999999999999" x14ac:dyDescent="0.5">
      <c r="D1883" s="3" t="s">
        <v>49</v>
      </c>
      <c r="S1883">
        <v>2</v>
      </c>
      <c r="T1883">
        <v>8</v>
      </c>
      <c r="V1883" s="3" t="s">
        <v>73</v>
      </c>
    </row>
    <row r="1884" spans="4:22" ht="17.649999999999999" x14ac:dyDescent="0.5">
      <c r="D1884" s="3" t="s">
        <v>81</v>
      </c>
      <c r="S1884">
        <v>2</v>
      </c>
      <c r="T1884">
        <v>8</v>
      </c>
      <c r="V1884" s="3" t="s">
        <v>73</v>
      </c>
    </row>
    <row r="1885" spans="4:22" ht="17.649999999999999" x14ac:dyDescent="0.5">
      <c r="D1885" s="3" t="s">
        <v>104</v>
      </c>
      <c r="S1885">
        <v>2</v>
      </c>
      <c r="T1885">
        <v>8</v>
      </c>
      <c r="V1885" s="3" t="s">
        <v>73</v>
      </c>
    </row>
    <row r="1886" spans="4:22" ht="17.649999999999999" x14ac:dyDescent="0.5">
      <c r="D1886" s="3" t="s">
        <v>91</v>
      </c>
      <c r="S1886">
        <v>2</v>
      </c>
      <c r="T1886">
        <v>8</v>
      </c>
      <c r="V1886" s="3" t="s">
        <v>73</v>
      </c>
    </row>
    <row r="1887" spans="4:22" ht="17.649999999999999" x14ac:dyDescent="0.5">
      <c r="D1887" s="3" t="s">
        <v>109</v>
      </c>
      <c r="S1887">
        <v>2</v>
      </c>
      <c r="T1887">
        <v>8</v>
      </c>
      <c r="V1887" s="3" t="s">
        <v>73</v>
      </c>
    </row>
    <row r="1888" spans="4:22" ht="17.649999999999999" x14ac:dyDescent="0.5">
      <c r="D1888" s="3" t="s">
        <v>128</v>
      </c>
      <c r="S1888">
        <v>2</v>
      </c>
      <c r="T1888">
        <v>8</v>
      </c>
      <c r="V1888" s="3" t="s">
        <v>73</v>
      </c>
    </row>
    <row r="1889" spans="4:22" ht="17.649999999999999" x14ac:dyDescent="0.5">
      <c r="D1889" s="3" t="s">
        <v>87</v>
      </c>
      <c r="S1889">
        <v>2</v>
      </c>
      <c r="T1889">
        <v>8</v>
      </c>
      <c r="V1889" s="3" t="s">
        <v>73</v>
      </c>
    </row>
    <row r="1890" spans="4:22" ht="17.649999999999999" x14ac:dyDescent="0.5">
      <c r="D1890" s="3" t="s">
        <v>132</v>
      </c>
      <c r="S1890">
        <v>2</v>
      </c>
      <c r="T1890">
        <v>8</v>
      </c>
      <c r="V1890" s="3" t="s">
        <v>73</v>
      </c>
    </row>
    <row r="1891" spans="4:22" ht="17.649999999999999" x14ac:dyDescent="0.5">
      <c r="D1891" s="3" t="s">
        <v>77</v>
      </c>
      <c r="S1891">
        <v>2</v>
      </c>
      <c r="T1891">
        <v>8</v>
      </c>
      <c r="V1891" s="3" t="s">
        <v>69</v>
      </c>
    </row>
    <row r="1892" spans="4:22" ht="17.649999999999999" x14ac:dyDescent="0.5">
      <c r="D1892" s="3" t="s">
        <v>128</v>
      </c>
      <c r="S1892">
        <v>2</v>
      </c>
      <c r="T1892">
        <v>8</v>
      </c>
      <c r="V1892" s="3" t="s">
        <v>69</v>
      </c>
    </row>
    <row r="1893" spans="4:22" ht="17.649999999999999" x14ac:dyDescent="0.5">
      <c r="D1893" s="3" t="s">
        <v>61</v>
      </c>
      <c r="S1893">
        <v>2</v>
      </c>
      <c r="T1893">
        <v>8</v>
      </c>
      <c r="V1893" s="3" t="s">
        <v>69</v>
      </c>
    </row>
    <row r="1894" spans="4:22" ht="17.649999999999999" x14ac:dyDescent="0.5">
      <c r="D1894" s="3" t="s">
        <v>81</v>
      </c>
      <c r="S1894">
        <v>2</v>
      </c>
      <c r="T1894">
        <v>8</v>
      </c>
      <c r="V1894" s="3" t="s">
        <v>69</v>
      </c>
    </row>
    <row r="1895" spans="4:22" ht="17.649999999999999" x14ac:dyDescent="0.5">
      <c r="D1895" s="3" t="s">
        <v>96</v>
      </c>
      <c r="S1895">
        <v>2</v>
      </c>
      <c r="T1895">
        <v>8</v>
      </c>
      <c r="V1895" s="3" t="s">
        <v>69</v>
      </c>
    </row>
    <row r="1896" spans="4:22" ht="17.649999999999999" x14ac:dyDescent="0.5">
      <c r="D1896" s="3" t="s">
        <v>44</v>
      </c>
      <c r="S1896">
        <v>2</v>
      </c>
      <c r="T1896">
        <v>8</v>
      </c>
      <c r="V1896" s="3" t="s">
        <v>69</v>
      </c>
    </row>
    <row r="1897" spans="4:22" ht="17.649999999999999" x14ac:dyDescent="0.5">
      <c r="D1897" s="3" t="s">
        <v>118</v>
      </c>
      <c r="S1897">
        <v>2</v>
      </c>
      <c r="T1897">
        <v>8</v>
      </c>
      <c r="V1897" s="3" t="s">
        <v>69</v>
      </c>
    </row>
    <row r="1898" spans="4:22" ht="17.649999999999999" x14ac:dyDescent="0.5">
      <c r="D1898" s="3" t="s">
        <v>78</v>
      </c>
      <c r="S1898">
        <v>2</v>
      </c>
      <c r="T1898">
        <v>8</v>
      </c>
      <c r="V1898" s="3" t="s">
        <v>69</v>
      </c>
    </row>
    <row r="1899" spans="4:22" ht="17.649999999999999" x14ac:dyDescent="0.5">
      <c r="D1899" s="3" t="s">
        <v>91</v>
      </c>
      <c r="S1899">
        <v>2</v>
      </c>
      <c r="T1899">
        <v>8</v>
      </c>
      <c r="V1899" s="3" t="s">
        <v>69</v>
      </c>
    </row>
    <row r="1900" spans="4:22" ht="17.649999999999999" x14ac:dyDescent="0.5">
      <c r="D1900" s="3" t="s">
        <v>81</v>
      </c>
      <c r="S1900">
        <v>2</v>
      </c>
      <c r="T1900">
        <v>8</v>
      </c>
      <c r="V1900" s="3" t="s">
        <v>69</v>
      </c>
    </row>
    <row r="1901" spans="4:22" ht="17.649999999999999" x14ac:dyDescent="0.5">
      <c r="D1901" s="3" t="s">
        <v>63</v>
      </c>
      <c r="S1901">
        <v>2</v>
      </c>
      <c r="T1901">
        <v>8</v>
      </c>
      <c r="V1901" s="3" t="s">
        <v>69</v>
      </c>
    </row>
    <row r="1902" spans="4:22" ht="17.649999999999999" x14ac:dyDescent="0.5">
      <c r="D1902" s="3" t="s">
        <v>62</v>
      </c>
      <c r="S1902">
        <v>2</v>
      </c>
      <c r="T1902">
        <v>8</v>
      </c>
      <c r="V1902" s="3" t="s">
        <v>69</v>
      </c>
    </row>
    <row r="1903" spans="4:22" ht="17.649999999999999" x14ac:dyDescent="0.5">
      <c r="D1903" s="3" t="s">
        <v>69</v>
      </c>
      <c r="S1903">
        <v>2</v>
      </c>
      <c r="T1903">
        <v>8</v>
      </c>
      <c r="V1903" s="3" t="s">
        <v>69</v>
      </c>
    </row>
    <row r="1904" spans="4:22" ht="17.649999999999999" x14ac:dyDescent="0.5">
      <c r="D1904" s="3" t="s">
        <v>130</v>
      </c>
      <c r="S1904">
        <v>2</v>
      </c>
      <c r="T1904">
        <v>8</v>
      </c>
      <c r="V1904" s="3" t="s">
        <v>69</v>
      </c>
    </row>
    <row r="1905" spans="4:22" ht="17.649999999999999" x14ac:dyDescent="0.5">
      <c r="D1905" s="3" t="s">
        <v>60</v>
      </c>
      <c r="S1905">
        <v>2</v>
      </c>
      <c r="T1905">
        <v>8</v>
      </c>
      <c r="V1905" s="3" t="s">
        <v>69</v>
      </c>
    </row>
    <row r="1906" spans="4:22" ht="17.649999999999999" x14ac:dyDescent="0.5">
      <c r="D1906" s="3" t="s">
        <v>106</v>
      </c>
      <c r="S1906">
        <v>2</v>
      </c>
      <c r="T1906">
        <v>8</v>
      </c>
      <c r="V1906" s="3" t="s">
        <v>69</v>
      </c>
    </row>
    <row r="1907" spans="4:22" ht="17.649999999999999" x14ac:dyDescent="0.5">
      <c r="D1907" s="3" t="s">
        <v>123</v>
      </c>
      <c r="S1907">
        <v>2</v>
      </c>
      <c r="T1907">
        <v>8</v>
      </c>
      <c r="V1907" s="3" t="s">
        <v>69</v>
      </c>
    </row>
    <row r="1908" spans="4:22" ht="17.649999999999999" x14ac:dyDescent="0.5">
      <c r="D1908" s="3" t="s">
        <v>105</v>
      </c>
      <c r="S1908">
        <v>2</v>
      </c>
      <c r="T1908">
        <v>8</v>
      </c>
      <c r="V1908" s="3" t="s">
        <v>69</v>
      </c>
    </row>
    <row r="1909" spans="4:22" ht="17.649999999999999" x14ac:dyDescent="0.5">
      <c r="D1909" s="3" t="s">
        <v>80</v>
      </c>
      <c r="S1909">
        <v>2</v>
      </c>
      <c r="T1909">
        <v>8</v>
      </c>
      <c r="V1909" s="3" t="s">
        <v>69</v>
      </c>
    </row>
    <row r="1910" spans="4:22" ht="17.649999999999999" x14ac:dyDescent="0.5">
      <c r="D1910" s="3" t="s">
        <v>55</v>
      </c>
      <c r="S1910">
        <v>2</v>
      </c>
      <c r="T1910">
        <v>8</v>
      </c>
      <c r="V1910" s="3" t="s">
        <v>69</v>
      </c>
    </row>
    <row r="1911" spans="4:22" ht="17.649999999999999" x14ac:dyDescent="0.5">
      <c r="D1911" s="3" t="s">
        <v>98</v>
      </c>
      <c r="S1911">
        <v>2</v>
      </c>
      <c r="T1911">
        <v>8</v>
      </c>
      <c r="V1911" s="3" t="s">
        <v>69</v>
      </c>
    </row>
    <row r="1912" spans="4:22" ht="17.649999999999999" x14ac:dyDescent="0.5">
      <c r="D1912" s="3" t="s">
        <v>110</v>
      </c>
      <c r="S1912">
        <v>2</v>
      </c>
      <c r="T1912">
        <v>8</v>
      </c>
      <c r="V1912" s="3" t="s">
        <v>69</v>
      </c>
    </row>
    <row r="1913" spans="4:22" ht="17.649999999999999" x14ac:dyDescent="0.5">
      <c r="D1913" s="3" t="s">
        <v>104</v>
      </c>
      <c r="S1913">
        <v>2</v>
      </c>
      <c r="T1913">
        <v>8</v>
      </c>
      <c r="V1913" s="3" t="s">
        <v>69</v>
      </c>
    </row>
    <row r="1914" spans="4:22" ht="17.649999999999999" x14ac:dyDescent="0.5">
      <c r="D1914" s="3" t="s">
        <v>56</v>
      </c>
      <c r="S1914">
        <v>2</v>
      </c>
      <c r="T1914">
        <v>8</v>
      </c>
      <c r="V1914" s="3" t="s">
        <v>69</v>
      </c>
    </row>
    <row r="1915" spans="4:22" ht="17.649999999999999" x14ac:dyDescent="0.5">
      <c r="D1915" s="3" t="s">
        <v>67</v>
      </c>
      <c r="S1915">
        <v>2</v>
      </c>
      <c r="T1915">
        <v>8</v>
      </c>
      <c r="V1915" s="3" t="s">
        <v>69</v>
      </c>
    </row>
    <row r="1916" spans="4:22" ht="17.649999999999999" x14ac:dyDescent="0.5">
      <c r="D1916" s="3" t="s">
        <v>90</v>
      </c>
      <c r="S1916">
        <v>2</v>
      </c>
      <c r="T1916">
        <v>8</v>
      </c>
      <c r="V1916" s="3" t="s">
        <v>69</v>
      </c>
    </row>
    <row r="1917" spans="4:22" ht="17.649999999999999" x14ac:dyDescent="0.5">
      <c r="D1917" s="3" t="s">
        <v>44</v>
      </c>
      <c r="S1917">
        <v>2</v>
      </c>
      <c r="T1917">
        <v>8</v>
      </c>
      <c r="V1917" s="3" t="s">
        <v>69</v>
      </c>
    </row>
    <row r="1918" spans="4:22" ht="17.649999999999999" x14ac:dyDescent="0.5">
      <c r="D1918" s="3" t="s">
        <v>81</v>
      </c>
      <c r="S1918">
        <v>2</v>
      </c>
      <c r="T1918">
        <v>8</v>
      </c>
      <c r="V1918" s="3" t="s">
        <v>69</v>
      </c>
    </row>
    <row r="1919" spans="4:22" ht="17.649999999999999" x14ac:dyDescent="0.5">
      <c r="D1919" s="3" t="s">
        <v>52</v>
      </c>
      <c r="S1919">
        <v>2</v>
      </c>
      <c r="T1919">
        <v>9</v>
      </c>
      <c r="V1919" s="3" t="s">
        <v>58</v>
      </c>
    </row>
    <row r="1920" spans="4:22" ht="17.649999999999999" x14ac:dyDescent="0.5">
      <c r="D1920" s="3" t="s">
        <v>65</v>
      </c>
      <c r="S1920">
        <v>2</v>
      </c>
      <c r="T1920">
        <v>9</v>
      </c>
      <c r="V1920" s="3" t="s">
        <v>58</v>
      </c>
    </row>
    <row r="1921" spans="4:22" ht="17.649999999999999" x14ac:dyDescent="0.5">
      <c r="D1921" s="3" t="s">
        <v>54</v>
      </c>
      <c r="S1921">
        <v>2</v>
      </c>
      <c r="T1921">
        <v>9</v>
      </c>
      <c r="V1921" s="3" t="s">
        <v>58</v>
      </c>
    </row>
    <row r="1922" spans="4:22" ht="17.649999999999999" x14ac:dyDescent="0.5">
      <c r="D1922" s="3" t="s">
        <v>81</v>
      </c>
      <c r="S1922">
        <v>2</v>
      </c>
      <c r="T1922">
        <v>9</v>
      </c>
      <c r="V1922" s="3" t="s">
        <v>58</v>
      </c>
    </row>
    <row r="1923" spans="4:22" ht="17.649999999999999" x14ac:dyDescent="0.5">
      <c r="D1923" s="3" t="s">
        <v>46</v>
      </c>
      <c r="S1923">
        <v>2</v>
      </c>
      <c r="T1923">
        <v>9</v>
      </c>
      <c r="V1923" s="3" t="s">
        <v>58</v>
      </c>
    </row>
    <row r="1924" spans="4:22" ht="17.649999999999999" x14ac:dyDescent="0.5">
      <c r="D1924" s="3" t="s">
        <v>70</v>
      </c>
      <c r="S1924">
        <v>2</v>
      </c>
      <c r="T1924">
        <v>9</v>
      </c>
      <c r="V1924" s="3" t="s">
        <v>58</v>
      </c>
    </row>
    <row r="1925" spans="4:22" ht="17.649999999999999" x14ac:dyDescent="0.5">
      <c r="D1925" s="3" t="s">
        <v>59</v>
      </c>
      <c r="S1925">
        <v>2</v>
      </c>
      <c r="T1925">
        <v>9</v>
      </c>
      <c r="V1925" s="3" t="s">
        <v>58</v>
      </c>
    </row>
    <row r="1926" spans="4:22" ht="17.649999999999999" x14ac:dyDescent="0.5">
      <c r="D1926" s="3" t="s">
        <v>67</v>
      </c>
      <c r="S1926">
        <v>2</v>
      </c>
      <c r="T1926">
        <v>9</v>
      </c>
      <c r="V1926" s="3" t="s">
        <v>58</v>
      </c>
    </row>
    <row r="1927" spans="4:22" ht="17.649999999999999" x14ac:dyDescent="0.5">
      <c r="D1927" s="3" t="s">
        <v>48</v>
      </c>
      <c r="S1927">
        <v>2</v>
      </c>
      <c r="T1927">
        <v>9</v>
      </c>
      <c r="V1927" s="3" t="s">
        <v>58</v>
      </c>
    </row>
    <row r="1928" spans="4:22" ht="17.649999999999999" x14ac:dyDescent="0.5">
      <c r="D1928" s="3" t="s">
        <v>109</v>
      </c>
      <c r="S1928">
        <v>2</v>
      </c>
      <c r="T1928">
        <v>9</v>
      </c>
      <c r="V1928" s="3" t="s">
        <v>58</v>
      </c>
    </row>
    <row r="1929" spans="4:22" ht="17.649999999999999" x14ac:dyDescent="0.5">
      <c r="D1929" s="3" t="s">
        <v>98</v>
      </c>
      <c r="S1929">
        <v>2</v>
      </c>
      <c r="T1929">
        <v>9</v>
      </c>
      <c r="V1929" s="3" t="s">
        <v>58</v>
      </c>
    </row>
    <row r="1930" spans="4:22" ht="17.649999999999999" x14ac:dyDescent="0.5">
      <c r="D1930" s="3" t="s">
        <v>45</v>
      </c>
      <c r="S1930">
        <v>2</v>
      </c>
      <c r="T1930">
        <v>9</v>
      </c>
      <c r="V1930" s="3" t="s">
        <v>58</v>
      </c>
    </row>
    <row r="1931" spans="4:22" ht="17.649999999999999" x14ac:dyDescent="0.5">
      <c r="D1931" s="3" t="s">
        <v>44</v>
      </c>
      <c r="S1931">
        <v>2</v>
      </c>
      <c r="T1931">
        <v>9</v>
      </c>
      <c r="V1931" s="3" t="s">
        <v>58</v>
      </c>
    </row>
    <row r="1932" spans="4:22" ht="17.649999999999999" x14ac:dyDescent="0.5">
      <c r="D1932" s="3" t="s">
        <v>90</v>
      </c>
      <c r="S1932">
        <v>2</v>
      </c>
      <c r="T1932">
        <v>9</v>
      </c>
      <c r="V1932" s="3" t="s">
        <v>133</v>
      </c>
    </row>
    <row r="1933" spans="4:22" ht="17.649999999999999" x14ac:dyDescent="0.5">
      <c r="D1933" s="3" t="s">
        <v>98</v>
      </c>
      <c r="S1933">
        <v>2</v>
      </c>
      <c r="T1933">
        <v>9</v>
      </c>
      <c r="V1933" s="3" t="s">
        <v>133</v>
      </c>
    </row>
    <row r="1934" spans="4:22" ht="17.649999999999999" x14ac:dyDescent="0.5">
      <c r="D1934" s="3" t="s">
        <v>64</v>
      </c>
      <c r="S1934">
        <v>2</v>
      </c>
      <c r="T1934">
        <v>9</v>
      </c>
      <c r="V1934" s="3" t="s">
        <v>133</v>
      </c>
    </row>
    <row r="1935" spans="4:22" ht="17.649999999999999" x14ac:dyDescent="0.5">
      <c r="D1935" s="3" t="s">
        <v>110</v>
      </c>
      <c r="S1935">
        <v>2</v>
      </c>
      <c r="T1935">
        <v>9</v>
      </c>
      <c r="V1935" s="3" t="s">
        <v>133</v>
      </c>
    </row>
    <row r="1936" spans="4:22" ht="17.649999999999999" x14ac:dyDescent="0.5">
      <c r="D1936" s="3" t="s">
        <v>84</v>
      </c>
      <c r="S1936">
        <v>2</v>
      </c>
      <c r="T1936">
        <v>9</v>
      </c>
      <c r="V1936" s="3" t="s">
        <v>133</v>
      </c>
    </row>
    <row r="1937" spans="4:22" ht="17.649999999999999" x14ac:dyDescent="0.5">
      <c r="D1937" s="3" t="s">
        <v>76</v>
      </c>
      <c r="S1937">
        <v>2</v>
      </c>
      <c r="T1937">
        <v>9</v>
      </c>
      <c r="V1937" s="3" t="s">
        <v>68</v>
      </c>
    </row>
    <row r="1938" spans="4:22" ht="17.649999999999999" x14ac:dyDescent="0.5">
      <c r="D1938" s="3" t="s">
        <v>90</v>
      </c>
      <c r="S1938">
        <v>2</v>
      </c>
      <c r="T1938">
        <v>9</v>
      </c>
      <c r="V1938" s="3" t="s">
        <v>68</v>
      </c>
    </row>
    <row r="1939" spans="4:22" ht="17.649999999999999" x14ac:dyDescent="0.5">
      <c r="D1939" s="3" t="s">
        <v>96</v>
      </c>
      <c r="S1939">
        <v>2</v>
      </c>
      <c r="T1939">
        <v>9</v>
      </c>
      <c r="V1939" s="3" t="s">
        <v>68</v>
      </c>
    </row>
    <row r="1940" spans="4:22" ht="17.649999999999999" x14ac:dyDescent="0.5">
      <c r="D1940" s="3" t="s">
        <v>111</v>
      </c>
      <c r="S1940">
        <v>2</v>
      </c>
      <c r="T1940">
        <v>9</v>
      </c>
      <c r="V1940" s="3" t="s">
        <v>68</v>
      </c>
    </row>
    <row r="1941" spans="4:22" ht="17.649999999999999" x14ac:dyDescent="0.5">
      <c r="D1941" s="3" t="s">
        <v>57</v>
      </c>
      <c r="S1941">
        <v>2</v>
      </c>
      <c r="T1941">
        <v>9</v>
      </c>
      <c r="V1941" s="3" t="s">
        <v>68</v>
      </c>
    </row>
    <row r="1942" spans="4:22" ht="17.649999999999999" x14ac:dyDescent="0.5">
      <c r="D1942" s="3" t="s">
        <v>70</v>
      </c>
      <c r="S1942">
        <v>2</v>
      </c>
      <c r="T1942">
        <v>9</v>
      </c>
      <c r="V1942" s="3" t="s">
        <v>68</v>
      </c>
    </row>
    <row r="1943" spans="4:22" ht="17.649999999999999" x14ac:dyDescent="0.5">
      <c r="D1943" s="3" t="s">
        <v>51</v>
      </c>
      <c r="S1943">
        <v>2</v>
      </c>
      <c r="T1943">
        <v>9</v>
      </c>
      <c r="V1943" s="3" t="s">
        <v>68</v>
      </c>
    </row>
    <row r="1944" spans="4:22" ht="17.649999999999999" x14ac:dyDescent="0.5">
      <c r="D1944" s="3" t="s">
        <v>74</v>
      </c>
      <c r="S1944">
        <v>2</v>
      </c>
      <c r="T1944">
        <v>9</v>
      </c>
      <c r="V1944" s="3" t="s">
        <v>68</v>
      </c>
    </row>
    <row r="1945" spans="4:22" ht="17.649999999999999" x14ac:dyDescent="0.5">
      <c r="D1945" s="3" t="s">
        <v>50</v>
      </c>
      <c r="S1945">
        <v>2</v>
      </c>
      <c r="T1945">
        <v>9</v>
      </c>
      <c r="V1945" s="3" t="s">
        <v>68</v>
      </c>
    </row>
    <row r="1946" spans="4:22" ht="17.649999999999999" x14ac:dyDescent="0.5">
      <c r="D1946" s="3" t="s">
        <v>78</v>
      </c>
      <c r="S1946">
        <v>2</v>
      </c>
      <c r="T1946">
        <v>9</v>
      </c>
      <c r="V1946" s="3" t="s">
        <v>68</v>
      </c>
    </row>
    <row r="1947" spans="4:22" ht="17.649999999999999" x14ac:dyDescent="0.5">
      <c r="D1947" s="3" t="s">
        <v>66</v>
      </c>
      <c r="S1947">
        <v>2</v>
      </c>
      <c r="T1947">
        <v>9</v>
      </c>
      <c r="V1947" s="3" t="s">
        <v>68</v>
      </c>
    </row>
    <row r="1948" spans="4:22" ht="17.649999999999999" x14ac:dyDescent="0.5">
      <c r="D1948" s="3" t="s">
        <v>69</v>
      </c>
      <c r="S1948">
        <v>2</v>
      </c>
      <c r="T1948">
        <v>9</v>
      </c>
      <c r="V1948" s="3" t="s">
        <v>68</v>
      </c>
    </row>
    <row r="1949" spans="4:22" ht="17.649999999999999" x14ac:dyDescent="0.5">
      <c r="D1949" s="3" t="s">
        <v>90</v>
      </c>
      <c r="S1949">
        <v>2</v>
      </c>
      <c r="T1949">
        <v>9</v>
      </c>
      <c r="V1949" s="3" t="s">
        <v>68</v>
      </c>
    </row>
    <row r="1950" spans="4:22" ht="17.649999999999999" x14ac:dyDescent="0.5">
      <c r="D1950" s="3" t="s">
        <v>49</v>
      </c>
      <c r="S1950">
        <v>2</v>
      </c>
      <c r="T1950">
        <v>9</v>
      </c>
      <c r="V1950" s="3" t="s">
        <v>68</v>
      </c>
    </row>
    <row r="1951" spans="4:22" ht="17.649999999999999" x14ac:dyDescent="0.5">
      <c r="D1951" s="3" t="s">
        <v>77</v>
      </c>
      <c r="S1951">
        <v>2</v>
      </c>
      <c r="T1951">
        <v>9</v>
      </c>
      <c r="V1951" s="3" t="s">
        <v>68</v>
      </c>
    </row>
    <row r="1952" spans="4:22" ht="17.649999999999999" x14ac:dyDescent="0.5">
      <c r="D1952" s="3" t="s">
        <v>51</v>
      </c>
      <c r="S1952">
        <v>2</v>
      </c>
      <c r="T1952">
        <v>9</v>
      </c>
      <c r="V1952" s="3" t="s">
        <v>68</v>
      </c>
    </row>
    <row r="1953" spans="4:22" ht="17.649999999999999" x14ac:dyDescent="0.5">
      <c r="D1953" s="3" t="s">
        <v>58</v>
      </c>
      <c r="S1953">
        <v>2</v>
      </c>
      <c r="T1953">
        <v>9</v>
      </c>
      <c r="V1953" s="3" t="s">
        <v>68</v>
      </c>
    </row>
    <row r="1954" spans="4:22" ht="17.649999999999999" x14ac:dyDescent="0.5">
      <c r="D1954" s="3" t="s">
        <v>107</v>
      </c>
      <c r="S1954">
        <v>2</v>
      </c>
      <c r="T1954">
        <v>9</v>
      </c>
      <c r="V1954" s="3" t="s">
        <v>68</v>
      </c>
    </row>
    <row r="1955" spans="4:22" ht="17.649999999999999" x14ac:dyDescent="0.5">
      <c r="D1955" s="3" t="s">
        <v>72</v>
      </c>
      <c r="S1955">
        <v>2</v>
      </c>
      <c r="T1955">
        <v>9</v>
      </c>
      <c r="V1955" s="3" t="s">
        <v>68</v>
      </c>
    </row>
    <row r="1956" spans="4:22" ht="17.649999999999999" x14ac:dyDescent="0.5">
      <c r="D1956" s="3" t="s">
        <v>90</v>
      </c>
      <c r="S1956">
        <v>2</v>
      </c>
      <c r="T1956">
        <v>9</v>
      </c>
      <c r="V1956" s="3" t="s">
        <v>68</v>
      </c>
    </row>
    <row r="1957" spans="4:22" ht="17.649999999999999" x14ac:dyDescent="0.5">
      <c r="D1957" s="3" t="s">
        <v>117</v>
      </c>
      <c r="S1957">
        <v>2</v>
      </c>
      <c r="T1957">
        <v>9</v>
      </c>
      <c r="V1957" s="3" t="s">
        <v>68</v>
      </c>
    </row>
    <row r="1958" spans="4:22" ht="17.649999999999999" x14ac:dyDescent="0.5">
      <c r="D1958" s="3" t="s">
        <v>54</v>
      </c>
      <c r="S1958">
        <v>2</v>
      </c>
      <c r="T1958">
        <v>9</v>
      </c>
      <c r="V1958" s="3" t="s">
        <v>68</v>
      </c>
    </row>
    <row r="1959" spans="4:22" ht="17.649999999999999" x14ac:dyDescent="0.5">
      <c r="D1959" s="3" t="s">
        <v>69</v>
      </c>
      <c r="S1959">
        <v>2</v>
      </c>
      <c r="T1959">
        <v>9</v>
      </c>
      <c r="V1959" s="3" t="s">
        <v>68</v>
      </c>
    </row>
    <row r="1960" spans="4:22" ht="17.649999999999999" x14ac:dyDescent="0.5">
      <c r="D1960" s="3" t="s">
        <v>75</v>
      </c>
      <c r="S1960">
        <v>2</v>
      </c>
      <c r="T1960">
        <v>9</v>
      </c>
      <c r="V1960" s="3" t="s">
        <v>68</v>
      </c>
    </row>
    <row r="1961" spans="4:22" ht="17.649999999999999" x14ac:dyDescent="0.5">
      <c r="D1961" s="3" t="s">
        <v>117</v>
      </c>
      <c r="S1961">
        <v>2</v>
      </c>
      <c r="T1961">
        <v>9</v>
      </c>
      <c r="V1961" s="3" t="s">
        <v>68</v>
      </c>
    </row>
    <row r="1962" spans="4:22" ht="17.649999999999999" x14ac:dyDescent="0.5">
      <c r="D1962" s="3" t="s">
        <v>47</v>
      </c>
      <c r="S1962">
        <v>2</v>
      </c>
      <c r="T1962">
        <v>9</v>
      </c>
      <c r="V1962" s="3" t="s">
        <v>68</v>
      </c>
    </row>
    <row r="1963" spans="4:22" ht="17.649999999999999" x14ac:dyDescent="0.5">
      <c r="D1963" s="3" t="s">
        <v>77</v>
      </c>
      <c r="S1963">
        <v>2</v>
      </c>
      <c r="T1963">
        <v>9</v>
      </c>
      <c r="V1963" s="3" t="s">
        <v>68</v>
      </c>
    </row>
    <row r="1964" spans="4:22" ht="17.649999999999999" x14ac:dyDescent="0.5">
      <c r="D1964" s="3" t="s">
        <v>55</v>
      </c>
      <c r="S1964">
        <v>2</v>
      </c>
      <c r="T1964">
        <v>9</v>
      </c>
      <c r="V1964" s="3" t="s">
        <v>68</v>
      </c>
    </row>
    <row r="1965" spans="4:22" ht="17.649999999999999" x14ac:dyDescent="0.5">
      <c r="D1965" s="3" t="s">
        <v>58</v>
      </c>
      <c r="S1965">
        <v>2</v>
      </c>
      <c r="T1965">
        <v>9</v>
      </c>
      <c r="V1965" s="3" t="s">
        <v>68</v>
      </c>
    </row>
    <row r="1966" spans="4:22" ht="17.649999999999999" x14ac:dyDescent="0.5">
      <c r="D1966" s="3" t="s">
        <v>52</v>
      </c>
      <c r="S1966">
        <v>2</v>
      </c>
      <c r="T1966">
        <v>9</v>
      </c>
      <c r="V1966" s="3" t="s">
        <v>68</v>
      </c>
    </row>
    <row r="1967" spans="4:22" ht="17.649999999999999" x14ac:dyDescent="0.5">
      <c r="D1967" s="3" t="s">
        <v>68</v>
      </c>
      <c r="S1967">
        <v>2</v>
      </c>
      <c r="T1967">
        <v>9</v>
      </c>
      <c r="V1967" s="3" t="s">
        <v>68</v>
      </c>
    </row>
    <row r="1968" spans="4:22" ht="17.649999999999999" x14ac:dyDescent="0.5">
      <c r="D1968" s="3" t="s">
        <v>71</v>
      </c>
      <c r="S1968">
        <v>2</v>
      </c>
      <c r="T1968">
        <v>9</v>
      </c>
      <c r="V1968" s="3" t="s">
        <v>75</v>
      </c>
    </row>
    <row r="1969" spans="4:22" ht="17.649999999999999" x14ac:dyDescent="0.5">
      <c r="D1969" s="3" t="s">
        <v>135</v>
      </c>
      <c r="S1969">
        <v>2</v>
      </c>
      <c r="T1969">
        <v>9</v>
      </c>
      <c r="V1969" s="3" t="s">
        <v>75</v>
      </c>
    </row>
    <row r="1970" spans="4:22" ht="17.649999999999999" x14ac:dyDescent="0.5">
      <c r="D1970" s="3" t="s">
        <v>77</v>
      </c>
      <c r="S1970">
        <v>2</v>
      </c>
      <c r="T1970">
        <v>9</v>
      </c>
      <c r="V1970" s="3" t="s">
        <v>75</v>
      </c>
    </row>
    <row r="1971" spans="4:22" ht="17.649999999999999" x14ac:dyDescent="0.5">
      <c r="D1971" s="3" t="s">
        <v>116</v>
      </c>
      <c r="S1971">
        <v>2</v>
      </c>
      <c r="T1971">
        <v>9</v>
      </c>
      <c r="V1971" s="3" t="s">
        <v>75</v>
      </c>
    </row>
    <row r="1972" spans="4:22" ht="17.649999999999999" x14ac:dyDescent="0.5">
      <c r="D1972" s="3" t="s">
        <v>101</v>
      </c>
      <c r="S1972">
        <v>2</v>
      </c>
      <c r="T1972">
        <v>9</v>
      </c>
      <c r="V1972" s="3" t="s">
        <v>75</v>
      </c>
    </row>
    <row r="1973" spans="4:22" ht="17.649999999999999" x14ac:dyDescent="0.5">
      <c r="D1973" s="3" t="s">
        <v>69</v>
      </c>
      <c r="S1973">
        <v>2</v>
      </c>
      <c r="T1973">
        <v>9</v>
      </c>
      <c r="V1973" s="3" t="s">
        <v>75</v>
      </c>
    </row>
    <row r="1974" spans="4:22" ht="17.649999999999999" x14ac:dyDescent="0.5">
      <c r="D1974" s="3" t="s">
        <v>105</v>
      </c>
      <c r="S1974">
        <v>2</v>
      </c>
      <c r="T1974">
        <v>9</v>
      </c>
      <c r="V1974" s="3" t="s">
        <v>75</v>
      </c>
    </row>
    <row r="1975" spans="4:22" ht="17.649999999999999" x14ac:dyDescent="0.5">
      <c r="D1975" s="3" t="s">
        <v>94</v>
      </c>
      <c r="S1975">
        <v>2</v>
      </c>
      <c r="T1975">
        <v>9</v>
      </c>
      <c r="V1975" s="3" t="s">
        <v>75</v>
      </c>
    </row>
    <row r="1976" spans="4:22" ht="17.649999999999999" x14ac:dyDescent="0.5">
      <c r="D1976" s="3" t="s">
        <v>103</v>
      </c>
      <c r="S1976">
        <v>2</v>
      </c>
      <c r="T1976">
        <v>9</v>
      </c>
      <c r="V1976" s="3" t="s">
        <v>75</v>
      </c>
    </row>
    <row r="1977" spans="4:22" ht="17.649999999999999" x14ac:dyDescent="0.5">
      <c r="D1977" s="3" t="s">
        <v>61</v>
      </c>
      <c r="S1977">
        <v>2</v>
      </c>
      <c r="T1977">
        <v>9</v>
      </c>
      <c r="V1977" s="3" t="s">
        <v>75</v>
      </c>
    </row>
    <row r="1978" spans="4:22" ht="17.649999999999999" x14ac:dyDescent="0.5">
      <c r="D1978" s="3" t="s">
        <v>119</v>
      </c>
      <c r="S1978">
        <v>2</v>
      </c>
      <c r="T1978">
        <v>9</v>
      </c>
      <c r="V1978" s="3" t="s">
        <v>75</v>
      </c>
    </row>
    <row r="1979" spans="4:22" ht="17.649999999999999" x14ac:dyDescent="0.5">
      <c r="D1979" s="3" t="s">
        <v>53</v>
      </c>
      <c r="S1979">
        <v>2</v>
      </c>
      <c r="T1979">
        <v>9</v>
      </c>
      <c r="V1979" s="3" t="s">
        <v>75</v>
      </c>
    </row>
    <row r="1980" spans="4:22" ht="17.649999999999999" x14ac:dyDescent="0.5">
      <c r="D1980" s="3" t="s">
        <v>85</v>
      </c>
      <c r="S1980">
        <v>2</v>
      </c>
      <c r="T1980">
        <v>9</v>
      </c>
      <c r="V1980" s="3" t="s">
        <v>75</v>
      </c>
    </row>
    <row r="1981" spans="4:22" ht="17.649999999999999" x14ac:dyDescent="0.5">
      <c r="D1981" s="3" t="s">
        <v>61</v>
      </c>
      <c r="S1981">
        <v>2</v>
      </c>
      <c r="T1981">
        <v>9</v>
      </c>
      <c r="V1981" s="3" t="s">
        <v>75</v>
      </c>
    </row>
    <row r="1982" spans="4:22" ht="17.649999999999999" x14ac:dyDescent="0.5">
      <c r="D1982" s="3" t="s">
        <v>48</v>
      </c>
      <c r="S1982">
        <v>2</v>
      </c>
      <c r="T1982">
        <v>9</v>
      </c>
      <c r="V1982" s="3" t="s">
        <v>75</v>
      </c>
    </row>
    <row r="1983" spans="4:22" ht="17.649999999999999" x14ac:dyDescent="0.5">
      <c r="D1983" s="3" t="s">
        <v>96</v>
      </c>
      <c r="S1983">
        <v>2</v>
      </c>
      <c r="T1983">
        <v>9</v>
      </c>
      <c r="V1983" s="3" t="s">
        <v>75</v>
      </c>
    </row>
    <row r="1984" spans="4:22" ht="17.649999999999999" x14ac:dyDescent="0.5">
      <c r="D1984" s="3" t="s">
        <v>111</v>
      </c>
      <c r="S1984">
        <v>2</v>
      </c>
      <c r="T1984">
        <v>9</v>
      </c>
      <c r="V1984" s="3" t="s">
        <v>75</v>
      </c>
    </row>
    <row r="1985" spans="4:22" ht="17.649999999999999" x14ac:dyDescent="0.5">
      <c r="D1985" s="3" t="s">
        <v>84</v>
      </c>
      <c r="S1985">
        <v>2</v>
      </c>
      <c r="T1985">
        <v>9</v>
      </c>
      <c r="V1985" s="3" t="s">
        <v>75</v>
      </c>
    </row>
    <row r="1986" spans="4:22" ht="17.649999999999999" x14ac:dyDescent="0.5">
      <c r="D1986" s="3" t="s">
        <v>61</v>
      </c>
      <c r="S1986">
        <v>2</v>
      </c>
      <c r="T1986">
        <v>9</v>
      </c>
      <c r="V1986" s="3" t="s">
        <v>75</v>
      </c>
    </row>
    <row r="1987" spans="4:22" ht="17.649999999999999" x14ac:dyDescent="0.5">
      <c r="D1987" s="3" t="s">
        <v>84</v>
      </c>
      <c r="S1987">
        <v>2</v>
      </c>
      <c r="T1987">
        <v>9</v>
      </c>
      <c r="V1987" s="3" t="s">
        <v>75</v>
      </c>
    </row>
    <row r="1988" spans="4:22" ht="17.649999999999999" x14ac:dyDescent="0.5">
      <c r="D1988" s="3" t="s">
        <v>91</v>
      </c>
      <c r="S1988">
        <v>2</v>
      </c>
      <c r="T1988">
        <v>9</v>
      </c>
      <c r="V1988" s="3" t="s">
        <v>75</v>
      </c>
    </row>
    <row r="1989" spans="4:22" ht="17.649999999999999" x14ac:dyDescent="0.5">
      <c r="D1989" s="3" t="s">
        <v>96</v>
      </c>
      <c r="S1989">
        <v>2</v>
      </c>
      <c r="T1989">
        <v>9</v>
      </c>
      <c r="V1989" s="3" t="s">
        <v>75</v>
      </c>
    </row>
    <row r="1990" spans="4:22" ht="17.649999999999999" x14ac:dyDescent="0.5">
      <c r="D1990" s="3" t="s">
        <v>67</v>
      </c>
      <c r="S1990">
        <v>2</v>
      </c>
      <c r="T1990">
        <v>9</v>
      </c>
      <c r="V1990" s="3" t="s">
        <v>75</v>
      </c>
    </row>
    <row r="1991" spans="4:22" ht="17.649999999999999" x14ac:dyDescent="0.5">
      <c r="D1991" s="3" t="s">
        <v>75</v>
      </c>
      <c r="S1991">
        <v>2</v>
      </c>
      <c r="T1991">
        <v>9</v>
      </c>
      <c r="V1991" s="3" t="s">
        <v>75</v>
      </c>
    </row>
    <row r="1992" spans="4:22" ht="17.649999999999999" x14ac:dyDescent="0.5">
      <c r="D1992" s="3" t="s">
        <v>58</v>
      </c>
      <c r="S1992">
        <v>2</v>
      </c>
      <c r="T1992">
        <v>9</v>
      </c>
      <c r="V1992" s="3" t="s">
        <v>75</v>
      </c>
    </row>
    <row r="1993" spans="4:22" ht="17.649999999999999" x14ac:dyDescent="0.5">
      <c r="D1993" s="3" t="s">
        <v>54</v>
      </c>
      <c r="S1993">
        <v>2</v>
      </c>
      <c r="T1993">
        <v>9</v>
      </c>
      <c r="V1993" s="3" t="s">
        <v>75</v>
      </c>
    </row>
    <row r="1994" spans="4:22" ht="17.649999999999999" x14ac:dyDescent="0.5">
      <c r="D1994" s="3" t="s">
        <v>90</v>
      </c>
      <c r="S1994">
        <v>2</v>
      </c>
      <c r="T1994">
        <v>9</v>
      </c>
      <c r="V1994" s="3" t="s">
        <v>75</v>
      </c>
    </row>
    <row r="1995" spans="4:22" ht="17.649999999999999" x14ac:dyDescent="0.5">
      <c r="D1995" s="3" t="s">
        <v>52</v>
      </c>
      <c r="S1995">
        <v>2</v>
      </c>
      <c r="T1995">
        <v>9</v>
      </c>
      <c r="V1995" s="3" t="s">
        <v>75</v>
      </c>
    </row>
    <row r="1996" spans="4:22" ht="17.649999999999999" x14ac:dyDescent="0.5">
      <c r="D1996" s="3" t="s">
        <v>115</v>
      </c>
      <c r="S1996">
        <v>2</v>
      </c>
      <c r="T1996">
        <v>9</v>
      </c>
      <c r="V1996" s="3" t="s">
        <v>75</v>
      </c>
    </row>
    <row r="1997" spans="4:22" ht="17.649999999999999" x14ac:dyDescent="0.5">
      <c r="D1997" s="3" t="s">
        <v>64</v>
      </c>
      <c r="S1997">
        <v>2</v>
      </c>
      <c r="T1997">
        <v>9</v>
      </c>
      <c r="V1997" s="3" t="s">
        <v>75</v>
      </c>
    </row>
    <row r="1998" spans="4:22" ht="17.649999999999999" x14ac:dyDescent="0.5">
      <c r="D1998" s="3" t="s">
        <v>59</v>
      </c>
      <c r="S1998">
        <v>2</v>
      </c>
      <c r="T1998">
        <v>9</v>
      </c>
      <c r="V1998" s="3" t="s">
        <v>75</v>
      </c>
    </row>
    <row r="1999" spans="4:22" ht="17.649999999999999" x14ac:dyDescent="0.5">
      <c r="D1999" s="3" t="s">
        <v>65</v>
      </c>
      <c r="S1999">
        <v>2</v>
      </c>
      <c r="T1999">
        <v>9</v>
      </c>
      <c r="V1999" s="3" t="s">
        <v>75</v>
      </c>
    </row>
    <row r="2000" spans="4:22" ht="17.649999999999999" x14ac:dyDescent="0.5">
      <c r="D2000" s="3" t="s">
        <v>41</v>
      </c>
      <c r="S2000">
        <v>2</v>
      </c>
      <c r="T2000">
        <v>9</v>
      </c>
      <c r="V2000" s="3" t="s">
        <v>75</v>
      </c>
    </row>
    <row r="2001" spans="4:22" ht="17.649999999999999" x14ac:dyDescent="0.5">
      <c r="D2001" s="3" t="s">
        <v>133</v>
      </c>
      <c r="S2001">
        <v>2</v>
      </c>
      <c r="T2001">
        <v>9</v>
      </c>
      <c r="V2001" s="3" t="s">
        <v>75</v>
      </c>
    </row>
    <row r="2002" spans="4:22" ht="17.649999999999999" x14ac:dyDescent="0.5">
      <c r="D2002" s="3" t="s">
        <v>85</v>
      </c>
      <c r="U2002">
        <f>SUM(U2:U2001)</f>
        <v>2000</v>
      </c>
    </row>
    <row r="2003" spans="4:22" ht="17.649999999999999" x14ac:dyDescent="0.5">
      <c r="D2003" s="3" t="s">
        <v>96</v>
      </c>
    </row>
    <row r="2004" spans="4:22" ht="17.649999999999999" x14ac:dyDescent="0.5">
      <c r="D2004" s="3" t="s">
        <v>55</v>
      </c>
    </row>
    <row r="2005" spans="4:22" ht="17.649999999999999" x14ac:dyDescent="0.5">
      <c r="D2005" s="3" t="s">
        <v>75</v>
      </c>
    </row>
    <row r="2006" spans="4:22" ht="17.649999999999999" x14ac:dyDescent="0.5">
      <c r="D2006" s="3" t="s">
        <v>65</v>
      </c>
    </row>
    <row r="2007" spans="4:22" ht="17.649999999999999" x14ac:dyDescent="0.5">
      <c r="D2007" s="3" t="s">
        <v>107</v>
      </c>
    </row>
    <row r="2008" spans="4:22" ht="17.649999999999999" x14ac:dyDescent="0.5">
      <c r="D2008" s="3" t="s">
        <v>85</v>
      </c>
    </row>
    <row r="2009" spans="4:22" ht="17.649999999999999" x14ac:dyDescent="0.5">
      <c r="D2009" s="3" t="s">
        <v>87</v>
      </c>
    </row>
    <row r="2010" spans="4:22" ht="17.649999999999999" x14ac:dyDescent="0.5">
      <c r="D2010" s="3" t="s">
        <v>96</v>
      </c>
    </row>
    <row r="2011" spans="4:22" ht="17.649999999999999" x14ac:dyDescent="0.5">
      <c r="D2011" s="3" t="s">
        <v>110</v>
      </c>
    </row>
    <row r="2012" spans="4:22" ht="17.649999999999999" x14ac:dyDescent="0.5">
      <c r="D2012" s="3" t="s">
        <v>55</v>
      </c>
    </row>
    <row r="2013" spans="4:22" ht="17.649999999999999" x14ac:dyDescent="0.5">
      <c r="D2013" s="3" t="s">
        <v>85</v>
      </c>
    </row>
    <row r="2014" spans="4:22" ht="17.649999999999999" x14ac:dyDescent="0.5">
      <c r="D2014" s="3" t="s">
        <v>87</v>
      </c>
    </row>
    <row r="2015" spans="4:22" ht="17.649999999999999" x14ac:dyDescent="0.5">
      <c r="D2015" s="3" t="s">
        <v>55</v>
      </c>
    </row>
    <row r="2016" spans="4:22" ht="17.649999999999999" x14ac:dyDescent="0.5">
      <c r="D2016" s="3" t="s">
        <v>68</v>
      </c>
    </row>
    <row r="2017" spans="4:4" ht="17.649999999999999" x14ac:dyDescent="0.5">
      <c r="D2017" s="3" t="s">
        <v>131</v>
      </c>
    </row>
    <row r="2018" spans="4:4" ht="17.649999999999999" x14ac:dyDescent="0.5">
      <c r="D2018" s="3" t="s">
        <v>107</v>
      </c>
    </row>
    <row r="2019" spans="4:4" ht="17.649999999999999" x14ac:dyDescent="0.5">
      <c r="D2019" s="3" t="s">
        <v>132</v>
      </c>
    </row>
    <row r="2020" spans="4:4" ht="17.649999999999999" x14ac:dyDescent="0.5">
      <c r="D2020" s="3" t="s">
        <v>52</v>
      </c>
    </row>
    <row r="2021" spans="4:4" ht="17.649999999999999" x14ac:dyDescent="0.5">
      <c r="D2021" s="3" t="s">
        <v>107</v>
      </c>
    </row>
    <row r="2022" spans="4:4" ht="17.649999999999999" x14ac:dyDescent="0.5">
      <c r="D2022" s="3" t="s">
        <v>51</v>
      </c>
    </row>
    <row r="2023" spans="4:4" ht="17.649999999999999" x14ac:dyDescent="0.5">
      <c r="D2023" s="3" t="s">
        <v>83</v>
      </c>
    </row>
    <row r="2024" spans="4:4" ht="17.649999999999999" x14ac:dyDescent="0.5">
      <c r="D2024" s="3" t="s">
        <v>88</v>
      </c>
    </row>
    <row r="2025" spans="4:4" ht="17.649999999999999" x14ac:dyDescent="0.5">
      <c r="D2025" s="3" t="s">
        <v>94</v>
      </c>
    </row>
    <row r="2026" spans="4:4" ht="17.649999999999999" x14ac:dyDescent="0.5">
      <c r="D2026" s="3" t="s">
        <v>49</v>
      </c>
    </row>
    <row r="2027" spans="4:4" ht="17.649999999999999" x14ac:dyDescent="0.5">
      <c r="D2027" s="3" t="s">
        <v>117</v>
      </c>
    </row>
    <row r="2028" spans="4:4" ht="17.649999999999999" x14ac:dyDescent="0.5">
      <c r="D2028" s="3" t="s">
        <v>70</v>
      </c>
    </row>
    <row r="2029" spans="4:4" ht="17.649999999999999" x14ac:dyDescent="0.5">
      <c r="D2029" s="3" t="s">
        <v>47</v>
      </c>
    </row>
    <row r="2030" spans="4:4" ht="17.649999999999999" x14ac:dyDescent="0.5">
      <c r="D2030" s="3" t="s">
        <v>97</v>
      </c>
    </row>
    <row r="2031" spans="4:4" ht="17.649999999999999" x14ac:dyDescent="0.5">
      <c r="D2031" s="3" t="s">
        <v>63</v>
      </c>
    </row>
    <row r="2032" spans="4:4" ht="17.649999999999999" x14ac:dyDescent="0.5">
      <c r="D2032" s="3" t="s">
        <v>64</v>
      </c>
    </row>
    <row r="2033" spans="4:4" ht="17.649999999999999" x14ac:dyDescent="0.5">
      <c r="D2033" s="3" t="s">
        <v>77</v>
      </c>
    </row>
    <row r="2034" spans="4:4" ht="17.649999999999999" x14ac:dyDescent="0.5">
      <c r="D2034" s="3" t="s">
        <v>63</v>
      </c>
    </row>
    <row r="2035" spans="4:4" ht="17.649999999999999" x14ac:dyDescent="0.5">
      <c r="D2035" s="3" t="s">
        <v>61</v>
      </c>
    </row>
    <row r="2036" spans="4:4" ht="17.649999999999999" x14ac:dyDescent="0.5">
      <c r="D2036" s="3" t="s">
        <v>44</v>
      </c>
    </row>
    <row r="2037" spans="4:4" ht="17.649999999999999" x14ac:dyDescent="0.5">
      <c r="D2037" s="3" t="s">
        <v>103</v>
      </c>
    </row>
    <row r="2038" spans="4:4" ht="17.649999999999999" x14ac:dyDescent="0.5">
      <c r="D2038" s="3" t="s">
        <v>80</v>
      </c>
    </row>
    <row r="2039" spans="4:4" ht="17.649999999999999" x14ac:dyDescent="0.5">
      <c r="D2039" s="3" t="s">
        <v>67</v>
      </c>
    </row>
    <row r="2040" spans="4:4" ht="17.649999999999999" x14ac:dyDescent="0.5">
      <c r="D2040" s="3" t="s">
        <v>83</v>
      </c>
    </row>
    <row r="2041" spans="4:4" ht="17.649999999999999" x14ac:dyDescent="0.5">
      <c r="D2041" s="3" t="s">
        <v>101</v>
      </c>
    </row>
    <row r="2042" spans="4:4" ht="17.649999999999999" x14ac:dyDescent="0.5">
      <c r="D2042" s="3" t="s">
        <v>85</v>
      </c>
    </row>
    <row r="2043" spans="4:4" ht="17.649999999999999" x14ac:dyDescent="0.5">
      <c r="D2043" s="3" t="s">
        <v>55</v>
      </c>
    </row>
    <row r="2044" spans="4:4" ht="17.649999999999999" x14ac:dyDescent="0.5">
      <c r="D2044" s="3" t="s">
        <v>74</v>
      </c>
    </row>
    <row r="2045" spans="4:4" ht="17.649999999999999" x14ac:dyDescent="0.5">
      <c r="D2045" s="3" t="s">
        <v>107</v>
      </c>
    </row>
    <row r="2046" spans="4:4" ht="17.649999999999999" x14ac:dyDescent="0.5">
      <c r="D2046" s="3" t="s">
        <v>84</v>
      </c>
    </row>
    <row r="2047" spans="4:4" ht="17.649999999999999" x14ac:dyDescent="0.5">
      <c r="D2047" s="3" t="s">
        <v>55</v>
      </c>
    </row>
    <row r="2048" spans="4:4" ht="17.649999999999999" x14ac:dyDescent="0.5">
      <c r="D2048" s="3" t="s">
        <v>107</v>
      </c>
    </row>
    <row r="2049" spans="4:4" ht="17.649999999999999" x14ac:dyDescent="0.5">
      <c r="D2049" s="3" t="s">
        <v>110</v>
      </c>
    </row>
    <row r="2050" spans="4:4" ht="17.649999999999999" x14ac:dyDescent="0.5">
      <c r="D2050" s="3" t="s">
        <v>97</v>
      </c>
    </row>
    <row r="2051" spans="4:4" ht="17.649999999999999" x14ac:dyDescent="0.5">
      <c r="D2051" s="3" t="s">
        <v>106</v>
      </c>
    </row>
    <row r="2052" spans="4:4" ht="17.649999999999999" x14ac:dyDescent="0.5">
      <c r="D2052" s="3" t="s">
        <v>89</v>
      </c>
    </row>
    <row r="2053" spans="4:4" ht="17.649999999999999" x14ac:dyDescent="0.5">
      <c r="D2053" s="3" t="s">
        <v>90</v>
      </c>
    </row>
    <row r="2054" spans="4:4" ht="17.649999999999999" x14ac:dyDescent="0.5">
      <c r="D2054" s="3" t="s">
        <v>43</v>
      </c>
    </row>
    <row r="2055" spans="4:4" ht="17.649999999999999" x14ac:dyDescent="0.5">
      <c r="D2055" s="3" t="s">
        <v>63</v>
      </c>
    </row>
    <row r="2056" spans="4:4" ht="17.649999999999999" x14ac:dyDescent="0.5">
      <c r="D2056" s="3" t="s">
        <v>135</v>
      </c>
    </row>
    <row r="2057" spans="4:4" ht="17.649999999999999" x14ac:dyDescent="0.5">
      <c r="D2057" s="3" t="s">
        <v>43</v>
      </c>
    </row>
    <row r="2058" spans="4:4" ht="17.649999999999999" x14ac:dyDescent="0.5">
      <c r="D2058" s="3" t="s">
        <v>64</v>
      </c>
    </row>
    <row r="2059" spans="4:4" ht="17.649999999999999" x14ac:dyDescent="0.5">
      <c r="D2059" s="3" t="s">
        <v>68</v>
      </c>
    </row>
    <row r="2060" spans="4:4" ht="17.649999999999999" x14ac:dyDescent="0.5">
      <c r="D2060" s="3" t="s">
        <v>66</v>
      </c>
    </row>
    <row r="2061" spans="4:4" ht="17.649999999999999" x14ac:dyDescent="0.5">
      <c r="D2061" s="3" t="s">
        <v>135</v>
      </c>
    </row>
  </sheetData>
  <sortState ref="S2:V25">
    <sortCondition ref="T2:T25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1:P2061"/>
  <sheetViews>
    <sheetView topLeftCell="A2036" workbookViewId="0">
      <selection activeCell="C2060" sqref="C2060"/>
    </sheetView>
  </sheetViews>
  <sheetFormatPr baseColWidth="10" defaultRowHeight="15.75" x14ac:dyDescent="0.5"/>
  <sheetData>
    <row r="1" spans="4:10" ht="25.15" x14ac:dyDescent="0.7">
      <c r="D1" s="1" t="s">
        <v>7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43</v>
      </c>
      <c r="F31" s="2">
        <v>40</v>
      </c>
      <c r="G31" s="2">
        <v>46</v>
      </c>
      <c r="H31" s="2">
        <v>40</v>
      </c>
      <c r="I31" s="2">
        <v>46</v>
      </c>
      <c r="J31" s="2">
        <v>40</v>
      </c>
      <c r="K31" s="2">
        <v>40</v>
      </c>
      <c r="L31" s="2">
        <v>41</v>
      </c>
      <c r="M31" s="2">
        <v>40</v>
      </c>
      <c r="N31" s="2">
        <v>44</v>
      </c>
      <c r="O31" s="2">
        <v>37</v>
      </c>
      <c r="P31" s="2">
        <v>42</v>
      </c>
    </row>
    <row r="32" spans="4:16" x14ac:dyDescent="0.5">
      <c r="D32" s="2">
        <v>2</v>
      </c>
      <c r="E32" s="2">
        <v>45</v>
      </c>
      <c r="F32" s="2">
        <v>42</v>
      </c>
      <c r="G32" s="2">
        <v>39</v>
      </c>
      <c r="H32" s="2">
        <v>39</v>
      </c>
      <c r="I32" s="2">
        <v>44</v>
      </c>
      <c r="J32" s="2">
        <v>36</v>
      </c>
      <c r="K32" s="2">
        <v>38</v>
      </c>
      <c r="L32" s="2">
        <v>43</v>
      </c>
      <c r="M32" s="2">
        <v>43</v>
      </c>
      <c r="N32" s="2">
        <v>43</v>
      </c>
      <c r="O32" s="2">
        <v>39</v>
      </c>
      <c r="P32" s="2">
        <v>50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40</v>
      </c>
      <c r="F37" s="2">
        <v>43</v>
      </c>
      <c r="G37" s="2">
        <v>38</v>
      </c>
      <c r="H37" s="2">
        <v>43</v>
      </c>
      <c r="I37" s="2">
        <v>38</v>
      </c>
      <c r="J37" s="2">
        <v>43</v>
      </c>
      <c r="K37" s="2">
        <v>43</v>
      </c>
      <c r="L37" s="2">
        <v>42</v>
      </c>
      <c r="M37" s="2">
        <v>44</v>
      </c>
      <c r="N37" s="2">
        <v>39</v>
      </c>
      <c r="O37" s="2">
        <v>46</v>
      </c>
      <c r="P37" s="2">
        <v>42</v>
      </c>
    </row>
    <row r="38" spans="4:16" x14ac:dyDescent="0.5">
      <c r="D38" s="2">
        <v>2</v>
      </c>
      <c r="E38" s="2">
        <v>38</v>
      </c>
      <c r="F38" s="2">
        <v>41</v>
      </c>
      <c r="G38" s="2">
        <v>45</v>
      </c>
      <c r="H38" s="2">
        <v>44</v>
      </c>
      <c r="I38" s="2">
        <v>40</v>
      </c>
      <c r="J38" s="2">
        <v>47</v>
      </c>
      <c r="K38" s="2">
        <v>45</v>
      </c>
      <c r="L38" s="2">
        <v>40</v>
      </c>
      <c r="M38" s="2">
        <v>41</v>
      </c>
      <c r="N38" s="2">
        <v>40</v>
      </c>
      <c r="O38" s="2">
        <v>44</v>
      </c>
      <c r="P38" s="2">
        <v>34</v>
      </c>
    </row>
    <row r="39" spans="4:16" ht="17.649999999999999" x14ac:dyDescent="0.5">
      <c r="D39" s="3" t="s">
        <v>137</v>
      </c>
      <c r="E39">
        <f t="shared" ref="E39:P39" si="0">E31-E37</f>
        <v>3</v>
      </c>
      <c r="F39">
        <f t="shared" si="0"/>
        <v>-3</v>
      </c>
      <c r="G39">
        <f t="shared" si="0"/>
        <v>8</v>
      </c>
      <c r="H39">
        <f t="shared" si="0"/>
        <v>-3</v>
      </c>
      <c r="I39">
        <f t="shared" si="0"/>
        <v>8</v>
      </c>
      <c r="J39">
        <f t="shared" si="0"/>
        <v>-3</v>
      </c>
      <c r="K39">
        <f t="shared" si="0"/>
        <v>-3</v>
      </c>
      <c r="L39">
        <f t="shared" si="0"/>
        <v>-1</v>
      </c>
      <c r="M39">
        <f t="shared" si="0"/>
        <v>-4</v>
      </c>
      <c r="N39">
        <f t="shared" si="0"/>
        <v>5</v>
      </c>
      <c r="O39">
        <f t="shared" si="0"/>
        <v>-9</v>
      </c>
      <c r="P39">
        <f t="shared" si="0"/>
        <v>0</v>
      </c>
    </row>
    <row r="40" spans="4:16" ht="17.649999999999999" x14ac:dyDescent="0.5">
      <c r="D40" s="3" t="s">
        <v>138</v>
      </c>
      <c r="E40">
        <f t="shared" ref="E40:P40" si="1">E32-E38</f>
        <v>7</v>
      </c>
      <c r="F40">
        <f t="shared" si="1"/>
        <v>1</v>
      </c>
      <c r="G40">
        <f t="shared" si="1"/>
        <v>-6</v>
      </c>
      <c r="H40">
        <f t="shared" si="1"/>
        <v>-5</v>
      </c>
      <c r="I40">
        <f t="shared" si="1"/>
        <v>4</v>
      </c>
      <c r="J40">
        <f t="shared" si="1"/>
        <v>-11</v>
      </c>
      <c r="K40">
        <f t="shared" si="1"/>
        <v>-7</v>
      </c>
      <c r="L40">
        <f t="shared" si="1"/>
        <v>3</v>
      </c>
      <c r="M40">
        <f t="shared" si="1"/>
        <v>2</v>
      </c>
      <c r="N40">
        <f t="shared" si="1"/>
        <v>3</v>
      </c>
      <c r="O40">
        <f t="shared" si="1"/>
        <v>-5</v>
      </c>
      <c r="P40">
        <f t="shared" si="1"/>
        <v>16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88</v>
      </c>
      <c r="F44" s="2">
        <v>82</v>
      </c>
      <c r="G44" s="2">
        <v>85</v>
      </c>
      <c r="H44" s="2">
        <v>79</v>
      </c>
      <c r="I44" s="2">
        <v>90</v>
      </c>
      <c r="J44" s="2">
        <v>76</v>
      </c>
      <c r="K44" s="2">
        <v>78</v>
      </c>
      <c r="L44" s="2">
        <v>84</v>
      </c>
      <c r="M44" s="2">
        <v>83</v>
      </c>
      <c r="N44" s="2">
        <v>87</v>
      </c>
      <c r="O44" s="2">
        <v>76</v>
      </c>
      <c r="P44" s="2">
        <v>92</v>
      </c>
    </row>
    <row r="45" spans="4:16" x14ac:dyDescent="0.5">
      <c r="D45" s="2" t="s">
        <v>28</v>
      </c>
      <c r="E45" s="2">
        <v>78</v>
      </c>
      <c r="F45" s="2">
        <v>84</v>
      </c>
      <c r="G45" s="2">
        <v>83</v>
      </c>
      <c r="H45" s="2">
        <v>87</v>
      </c>
      <c r="I45" s="2">
        <v>78</v>
      </c>
      <c r="J45" s="2">
        <v>90</v>
      </c>
      <c r="K45" s="2">
        <v>88</v>
      </c>
      <c r="L45" s="2">
        <v>82</v>
      </c>
      <c r="M45" s="2">
        <v>85</v>
      </c>
      <c r="N45" s="2">
        <v>79</v>
      </c>
      <c r="O45" s="2">
        <v>90</v>
      </c>
      <c r="P45" s="2">
        <v>76</v>
      </c>
    </row>
    <row r="46" spans="4:16" x14ac:dyDescent="0.5">
      <c r="D46" s="2" t="s">
        <v>30</v>
      </c>
      <c r="E46" s="2">
        <v>10</v>
      </c>
      <c r="F46" s="2">
        <v>-2</v>
      </c>
      <c r="G46" s="2">
        <v>2</v>
      </c>
      <c r="H46" s="2">
        <v>-8</v>
      </c>
      <c r="I46" s="2">
        <v>12</v>
      </c>
      <c r="J46" s="2">
        <v>-14</v>
      </c>
      <c r="K46" s="2">
        <v>-10</v>
      </c>
      <c r="L46" s="2">
        <v>2</v>
      </c>
      <c r="M46" s="2">
        <v>-2</v>
      </c>
      <c r="N46" s="2">
        <v>8</v>
      </c>
      <c r="O46" s="2">
        <v>-14</v>
      </c>
      <c r="P46" s="2">
        <v>16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99</v>
      </c>
      <c r="G56" s="2">
        <v>517</v>
      </c>
      <c r="H56" s="2">
        <v>812</v>
      </c>
      <c r="I56" s="2">
        <v>480</v>
      </c>
      <c r="J56" s="2">
        <v>89</v>
      </c>
      <c r="K56" s="2">
        <v>1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139</v>
      </c>
    </row>
    <row r="61" spans="4:11" ht="17.649999999999999" x14ac:dyDescent="0.5">
      <c r="D61" s="3" t="s">
        <v>140</v>
      </c>
    </row>
    <row r="62" spans="4:11" ht="17.649999999999999" x14ac:dyDescent="0.5">
      <c r="D62" s="3" t="s">
        <v>55</v>
      </c>
    </row>
    <row r="63" spans="4:11" ht="17.649999999999999" x14ac:dyDescent="0.5">
      <c r="D63" s="3" t="s">
        <v>42</v>
      </c>
    </row>
    <row r="64" spans="4:11" ht="17.649999999999999" x14ac:dyDescent="0.5">
      <c r="D64" s="3" t="s">
        <v>92</v>
      </c>
    </row>
    <row r="65" spans="4:4" ht="17.649999999999999" x14ac:dyDescent="0.5">
      <c r="D65" s="3" t="s">
        <v>129</v>
      </c>
    </row>
    <row r="66" spans="4:4" ht="17.649999999999999" x14ac:dyDescent="0.5">
      <c r="D66" s="3" t="s">
        <v>85</v>
      </c>
    </row>
    <row r="67" spans="4:4" ht="17.649999999999999" x14ac:dyDescent="0.5">
      <c r="D67" s="3" t="s">
        <v>106</v>
      </c>
    </row>
    <row r="68" spans="4:4" ht="17.649999999999999" x14ac:dyDescent="0.5">
      <c r="D68" s="3" t="s">
        <v>52</v>
      </c>
    </row>
    <row r="69" spans="4:4" ht="17.649999999999999" x14ac:dyDescent="0.5">
      <c r="D69" s="3" t="s">
        <v>46</v>
      </c>
    </row>
    <row r="70" spans="4:4" ht="17.649999999999999" x14ac:dyDescent="0.5">
      <c r="D70" s="3" t="s">
        <v>83</v>
      </c>
    </row>
    <row r="71" spans="4:4" ht="17.649999999999999" x14ac:dyDescent="0.5">
      <c r="D71" s="3" t="s">
        <v>79</v>
      </c>
    </row>
    <row r="72" spans="4:4" ht="17.649999999999999" x14ac:dyDescent="0.5">
      <c r="D72" s="3" t="s">
        <v>75</v>
      </c>
    </row>
    <row r="73" spans="4:4" ht="17.649999999999999" x14ac:dyDescent="0.5">
      <c r="D73" s="3" t="s">
        <v>51</v>
      </c>
    </row>
    <row r="74" spans="4:4" ht="17.649999999999999" x14ac:dyDescent="0.5">
      <c r="D74" s="3" t="s">
        <v>67</v>
      </c>
    </row>
    <row r="75" spans="4:4" ht="17.649999999999999" x14ac:dyDescent="0.5">
      <c r="D75" s="3" t="s">
        <v>64</v>
      </c>
    </row>
    <row r="76" spans="4:4" ht="17.649999999999999" x14ac:dyDescent="0.5">
      <c r="D76" s="3" t="s">
        <v>51</v>
      </c>
    </row>
    <row r="77" spans="4:4" ht="17.649999999999999" x14ac:dyDescent="0.5">
      <c r="D77" s="3" t="s">
        <v>55</v>
      </c>
    </row>
    <row r="78" spans="4:4" ht="17.649999999999999" x14ac:dyDescent="0.5">
      <c r="D78" s="3" t="s">
        <v>57</v>
      </c>
    </row>
    <row r="79" spans="4:4" ht="17.649999999999999" x14ac:dyDescent="0.5">
      <c r="D79" s="3" t="s">
        <v>115</v>
      </c>
    </row>
    <row r="80" spans="4:4" ht="17.649999999999999" x14ac:dyDescent="0.5">
      <c r="D80" s="3" t="s">
        <v>89</v>
      </c>
    </row>
    <row r="81" spans="4:4" ht="17.649999999999999" x14ac:dyDescent="0.5">
      <c r="D81" s="3" t="s">
        <v>63</v>
      </c>
    </row>
    <row r="82" spans="4:4" ht="17.649999999999999" x14ac:dyDescent="0.5">
      <c r="D82" s="3" t="s">
        <v>89</v>
      </c>
    </row>
    <row r="83" spans="4:4" ht="17.649999999999999" x14ac:dyDescent="0.5">
      <c r="D83" s="3" t="s">
        <v>126</v>
      </c>
    </row>
    <row r="84" spans="4:4" ht="17.649999999999999" x14ac:dyDescent="0.5">
      <c r="D84" s="3" t="s">
        <v>90</v>
      </c>
    </row>
    <row r="85" spans="4:4" ht="17.649999999999999" x14ac:dyDescent="0.5">
      <c r="D85" s="3" t="s">
        <v>73</v>
      </c>
    </row>
    <row r="86" spans="4:4" ht="17.649999999999999" x14ac:dyDescent="0.5">
      <c r="D86" s="3" t="s">
        <v>47</v>
      </c>
    </row>
    <row r="87" spans="4:4" ht="17.649999999999999" x14ac:dyDescent="0.5">
      <c r="D87" s="3" t="s">
        <v>123</v>
      </c>
    </row>
    <row r="88" spans="4:4" ht="17.649999999999999" x14ac:dyDescent="0.5">
      <c r="D88" s="3" t="s">
        <v>53</v>
      </c>
    </row>
    <row r="89" spans="4:4" ht="17.649999999999999" x14ac:dyDescent="0.5">
      <c r="D89" s="3" t="s">
        <v>47</v>
      </c>
    </row>
    <row r="90" spans="4:4" ht="17.649999999999999" x14ac:dyDescent="0.5">
      <c r="D90" s="3" t="s">
        <v>121</v>
      </c>
    </row>
    <row r="91" spans="4:4" ht="17.649999999999999" x14ac:dyDescent="0.5">
      <c r="D91" s="3" t="s">
        <v>64</v>
      </c>
    </row>
    <row r="92" spans="4:4" ht="17.649999999999999" x14ac:dyDescent="0.5">
      <c r="D92" s="3" t="s">
        <v>41</v>
      </c>
    </row>
    <row r="93" spans="4:4" ht="17.649999999999999" x14ac:dyDescent="0.5">
      <c r="D93" s="3" t="s">
        <v>84</v>
      </c>
    </row>
    <row r="94" spans="4:4" ht="17.649999999999999" x14ac:dyDescent="0.5">
      <c r="D94" s="3" t="s">
        <v>67</v>
      </c>
    </row>
    <row r="95" spans="4:4" ht="17.649999999999999" x14ac:dyDescent="0.5">
      <c r="D95" s="3" t="s">
        <v>92</v>
      </c>
    </row>
    <row r="96" spans="4:4" ht="17.649999999999999" x14ac:dyDescent="0.5">
      <c r="D96" s="3" t="s">
        <v>62</v>
      </c>
    </row>
    <row r="97" spans="4:4" ht="17.649999999999999" x14ac:dyDescent="0.5">
      <c r="D97" s="3" t="s">
        <v>133</v>
      </c>
    </row>
    <row r="98" spans="4:4" ht="17.649999999999999" x14ac:dyDescent="0.5">
      <c r="D98" s="3" t="s">
        <v>117</v>
      </c>
    </row>
    <row r="99" spans="4:4" ht="17.649999999999999" x14ac:dyDescent="0.5">
      <c r="D99" s="3" t="s">
        <v>111</v>
      </c>
    </row>
    <row r="100" spans="4:4" ht="17.649999999999999" x14ac:dyDescent="0.5">
      <c r="D100" s="3" t="s">
        <v>46</v>
      </c>
    </row>
    <row r="101" spans="4:4" ht="17.649999999999999" x14ac:dyDescent="0.5">
      <c r="D101" s="3" t="s">
        <v>105</v>
      </c>
    </row>
    <row r="102" spans="4:4" ht="17.649999999999999" x14ac:dyDescent="0.5">
      <c r="D102" s="3" t="s">
        <v>77</v>
      </c>
    </row>
    <row r="103" spans="4:4" ht="17.649999999999999" x14ac:dyDescent="0.5">
      <c r="D103" s="3" t="s">
        <v>69</v>
      </c>
    </row>
    <row r="104" spans="4:4" ht="17.649999999999999" x14ac:dyDescent="0.5">
      <c r="D104" s="3" t="s">
        <v>121</v>
      </c>
    </row>
    <row r="105" spans="4:4" ht="17.649999999999999" x14ac:dyDescent="0.5">
      <c r="D105" s="3" t="s">
        <v>107</v>
      </c>
    </row>
    <row r="106" spans="4:4" ht="17.649999999999999" x14ac:dyDescent="0.5">
      <c r="D106" s="3" t="s">
        <v>53</v>
      </c>
    </row>
    <row r="107" spans="4:4" ht="17.649999999999999" x14ac:dyDescent="0.5">
      <c r="D107" s="3" t="s">
        <v>103</v>
      </c>
    </row>
    <row r="108" spans="4:4" ht="17.649999999999999" x14ac:dyDescent="0.5">
      <c r="D108" s="3" t="s">
        <v>94</v>
      </c>
    </row>
    <row r="109" spans="4:4" ht="17.649999999999999" x14ac:dyDescent="0.5">
      <c r="D109" s="3" t="s">
        <v>100</v>
      </c>
    </row>
    <row r="110" spans="4:4" ht="17.649999999999999" x14ac:dyDescent="0.5">
      <c r="D110" s="3" t="s">
        <v>108</v>
      </c>
    </row>
    <row r="111" spans="4:4" ht="17.649999999999999" x14ac:dyDescent="0.5">
      <c r="D111" s="3" t="s">
        <v>79</v>
      </c>
    </row>
    <row r="112" spans="4:4" ht="17.649999999999999" x14ac:dyDescent="0.5">
      <c r="D112" s="3" t="s">
        <v>91</v>
      </c>
    </row>
    <row r="113" spans="4:4" ht="17.649999999999999" x14ac:dyDescent="0.5">
      <c r="D113" s="3" t="s">
        <v>78</v>
      </c>
    </row>
    <row r="114" spans="4:4" ht="17.649999999999999" x14ac:dyDescent="0.5">
      <c r="D114" s="3" t="s">
        <v>123</v>
      </c>
    </row>
    <row r="115" spans="4:4" ht="17.649999999999999" x14ac:dyDescent="0.5">
      <c r="D115" s="3" t="s">
        <v>90</v>
      </c>
    </row>
    <row r="116" spans="4:4" ht="17.649999999999999" x14ac:dyDescent="0.5">
      <c r="D116" s="3" t="s">
        <v>94</v>
      </c>
    </row>
    <row r="117" spans="4:4" ht="17.649999999999999" x14ac:dyDescent="0.5">
      <c r="D117" s="3" t="s">
        <v>69</v>
      </c>
    </row>
    <row r="118" spans="4:4" ht="17.649999999999999" x14ac:dyDescent="0.5">
      <c r="D118" s="3" t="s">
        <v>84</v>
      </c>
    </row>
    <row r="119" spans="4:4" ht="17.649999999999999" x14ac:dyDescent="0.5">
      <c r="D119" s="3" t="s">
        <v>51</v>
      </c>
    </row>
    <row r="120" spans="4:4" ht="17.649999999999999" x14ac:dyDescent="0.5">
      <c r="D120" s="3" t="s">
        <v>84</v>
      </c>
    </row>
    <row r="121" spans="4:4" ht="17.649999999999999" x14ac:dyDescent="0.5">
      <c r="D121" s="3" t="s">
        <v>98</v>
      </c>
    </row>
    <row r="122" spans="4:4" ht="17.649999999999999" x14ac:dyDescent="0.5">
      <c r="D122" s="3" t="s">
        <v>65</v>
      </c>
    </row>
    <row r="123" spans="4:4" ht="17.649999999999999" x14ac:dyDescent="0.5">
      <c r="D123" s="3" t="s">
        <v>41</v>
      </c>
    </row>
    <row r="124" spans="4:4" ht="17.649999999999999" x14ac:dyDescent="0.5">
      <c r="D124" s="3" t="s">
        <v>98</v>
      </c>
    </row>
    <row r="125" spans="4:4" ht="17.649999999999999" x14ac:dyDescent="0.5">
      <c r="D125" s="3" t="s">
        <v>53</v>
      </c>
    </row>
    <row r="126" spans="4:4" ht="17.649999999999999" x14ac:dyDescent="0.5">
      <c r="D126" s="3" t="s">
        <v>107</v>
      </c>
    </row>
    <row r="127" spans="4:4" ht="17.649999999999999" x14ac:dyDescent="0.5">
      <c r="D127" s="3" t="s">
        <v>67</v>
      </c>
    </row>
    <row r="128" spans="4:4" ht="17.649999999999999" x14ac:dyDescent="0.5">
      <c r="D128" s="3" t="s">
        <v>85</v>
      </c>
    </row>
    <row r="129" spans="4:4" ht="17.649999999999999" x14ac:dyDescent="0.5">
      <c r="D129" s="3" t="s">
        <v>115</v>
      </c>
    </row>
    <row r="130" spans="4:4" ht="17.649999999999999" x14ac:dyDescent="0.5">
      <c r="D130" s="3" t="s">
        <v>134</v>
      </c>
    </row>
    <row r="131" spans="4:4" ht="17.649999999999999" x14ac:dyDescent="0.5">
      <c r="D131" s="3" t="s">
        <v>75</v>
      </c>
    </row>
    <row r="132" spans="4:4" ht="17.649999999999999" x14ac:dyDescent="0.5">
      <c r="D132" s="3" t="s">
        <v>92</v>
      </c>
    </row>
    <row r="133" spans="4:4" ht="17.649999999999999" x14ac:dyDescent="0.5">
      <c r="D133" s="3" t="s">
        <v>99</v>
      </c>
    </row>
    <row r="134" spans="4:4" ht="17.649999999999999" x14ac:dyDescent="0.5">
      <c r="D134" s="3" t="s">
        <v>55</v>
      </c>
    </row>
    <row r="135" spans="4:4" ht="17.649999999999999" x14ac:dyDescent="0.5">
      <c r="D135" s="3" t="s">
        <v>126</v>
      </c>
    </row>
    <row r="136" spans="4:4" ht="17.649999999999999" x14ac:dyDescent="0.5">
      <c r="D136" s="3" t="s">
        <v>57</v>
      </c>
    </row>
    <row r="137" spans="4:4" ht="17.649999999999999" x14ac:dyDescent="0.5">
      <c r="D137" s="3" t="s">
        <v>48</v>
      </c>
    </row>
    <row r="138" spans="4:4" ht="17.649999999999999" x14ac:dyDescent="0.5">
      <c r="D138" s="3" t="s">
        <v>94</v>
      </c>
    </row>
    <row r="139" spans="4:4" ht="17.649999999999999" x14ac:dyDescent="0.5">
      <c r="D139" s="3" t="s">
        <v>49</v>
      </c>
    </row>
    <row r="140" spans="4:4" ht="17.649999999999999" x14ac:dyDescent="0.5">
      <c r="D140" s="3" t="s">
        <v>53</v>
      </c>
    </row>
    <row r="141" spans="4:4" ht="17.649999999999999" x14ac:dyDescent="0.5">
      <c r="D141" s="3" t="s">
        <v>81</v>
      </c>
    </row>
    <row r="142" spans="4:4" ht="17.649999999999999" x14ac:dyDescent="0.5">
      <c r="D142" s="3" t="s">
        <v>92</v>
      </c>
    </row>
    <row r="143" spans="4:4" ht="17.649999999999999" x14ac:dyDescent="0.5">
      <c r="D143" s="3" t="s">
        <v>81</v>
      </c>
    </row>
    <row r="144" spans="4:4" ht="17.649999999999999" x14ac:dyDescent="0.5">
      <c r="D144" s="3" t="s">
        <v>49</v>
      </c>
    </row>
    <row r="145" spans="4:4" ht="17.649999999999999" x14ac:dyDescent="0.5">
      <c r="D145" s="3" t="s">
        <v>109</v>
      </c>
    </row>
    <row r="146" spans="4:4" ht="17.649999999999999" x14ac:dyDescent="0.5">
      <c r="D146" s="3" t="s">
        <v>69</v>
      </c>
    </row>
    <row r="147" spans="4:4" ht="17.649999999999999" x14ac:dyDescent="0.5">
      <c r="D147" s="3" t="s">
        <v>103</v>
      </c>
    </row>
    <row r="148" spans="4:4" ht="17.649999999999999" x14ac:dyDescent="0.5">
      <c r="D148" s="3" t="s">
        <v>67</v>
      </c>
    </row>
    <row r="149" spans="4:4" ht="17.649999999999999" x14ac:dyDescent="0.5">
      <c r="D149" s="3" t="s">
        <v>52</v>
      </c>
    </row>
    <row r="150" spans="4:4" ht="17.649999999999999" x14ac:dyDescent="0.5">
      <c r="D150" s="3" t="s">
        <v>117</v>
      </c>
    </row>
    <row r="151" spans="4:4" ht="17.649999999999999" x14ac:dyDescent="0.5">
      <c r="D151" s="3" t="s">
        <v>107</v>
      </c>
    </row>
    <row r="152" spans="4:4" ht="17.649999999999999" x14ac:dyDescent="0.5">
      <c r="D152" s="3" t="s">
        <v>90</v>
      </c>
    </row>
    <row r="153" spans="4:4" ht="17.649999999999999" x14ac:dyDescent="0.5">
      <c r="D153" s="3" t="s">
        <v>81</v>
      </c>
    </row>
    <row r="154" spans="4:4" ht="17.649999999999999" x14ac:dyDescent="0.5">
      <c r="D154" s="3" t="s">
        <v>106</v>
      </c>
    </row>
    <row r="155" spans="4:4" ht="17.649999999999999" x14ac:dyDescent="0.5">
      <c r="D155" s="3" t="s">
        <v>117</v>
      </c>
    </row>
    <row r="156" spans="4:4" ht="17.649999999999999" x14ac:dyDescent="0.5">
      <c r="D156" s="3" t="s">
        <v>54</v>
      </c>
    </row>
    <row r="157" spans="4:4" ht="17.649999999999999" x14ac:dyDescent="0.5">
      <c r="D157" s="3" t="s">
        <v>116</v>
      </c>
    </row>
    <row r="158" spans="4:4" ht="17.649999999999999" x14ac:dyDescent="0.5">
      <c r="D158" s="3" t="s">
        <v>81</v>
      </c>
    </row>
    <row r="159" spans="4:4" ht="17.649999999999999" x14ac:dyDescent="0.5">
      <c r="D159" s="3" t="s">
        <v>94</v>
      </c>
    </row>
    <row r="160" spans="4:4" ht="17.649999999999999" x14ac:dyDescent="0.5">
      <c r="D160" s="3" t="s">
        <v>74</v>
      </c>
    </row>
    <row r="161" spans="4:4" ht="17.649999999999999" x14ac:dyDescent="0.5">
      <c r="D161" s="3" t="s">
        <v>59</v>
      </c>
    </row>
    <row r="162" spans="4:4" ht="17.649999999999999" x14ac:dyDescent="0.5">
      <c r="D162" s="3" t="s">
        <v>90</v>
      </c>
    </row>
    <row r="163" spans="4:4" ht="17.649999999999999" x14ac:dyDescent="0.5">
      <c r="D163" s="3" t="s">
        <v>109</v>
      </c>
    </row>
    <row r="164" spans="4:4" ht="17.649999999999999" x14ac:dyDescent="0.5">
      <c r="D164" s="3" t="s">
        <v>107</v>
      </c>
    </row>
    <row r="165" spans="4:4" ht="17.649999999999999" x14ac:dyDescent="0.5">
      <c r="D165" s="3" t="s">
        <v>106</v>
      </c>
    </row>
    <row r="166" spans="4:4" ht="17.649999999999999" x14ac:dyDescent="0.5">
      <c r="D166" s="3" t="s">
        <v>99</v>
      </c>
    </row>
    <row r="167" spans="4:4" ht="17.649999999999999" x14ac:dyDescent="0.5">
      <c r="D167" s="3" t="s">
        <v>68</v>
      </c>
    </row>
    <row r="168" spans="4:4" ht="17.649999999999999" x14ac:dyDescent="0.5">
      <c r="D168" s="3" t="s">
        <v>56</v>
      </c>
    </row>
    <row r="169" spans="4:4" ht="17.649999999999999" x14ac:dyDescent="0.5">
      <c r="D169" s="3" t="s">
        <v>41</v>
      </c>
    </row>
    <row r="170" spans="4:4" ht="17.649999999999999" x14ac:dyDescent="0.5">
      <c r="D170" s="3" t="s">
        <v>76</v>
      </c>
    </row>
    <row r="171" spans="4:4" ht="17.649999999999999" x14ac:dyDescent="0.5">
      <c r="D171" s="3" t="s">
        <v>80</v>
      </c>
    </row>
    <row r="172" spans="4:4" ht="17.649999999999999" x14ac:dyDescent="0.5">
      <c r="D172" s="3" t="s">
        <v>133</v>
      </c>
    </row>
    <row r="173" spans="4:4" ht="17.649999999999999" x14ac:dyDescent="0.5">
      <c r="D173" s="3" t="s">
        <v>83</v>
      </c>
    </row>
    <row r="174" spans="4:4" ht="17.649999999999999" x14ac:dyDescent="0.5">
      <c r="D174" s="3" t="s">
        <v>91</v>
      </c>
    </row>
    <row r="175" spans="4:4" ht="17.649999999999999" x14ac:dyDescent="0.5">
      <c r="D175" s="3" t="s">
        <v>114</v>
      </c>
    </row>
    <row r="176" spans="4:4" ht="17.649999999999999" x14ac:dyDescent="0.5">
      <c r="D176" s="3" t="s">
        <v>115</v>
      </c>
    </row>
    <row r="177" spans="4:4" ht="17.649999999999999" x14ac:dyDescent="0.5">
      <c r="D177" s="3" t="s">
        <v>103</v>
      </c>
    </row>
    <row r="178" spans="4:4" ht="17.649999999999999" x14ac:dyDescent="0.5">
      <c r="D178" s="3" t="s">
        <v>103</v>
      </c>
    </row>
    <row r="179" spans="4:4" ht="17.649999999999999" x14ac:dyDescent="0.5">
      <c r="D179" s="3" t="s">
        <v>90</v>
      </c>
    </row>
    <row r="180" spans="4:4" ht="17.649999999999999" x14ac:dyDescent="0.5">
      <c r="D180" s="3" t="s">
        <v>107</v>
      </c>
    </row>
    <row r="181" spans="4:4" ht="17.649999999999999" x14ac:dyDescent="0.5">
      <c r="D181" s="3" t="s">
        <v>114</v>
      </c>
    </row>
    <row r="182" spans="4:4" ht="17.649999999999999" x14ac:dyDescent="0.5">
      <c r="D182" s="3" t="s">
        <v>134</v>
      </c>
    </row>
    <row r="183" spans="4:4" ht="17.649999999999999" x14ac:dyDescent="0.5">
      <c r="D183" s="3" t="s">
        <v>87</v>
      </c>
    </row>
    <row r="184" spans="4:4" ht="17.649999999999999" x14ac:dyDescent="0.5">
      <c r="D184" s="3" t="s">
        <v>96</v>
      </c>
    </row>
    <row r="185" spans="4:4" ht="17.649999999999999" x14ac:dyDescent="0.5">
      <c r="D185" s="3" t="s">
        <v>53</v>
      </c>
    </row>
    <row r="186" spans="4:4" ht="17.649999999999999" x14ac:dyDescent="0.5">
      <c r="D186" s="3" t="s">
        <v>103</v>
      </c>
    </row>
    <row r="187" spans="4:4" ht="17.649999999999999" x14ac:dyDescent="0.5">
      <c r="D187" s="3" t="s">
        <v>125</v>
      </c>
    </row>
    <row r="188" spans="4:4" ht="17.649999999999999" x14ac:dyDescent="0.5">
      <c r="D188" s="3" t="s">
        <v>50</v>
      </c>
    </row>
    <row r="189" spans="4:4" ht="17.649999999999999" x14ac:dyDescent="0.5">
      <c r="D189" s="3" t="s">
        <v>41</v>
      </c>
    </row>
    <row r="190" spans="4:4" ht="17.649999999999999" x14ac:dyDescent="0.5">
      <c r="D190" s="3" t="s">
        <v>85</v>
      </c>
    </row>
    <row r="191" spans="4:4" ht="17.649999999999999" x14ac:dyDescent="0.5">
      <c r="D191" s="3" t="s">
        <v>84</v>
      </c>
    </row>
    <row r="192" spans="4:4" ht="17.649999999999999" x14ac:dyDescent="0.5">
      <c r="D192" s="3" t="s">
        <v>131</v>
      </c>
    </row>
    <row r="193" spans="4:4" ht="17.649999999999999" x14ac:dyDescent="0.5">
      <c r="D193" s="3" t="s">
        <v>100</v>
      </c>
    </row>
    <row r="194" spans="4:4" ht="17.649999999999999" x14ac:dyDescent="0.5">
      <c r="D194" s="3" t="s">
        <v>65</v>
      </c>
    </row>
    <row r="195" spans="4:4" ht="17.649999999999999" x14ac:dyDescent="0.5">
      <c r="D195" s="3" t="s">
        <v>133</v>
      </c>
    </row>
    <row r="196" spans="4:4" ht="17.649999999999999" x14ac:dyDescent="0.5">
      <c r="D196" s="3" t="s">
        <v>54</v>
      </c>
    </row>
    <row r="197" spans="4:4" ht="17.649999999999999" x14ac:dyDescent="0.5">
      <c r="D197" s="3" t="s">
        <v>135</v>
      </c>
    </row>
    <row r="198" spans="4:4" ht="17.649999999999999" x14ac:dyDescent="0.5">
      <c r="D198" s="3" t="s">
        <v>47</v>
      </c>
    </row>
    <row r="199" spans="4:4" ht="17.649999999999999" x14ac:dyDescent="0.5">
      <c r="D199" s="3" t="s">
        <v>64</v>
      </c>
    </row>
    <row r="200" spans="4:4" ht="17.649999999999999" x14ac:dyDescent="0.5">
      <c r="D200" s="3" t="s">
        <v>51</v>
      </c>
    </row>
    <row r="201" spans="4:4" ht="17.649999999999999" x14ac:dyDescent="0.5">
      <c r="D201" s="3" t="s">
        <v>53</v>
      </c>
    </row>
    <row r="202" spans="4:4" ht="17.649999999999999" x14ac:dyDescent="0.5">
      <c r="D202" s="3" t="s">
        <v>55</v>
      </c>
    </row>
    <row r="203" spans="4:4" ht="17.649999999999999" x14ac:dyDescent="0.5">
      <c r="D203" s="3" t="s">
        <v>123</v>
      </c>
    </row>
    <row r="204" spans="4:4" ht="17.649999999999999" x14ac:dyDescent="0.5">
      <c r="D204" s="3" t="s">
        <v>61</v>
      </c>
    </row>
    <row r="205" spans="4:4" ht="17.649999999999999" x14ac:dyDescent="0.5">
      <c r="D205" s="3" t="s">
        <v>69</v>
      </c>
    </row>
    <row r="206" spans="4:4" ht="17.649999999999999" x14ac:dyDescent="0.5">
      <c r="D206" s="3" t="s">
        <v>53</v>
      </c>
    </row>
    <row r="207" spans="4:4" ht="17.649999999999999" x14ac:dyDescent="0.5">
      <c r="D207" s="3" t="s">
        <v>85</v>
      </c>
    </row>
    <row r="208" spans="4:4" ht="17.649999999999999" x14ac:dyDescent="0.5">
      <c r="D208" s="3" t="s">
        <v>55</v>
      </c>
    </row>
    <row r="209" spans="4:4" ht="17.649999999999999" x14ac:dyDescent="0.5">
      <c r="D209" s="3" t="s">
        <v>59</v>
      </c>
    </row>
    <row r="210" spans="4:4" ht="17.649999999999999" x14ac:dyDescent="0.5">
      <c r="D210" s="3" t="s">
        <v>50</v>
      </c>
    </row>
    <row r="211" spans="4:4" ht="17.649999999999999" x14ac:dyDescent="0.5">
      <c r="D211" s="3" t="s">
        <v>49</v>
      </c>
    </row>
    <row r="212" spans="4:4" ht="17.649999999999999" x14ac:dyDescent="0.5">
      <c r="D212" s="3" t="s">
        <v>72</v>
      </c>
    </row>
    <row r="213" spans="4:4" ht="17.649999999999999" x14ac:dyDescent="0.5">
      <c r="D213" s="3" t="s">
        <v>48</v>
      </c>
    </row>
    <row r="214" spans="4:4" ht="17.649999999999999" x14ac:dyDescent="0.5">
      <c r="D214" s="3" t="s">
        <v>62</v>
      </c>
    </row>
    <row r="215" spans="4:4" ht="17.649999999999999" x14ac:dyDescent="0.5">
      <c r="D215" s="3" t="s">
        <v>93</v>
      </c>
    </row>
    <row r="216" spans="4:4" ht="17.649999999999999" x14ac:dyDescent="0.5">
      <c r="D216" s="3" t="s">
        <v>67</v>
      </c>
    </row>
    <row r="217" spans="4:4" ht="17.649999999999999" x14ac:dyDescent="0.5">
      <c r="D217" s="3" t="s">
        <v>66</v>
      </c>
    </row>
    <row r="218" spans="4:4" ht="17.649999999999999" x14ac:dyDescent="0.5">
      <c r="D218" s="3" t="s">
        <v>101</v>
      </c>
    </row>
    <row r="219" spans="4:4" ht="17.649999999999999" x14ac:dyDescent="0.5">
      <c r="D219" s="3" t="s">
        <v>52</v>
      </c>
    </row>
    <row r="220" spans="4:4" ht="17.649999999999999" x14ac:dyDescent="0.5">
      <c r="D220" s="3" t="s">
        <v>64</v>
      </c>
    </row>
    <row r="221" spans="4:4" ht="17.649999999999999" x14ac:dyDescent="0.5">
      <c r="D221" s="3" t="s">
        <v>44</v>
      </c>
    </row>
    <row r="222" spans="4:4" ht="17.649999999999999" x14ac:dyDescent="0.5">
      <c r="D222" s="3" t="s">
        <v>78</v>
      </c>
    </row>
    <row r="223" spans="4:4" ht="17.649999999999999" x14ac:dyDescent="0.5">
      <c r="D223" s="3" t="s">
        <v>75</v>
      </c>
    </row>
    <row r="224" spans="4:4" ht="17.649999999999999" x14ac:dyDescent="0.5">
      <c r="D224" s="3" t="s">
        <v>79</v>
      </c>
    </row>
    <row r="225" spans="4:4" ht="17.649999999999999" x14ac:dyDescent="0.5">
      <c r="D225" s="3" t="s">
        <v>61</v>
      </c>
    </row>
    <row r="226" spans="4:4" ht="17.649999999999999" x14ac:dyDescent="0.5">
      <c r="D226" s="3" t="s">
        <v>84</v>
      </c>
    </row>
    <row r="227" spans="4:4" ht="17.649999999999999" x14ac:dyDescent="0.5">
      <c r="D227" s="3" t="s">
        <v>101</v>
      </c>
    </row>
    <row r="228" spans="4:4" ht="17.649999999999999" x14ac:dyDescent="0.5">
      <c r="D228" s="3" t="s">
        <v>69</v>
      </c>
    </row>
    <row r="229" spans="4:4" ht="17.649999999999999" x14ac:dyDescent="0.5">
      <c r="D229" s="3" t="s">
        <v>94</v>
      </c>
    </row>
    <row r="230" spans="4:4" ht="17.649999999999999" x14ac:dyDescent="0.5">
      <c r="D230" s="3" t="s">
        <v>55</v>
      </c>
    </row>
    <row r="231" spans="4:4" ht="17.649999999999999" x14ac:dyDescent="0.5">
      <c r="D231" s="3" t="s">
        <v>126</v>
      </c>
    </row>
    <row r="232" spans="4:4" ht="17.649999999999999" x14ac:dyDescent="0.5">
      <c r="D232" s="3" t="s">
        <v>80</v>
      </c>
    </row>
    <row r="233" spans="4:4" ht="17.649999999999999" x14ac:dyDescent="0.5">
      <c r="D233" s="3" t="s">
        <v>50</v>
      </c>
    </row>
    <row r="234" spans="4:4" ht="17.649999999999999" x14ac:dyDescent="0.5">
      <c r="D234" s="3" t="s">
        <v>129</v>
      </c>
    </row>
    <row r="235" spans="4:4" ht="17.649999999999999" x14ac:dyDescent="0.5">
      <c r="D235" s="3" t="s">
        <v>91</v>
      </c>
    </row>
    <row r="236" spans="4:4" ht="17.649999999999999" x14ac:dyDescent="0.5">
      <c r="D236" s="3" t="s">
        <v>46</v>
      </c>
    </row>
    <row r="237" spans="4:4" ht="17.649999999999999" x14ac:dyDescent="0.5">
      <c r="D237" s="3" t="s">
        <v>57</v>
      </c>
    </row>
    <row r="238" spans="4:4" ht="17.649999999999999" x14ac:dyDescent="0.5">
      <c r="D238" s="3" t="s">
        <v>134</v>
      </c>
    </row>
    <row r="239" spans="4:4" ht="17.649999999999999" x14ac:dyDescent="0.5">
      <c r="D239" s="3" t="s">
        <v>122</v>
      </c>
    </row>
    <row r="240" spans="4:4" ht="17.649999999999999" x14ac:dyDescent="0.5">
      <c r="D240" s="3" t="s">
        <v>66</v>
      </c>
    </row>
    <row r="241" spans="4:4" ht="17.649999999999999" x14ac:dyDescent="0.5">
      <c r="D241" s="3" t="s">
        <v>54</v>
      </c>
    </row>
    <row r="242" spans="4:4" ht="17.649999999999999" x14ac:dyDescent="0.5">
      <c r="D242" s="3" t="s">
        <v>114</v>
      </c>
    </row>
    <row r="243" spans="4:4" ht="17.649999999999999" x14ac:dyDescent="0.5">
      <c r="D243" s="3" t="s">
        <v>100</v>
      </c>
    </row>
    <row r="244" spans="4:4" ht="17.649999999999999" x14ac:dyDescent="0.5">
      <c r="D244" s="3" t="s">
        <v>91</v>
      </c>
    </row>
    <row r="245" spans="4:4" ht="17.649999999999999" x14ac:dyDescent="0.5">
      <c r="D245" s="3" t="s">
        <v>92</v>
      </c>
    </row>
    <row r="246" spans="4:4" ht="17.649999999999999" x14ac:dyDescent="0.5">
      <c r="D246" s="3" t="s">
        <v>59</v>
      </c>
    </row>
    <row r="247" spans="4:4" ht="17.649999999999999" x14ac:dyDescent="0.5">
      <c r="D247" s="3" t="s">
        <v>114</v>
      </c>
    </row>
    <row r="248" spans="4:4" ht="17.649999999999999" x14ac:dyDescent="0.5">
      <c r="D248" s="3" t="s">
        <v>96</v>
      </c>
    </row>
    <row r="249" spans="4:4" ht="17.649999999999999" x14ac:dyDescent="0.5">
      <c r="D249" s="3" t="s">
        <v>103</v>
      </c>
    </row>
    <row r="250" spans="4:4" ht="17.649999999999999" x14ac:dyDescent="0.5">
      <c r="D250" s="3" t="s">
        <v>115</v>
      </c>
    </row>
    <row r="251" spans="4:4" ht="17.649999999999999" x14ac:dyDescent="0.5">
      <c r="D251" s="3" t="s">
        <v>69</v>
      </c>
    </row>
    <row r="252" spans="4:4" ht="17.649999999999999" x14ac:dyDescent="0.5">
      <c r="D252" s="3" t="s">
        <v>44</v>
      </c>
    </row>
    <row r="253" spans="4:4" ht="17.649999999999999" x14ac:dyDescent="0.5">
      <c r="D253" s="3" t="s">
        <v>74</v>
      </c>
    </row>
    <row r="254" spans="4:4" ht="17.649999999999999" x14ac:dyDescent="0.5">
      <c r="D254" s="3" t="s">
        <v>81</v>
      </c>
    </row>
    <row r="255" spans="4:4" ht="17.649999999999999" x14ac:dyDescent="0.5">
      <c r="D255" s="3" t="s">
        <v>86</v>
      </c>
    </row>
    <row r="256" spans="4:4" ht="17.649999999999999" x14ac:dyDescent="0.5">
      <c r="D256" s="3" t="s">
        <v>77</v>
      </c>
    </row>
    <row r="257" spans="4:4" ht="17.649999999999999" x14ac:dyDescent="0.5">
      <c r="D257" s="3" t="s">
        <v>73</v>
      </c>
    </row>
    <row r="258" spans="4:4" ht="17.649999999999999" x14ac:dyDescent="0.5">
      <c r="D258" s="3" t="s">
        <v>101</v>
      </c>
    </row>
    <row r="259" spans="4:4" ht="17.649999999999999" x14ac:dyDescent="0.5">
      <c r="D259" s="3" t="s">
        <v>65</v>
      </c>
    </row>
    <row r="260" spans="4:4" ht="17.649999999999999" x14ac:dyDescent="0.5">
      <c r="D260" s="3" t="s">
        <v>87</v>
      </c>
    </row>
    <row r="261" spans="4:4" ht="17.649999999999999" x14ac:dyDescent="0.5">
      <c r="D261" s="3" t="s">
        <v>56</v>
      </c>
    </row>
    <row r="262" spans="4:4" ht="17.649999999999999" x14ac:dyDescent="0.5">
      <c r="D262" s="3" t="s">
        <v>59</v>
      </c>
    </row>
    <row r="263" spans="4:4" ht="17.649999999999999" x14ac:dyDescent="0.5">
      <c r="D263" s="3" t="s">
        <v>117</v>
      </c>
    </row>
    <row r="264" spans="4:4" ht="17.649999999999999" x14ac:dyDescent="0.5">
      <c r="D264" s="3" t="s">
        <v>62</v>
      </c>
    </row>
    <row r="265" spans="4:4" ht="17.649999999999999" x14ac:dyDescent="0.5">
      <c r="D265" s="3" t="s">
        <v>41</v>
      </c>
    </row>
    <row r="266" spans="4:4" ht="17.649999999999999" x14ac:dyDescent="0.5">
      <c r="D266" s="3" t="s">
        <v>84</v>
      </c>
    </row>
    <row r="267" spans="4:4" ht="17.649999999999999" x14ac:dyDescent="0.5">
      <c r="D267" s="3" t="s">
        <v>74</v>
      </c>
    </row>
    <row r="268" spans="4:4" ht="17.649999999999999" x14ac:dyDescent="0.5">
      <c r="D268" s="3" t="s">
        <v>48</v>
      </c>
    </row>
    <row r="269" spans="4:4" ht="17.649999999999999" x14ac:dyDescent="0.5">
      <c r="D269" s="3" t="s">
        <v>60</v>
      </c>
    </row>
    <row r="270" spans="4:4" ht="17.649999999999999" x14ac:dyDescent="0.5">
      <c r="D270" s="3" t="s">
        <v>54</v>
      </c>
    </row>
    <row r="271" spans="4:4" ht="17.649999999999999" x14ac:dyDescent="0.5">
      <c r="D271" s="3" t="s">
        <v>114</v>
      </c>
    </row>
    <row r="272" spans="4:4" ht="17.649999999999999" x14ac:dyDescent="0.5">
      <c r="D272" s="3" t="s">
        <v>56</v>
      </c>
    </row>
    <row r="273" spans="4:4" ht="17.649999999999999" x14ac:dyDescent="0.5">
      <c r="D273" s="3" t="s">
        <v>130</v>
      </c>
    </row>
    <row r="274" spans="4:4" ht="17.649999999999999" x14ac:dyDescent="0.5">
      <c r="D274" s="3" t="s">
        <v>91</v>
      </c>
    </row>
    <row r="275" spans="4:4" ht="17.649999999999999" x14ac:dyDescent="0.5">
      <c r="D275" s="3" t="s">
        <v>76</v>
      </c>
    </row>
    <row r="276" spans="4:4" ht="17.649999999999999" x14ac:dyDescent="0.5">
      <c r="D276" s="3" t="s">
        <v>98</v>
      </c>
    </row>
    <row r="277" spans="4:4" ht="17.649999999999999" x14ac:dyDescent="0.5">
      <c r="D277" s="3" t="s">
        <v>47</v>
      </c>
    </row>
    <row r="278" spans="4:4" ht="17.649999999999999" x14ac:dyDescent="0.5">
      <c r="D278" s="3" t="s">
        <v>67</v>
      </c>
    </row>
    <row r="279" spans="4:4" ht="17.649999999999999" x14ac:dyDescent="0.5">
      <c r="D279" s="3" t="s">
        <v>104</v>
      </c>
    </row>
    <row r="280" spans="4:4" ht="17.649999999999999" x14ac:dyDescent="0.5">
      <c r="D280" s="3" t="s">
        <v>85</v>
      </c>
    </row>
    <row r="281" spans="4:4" ht="17.649999999999999" x14ac:dyDescent="0.5">
      <c r="D281" s="3" t="s">
        <v>63</v>
      </c>
    </row>
    <row r="282" spans="4:4" ht="17.649999999999999" x14ac:dyDescent="0.5">
      <c r="D282" s="3" t="s">
        <v>73</v>
      </c>
    </row>
    <row r="283" spans="4:4" ht="17.649999999999999" x14ac:dyDescent="0.5">
      <c r="D283" s="3" t="s">
        <v>83</v>
      </c>
    </row>
    <row r="284" spans="4:4" ht="17.649999999999999" x14ac:dyDescent="0.5">
      <c r="D284" s="3" t="s">
        <v>85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52</v>
      </c>
    </row>
    <row r="287" spans="4:4" ht="17.649999999999999" x14ac:dyDescent="0.5">
      <c r="D287" s="3" t="s">
        <v>79</v>
      </c>
    </row>
    <row r="288" spans="4:4" ht="17.649999999999999" x14ac:dyDescent="0.5">
      <c r="D288" s="3" t="s">
        <v>67</v>
      </c>
    </row>
    <row r="289" spans="4:4" ht="17.649999999999999" x14ac:dyDescent="0.5">
      <c r="D289" s="3" t="s">
        <v>120</v>
      </c>
    </row>
    <row r="290" spans="4:4" ht="17.649999999999999" x14ac:dyDescent="0.5">
      <c r="D290" s="3" t="s">
        <v>53</v>
      </c>
    </row>
    <row r="291" spans="4:4" ht="17.649999999999999" x14ac:dyDescent="0.5">
      <c r="D291" s="3" t="s">
        <v>47</v>
      </c>
    </row>
    <row r="292" spans="4:4" ht="17.649999999999999" x14ac:dyDescent="0.5">
      <c r="D292" s="3" t="s">
        <v>107</v>
      </c>
    </row>
    <row r="293" spans="4:4" ht="17.649999999999999" x14ac:dyDescent="0.5">
      <c r="D293" s="3" t="s">
        <v>117</v>
      </c>
    </row>
    <row r="294" spans="4:4" ht="17.649999999999999" x14ac:dyDescent="0.5">
      <c r="D294" s="3" t="s">
        <v>87</v>
      </c>
    </row>
    <row r="295" spans="4:4" ht="17.649999999999999" x14ac:dyDescent="0.5">
      <c r="D295" s="3" t="s">
        <v>77</v>
      </c>
    </row>
    <row r="296" spans="4:4" ht="17.649999999999999" x14ac:dyDescent="0.5">
      <c r="D296" s="3" t="s">
        <v>63</v>
      </c>
    </row>
    <row r="297" spans="4:4" ht="17.649999999999999" x14ac:dyDescent="0.5">
      <c r="D297" s="3" t="s">
        <v>134</v>
      </c>
    </row>
    <row r="298" spans="4:4" ht="17.649999999999999" x14ac:dyDescent="0.5">
      <c r="D298" s="3" t="s">
        <v>115</v>
      </c>
    </row>
    <row r="299" spans="4:4" ht="17.649999999999999" x14ac:dyDescent="0.5">
      <c r="D299" s="3" t="s">
        <v>89</v>
      </c>
    </row>
    <row r="300" spans="4:4" ht="17.649999999999999" x14ac:dyDescent="0.5">
      <c r="D300" s="3" t="s">
        <v>78</v>
      </c>
    </row>
    <row r="301" spans="4:4" ht="17.649999999999999" x14ac:dyDescent="0.5">
      <c r="D301" s="3" t="s">
        <v>45</v>
      </c>
    </row>
    <row r="302" spans="4:4" ht="17.649999999999999" x14ac:dyDescent="0.5">
      <c r="D302" s="3" t="s">
        <v>87</v>
      </c>
    </row>
    <row r="303" spans="4:4" ht="17.649999999999999" x14ac:dyDescent="0.5">
      <c r="D303" s="3" t="s">
        <v>115</v>
      </c>
    </row>
    <row r="304" spans="4:4" ht="17.649999999999999" x14ac:dyDescent="0.5">
      <c r="D304" s="3" t="s">
        <v>50</v>
      </c>
    </row>
    <row r="305" spans="4:4" ht="17.649999999999999" x14ac:dyDescent="0.5">
      <c r="D305" s="3" t="s">
        <v>69</v>
      </c>
    </row>
    <row r="306" spans="4:4" ht="17.649999999999999" x14ac:dyDescent="0.5">
      <c r="D306" s="3" t="s">
        <v>54</v>
      </c>
    </row>
    <row r="307" spans="4:4" ht="17.649999999999999" x14ac:dyDescent="0.5">
      <c r="D307" s="3" t="s">
        <v>46</v>
      </c>
    </row>
    <row r="308" spans="4:4" ht="17.649999999999999" x14ac:dyDescent="0.5">
      <c r="D308" s="3" t="s">
        <v>83</v>
      </c>
    </row>
    <row r="309" spans="4:4" ht="17.649999999999999" x14ac:dyDescent="0.5">
      <c r="D309" s="3" t="s">
        <v>80</v>
      </c>
    </row>
    <row r="310" spans="4:4" ht="17.649999999999999" x14ac:dyDescent="0.5">
      <c r="D310" s="3" t="s">
        <v>92</v>
      </c>
    </row>
    <row r="311" spans="4:4" ht="17.649999999999999" x14ac:dyDescent="0.5">
      <c r="D311" s="3" t="s">
        <v>74</v>
      </c>
    </row>
    <row r="312" spans="4:4" ht="17.649999999999999" x14ac:dyDescent="0.5">
      <c r="D312" s="3" t="s">
        <v>56</v>
      </c>
    </row>
    <row r="313" spans="4:4" ht="17.649999999999999" x14ac:dyDescent="0.5">
      <c r="D313" s="3" t="s">
        <v>51</v>
      </c>
    </row>
    <row r="314" spans="4:4" ht="17.649999999999999" x14ac:dyDescent="0.5">
      <c r="D314" s="3" t="s">
        <v>41</v>
      </c>
    </row>
    <row r="315" spans="4:4" ht="17.649999999999999" x14ac:dyDescent="0.5">
      <c r="D315" s="3" t="s">
        <v>47</v>
      </c>
    </row>
    <row r="316" spans="4:4" ht="17.649999999999999" x14ac:dyDescent="0.5">
      <c r="D316" s="3" t="s">
        <v>84</v>
      </c>
    </row>
    <row r="317" spans="4:4" ht="17.649999999999999" x14ac:dyDescent="0.5">
      <c r="D317" s="3" t="s">
        <v>91</v>
      </c>
    </row>
    <row r="318" spans="4:4" ht="17.649999999999999" x14ac:dyDescent="0.5">
      <c r="D318" s="3" t="s">
        <v>65</v>
      </c>
    </row>
    <row r="319" spans="4:4" ht="17.649999999999999" x14ac:dyDescent="0.5">
      <c r="D319" s="3" t="s">
        <v>104</v>
      </c>
    </row>
    <row r="320" spans="4:4" ht="17.649999999999999" x14ac:dyDescent="0.5">
      <c r="D320" s="3" t="s">
        <v>83</v>
      </c>
    </row>
    <row r="321" spans="4:4" ht="17.649999999999999" x14ac:dyDescent="0.5">
      <c r="D321" s="3" t="s">
        <v>107</v>
      </c>
    </row>
    <row r="322" spans="4:4" ht="17.649999999999999" x14ac:dyDescent="0.5">
      <c r="D322" s="3" t="s">
        <v>119</v>
      </c>
    </row>
    <row r="323" spans="4:4" ht="17.649999999999999" x14ac:dyDescent="0.5">
      <c r="D323" s="3" t="s">
        <v>121</v>
      </c>
    </row>
    <row r="324" spans="4:4" ht="17.649999999999999" x14ac:dyDescent="0.5">
      <c r="D324" s="3" t="s">
        <v>133</v>
      </c>
    </row>
    <row r="325" spans="4:4" ht="17.649999999999999" x14ac:dyDescent="0.5">
      <c r="D325" s="3" t="s">
        <v>73</v>
      </c>
    </row>
    <row r="326" spans="4:4" ht="17.649999999999999" x14ac:dyDescent="0.5">
      <c r="D326" s="3" t="s">
        <v>97</v>
      </c>
    </row>
    <row r="327" spans="4:4" ht="17.649999999999999" x14ac:dyDescent="0.5">
      <c r="D327" s="3" t="s">
        <v>56</v>
      </c>
    </row>
    <row r="328" spans="4:4" ht="17.649999999999999" x14ac:dyDescent="0.5">
      <c r="D328" s="3" t="s">
        <v>100</v>
      </c>
    </row>
    <row r="329" spans="4:4" ht="17.649999999999999" x14ac:dyDescent="0.5">
      <c r="D329" s="3" t="s">
        <v>128</v>
      </c>
    </row>
    <row r="330" spans="4:4" ht="17.649999999999999" x14ac:dyDescent="0.5">
      <c r="D330" s="3" t="s">
        <v>74</v>
      </c>
    </row>
    <row r="331" spans="4:4" ht="17.649999999999999" x14ac:dyDescent="0.5">
      <c r="D331" s="3" t="s">
        <v>67</v>
      </c>
    </row>
    <row r="332" spans="4:4" ht="17.649999999999999" x14ac:dyDescent="0.5">
      <c r="D332" s="3" t="s">
        <v>104</v>
      </c>
    </row>
    <row r="333" spans="4:4" ht="17.649999999999999" x14ac:dyDescent="0.5">
      <c r="D333" s="3" t="s">
        <v>74</v>
      </c>
    </row>
    <row r="334" spans="4:4" ht="17.649999999999999" x14ac:dyDescent="0.5">
      <c r="D334" s="3" t="s">
        <v>73</v>
      </c>
    </row>
    <row r="335" spans="4:4" ht="17.649999999999999" x14ac:dyDescent="0.5">
      <c r="D335" s="3" t="s">
        <v>89</v>
      </c>
    </row>
    <row r="336" spans="4:4" ht="17.649999999999999" x14ac:dyDescent="0.5">
      <c r="D336" s="3" t="s">
        <v>82</v>
      </c>
    </row>
    <row r="337" spans="4:4" ht="17.649999999999999" x14ac:dyDescent="0.5">
      <c r="D337" s="3" t="s">
        <v>101</v>
      </c>
    </row>
    <row r="338" spans="4:4" ht="17.649999999999999" x14ac:dyDescent="0.5">
      <c r="D338" s="3" t="s">
        <v>77</v>
      </c>
    </row>
    <row r="339" spans="4:4" ht="17.649999999999999" x14ac:dyDescent="0.5">
      <c r="D339" s="3" t="s">
        <v>62</v>
      </c>
    </row>
    <row r="340" spans="4:4" ht="17.649999999999999" x14ac:dyDescent="0.5">
      <c r="D340" s="3" t="s">
        <v>61</v>
      </c>
    </row>
    <row r="341" spans="4:4" ht="17.649999999999999" x14ac:dyDescent="0.5">
      <c r="D341" s="3" t="s">
        <v>103</v>
      </c>
    </row>
    <row r="342" spans="4:4" ht="17.649999999999999" x14ac:dyDescent="0.5">
      <c r="D342" s="3" t="s">
        <v>52</v>
      </c>
    </row>
    <row r="343" spans="4:4" ht="17.649999999999999" x14ac:dyDescent="0.5">
      <c r="D343" s="3" t="s">
        <v>94</v>
      </c>
    </row>
    <row r="344" spans="4:4" ht="17.649999999999999" x14ac:dyDescent="0.5">
      <c r="D344" s="3" t="s">
        <v>91</v>
      </c>
    </row>
    <row r="345" spans="4:4" ht="17.649999999999999" x14ac:dyDescent="0.5">
      <c r="D345" s="3" t="s">
        <v>58</v>
      </c>
    </row>
    <row r="346" spans="4:4" ht="17.649999999999999" x14ac:dyDescent="0.5">
      <c r="D346" s="3" t="s">
        <v>76</v>
      </c>
    </row>
    <row r="347" spans="4:4" ht="17.649999999999999" x14ac:dyDescent="0.5">
      <c r="D347" s="3" t="s">
        <v>118</v>
      </c>
    </row>
    <row r="348" spans="4:4" ht="17.649999999999999" x14ac:dyDescent="0.5">
      <c r="D348" s="3" t="s">
        <v>41</v>
      </c>
    </row>
    <row r="349" spans="4:4" ht="17.649999999999999" x14ac:dyDescent="0.5">
      <c r="D349" s="3" t="s">
        <v>63</v>
      </c>
    </row>
    <row r="350" spans="4:4" ht="17.649999999999999" x14ac:dyDescent="0.5">
      <c r="D350" s="3" t="s">
        <v>98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59</v>
      </c>
    </row>
    <row r="353" spans="4:4" ht="17.649999999999999" x14ac:dyDescent="0.5">
      <c r="D353" s="3" t="s">
        <v>134</v>
      </c>
    </row>
    <row r="354" spans="4:4" ht="17.649999999999999" x14ac:dyDescent="0.5">
      <c r="D354" s="3" t="s">
        <v>80</v>
      </c>
    </row>
    <row r="355" spans="4:4" ht="17.649999999999999" x14ac:dyDescent="0.5">
      <c r="D355" s="3" t="s">
        <v>81</v>
      </c>
    </row>
    <row r="356" spans="4:4" ht="17.649999999999999" x14ac:dyDescent="0.5">
      <c r="D356" s="3" t="s">
        <v>82</v>
      </c>
    </row>
    <row r="357" spans="4:4" ht="17.649999999999999" x14ac:dyDescent="0.5">
      <c r="D357" s="3" t="s">
        <v>101</v>
      </c>
    </row>
    <row r="358" spans="4:4" ht="17.649999999999999" x14ac:dyDescent="0.5">
      <c r="D358" s="3" t="s">
        <v>78</v>
      </c>
    </row>
    <row r="359" spans="4:4" ht="17.649999999999999" x14ac:dyDescent="0.5">
      <c r="D359" s="3" t="s">
        <v>84</v>
      </c>
    </row>
    <row r="360" spans="4:4" ht="17.649999999999999" x14ac:dyDescent="0.5">
      <c r="D360" s="3" t="s">
        <v>55</v>
      </c>
    </row>
    <row r="361" spans="4:4" ht="17.649999999999999" x14ac:dyDescent="0.5">
      <c r="D361" s="3" t="s">
        <v>85</v>
      </c>
    </row>
    <row r="362" spans="4:4" ht="17.649999999999999" x14ac:dyDescent="0.5">
      <c r="D362" s="3" t="s">
        <v>48</v>
      </c>
    </row>
    <row r="363" spans="4:4" ht="17.649999999999999" x14ac:dyDescent="0.5">
      <c r="D363" s="3" t="s">
        <v>64</v>
      </c>
    </row>
    <row r="364" spans="4:4" ht="17.649999999999999" x14ac:dyDescent="0.5">
      <c r="D364" s="3" t="s">
        <v>92</v>
      </c>
    </row>
    <row r="365" spans="4:4" ht="17.649999999999999" x14ac:dyDescent="0.5">
      <c r="D365" s="3" t="s">
        <v>107</v>
      </c>
    </row>
    <row r="366" spans="4:4" ht="17.649999999999999" x14ac:dyDescent="0.5">
      <c r="D366" s="3" t="s">
        <v>65</v>
      </c>
    </row>
    <row r="367" spans="4:4" ht="17.649999999999999" x14ac:dyDescent="0.5">
      <c r="D367" s="3" t="s">
        <v>67</v>
      </c>
    </row>
    <row r="368" spans="4:4" ht="17.649999999999999" x14ac:dyDescent="0.5">
      <c r="D368" s="3" t="s">
        <v>103</v>
      </c>
    </row>
    <row r="369" spans="4:4" ht="17.649999999999999" x14ac:dyDescent="0.5">
      <c r="D369" s="3" t="s">
        <v>124</v>
      </c>
    </row>
    <row r="370" spans="4:4" ht="17.649999999999999" x14ac:dyDescent="0.5">
      <c r="D370" s="3" t="s">
        <v>61</v>
      </c>
    </row>
    <row r="371" spans="4:4" ht="17.649999999999999" x14ac:dyDescent="0.5">
      <c r="D371" s="3" t="s">
        <v>53</v>
      </c>
    </row>
    <row r="372" spans="4:4" ht="17.649999999999999" x14ac:dyDescent="0.5">
      <c r="D372" s="3" t="s">
        <v>45</v>
      </c>
    </row>
    <row r="373" spans="4:4" ht="17.649999999999999" x14ac:dyDescent="0.5">
      <c r="D373" s="3" t="s">
        <v>101</v>
      </c>
    </row>
    <row r="374" spans="4:4" ht="17.649999999999999" x14ac:dyDescent="0.5">
      <c r="D374" s="3" t="s">
        <v>45</v>
      </c>
    </row>
    <row r="375" spans="4:4" ht="17.649999999999999" x14ac:dyDescent="0.5">
      <c r="D375" s="3" t="s">
        <v>124</v>
      </c>
    </row>
    <row r="376" spans="4:4" ht="17.649999999999999" x14ac:dyDescent="0.5">
      <c r="D376" s="3" t="s">
        <v>77</v>
      </c>
    </row>
    <row r="377" spans="4:4" ht="17.649999999999999" x14ac:dyDescent="0.5">
      <c r="D377" s="3" t="s">
        <v>121</v>
      </c>
    </row>
    <row r="378" spans="4:4" ht="17.649999999999999" x14ac:dyDescent="0.5">
      <c r="D378" s="3" t="s">
        <v>117</v>
      </c>
    </row>
    <row r="379" spans="4:4" ht="17.649999999999999" x14ac:dyDescent="0.5">
      <c r="D379" s="3" t="s">
        <v>99</v>
      </c>
    </row>
    <row r="380" spans="4:4" ht="17.649999999999999" x14ac:dyDescent="0.5">
      <c r="D380" s="3" t="s">
        <v>79</v>
      </c>
    </row>
    <row r="381" spans="4:4" ht="17.649999999999999" x14ac:dyDescent="0.5">
      <c r="D381" s="3" t="s">
        <v>117</v>
      </c>
    </row>
    <row r="382" spans="4:4" ht="17.649999999999999" x14ac:dyDescent="0.5">
      <c r="D382" s="3" t="s">
        <v>103</v>
      </c>
    </row>
    <row r="383" spans="4:4" ht="17.649999999999999" x14ac:dyDescent="0.5">
      <c r="D383" s="3" t="s">
        <v>115</v>
      </c>
    </row>
    <row r="384" spans="4:4" ht="17.649999999999999" x14ac:dyDescent="0.5">
      <c r="D384" s="3" t="s">
        <v>69</v>
      </c>
    </row>
    <row r="385" spans="4:4" ht="17.649999999999999" x14ac:dyDescent="0.5">
      <c r="D385" s="3" t="s">
        <v>46</v>
      </c>
    </row>
    <row r="386" spans="4:4" ht="17.649999999999999" x14ac:dyDescent="0.5">
      <c r="D386" s="3" t="s">
        <v>51</v>
      </c>
    </row>
    <row r="387" spans="4:4" ht="17.649999999999999" x14ac:dyDescent="0.5">
      <c r="D387" s="3" t="s">
        <v>103</v>
      </c>
    </row>
    <row r="388" spans="4:4" ht="17.649999999999999" x14ac:dyDescent="0.5">
      <c r="D388" s="3" t="s">
        <v>50</v>
      </c>
    </row>
    <row r="389" spans="4:4" ht="17.649999999999999" x14ac:dyDescent="0.5">
      <c r="D389" s="3" t="s">
        <v>45</v>
      </c>
    </row>
    <row r="390" spans="4:4" ht="17.649999999999999" x14ac:dyDescent="0.5">
      <c r="D390" s="3" t="s">
        <v>108</v>
      </c>
    </row>
    <row r="391" spans="4:4" ht="17.649999999999999" x14ac:dyDescent="0.5">
      <c r="D391" s="3" t="s">
        <v>91</v>
      </c>
    </row>
    <row r="392" spans="4:4" ht="17.649999999999999" x14ac:dyDescent="0.5">
      <c r="D392" s="3" t="s">
        <v>135</v>
      </c>
    </row>
    <row r="393" spans="4:4" ht="17.649999999999999" x14ac:dyDescent="0.5">
      <c r="D393" s="3" t="s">
        <v>52</v>
      </c>
    </row>
    <row r="394" spans="4:4" ht="17.649999999999999" x14ac:dyDescent="0.5">
      <c r="D394" s="3" t="s">
        <v>57</v>
      </c>
    </row>
    <row r="395" spans="4:4" ht="17.649999999999999" x14ac:dyDescent="0.5">
      <c r="D395" s="3" t="s">
        <v>60</v>
      </c>
    </row>
    <row r="396" spans="4:4" ht="17.649999999999999" x14ac:dyDescent="0.5">
      <c r="D396" s="3" t="s">
        <v>98</v>
      </c>
    </row>
    <row r="397" spans="4:4" ht="17.649999999999999" x14ac:dyDescent="0.5">
      <c r="D397" s="3" t="s">
        <v>96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59</v>
      </c>
    </row>
    <row r="400" spans="4:4" ht="17.649999999999999" x14ac:dyDescent="0.5">
      <c r="D400" s="3" t="s">
        <v>84</v>
      </c>
    </row>
    <row r="401" spans="4:4" ht="17.649999999999999" x14ac:dyDescent="0.5">
      <c r="D401" s="3" t="s">
        <v>55</v>
      </c>
    </row>
    <row r="402" spans="4:4" ht="17.649999999999999" x14ac:dyDescent="0.5">
      <c r="D402" s="3" t="s">
        <v>56</v>
      </c>
    </row>
    <row r="403" spans="4:4" ht="17.649999999999999" x14ac:dyDescent="0.5">
      <c r="D403" s="3" t="s">
        <v>130</v>
      </c>
    </row>
    <row r="404" spans="4:4" ht="17.649999999999999" x14ac:dyDescent="0.5">
      <c r="D404" s="3" t="s">
        <v>41</v>
      </c>
    </row>
    <row r="405" spans="4:4" ht="17.649999999999999" x14ac:dyDescent="0.5">
      <c r="D405" s="3" t="s">
        <v>77</v>
      </c>
    </row>
    <row r="406" spans="4:4" ht="17.649999999999999" x14ac:dyDescent="0.5">
      <c r="D406" s="3" t="s">
        <v>115</v>
      </c>
    </row>
    <row r="407" spans="4:4" ht="17.649999999999999" x14ac:dyDescent="0.5">
      <c r="D407" s="3" t="s">
        <v>59</v>
      </c>
    </row>
    <row r="408" spans="4:4" ht="17.649999999999999" x14ac:dyDescent="0.5">
      <c r="D408" s="3" t="s">
        <v>50</v>
      </c>
    </row>
    <row r="409" spans="4:4" ht="17.649999999999999" x14ac:dyDescent="0.5">
      <c r="D409" s="3" t="s">
        <v>107</v>
      </c>
    </row>
    <row r="410" spans="4:4" ht="17.649999999999999" x14ac:dyDescent="0.5">
      <c r="D410" s="3" t="s">
        <v>124</v>
      </c>
    </row>
    <row r="411" spans="4:4" ht="17.649999999999999" x14ac:dyDescent="0.5">
      <c r="D411" s="3" t="s">
        <v>42</v>
      </c>
    </row>
    <row r="412" spans="4:4" ht="17.649999999999999" x14ac:dyDescent="0.5">
      <c r="D412" s="3" t="s">
        <v>86</v>
      </c>
    </row>
    <row r="413" spans="4:4" ht="17.649999999999999" x14ac:dyDescent="0.5">
      <c r="D413" s="3" t="s">
        <v>122</v>
      </c>
    </row>
    <row r="414" spans="4:4" ht="17.649999999999999" x14ac:dyDescent="0.5">
      <c r="D414" s="3" t="s">
        <v>131</v>
      </c>
    </row>
    <row r="415" spans="4:4" ht="17.649999999999999" x14ac:dyDescent="0.5">
      <c r="D415" s="3" t="s">
        <v>57</v>
      </c>
    </row>
    <row r="416" spans="4:4" ht="17.649999999999999" x14ac:dyDescent="0.5">
      <c r="D416" s="3" t="s">
        <v>83</v>
      </c>
    </row>
    <row r="417" spans="4:4" ht="17.649999999999999" x14ac:dyDescent="0.5">
      <c r="D417" s="3" t="s">
        <v>78</v>
      </c>
    </row>
    <row r="418" spans="4:4" ht="17.649999999999999" x14ac:dyDescent="0.5">
      <c r="D418" s="3" t="s">
        <v>130</v>
      </c>
    </row>
    <row r="419" spans="4:4" ht="17.649999999999999" x14ac:dyDescent="0.5">
      <c r="D419" s="3" t="s">
        <v>117</v>
      </c>
    </row>
    <row r="420" spans="4:4" ht="17.649999999999999" x14ac:dyDescent="0.5">
      <c r="D420" s="3" t="s">
        <v>126</v>
      </c>
    </row>
    <row r="421" spans="4:4" ht="17.649999999999999" x14ac:dyDescent="0.5">
      <c r="D421" s="3" t="s">
        <v>93</v>
      </c>
    </row>
    <row r="422" spans="4:4" ht="17.649999999999999" x14ac:dyDescent="0.5">
      <c r="D422" s="3" t="s">
        <v>43</v>
      </c>
    </row>
    <row r="423" spans="4:4" ht="17.649999999999999" x14ac:dyDescent="0.5">
      <c r="D423" s="3" t="s">
        <v>78</v>
      </c>
    </row>
    <row r="424" spans="4:4" ht="17.649999999999999" x14ac:dyDescent="0.5">
      <c r="D424" s="3" t="s">
        <v>46</v>
      </c>
    </row>
    <row r="425" spans="4:4" ht="17.649999999999999" x14ac:dyDescent="0.5">
      <c r="D425" s="3" t="s">
        <v>54</v>
      </c>
    </row>
    <row r="426" spans="4:4" ht="17.649999999999999" x14ac:dyDescent="0.5">
      <c r="D426" s="3" t="s">
        <v>75</v>
      </c>
    </row>
    <row r="427" spans="4:4" ht="17.649999999999999" x14ac:dyDescent="0.5">
      <c r="D427" s="3" t="s">
        <v>53</v>
      </c>
    </row>
    <row r="428" spans="4:4" ht="17.649999999999999" x14ac:dyDescent="0.5">
      <c r="D428" s="3" t="s">
        <v>41</v>
      </c>
    </row>
    <row r="429" spans="4:4" ht="17.649999999999999" x14ac:dyDescent="0.5">
      <c r="D429" s="3" t="s">
        <v>79</v>
      </c>
    </row>
    <row r="430" spans="4:4" ht="17.649999999999999" x14ac:dyDescent="0.5">
      <c r="D430" s="3" t="s">
        <v>50</v>
      </c>
    </row>
    <row r="431" spans="4:4" ht="17.649999999999999" x14ac:dyDescent="0.5">
      <c r="D431" s="3" t="s">
        <v>46</v>
      </c>
    </row>
    <row r="432" spans="4:4" ht="17.649999999999999" x14ac:dyDescent="0.5">
      <c r="D432" s="3" t="s">
        <v>119</v>
      </c>
    </row>
    <row r="433" spans="4:4" ht="17.649999999999999" x14ac:dyDescent="0.5">
      <c r="D433" s="3" t="s">
        <v>74</v>
      </c>
    </row>
    <row r="434" spans="4:4" ht="17.649999999999999" x14ac:dyDescent="0.5">
      <c r="D434" s="3" t="s">
        <v>73</v>
      </c>
    </row>
    <row r="435" spans="4:4" ht="17.649999999999999" x14ac:dyDescent="0.5">
      <c r="D435" s="3" t="s">
        <v>129</v>
      </c>
    </row>
    <row r="436" spans="4:4" ht="17.649999999999999" x14ac:dyDescent="0.5">
      <c r="D436" s="3" t="s">
        <v>69</v>
      </c>
    </row>
    <row r="437" spans="4:4" ht="17.649999999999999" x14ac:dyDescent="0.5">
      <c r="D437" s="3" t="s">
        <v>73</v>
      </c>
    </row>
    <row r="438" spans="4:4" ht="17.649999999999999" x14ac:dyDescent="0.5">
      <c r="D438" s="3" t="s">
        <v>90</v>
      </c>
    </row>
    <row r="439" spans="4:4" ht="17.649999999999999" x14ac:dyDescent="0.5">
      <c r="D439" s="3" t="s">
        <v>75</v>
      </c>
    </row>
    <row r="440" spans="4:4" ht="17.649999999999999" x14ac:dyDescent="0.5">
      <c r="D440" s="3" t="s">
        <v>125</v>
      </c>
    </row>
    <row r="441" spans="4:4" ht="17.649999999999999" x14ac:dyDescent="0.5">
      <c r="D441" s="3" t="s">
        <v>55</v>
      </c>
    </row>
    <row r="442" spans="4:4" ht="17.649999999999999" x14ac:dyDescent="0.5">
      <c r="D442" s="3" t="s">
        <v>56</v>
      </c>
    </row>
    <row r="443" spans="4:4" ht="17.649999999999999" x14ac:dyDescent="0.5">
      <c r="D443" s="3" t="s">
        <v>105</v>
      </c>
    </row>
    <row r="444" spans="4:4" ht="17.649999999999999" x14ac:dyDescent="0.5">
      <c r="D444" s="3" t="s">
        <v>73</v>
      </c>
    </row>
    <row r="445" spans="4:4" ht="17.649999999999999" x14ac:dyDescent="0.5">
      <c r="D445" s="3" t="s">
        <v>82</v>
      </c>
    </row>
    <row r="446" spans="4:4" ht="17.649999999999999" x14ac:dyDescent="0.5">
      <c r="D446" s="3" t="s">
        <v>68</v>
      </c>
    </row>
    <row r="447" spans="4:4" ht="17.649999999999999" x14ac:dyDescent="0.5">
      <c r="D447" s="3" t="s">
        <v>56</v>
      </c>
    </row>
    <row r="448" spans="4:4" ht="17.649999999999999" x14ac:dyDescent="0.5">
      <c r="D448" s="3" t="s">
        <v>91</v>
      </c>
    </row>
    <row r="449" spans="4:4" ht="17.649999999999999" x14ac:dyDescent="0.5">
      <c r="D449" s="3" t="s">
        <v>46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54</v>
      </c>
    </row>
    <row r="452" spans="4:4" ht="17.649999999999999" x14ac:dyDescent="0.5">
      <c r="D452" s="3" t="s">
        <v>90</v>
      </c>
    </row>
    <row r="453" spans="4:4" ht="17.649999999999999" x14ac:dyDescent="0.5">
      <c r="D453" s="3" t="s">
        <v>103</v>
      </c>
    </row>
    <row r="454" spans="4:4" ht="17.649999999999999" x14ac:dyDescent="0.5">
      <c r="D454" s="3" t="s">
        <v>49</v>
      </c>
    </row>
    <row r="455" spans="4:4" ht="17.649999999999999" x14ac:dyDescent="0.5">
      <c r="D455" s="3" t="s">
        <v>77</v>
      </c>
    </row>
    <row r="456" spans="4:4" ht="17.649999999999999" x14ac:dyDescent="0.5">
      <c r="D456" s="3" t="s">
        <v>55</v>
      </c>
    </row>
    <row r="457" spans="4:4" ht="17.649999999999999" x14ac:dyDescent="0.5">
      <c r="D457" s="3" t="s">
        <v>80</v>
      </c>
    </row>
    <row r="458" spans="4:4" ht="17.649999999999999" x14ac:dyDescent="0.5">
      <c r="D458" s="3" t="s">
        <v>92</v>
      </c>
    </row>
    <row r="459" spans="4:4" ht="17.649999999999999" x14ac:dyDescent="0.5">
      <c r="D459" s="3" t="s">
        <v>102</v>
      </c>
    </row>
    <row r="460" spans="4:4" ht="17.649999999999999" x14ac:dyDescent="0.5">
      <c r="D460" s="3" t="s">
        <v>82</v>
      </c>
    </row>
    <row r="461" spans="4:4" ht="17.649999999999999" x14ac:dyDescent="0.5">
      <c r="D461" s="3" t="s">
        <v>52</v>
      </c>
    </row>
    <row r="462" spans="4:4" ht="17.649999999999999" x14ac:dyDescent="0.5">
      <c r="D462" s="3" t="s">
        <v>80</v>
      </c>
    </row>
    <row r="463" spans="4:4" ht="17.649999999999999" x14ac:dyDescent="0.5">
      <c r="D463" s="3" t="s">
        <v>41</v>
      </c>
    </row>
    <row r="464" spans="4:4" ht="17.649999999999999" x14ac:dyDescent="0.5">
      <c r="D464" s="3" t="s">
        <v>63</v>
      </c>
    </row>
    <row r="465" spans="4:4" ht="17.649999999999999" x14ac:dyDescent="0.5">
      <c r="D465" s="3" t="s">
        <v>66</v>
      </c>
    </row>
    <row r="466" spans="4:4" ht="17.649999999999999" x14ac:dyDescent="0.5">
      <c r="D466" s="3" t="s">
        <v>54</v>
      </c>
    </row>
    <row r="467" spans="4:4" ht="17.649999999999999" x14ac:dyDescent="0.5">
      <c r="D467" s="3" t="s">
        <v>83</v>
      </c>
    </row>
    <row r="468" spans="4:4" ht="17.649999999999999" x14ac:dyDescent="0.5">
      <c r="D468" s="3" t="s">
        <v>61</v>
      </c>
    </row>
    <row r="469" spans="4:4" ht="17.649999999999999" x14ac:dyDescent="0.5">
      <c r="D469" s="3" t="s">
        <v>118</v>
      </c>
    </row>
    <row r="470" spans="4:4" ht="17.649999999999999" x14ac:dyDescent="0.5">
      <c r="D470" s="3" t="s">
        <v>80</v>
      </c>
    </row>
    <row r="471" spans="4:4" ht="17.649999999999999" x14ac:dyDescent="0.5">
      <c r="D471" s="3" t="s">
        <v>113</v>
      </c>
    </row>
    <row r="472" spans="4:4" ht="17.649999999999999" x14ac:dyDescent="0.5">
      <c r="D472" s="3" t="s">
        <v>75</v>
      </c>
    </row>
    <row r="473" spans="4:4" ht="17.649999999999999" x14ac:dyDescent="0.5">
      <c r="D473" s="3" t="s">
        <v>106</v>
      </c>
    </row>
    <row r="474" spans="4:4" ht="17.649999999999999" x14ac:dyDescent="0.5">
      <c r="D474" s="3" t="s">
        <v>50</v>
      </c>
    </row>
    <row r="475" spans="4:4" ht="17.649999999999999" x14ac:dyDescent="0.5">
      <c r="D475" s="3" t="s">
        <v>123</v>
      </c>
    </row>
    <row r="476" spans="4:4" ht="17.649999999999999" x14ac:dyDescent="0.5">
      <c r="D476" s="3" t="s">
        <v>46</v>
      </c>
    </row>
    <row r="477" spans="4:4" ht="17.649999999999999" x14ac:dyDescent="0.5">
      <c r="D477" s="3" t="s">
        <v>85</v>
      </c>
    </row>
    <row r="478" spans="4:4" ht="17.649999999999999" x14ac:dyDescent="0.5">
      <c r="D478" s="3" t="s">
        <v>49</v>
      </c>
    </row>
    <row r="479" spans="4:4" ht="17.649999999999999" x14ac:dyDescent="0.5">
      <c r="D479" s="3" t="s">
        <v>44</v>
      </c>
    </row>
    <row r="480" spans="4:4" ht="17.649999999999999" x14ac:dyDescent="0.5">
      <c r="D480" s="3" t="s">
        <v>105</v>
      </c>
    </row>
    <row r="481" spans="4:4" ht="17.649999999999999" x14ac:dyDescent="0.5">
      <c r="D481" s="3" t="s">
        <v>105</v>
      </c>
    </row>
    <row r="482" spans="4:4" ht="17.649999999999999" x14ac:dyDescent="0.5">
      <c r="D482" s="3" t="s">
        <v>64</v>
      </c>
    </row>
    <row r="483" spans="4:4" ht="17.649999999999999" x14ac:dyDescent="0.5">
      <c r="D483" s="3" t="s">
        <v>116</v>
      </c>
    </row>
    <row r="484" spans="4:4" ht="17.649999999999999" x14ac:dyDescent="0.5">
      <c r="D484" s="3" t="s">
        <v>108</v>
      </c>
    </row>
    <row r="485" spans="4:4" ht="17.649999999999999" x14ac:dyDescent="0.5">
      <c r="D485" s="3" t="s">
        <v>55</v>
      </c>
    </row>
    <row r="486" spans="4:4" ht="17.649999999999999" x14ac:dyDescent="0.5">
      <c r="D486" s="3" t="s">
        <v>95</v>
      </c>
    </row>
    <row r="487" spans="4:4" ht="17.649999999999999" x14ac:dyDescent="0.5">
      <c r="D487" s="3" t="s">
        <v>116</v>
      </c>
    </row>
    <row r="488" spans="4:4" ht="17.649999999999999" x14ac:dyDescent="0.5">
      <c r="D488" s="3" t="s">
        <v>113</v>
      </c>
    </row>
    <row r="489" spans="4:4" ht="17.649999999999999" x14ac:dyDescent="0.5">
      <c r="D489" s="3" t="s">
        <v>47</v>
      </c>
    </row>
    <row r="490" spans="4:4" ht="17.649999999999999" x14ac:dyDescent="0.5">
      <c r="D490" s="3" t="s">
        <v>107</v>
      </c>
    </row>
    <row r="491" spans="4:4" ht="17.649999999999999" x14ac:dyDescent="0.5">
      <c r="D491" s="3" t="s">
        <v>98</v>
      </c>
    </row>
    <row r="492" spans="4:4" ht="17.649999999999999" x14ac:dyDescent="0.5">
      <c r="D492" s="3" t="s">
        <v>88</v>
      </c>
    </row>
    <row r="493" spans="4:4" ht="17.649999999999999" x14ac:dyDescent="0.5">
      <c r="D493" s="3" t="s">
        <v>112</v>
      </c>
    </row>
    <row r="494" spans="4:4" ht="17.649999999999999" x14ac:dyDescent="0.5">
      <c r="D494" s="3" t="s">
        <v>48</v>
      </c>
    </row>
    <row r="495" spans="4:4" ht="17.649999999999999" x14ac:dyDescent="0.5">
      <c r="D495" s="3" t="s">
        <v>59</v>
      </c>
    </row>
    <row r="496" spans="4:4" ht="17.649999999999999" x14ac:dyDescent="0.5">
      <c r="D496" s="3" t="s">
        <v>63</v>
      </c>
    </row>
    <row r="497" spans="4:4" ht="17.649999999999999" x14ac:dyDescent="0.5">
      <c r="D497" s="3" t="s">
        <v>90</v>
      </c>
    </row>
    <row r="498" spans="4:4" ht="17.649999999999999" x14ac:dyDescent="0.5">
      <c r="D498" s="3" t="s">
        <v>127</v>
      </c>
    </row>
    <row r="499" spans="4:4" ht="17.649999999999999" x14ac:dyDescent="0.5">
      <c r="D499" s="3" t="s">
        <v>66</v>
      </c>
    </row>
    <row r="500" spans="4:4" ht="17.649999999999999" x14ac:dyDescent="0.5">
      <c r="D500" s="3" t="s">
        <v>44</v>
      </c>
    </row>
    <row r="501" spans="4:4" ht="17.649999999999999" x14ac:dyDescent="0.5">
      <c r="D501" s="3" t="s">
        <v>66</v>
      </c>
    </row>
    <row r="502" spans="4:4" ht="17.649999999999999" x14ac:dyDescent="0.5">
      <c r="D502" s="3" t="s">
        <v>90</v>
      </c>
    </row>
    <row r="503" spans="4:4" ht="17.649999999999999" x14ac:dyDescent="0.5">
      <c r="D503" s="3" t="s">
        <v>95</v>
      </c>
    </row>
    <row r="504" spans="4:4" ht="17.649999999999999" x14ac:dyDescent="0.5">
      <c r="D504" s="3" t="s">
        <v>41</v>
      </c>
    </row>
    <row r="505" spans="4:4" ht="17.649999999999999" x14ac:dyDescent="0.5">
      <c r="D505" s="3" t="s">
        <v>77</v>
      </c>
    </row>
    <row r="506" spans="4:4" ht="17.649999999999999" x14ac:dyDescent="0.5">
      <c r="D506" s="3" t="s">
        <v>57</v>
      </c>
    </row>
    <row r="507" spans="4:4" ht="17.649999999999999" x14ac:dyDescent="0.5">
      <c r="D507" s="3" t="s">
        <v>98</v>
      </c>
    </row>
    <row r="508" spans="4:4" ht="17.649999999999999" x14ac:dyDescent="0.5">
      <c r="D508" s="3" t="s">
        <v>73</v>
      </c>
    </row>
    <row r="509" spans="4:4" ht="17.649999999999999" x14ac:dyDescent="0.5">
      <c r="D509" s="3" t="s">
        <v>41</v>
      </c>
    </row>
    <row r="510" spans="4:4" ht="17.649999999999999" x14ac:dyDescent="0.5">
      <c r="D510" s="3" t="s">
        <v>67</v>
      </c>
    </row>
    <row r="511" spans="4:4" ht="17.649999999999999" x14ac:dyDescent="0.5">
      <c r="D511" s="3" t="s">
        <v>62</v>
      </c>
    </row>
    <row r="512" spans="4:4" ht="17.649999999999999" x14ac:dyDescent="0.5">
      <c r="D512" s="3" t="s">
        <v>64</v>
      </c>
    </row>
    <row r="513" spans="4:4" ht="17.649999999999999" x14ac:dyDescent="0.5">
      <c r="D513" s="3" t="s">
        <v>63</v>
      </c>
    </row>
    <row r="514" spans="4:4" ht="17.649999999999999" x14ac:dyDescent="0.5">
      <c r="D514" s="3" t="s">
        <v>115</v>
      </c>
    </row>
    <row r="515" spans="4:4" ht="17.649999999999999" x14ac:dyDescent="0.5">
      <c r="D515" s="3" t="s">
        <v>97</v>
      </c>
    </row>
    <row r="516" spans="4:4" ht="17.649999999999999" x14ac:dyDescent="0.5">
      <c r="D516" s="3" t="s">
        <v>57</v>
      </c>
    </row>
    <row r="517" spans="4:4" ht="17.649999999999999" x14ac:dyDescent="0.5">
      <c r="D517" s="3" t="s">
        <v>101</v>
      </c>
    </row>
    <row r="518" spans="4:4" ht="17.649999999999999" x14ac:dyDescent="0.5">
      <c r="D518" s="3" t="s">
        <v>92</v>
      </c>
    </row>
    <row r="519" spans="4:4" ht="17.649999999999999" x14ac:dyDescent="0.5">
      <c r="D519" s="3" t="s">
        <v>85</v>
      </c>
    </row>
    <row r="520" spans="4:4" ht="17.649999999999999" x14ac:dyDescent="0.5">
      <c r="D520" s="3" t="s">
        <v>48</v>
      </c>
    </row>
    <row r="521" spans="4:4" ht="17.649999999999999" x14ac:dyDescent="0.5">
      <c r="D521" s="3" t="s">
        <v>47</v>
      </c>
    </row>
    <row r="522" spans="4:4" ht="17.649999999999999" x14ac:dyDescent="0.5">
      <c r="D522" s="3" t="s">
        <v>69</v>
      </c>
    </row>
    <row r="523" spans="4:4" ht="17.649999999999999" x14ac:dyDescent="0.5">
      <c r="D523" s="3" t="s">
        <v>67</v>
      </c>
    </row>
    <row r="524" spans="4:4" ht="17.649999999999999" x14ac:dyDescent="0.5">
      <c r="D524" s="3" t="s">
        <v>64</v>
      </c>
    </row>
    <row r="525" spans="4:4" ht="17.649999999999999" x14ac:dyDescent="0.5">
      <c r="D525" s="3" t="s">
        <v>68</v>
      </c>
    </row>
    <row r="526" spans="4:4" ht="17.649999999999999" x14ac:dyDescent="0.5">
      <c r="D526" s="3" t="s">
        <v>98</v>
      </c>
    </row>
    <row r="527" spans="4:4" ht="17.649999999999999" x14ac:dyDescent="0.5">
      <c r="D527" s="3" t="s">
        <v>72</v>
      </c>
    </row>
    <row r="528" spans="4:4" ht="17.649999999999999" x14ac:dyDescent="0.5">
      <c r="D528" s="3" t="s">
        <v>57</v>
      </c>
    </row>
    <row r="529" spans="4:4" ht="17.649999999999999" x14ac:dyDescent="0.5">
      <c r="D529" s="3" t="s">
        <v>92</v>
      </c>
    </row>
    <row r="530" spans="4:4" ht="17.649999999999999" x14ac:dyDescent="0.5">
      <c r="D530" s="3" t="s">
        <v>80</v>
      </c>
    </row>
    <row r="531" spans="4:4" ht="17.649999999999999" x14ac:dyDescent="0.5">
      <c r="D531" s="3" t="s">
        <v>73</v>
      </c>
    </row>
    <row r="532" spans="4:4" ht="17.649999999999999" x14ac:dyDescent="0.5">
      <c r="D532" s="3" t="s">
        <v>101</v>
      </c>
    </row>
    <row r="533" spans="4:4" ht="17.649999999999999" x14ac:dyDescent="0.5">
      <c r="D533" s="3" t="s">
        <v>67</v>
      </c>
    </row>
    <row r="534" spans="4:4" ht="17.649999999999999" x14ac:dyDescent="0.5">
      <c r="D534" s="3" t="s">
        <v>57</v>
      </c>
    </row>
    <row r="535" spans="4:4" ht="17.649999999999999" x14ac:dyDescent="0.5">
      <c r="D535" s="3" t="s">
        <v>94</v>
      </c>
    </row>
    <row r="536" spans="4:4" ht="17.649999999999999" x14ac:dyDescent="0.5">
      <c r="D536" s="3" t="s">
        <v>80</v>
      </c>
    </row>
    <row r="537" spans="4:4" ht="17.649999999999999" x14ac:dyDescent="0.5">
      <c r="D537" s="3" t="s">
        <v>61</v>
      </c>
    </row>
    <row r="538" spans="4:4" ht="17.649999999999999" x14ac:dyDescent="0.5">
      <c r="D538" s="3" t="s">
        <v>70</v>
      </c>
    </row>
    <row r="539" spans="4:4" ht="17.649999999999999" x14ac:dyDescent="0.5">
      <c r="D539" s="3" t="s">
        <v>53</v>
      </c>
    </row>
    <row r="540" spans="4:4" ht="17.649999999999999" x14ac:dyDescent="0.5">
      <c r="D540" s="3" t="s">
        <v>95</v>
      </c>
    </row>
    <row r="541" spans="4:4" ht="17.649999999999999" x14ac:dyDescent="0.5">
      <c r="D541" s="3" t="s">
        <v>74</v>
      </c>
    </row>
    <row r="542" spans="4:4" ht="17.649999999999999" x14ac:dyDescent="0.5">
      <c r="D542" s="3" t="s">
        <v>54</v>
      </c>
    </row>
    <row r="543" spans="4:4" ht="17.649999999999999" x14ac:dyDescent="0.5">
      <c r="D543" s="3" t="s">
        <v>90</v>
      </c>
    </row>
    <row r="544" spans="4:4" ht="17.649999999999999" x14ac:dyDescent="0.5">
      <c r="D544" s="3" t="s">
        <v>55</v>
      </c>
    </row>
    <row r="545" spans="4:4" ht="17.649999999999999" x14ac:dyDescent="0.5">
      <c r="D545" s="3" t="s">
        <v>96</v>
      </c>
    </row>
    <row r="546" spans="4:4" ht="17.649999999999999" x14ac:dyDescent="0.5">
      <c r="D546" s="3" t="s">
        <v>93</v>
      </c>
    </row>
    <row r="547" spans="4:4" ht="17.649999999999999" x14ac:dyDescent="0.5">
      <c r="D547" s="3" t="s">
        <v>49</v>
      </c>
    </row>
    <row r="548" spans="4:4" ht="17.649999999999999" x14ac:dyDescent="0.5">
      <c r="D548" s="3" t="s">
        <v>85</v>
      </c>
    </row>
    <row r="549" spans="4:4" ht="17.649999999999999" x14ac:dyDescent="0.5">
      <c r="D549" s="3" t="s">
        <v>46</v>
      </c>
    </row>
    <row r="550" spans="4:4" ht="17.649999999999999" x14ac:dyDescent="0.5">
      <c r="D550" s="3" t="s">
        <v>119</v>
      </c>
    </row>
    <row r="551" spans="4:4" ht="17.649999999999999" x14ac:dyDescent="0.5">
      <c r="D551" s="3" t="s">
        <v>102</v>
      </c>
    </row>
    <row r="552" spans="4:4" ht="17.649999999999999" x14ac:dyDescent="0.5">
      <c r="D552" s="3" t="s">
        <v>87</v>
      </c>
    </row>
    <row r="553" spans="4:4" ht="17.649999999999999" x14ac:dyDescent="0.5">
      <c r="D553" s="3" t="s">
        <v>67</v>
      </c>
    </row>
    <row r="554" spans="4:4" ht="17.649999999999999" x14ac:dyDescent="0.5">
      <c r="D554" s="3" t="s">
        <v>48</v>
      </c>
    </row>
    <row r="555" spans="4:4" ht="17.649999999999999" x14ac:dyDescent="0.5">
      <c r="D555" s="3" t="s">
        <v>85</v>
      </c>
    </row>
    <row r="556" spans="4:4" ht="17.649999999999999" x14ac:dyDescent="0.5">
      <c r="D556" s="3" t="s">
        <v>80</v>
      </c>
    </row>
    <row r="557" spans="4:4" ht="17.649999999999999" x14ac:dyDescent="0.5">
      <c r="D557" s="3" t="s">
        <v>49</v>
      </c>
    </row>
    <row r="558" spans="4:4" ht="17.649999999999999" x14ac:dyDescent="0.5">
      <c r="D558" s="3" t="s">
        <v>82</v>
      </c>
    </row>
    <row r="559" spans="4:4" ht="17.649999999999999" x14ac:dyDescent="0.5">
      <c r="D559" s="3" t="s">
        <v>114</v>
      </c>
    </row>
    <row r="560" spans="4:4" ht="17.649999999999999" x14ac:dyDescent="0.5">
      <c r="D560" s="3" t="s">
        <v>77</v>
      </c>
    </row>
    <row r="561" spans="4:4" ht="17.649999999999999" x14ac:dyDescent="0.5">
      <c r="D561" s="3" t="s">
        <v>115</v>
      </c>
    </row>
    <row r="562" spans="4:4" ht="17.649999999999999" x14ac:dyDescent="0.5">
      <c r="D562" s="3" t="s">
        <v>105</v>
      </c>
    </row>
    <row r="563" spans="4:4" ht="17.649999999999999" x14ac:dyDescent="0.5">
      <c r="D563" s="3" t="s">
        <v>114</v>
      </c>
    </row>
    <row r="564" spans="4:4" ht="17.649999999999999" x14ac:dyDescent="0.5">
      <c r="D564" s="3" t="s">
        <v>83</v>
      </c>
    </row>
    <row r="565" spans="4:4" ht="17.649999999999999" x14ac:dyDescent="0.5">
      <c r="D565" s="3" t="s">
        <v>52</v>
      </c>
    </row>
    <row r="566" spans="4:4" ht="17.649999999999999" x14ac:dyDescent="0.5">
      <c r="D566" s="3" t="s">
        <v>74</v>
      </c>
    </row>
    <row r="567" spans="4:4" ht="17.649999999999999" x14ac:dyDescent="0.5">
      <c r="D567" s="3" t="s">
        <v>68</v>
      </c>
    </row>
    <row r="568" spans="4:4" ht="17.649999999999999" x14ac:dyDescent="0.5">
      <c r="D568" s="3" t="s">
        <v>61</v>
      </c>
    </row>
    <row r="569" spans="4:4" ht="17.649999999999999" x14ac:dyDescent="0.5">
      <c r="D569" s="3" t="s">
        <v>75</v>
      </c>
    </row>
    <row r="570" spans="4:4" ht="17.649999999999999" x14ac:dyDescent="0.5">
      <c r="D570" s="3" t="s">
        <v>94</v>
      </c>
    </row>
    <row r="571" spans="4:4" ht="17.649999999999999" x14ac:dyDescent="0.5">
      <c r="D571" s="3" t="s">
        <v>127</v>
      </c>
    </row>
    <row r="572" spans="4:4" ht="17.649999999999999" x14ac:dyDescent="0.5">
      <c r="D572" s="3" t="s">
        <v>43</v>
      </c>
    </row>
    <row r="573" spans="4:4" ht="17.649999999999999" x14ac:dyDescent="0.5">
      <c r="D573" s="3" t="s">
        <v>76</v>
      </c>
    </row>
    <row r="574" spans="4:4" ht="17.649999999999999" x14ac:dyDescent="0.5">
      <c r="D574" s="3" t="s">
        <v>74</v>
      </c>
    </row>
    <row r="575" spans="4:4" ht="17.649999999999999" x14ac:dyDescent="0.5">
      <c r="D575" s="3" t="s">
        <v>112</v>
      </c>
    </row>
    <row r="576" spans="4:4" ht="17.649999999999999" x14ac:dyDescent="0.5">
      <c r="D576" s="3" t="s">
        <v>74</v>
      </c>
    </row>
    <row r="577" spans="4:4" ht="17.649999999999999" x14ac:dyDescent="0.5">
      <c r="D577" s="3" t="s">
        <v>44</v>
      </c>
    </row>
    <row r="578" spans="4:4" ht="17.649999999999999" x14ac:dyDescent="0.5">
      <c r="D578" s="3" t="s">
        <v>63</v>
      </c>
    </row>
    <row r="579" spans="4:4" ht="17.649999999999999" x14ac:dyDescent="0.5">
      <c r="D579" s="3" t="s">
        <v>125</v>
      </c>
    </row>
    <row r="580" spans="4:4" ht="17.649999999999999" x14ac:dyDescent="0.5">
      <c r="D580" s="3" t="s">
        <v>72</v>
      </c>
    </row>
    <row r="581" spans="4:4" ht="17.649999999999999" x14ac:dyDescent="0.5">
      <c r="D581" s="3" t="s">
        <v>120</v>
      </c>
    </row>
    <row r="582" spans="4:4" ht="17.649999999999999" x14ac:dyDescent="0.5">
      <c r="D582" s="3" t="s">
        <v>46</v>
      </c>
    </row>
    <row r="583" spans="4:4" ht="17.649999999999999" x14ac:dyDescent="0.5">
      <c r="D583" s="3" t="s">
        <v>79</v>
      </c>
    </row>
    <row r="584" spans="4:4" ht="17.649999999999999" x14ac:dyDescent="0.5">
      <c r="D584" s="3" t="s">
        <v>128</v>
      </c>
    </row>
    <row r="585" spans="4:4" ht="17.649999999999999" x14ac:dyDescent="0.5">
      <c r="D585" s="3" t="s">
        <v>48</v>
      </c>
    </row>
    <row r="586" spans="4:4" ht="17.649999999999999" x14ac:dyDescent="0.5">
      <c r="D586" s="3" t="s">
        <v>79</v>
      </c>
    </row>
    <row r="587" spans="4:4" ht="17.649999999999999" x14ac:dyDescent="0.5">
      <c r="D587" s="3" t="s">
        <v>98</v>
      </c>
    </row>
    <row r="588" spans="4:4" ht="17.649999999999999" x14ac:dyDescent="0.5">
      <c r="D588" s="3" t="s">
        <v>65</v>
      </c>
    </row>
    <row r="589" spans="4:4" ht="17.649999999999999" x14ac:dyDescent="0.5">
      <c r="D589" s="3" t="s">
        <v>126</v>
      </c>
    </row>
    <row r="590" spans="4:4" ht="17.649999999999999" x14ac:dyDescent="0.5">
      <c r="D590" s="3" t="s">
        <v>92</v>
      </c>
    </row>
    <row r="591" spans="4:4" ht="17.649999999999999" x14ac:dyDescent="0.5">
      <c r="D591" s="3" t="s">
        <v>85</v>
      </c>
    </row>
    <row r="592" spans="4:4" ht="17.649999999999999" x14ac:dyDescent="0.5">
      <c r="D592" s="3" t="s">
        <v>63</v>
      </c>
    </row>
    <row r="593" spans="4:4" ht="17.649999999999999" x14ac:dyDescent="0.5">
      <c r="D593" s="3" t="s">
        <v>125</v>
      </c>
    </row>
    <row r="594" spans="4:4" ht="17.649999999999999" x14ac:dyDescent="0.5">
      <c r="D594" s="3" t="s">
        <v>118</v>
      </c>
    </row>
    <row r="595" spans="4:4" ht="17.649999999999999" x14ac:dyDescent="0.5">
      <c r="D595" s="3" t="s">
        <v>73</v>
      </c>
    </row>
    <row r="596" spans="4:4" ht="17.649999999999999" x14ac:dyDescent="0.5">
      <c r="D596" s="3" t="s">
        <v>57</v>
      </c>
    </row>
    <row r="597" spans="4:4" ht="17.649999999999999" x14ac:dyDescent="0.5">
      <c r="D597" s="3" t="s">
        <v>63</v>
      </c>
    </row>
    <row r="598" spans="4:4" ht="17.649999999999999" x14ac:dyDescent="0.5">
      <c r="D598" s="3" t="s">
        <v>54</v>
      </c>
    </row>
    <row r="599" spans="4:4" ht="17.649999999999999" x14ac:dyDescent="0.5">
      <c r="D599" s="3" t="s">
        <v>110</v>
      </c>
    </row>
    <row r="600" spans="4:4" ht="17.649999999999999" x14ac:dyDescent="0.5">
      <c r="D600" s="3" t="s">
        <v>85</v>
      </c>
    </row>
    <row r="601" spans="4:4" ht="17.649999999999999" x14ac:dyDescent="0.5">
      <c r="D601" s="3" t="s">
        <v>87</v>
      </c>
    </row>
    <row r="602" spans="4:4" ht="17.649999999999999" x14ac:dyDescent="0.5">
      <c r="D602" s="3" t="s">
        <v>115</v>
      </c>
    </row>
    <row r="603" spans="4:4" ht="17.649999999999999" x14ac:dyDescent="0.5">
      <c r="D603" s="3" t="s">
        <v>134</v>
      </c>
    </row>
    <row r="604" spans="4:4" ht="17.649999999999999" x14ac:dyDescent="0.5">
      <c r="D604" s="3" t="s">
        <v>43</v>
      </c>
    </row>
    <row r="605" spans="4:4" ht="17.649999999999999" x14ac:dyDescent="0.5">
      <c r="D605" s="3" t="s">
        <v>74</v>
      </c>
    </row>
    <row r="606" spans="4:4" ht="17.649999999999999" x14ac:dyDescent="0.5">
      <c r="D606" s="3" t="s">
        <v>113</v>
      </c>
    </row>
    <row r="607" spans="4:4" ht="17.649999999999999" x14ac:dyDescent="0.5">
      <c r="D607" s="3" t="s">
        <v>90</v>
      </c>
    </row>
    <row r="608" spans="4:4" ht="17.649999999999999" x14ac:dyDescent="0.5">
      <c r="D608" s="3" t="s">
        <v>119</v>
      </c>
    </row>
    <row r="609" spans="4:4" ht="17.649999999999999" x14ac:dyDescent="0.5">
      <c r="D609" s="3" t="s">
        <v>64</v>
      </c>
    </row>
    <row r="610" spans="4:4" ht="17.649999999999999" x14ac:dyDescent="0.5">
      <c r="D610" s="3" t="s">
        <v>130</v>
      </c>
    </row>
    <row r="611" spans="4:4" ht="17.649999999999999" x14ac:dyDescent="0.5">
      <c r="D611" s="3" t="s">
        <v>85</v>
      </c>
    </row>
    <row r="612" spans="4:4" ht="17.649999999999999" x14ac:dyDescent="0.5">
      <c r="D612" s="3" t="s">
        <v>50</v>
      </c>
    </row>
    <row r="613" spans="4:4" ht="17.649999999999999" x14ac:dyDescent="0.5">
      <c r="D613" s="3" t="s">
        <v>76</v>
      </c>
    </row>
    <row r="614" spans="4:4" ht="17.649999999999999" x14ac:dyDescent="0.5">
      <c r="D614" s="3" t="s">
        <v>49</v>
      </c>
    </row>
    <row r="615" spans="4:4" ht="17.649999999999999" x14ac:dyDescent="0.5">
      <c r="D615" s="3" t="s">
        <v>115</v>
      </c>
    </row>
    <row r="616" spans="4:4" ht="17.649999999999999" x14ac:dyDescent="0.5">
      <c r="D616" s="3" t="s">
        <v>91</v>
      </c>
    </row>
    <row r="617" spans="4:4" ht="17.649999999999999" x14ac:dyDescent="0.5">
      <c r="D617" s="3" t="s">
        <v>57</v>
      </c>
    </row>
    <row r="618" spans="4:4" ht="17.649999999999999" x14ac:dyDescent="0.5">
      <c r="D618" s="3" t="s">
        <v>112</v>
      </c>
    </row>
    <row r="619" spans="4:4" ht="17.649999999999999" x14ac:dyDescent="0.5">
      <c r="D619" s="3" t="s">
        <v>94</v>
      </c>
    </row>
    <row r="620" spans="4:4" ht="17.649999999999999" x14ac:dyDescent="0.5">
      <c r="D620" s="3" t="s">
        <v>61</v>
      </c>
    </row>
    <row r="621" spans="4:4" ht="17.649999999999999" x14ac:dyDescent="0.5">
      <c r="D621" s="3" t="s">
        <v>54</v>
      </c>
    </row>
    <row r="622" spans="4:4" ht="17.649999999999999" x14ac:dyDescent="0.5">
      <c r="D622" s="3" t="s">
        <v>105</v>
      </c>
    </row>
    <row r="623" spans="4:4" ht="17.649999999999999" x14ac:dyDescent="0.5">
      <c r="D623" s="3" t="s">
        <v>101</v>
      </c>
    </row>
    <row r="624" spans="4:4" ht="17.649999999999999" x14ac:dyDescent="0.5">
      <c r="D624" s="3" t="s">
        <v>43</v>
      </c>
    </row>
    <row r="625" spans="4:4" ht="17.649999999999999" x14ac:dyDescent="0.5">
      <c r="D625" s="3" t="s">
        <v>76</v>
      </c>
    </row>
    <row r="626" spans="4:4" ht="17.649999999999999" x14ac:dyDescent="0.5">
      <c r="D626" s="3" t="s">
        <v>46</v>
      </c>
    </row>
    <row r="627" spans="4:4" ht="17.649999999999999" x14ac:dyDescent="0.5">
      <c r="D627" s="3" t="s">
        <v>77</v>
      </c>
    </row>
    <row r="628" spans="4:4" ht="17.649999999999999" x14ac:dyDescent="0.5">
      <c r="D628" s="3" t="s">
        <v>59</v>
      </c>
    </row>
    <row r="629" spans="4:4" ht="17.649999999999999" x14ac:dyDescent="0.5">
      <c r="D629" s="3" t="s">
        <v>130</v>
      </c>
    </row>
    <row r="630" spans="4:4" ht="17.649999999999999" x14ac:dyDescent="0.5">
      <c r="D630" s="3" t="s">
        <v>101</v>
      </c>
    </row>
    <row r="631" spans="4:4" ht="17.649999999999999" x14ac:dyDescent="0.5">
      <c r="D631" s="3" t="s">
        <v>95</v>
      </c>
    </row>
    <row r="632" spans="4:4" ht="17.649999999999999" x14ac:dyDescent="0.5">
      <c r="D632" s="3" t="s">
        <v>61</v>
      </c>
    </row>
    <row r="633" spans="4:4" ht="17.649999999999999" x14ac:dyDescent="0.5">
      <c r="D633" s="3" t="s">
        <v>71</v>
      </c>
    </row>
    <row r="634" spans="4:4" ht="17.649999999999999" x14ac:dyDescent="0.5">
      <c r="D634" s="3" t="s">
        <v>73</v>
      </c>
    </row>
    <row r="635" spans="4:4" ht="17.649999999999999" x14ac:dyDescent="0.5">
      <c r="D635" s="3" t="s">
        <v>73</v>
      </c>
    </row>
    <row r="636" spans="4:4" ht="17.649999999999999" x14ac:dyDescent="0.5">
      <c r="D636" s="3" t="s">
        <v>52</v>
      </c>
    </row>
    <row r="637" spans="4:4" ht="17.649999999999999" x14ac:dyDescent="0.5">
      <c r="D637" s="3" t="s">
        <v>62</v>
      </c>
    </row>
    <row r="638" spans="4:4" ht="17.649999999999999" x14ac:dyDescent="0.5">
      <c r="D638" s="3" t="s">
        <v>64</v>
      </c>
    </row>
    <row r="639" spans="4:4" ht="17.649999999999999" x14ac:dyDescent="0.5">
      <c r="D639" s="3" t="s">
        <v>49</v>
      </c>
    </row>
    <row r="640" spans="4:4" ht="17.649999999999999" x14ac:dyDescent="0.5">
      <c r="D640" s="3" t="s">
        <v>122</v>
      </c>
    </row>
    <row r="641" spans="4:4" ht="17.649999999999999" x14ac:dyDescent="0.5">
      <c r="D641" s="3" t="s">
        <v>114</v>
      </c>
    </row>
    <row r="642" spans="4:4" ht="17.649999999999999" x14ac:dyDescent="0.5">
      <c r="D642" s="3" t="s">
        <v>103</v>
      </c>
    </row>
    <row r="643" spans="4:4" ht="17.649999999999999" x14ac:dyDescent="0.5">
      <c r="D643" s="3" t="s">
        <v>65</v>
      </c>
    </row>
    <row r="644" spans="4:4" ht="17.649999999999999" x14ac:dyDescent="0.5">
      <c r="D644" s="3" t="s">
        <v>91</v>
      </c>
    </row>
    <row r="645" spans="4:4" ht="17.649999999999999" x14ac:dyDescent="0.5">
      <c r="D645" s="3" t="s">
        <v>90</v>
      </c>
    </row>
    <row r="646" spans="4:4" ht="17.649999999999999" x14ac:dyDescent="0.5">
      <c r="D646" s="3" t="s">
        <v>53</v>
      </c>
    </row>
    <row r="647" spans="4:4" ht="17.649999999999999" x14ac:dyDescent="0.5">
      <c r="D647" s="3" t="s">
        <v>126</v>
      </c>
    </row>
    <row r="648" spans="4:4" ht="17.649999999999999" x14ac:dyDescent="0.5">
      <c r="D648" s="3" t="s">
        <v>117</v>
      </c>
    </row>
    <row r="649" spans="4:4" ht="17.649999999999999" x14ac:dyDescent="0.5">
      <c r="D649" s="3" t="s">
        <v>74</v>
      </c>
    </row>
    <row r="650" spans="4:4" ht="17.649999999999999" x14ac:dyDescent="0.5">
      <c r="D650" s="3" t="s">
        <v>121</v>
      </c>
    </row>
    <row r="651" spans="4:4" ht="17.649999999999999" x14ac:dyDescent="0.5">
      <c r="D651" s="3" t="s">
        <v>129</v>
      </c>
    </row>
    <row r="652" spans="4:4" ht="17.649999999999999" x14ac:dyDescent="0.5">
      <c r="D652" s="3" t="s">
        <v>80</v>
      </c>
    </row>
    <row r="653" spans="4:4" ht="17.649999999999999" x14ac:dyDescent="0.5">
      <c r="D653" s="3" t="s">
        <v>50</v>
      </c>
    </row>
    <row r="654" spans="4:4" ht="17.649999999999999" x14ac:dyDescent="0.5">
      <c r="D654" s="3" t="s">
        <v>79</v>
      </c>
    </row>
    <row r="655" spans="4:4" ht="17.649999999999999" x14ac:dyDescent="0.5">
      <c r="D655" s="3" t="s">
        <v>73</v>
      </c>
    </row>
    <row r="656" spans="4:4" ht="17.649999999999999" x14ac:dyDescent="0.5">
      <c r="D656" s="3" t="s">
        <v>61</v>
      </c>
    </row>
    <row r="657" spans="4:4" ht="17.649999999999999" x14ac:dyDescent="0.5">
      <c r="D657" s="3" t="s">
        <v>79</v>
      </c>
    </row>
    <row r="658" spans="4:4" ht="17.649999999999999" x14ac:dyDescent="0.5">
      <c r="D658" s="3" t="s">
        <v>63</v>
      </c>
    </row>
    <row r="659" spans="4:4" ht="17.649999999999999" x14ac:dyDescent="0.5">
      <c r="D659" s="3" t="s">
        <v>91</v>
      </c>
    </row>
    <row r="660" spans="4:4" ht="17.649999999999999" x14ac:dyDescent="0.5">
      <c r="D660" s="3" t="s">
        <v>96</v>
      </c>
    </row>
    <row r="661" spans="4:4" ht="17.649999999999999" x14ac:dyDescent="0.5">
      <c r="D661" s="3" t="s">
        <v>49</v>
      </c>
    </row>
    <row r="662" spans="4:4" ht="17.649999999999999" x14ac:dyDescent="0.5">
      <c r="D662" s="3" t="s">
        <v>77</v>
      </c>
    </row>
    <row r="663" spans="4:4" ht="17.649999999999999" x14ac:dyDescent="0.5">
      <c r="D663" s="3" t="s">
        <v>58</v>
      </c>
    </row>
    <row r="664" spans="4:4" ht="17.649999999999999" x14ac:dyDescent="0.5">
      <c r="D664" s="3" t="s">
        <v>113</v>
      </c>
    </row>
    <row r="665" spans="4:4" ht="17.649999999999999" x14ac:dyDescent="0.5">
      <c r="D665" s="3" t="s">
        <v>89</v>
      </c>
    </row>
    <row r="666" spans="4:4" ht="17.649999999999999" x14ac:dyDescent="0.5">
      <c r="D666" s="3" t="s">
        <v>46</v>
      </c>
    </row>
    <row r="667" spans="4:4" ht="17.649999999999999" x14ac:dyDescent="0.5">
      <c r="D667" s="3" t="s">
        <v>66</v>
      </c>
    </row>
    <row r="668" spans="4:4" ht="17.649999999999999" x14ac:dyDescent="0.5">
      <c r="D668" s="3" t="s">
        <v>48</v>
      </c>
    </row>
    <row r="669" spans="4:4" ht="17.649999999999999" x14ac:dyDescent="0.5">
      <c r="D669" s="3" t="s">
        <v>43</v>
      </c>
    </row>
    <row r="670" spans="4:4" ht="17.649999999999999" x14ac:dyDescent="0.5">
      <c r="D670" s="3" t="s">
        <v>55</v>
      </c>
    </row>
    <row r="671" spans="4:4" ht="17.649999999999999" x14ac:dyDescent="0.5">
      <c r="D671" s="3" t="s">
        <v>112</v>
      </c>
    </row>
    <row r="672" spans="4:4" ht="17.649999999999999" x14ac:dyDescent="0.5">
      <c r="D672" s="3" t="s">
        <v>125</v>
      </c>
    </row>
    <row r="673" spans="4:4" ht="17.649999999999999" x14ac:dyDescent="0.5">
      <c r="D673" s="3" t="s">
        <v>71</v>
      </c>
    </row>
    <row r="674" spans="4:4" ht="17.649999999999999" x14ac:dyDescent="0.5">
      <c r="D674" s="3" t="s">
        <v>107</v>
      </c>
    </row>
    <row r="675" spans="4:4" ht="17.649999999999999" x14ac:dyDescent="0.5">
      <c r="D675" s="3" t="s">
        <v>91</v>
      </c>
    </row>
    <row r="676" spans="4:4" ht="17.649999999999999" x14ac:dyDescent="0.5">
      <c r="D676" s="3" t="s">
        <v>135</v>
      </c>
    </row>
    <row r="677" spans="4:4" ht="17.649999999999999" x14ac:dyDescent="0.5">
      <c r="D677" s="3" t="s">
        <v>67</v>
      </c>
    </row>
    <row r="678" spans="4:4" ht="17.649999999999999" x14ac:dyDescent="0.5">
      <c r="D678" s="3" t="s">
        <v>96</v>
      </c>
    </row>
    <row r="679" spans="4:4" ht="17.649999999999999" x14ac:dyDescent="0.5">
      <c r="D679" s="3" t="s">
        <v>54</v>
      </c>
    </row>
    <row r="680" spans="4:4" ht="17.649999999999999" x14ac:dyDescent="0.5">
      <c r="D680" s="3" t="s">
        <v>90</v>
      </c>
    </row>
    <row r="681" spans="4:4" ht="17.649999999999999" x14ac:dyDescent="0.5">
      <c r="D681" s="3" t="s">
        <v>84</v>
      </c>
    </row>
    <row r="682" spans="4:4" ht="17.649999999999999" x14ac:dyDescent="0.5">
      <c r="D682" s="3" t="s">
        <v>117</v>
      </c>
    </row>
    <row r="683" spans="4:4" ht="17.649999999999999" x14ac:dyDescent="0.5">
      <c r="D683" s="3" t="s">
        <v>107</v>
      </c>
    </row>
    <row r="684" spans="4:4" ht="17.649999999999999" x14ac:dyDescent="0.5">
      <c r="D684" s="3" t="s">
        <v>68</v>
      </c>
    </row>
    <row r="685" spans="4:4" ht="17.649999999999999" x14ac:dyDescent="0.5">
      <c r="D685" s="3" t="s">
        <v>93</v>
      </c>
    </row>
    <row r="686" spans="4:4" ht="17.649999999999999" x14ac:dyDescent="0.5">
      <c r="D686" s="3" t="s">
        <v>110</v>
      </c>
    </row>
    <row r="687" spans="4:4" ht="17.649999999999999" x14ac:dyDescent="0.5">
      <c r="D687" s="3" t="s">
        <v>68</v>
      </c>
    </row>
    <row r="688" spans="4:4" ht="17.649999999999999" x14ac:dyDescent="0.5">
      <c r="D688" s="3" t="s">
        <v>80</v>
      </c>
    </row>
    <row r="689" spans="4:4" ht="17.649999999999999" x14ac:dyDescent="0.5">
      <c r="D689" s="3" t="s">
        <v>64</v>
      </c>
    </row>
    <row r="690" spans="4:4" ht="17.649999999999999" x14ac:dyDescent="0.5">
      <c r="D690" s="3" t="s">
        <v>83</v>
      </c>
    </row>
    <row r="691" spans="4:4" ht="17.649999999999999" x14ac:dyDescent="0.5">
      <c r="D691" s="3" t="s">
        <v>124</v>
      </c>
    </row>
    <row r="692" spans="4:4" ht="17.649999999999999" x14ac:dyDescent="0.5">
      <c r="D692" s="3" t="s">
        <v>49</v>
      </c>
    </row>
    <row r="693" spans="4:4" ht="17.649999999999999" x14ac:dyDescent="0.5">
      <c r="D693" s="3" t="s">
        <v>82</v>
      </c>
    </row>
    <row r="694" spans="4:4" ht="17.649999999999999" x14ac:dyDescent="0.5">
      <c r="D694" s="3" t="s">
        <v>42</v>
      </c>
    </row>
    <row r="695" spans="4:4" ht="17.649999999999999" x14ac:dyDescent="0.5">
      <c r="D695" s="3" t="s">
        <v>68</v>
      </c>
    </row>
    <row r="696" spans="4:4" ht="17.649999999999999" x14ac:dyDescent="0.5">
      <c r="D696" s="3" t="s">
        <v>78</v>
      </c>
    </row>
    <row r="697" spans="4:4" ht="17.649999999999999" x14ac:dyDescent="0.5">
      <c r="D697" s="3" t="s">
        <v>124</v>
      </c>
    </row>
    <row r="698" spans="4:4" ht="17.649999999999999" x14ac:dyDescent="0.5">
      <c r="D698" s="3" t="s">
        <v>136</v>
      </c>
    </row>
    <row r="699" spans="4:4" ht="17.649999999999999" x14ac:dyDescent="0.5">
      <c r="D699" s="3" t="s">
        <v>43</v>
      </c>
    </row>
    <row r="700" spans="4:4" ht="17.649999999999999" x14ac:dyDescent="0.5">
      <c r="D700" s="3" t="s">
        <v>72</v>
      </c>
    </row>
    <row r="701" spans="4:4" ht="17.649999999999999" x14ac:dyDescent="0.5">
      <c r="D701" s="3" t="s">
        <v>91</v>
      </c>
    </row>
    <row r="702" spans="4:4" ht="17.649999999999999" x14ac:dyDescent="0.5">
      <c r="D702" s="3" t="s">
        <v>108</v>
      </c>
    </row>
    <row r="703" spans="4:4" ht="17.649999999999999" x14ac:dyDescent="0.5">
      <c r="D703" s="3" t="s">
        <v>115</v>
      </c>
    </row>
    <row r="704" spans="4:4" ht="17.649999999999999" x14ac:dyDescent="0.5">
      <c r="D704" s="3" t="s">
        <v>46</v>
      </c>
    </row>
    <row r="705" spans="4:4" ht="17.649999999999999" x14ac:dyDescent="0.5">
      <c r="D705" s="3" t="s">
        <v>49</v>
      </c>
    </row>
    <row r="706" spans="4:4" ht="17.649999999999999" x14ac:dyDescent="0.5">
      <c r="D706" s="3" t="s">
        <v>46</v>
      </c>
    </row>
    <row r="707" spans="4:4" ht="17.649999999999999" x14ac:dyDescent="0.5">
      <c r="D707" s="3" t="s">
        <v>75</v>
      </c>
    </row>
    <row r="708" spans="4:4" ht="17.649999999999999" x14ac:dyDescent="0.5">
      <c r="D708" s="3" t="s">
        <v>80</v>
      </c>
    </row>
    <row r="709" spans="4:4" ht="17.649999999999999" x14ac:dyDescent="0.5">
      <c r="D709" s="3" t="s">
        <v>48</v>
      </c>
    </row>
    <row r="710" spans="4:4" ht="17.649999999999999" x14ac:dyDescent="0.5">
      <c r="D710" s="3" t="s">
        <v>132</v>
      </c>
    </row>
    <row r="711" spans="4:4" ht="17.649999999999999" x14ac:dyDescent="0.5">
      <c r="D711" s="3" t="s">
        <v>47</v>
      </c>
    </row>
    <row r="712" spans="4:4" ht="17.649999999999999" x14ac:dyDescent="0.5">
      <c r="D712" s="3" t="s">
        <v>55</v>
      </c>
    </row>
    <row r="713" spans="4:4" ht="17.649999999999999" x14ac:dyDescent="0.5">
      <c r="D713" s="3" t="s">
        <v>84</v>
      </c>
    </row>
    <row r="714" spans="4:4" ht="17.649999999999999" x14ac:dyDescent="0.5">
      <c r="D714" s="3" t="s">
        <v>61</v>
      </c>
    </row>
    <row r="715" spans="4:4" ht="17.649999999999999" x14ac:dyDescent="0.5">
      <c r="D715" s="3" t="s">
        <v>71</v>
      </c>
    </row>
    <row r="716" spans="4:4" ht="17.649999999999999" x14ac:dyDescent="0.5">
      <c r="D716" s="3" t="s">
        <v>84</v>
      </c>
    </row>
    <row r="717" spans="4:4" ht="17.649999999999999" x14ac:dyDescent="0.5">
      <c r="D717" s="3" t="s">
        <v>96</v>
      </c>
    </row>
    <row r="718" spans="4:4" ht="17.649999999999999" x14ac:dyDescent="0.5">
      <c r="D718" s="3" t="s">
        <v>128</v>
      </c>
    </row>
    <row r="719" spans="4:4" ht="17.649999999999999" x14ac:dyDescent="0.5">
      <c r="D719" s="3" t="s">
        <v>87</v>
      </c>
    </row>
    <row r="720" spans="4:4" ht="17.649999999999999" x14ac:dyDescent="0.5">
      <c r="D720" s="3" t="s">
        <v>67</v>
      </c>
    </row>
    <row r="721" spans="4:4" ht="17.649999999999999" x14ac:dyDescent="0.5">
      <c r="D721" s="3" t="s">
        <v>103</v>
      </c>
    </row>
    <row r="722" spans="4:4" ht="17.649999999999999" x14ac:dyDescent="0.5">
      <c r="D722" s="3" t="s">
        <v>98</v>
      </c>
    </row>
    <row r="723" spans="4:4" ht="17.649999999999999" x14ac:dyDescent="0.5">
      <c r="D723" s="3" t="s">
        <v>63</v>
      </c>
    </row>
    <row r="724" spans="4:4" ht="17.649999999999999" x14ac:dyDescent="0.5">
      <c r="D724" s="3" t="s">
        <v>48</v>
      </c>
    </row>
    <row r="725" spans="4:4" ht="17.649999999999999" x14ac:dyDescent="0.5">
      <c r="D725" s="3" t="s">
        <v>112</v>
      </c>
    </row>
    <row r="726" spans="4:4" ht="17.649999999999999" x14ac:dyDescent="0.5">
      <c r="D726" s="3" t="s">
        <v>127</v>
      </c>
    </row>
    <row r="727" spans="4:4" ht="17.649999999999999" x14ac:dyDescent="0.5">
      <c r="D727" s="3" t="s">
        <v>43</v>
      </c>
    </row>
    <row r="728" spans="4:4" ht="17.649999999999999" x14ac:dyDescent="0.5">
      <c r="D728" s="3" t="s">
        <v>73</v>
      </c>
    </row>
    <row r="729" spans="4:4" ht="17.649999999999999" x14ac:dyDescent="0.5">
      <c r="D729" s="3" t="s">
        <v>59</v>
      </c>
    </row>
    <row r="730" spans="4:4" ht="17.649999999999999" x14ac:dyDescent="0.5">
      <c r="D730" s="3" t="s">
        <v>47</v>
      </c>
    </row>
    <row r="731" spans="4:4" ht="17.649999999999999" x14ac:dyDescent="0.5">
      <c r="D731" s="3" t="s">
        <v>75</v>
      </c>
    </row>
    <row r="732" spans="4:4" ht="17.649999999999999" x14ac:dyDescent="0.5">
      <c r="D732" s="3" t="s">
        <v>132</v>
      </c>
    </row>
    <row r="733" spans="4:4" ht="17.649999999999999" x14ac:dyDescent="0.5">
      <c r="D733" s="3" t="s">
        <v>63</v>
      </c>
    </row>
    <row r="734" spans="4:4" ht="17.649999999999999" x14ac:dyDescent="0.5">
      <c r="D734" s="3" t="s">
        <v>90</v>
      </c>
    </row>
    <row r="735" spans="4:4" ht="17.649999999999999" x14ac:dyDescent="0.5">
      <c r="D735" s="3" t="s">
        <v>111</v>
      </c>
    </row>
    <row r="736" spans="4:4" ht="17.649999999999999" x14ac:dyDescent="0.5">
      <c r="D736" s="3" t="s">
        <v>54</v>
      </c>
    </row>
    <row r="737" spans="4:4" ht="17.649999999999999" x14ac:dyDescent="0.5">
      <c r="D737" s="3" t="s">
        <v>49</v>
      </c>
    </row>
    <row r="738" spans="4:4" ht="17.649999999999999" x14ac:dyDescent="0.5">
      <c r="D738" s="3" t="s">
        <v>67</v>
      </c>
    </row>
    <row r="739" spans="4:4" ht="17.649999999999999" x14ac:dyDescent="0.5">
      <c r="D739" s="3" t="s">
        <v>81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103</v>
      </c>
    </row>
    <row r="742" spans="4:4" ht="17.649999999999999" x14ac:dyDescent="0.5">
      <c r="D742" s="3" t="s">
        <v>83</v>
      </c>
    </row>
    <row r="743" spans="4:4" ht="17.649999999999999" x14ac:dyDescent="0.5">
      <c r="D743" s="3" t="s">
        <v>67</v>
      </c>
    </row>
    <row r="744" spans="4:4" ht="17.649999999999999" x14ac:dyDescent="0.5">
      <c r="D744" s="3" t="s">
        <v>73</v>
      </c>
    </row>
    <row r="745" spans="4:4" ht="17.649999999999999" x14ac:dyDescent="0.5">
      <c r="D745" s="3" t="s">
        <v>124</v>
      </c>
    </row>
    <row r="746" spans="4:4" ht="17.649999999999999" x14ac:dyDescent="0.5">
      <c r="D746" s="3" t="s">
        <v>96</v>
      </c>
    </row>
    <row r="747" spans="4:4" ht="17.649999999999999" x14ac:dyDescent="0.5">
      <c r="D747" s="3" t="s">
        <v>77</v>
      </c>
    </row>
    <row r="748" spans="4:4" ht="17.649999999999999" x14ac:dyDescent="0.5">
      <c r="D748" s="3" t="s">
        <v>91</v>
      </c>
    </row>
    <row r="749" spans="4:4" ht="17.649999999999999" x14ac:dyDescent="0.5">
      <c r="D749" s="3" t="s">
        <v>48</v>
      </c>
    </row>
    <row r="750" spans="4:4" ht="17.649999999999999" x14ac:dyDescent="0.5">
      <c r="D750" s="3" t="s">
        <v>50</v>
      </c>
    </row>
    <row r="751" spans="4:4" ht="17.649999999999999" x14ac:dyDescent="0.5">
      <c r="D751" s="3" t="s">
        <v>94</v>
      </c>
    </row>
    <row r="752" spans="4:4" ht="17.649999999999999" x14ac:dyDescent="0.5">
      <c r="D752" s="3" t="s">
        <v>93</v>
      </c>
    </row>
    <row r="753" spans="4:4" ht="17.649999999999999" x14ac:dyDescent="0.5">
      <c r="D753" s="3" t="s">
        <v>95</v>
      </c>
    </row>
    <row r="754" spans="4:4" ht="17.649999999999999" x14ac:dyDescent="0.5">
      <c r="D754" s="3" t="s">
        <v>72</v>
      </c>
    </row>
    <row r="755" spans="4:4" ht="17.649999999999999" x14ac:dyDescent="0.5">
      <c r="D755" s="3" t="s">
        <v>103</v>
      </c>
    </row>
    <row r="756" spans="4:4" ht="17.649999999999999" x14ac:dyDescent="0.5">
      <c r="D756" s="3" t="s">
        <v>118</v>
      </c>
    </row>
    <row r="757" spans="4:4" ht="17.649999999999999" x14ac:dyDescent="0.5">
      <c r="D757" s="3" t="s">
        <v>81</v>
      </c>
    </row>
    <row r="758" spans="4:4" ht="17.649999999999999" x14ac:dyDescent="0.5">
      <c r="D758" s="3" t="s">
        <v>92</v>
      </c>
    </row>
    <row r="759" spans="4:4" ht="17.649999999999999" x14ac:dyDescent="0.5">
      <c r="D759" s="3" t="s">
        <v>56</v>
      </c>
    </row>
    <row r="760" spans="4:4" ht="17.649999999999999" x14ac:dyDescent="0.5">
      <c r="D760" s="3" t="s">
        <v>113</v>
      </c>
    </row>
    <row r="761" spans="4:4" ht="17.649999999999999" x14ac:dyDescent="0.5">
      <c r="D761" s="3" t="s">
        <v>84</v>
      </c>
    </row>
    <row r="762" spans="4:4" ht="17.649999999999999" x14ac:dyDescent="0.5">
      <c r="D762" s="3" t="s">
        <v>100</v>
      </c>
    </row>
    <row r="763" spans="4:4" ht="17.649999999999999" x14ac:dyDescent="0.5">
      <c r="D763" s="3" t="s">
        <v>53</v>
      </c>
    </row>
    <row r="764" spans="4:4" ht="17.649999999999999" x14ac:dyDescent="0.5">
      <c r="D764" s="3" t="s">
        <v>44</v>
      </c>
    </row>
    <row r="765" spans="4:4" ht="17.649999999999999" x14ac:dyDescent="0.5">
      <c r="D765" s="3" t="s">
        <v>59</v>
      </c>
    </row>
    <row r="766" spans="4:4" ht="17.649999999999999" x14ac:dyDescent="0.5">
      <c r="D766" s="3" t="s">
        <v>84</v>
      </c>
    </row>
    <row r="767" spans="4:4" ht="17.649999999999999" x14ac:dyDescent="0.5">
      <c r="D767" s="3" t="s">
        <v>94</v>
      </c>
    </row>
    <row r="768" spans="4:4" ht="17.649999999999999" x14ac:dyDescent="0.5">
      <c r="D768" s="3" t="s">
        <v>43</v>
      </c>
    </row>
    <row r="769" spans="4:4" ht="17.649999999999999" x14ac:dyDescent="0.5">
      <c r="D769" s="3" t="s">
        <v>115</v>
      </c>
    </row>
    <row r="770" spans="4:4" ht="17.649999999999999" x14ac:dyDescent="0.5">
      <c r="D770" s="3" t="s">
        <v>78</v>
      </c>
    </row>
    <row r="771" spans="4:4" ht="17.649999999999999" x14ac:dyDescent="0.5">
      <c r="D771" s="3" t="s">
        <v>120</v>
      </c>
    </row>
    <row r="772" spans="4:4" ht="17.649999999999999" x14ac:dyDescent="0.5">
      <c r="D772" s="3" t="s">
        <v>64</v>
      </c>
    </row>
    <row r="773" spans="4:4" ht="17.649999999999999" x14ac:dyDescent="0.5">
      <c r="D773" s="3" t="s">
        <v>48</v>
      </c>
    </row>
    <row r="774" spans="4:4" ht="17.649999999999999" x14ac:dyDescent="0.5">
      <c r="D774" s="3" t="s">
        <v>56</v>
      </c>
    </row>
    <row r="775" spans="4:4" ht="17.649999999999999" x14ac:dyDescent="0.5">
      <c r="D775" s="3" t="s">
        <v>50</v>
      </c>
    </row>
    <row r="776" spans="4:4" ht="17.649999999999999" x14ac:dyDescent="0.5">
      <c r="D776" s="3" t="s">
        <v>50</v>
      </c>
    </row>
    <row r="777" spans="4:4" ht="17.649999999999999" x14ac:dyDescent="0.5">
      <c r="D777" s="3" t="s">
        <v>91</v>
      </c>
    </row>
    <row r="778" spans="4:4" ht="17.649999999999999" x14ac:dyDescent="0.5">
      <c r="D778" s="3" t="s">
        <v>51</v>
      </c>
    </row>
    <row r="779" spans="4:4" ht="17.649999999999999" x14ac:dyDescent="0.5">
      <c r="D779" s="3" t="s">
        <v>69</v>
      </c>
    </row>
    <row r="780" spans="4:4" ht="17.649999999999999" x14ac:dyDescent="0.5">
      <c r="D780" s="3" t="s">
        <v>84</v>
      </c>
    </row>
    <row r="781" spans="4:4" ht="17.649999999999999" x14ac:dyDescent="0.5">
      <c r="D781" s="3" t="s">
        <v>101</v>
      </c>
    </row>
    <row r="782" spans="4:4" ht="17.649999999999999" x14ac:dyDescent="0.5">
      <c r="D782" s="3" t="s">
        <v>80</v>
      </c>
    </row>
    <row r="783" spans="4:4" ht="17.649999999999999" x14ac:dyDescent="0.5">
      <c r="D783" s="3" t="s">
        <v>68</v>
      </c>
    </row>
    <row r="784" spans="4:4" ht="17.649999999999999" x14ac:dyDescent="0.5">
      <c r="D784" s="3" t="s">
        <v>49</v>
      </c>
    </row>
    <row r="785" spans="4:4" ht="17.649999999999999" x14ac:dyDescent="0.5">
      <c r="D785" s="3" t="s">
        <v>50</v>
      </c>
    </row>
    <row r="786" spans="4:4" ht="17.649999999999999" x14ac:dyDescent="0.5">
      <c r="D786" s="3" t="s">
        <v>43</v>
      </c>
    </row>
    <row r="787" spans="4:4" ht="17.649999999999999" x14ac:dyDescent="0.5">
      <c r="D787" s="3" t="s">
        <v>105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114</v>
      </c>
    </row>
    <row r="790" spans="4:4" ht="17.649999999999999" x14ac:dyDescent="0.5">
      <c r="D790" s="3" t="s">
        <v>83</v>
      </c>
    </row>
    <row r="791" spans="4:4" ht="17.649999999999999" x14ac:dyDescent="0.5">
      <c r="D791" s="3" t="s">
        <v>63</v>
      </c>
    </row>
    <row r="792" spans="4:4" ht="17.649999999999999" x14ac:dyDescent="0.5">
      <c r="D792" s="3" t="s">
        <v>107</v>
      </c>
    </row>
    <row r="793" spans="4:4" ht="17.649999999999999" x14ac:dyDescent="0.5">
      <c r="D793" s="3" t="s">
        <v>124</v>
      </c>
    </row>
    <row r="794" spans="4:4" ht="17.649999999999999" x14ac:dyDescent="0.5">
      <c r="D794" s="3" t="s">
        <v>43</v>
      </c>
    </row>
    <row r="795" spans="4:4" ht="17.649999999999999" x14ac:dyDescent="0.5">
      <c r="D795" s="3" t="s">
        <v>46</v>
      </c>
    </row>
    <row r="796" spans="4:4" ht="17.649999999999999" x14ac:dyDescent="0.5">
      <c r="D796" s="3" t="s">
        <v>78</v>
      </c>
    </row>
    <row r="797" spans="4:4" ht="17.649999999999999" x14ac:dyDescent="0.5">
      <c r="D797" s="3" t="s">
        <v>53</v>
      </c>
    </row>
    <row r="798" spans="4:4" ht="17.649999999999999" x14ac:dyDescent="0.5">
      <c r="D798" s="3" t="s">
        <v>95</v>
      </c>
    </row>
    <row r="799" spans="4:4" ht="17.649999999999999" x14ac:dyDescent="0.5">
      <c r="D799" s="3" t="s">
        <v>80</v>
      </c>
    </row>
    <row r="800" spans="4:4" ht="17.649999999999999" x14ac:dyDescent="0.5">
      <c r="D800" s="3" t="s">
        <v>83</v>
      </c>
    </row>
    <row r="801" spans="4:4" ht="17.649999999999999" x14ac:dyDescent="0.5">
      <c r="D801" s="3" t="s">
        <v>91</v>
      </c>
    </row>
    <row r="802" spans="4:4" ht="17.649999999999999" x14ac:dyDescent="0.5">
      <c r="D802" s="3" t="s">
        <v>77</v>
      </c>
    </row>
    <row r="803" spans="4:4" ht="17.649999999999999" x14ac:dyDescent="0.5">
      <c r="D803" s="3" t="s">
        <v>44</v>
      </c>
    </row>
    <row r="804" spans="4:4" ht="17.649999999999999" x14ac:dyDescent="0.5">
      <c r="D804" s="3" t="s">
        <v>87</v>
      </c>
    </row>
    <row r="805" spans="4:4" ht="17.649999999999999" x14ac:dyDescent="0.5">
      <c r="D805" s="3" t="s">
        <v>68</v>
      </c>
    </row>
    <row r="806" spans="4:4" ht="17.649999999999999" x14ac:dyDescent="0.5">
      <c r="D806" s="3" t="s">
        <v>103</v>
      </c>
    </row>
    <row r="807" spans="4:4" ht="17.649999999999999" x14ac:dyDescent="0.5">
      <c r="D807" s="3" t="s">
        <v>112</v>
      </c>
    </row>
    <row r="808" spans="4:4" ht="17.649999999999999" x14ac:dyDescent="0.5">
      <c r="D808" s="3" t="s">
        <v>117</v>
      </c>
    </row>
    <row r="809" spans="4:4" ht="17.649999999999999" x14ac:dyDescent="0.5">
      <c r="D809" s="3" t="s">
        <v>81</v>
      </c>
    </row>
    <row r="810" spans="4:4" ht="17.649999999999999" x14ac:dyDescent="0.5">
      <c r="D810" s="3" t="s">
        <v>90</v>
      </c>
    </row>
    <row r="811" spans="4:4" ht="17.649999999999999" x14ac:dyDescent="0.5">
      <c r="D811" s="3" t="s">
        <v>85</v>
      </c>
    </row>
    <row r="812" spans="4:4" ht="17.649999999999999" x14ac:dyDescent="0.5">
      <c r="D812" s="3" t="s">
        <v>63</v>
      </c>
    </row>
    <row r="813" spans="4:4" ht="17.649999999999999" x14ac:dyDescent="0.5">
      <c r="D813" s="3" t="s">
        <v>131</v>
      </c>
    </row>
    <row r="814" spans="4:4" ht="17.649999999999999" x14ac:dyDescent="0.5">
      <c r="D814" s="3" t="s">
        <v>41</v>
      </c>
    </row>
    <row r="815" spans="4:4" ht="17.649999999999999" x14ac:dyDescent="0.5">
      <c r="D815" s="3" t="s">
        <v>61</v>
      </c>
    </row>
    <row r="816" spans="4:4" ht="17.649999999999999" x14ac:dyDescent="0.5">
      <c r="D816" s="3" t="s">
        <v>123</v>
      </c>
    </row>
    <row r="817" spans="4:4" ht="17.649999999999999" x14ac:dyDescent="0.5">
      <c r="D817" s="3" t="s">
        <v>85</v>
      </c>
    </row>
    <row r="818" spans="4:4" ht="17.649999999999999" x14ac:dyDescent="0.5">
      <c r="D818" s="3" t="s">
        <v>57</v>
      </c>
    </row>
    <row r="819" spans="4:4" ht="17.649999999999999" x14ac:dyDescent="0.5">
      <c r="D819" s="3" t="s">
        <v>101</v>
      </c>
    </row>
    <row r="820" spans="4:4" ht="17.649999999999999" x14ac:dyDescent="0.5">
      <c r="D820" s="3" t="s">
        <v>96</v>
      </c>
    </row>
    <row r="821" spans="4:4" ht="17.649999999999999" x14ac:dyDescent="0.5">
      <c r="D821" s="3" t="s">
        <v>75</v>
      </c>
    </row>
    <row r="822" spans="4:4" ht="17.649999999999999" x14ac:dyDescent="0.5">
      <c r="D822" s="3" t="s">
        <v>49</v>
      </c>
    </row>
    <row r="823" spans="4:4" ht="17.649999999999999" x14ac:dyDescent="0.5">
      <c r="D823" s="3" t="s">
        <v>94</v>
      </c>
    </row>
    <row r="824" spans="4:4" ht="17.649999999999999" x14ac:dyDescent="0.5">
      <c r="D824" s="3" t="s">
        <v>62</v>
      </c>
    </row>
    <row r="825" spans="4:4" ht="17.649999999999999" x14ac:dyDescent="0.5">
      <c r="D825" s="3" t="s">
        <v>134</v>
      </c>
    </row>
    <row r="826" spans="4:4" ht="17.649999999999999" x14ac:dyDescent="0.5">
      <c r="D826" s="3" t="s">
        <v>68</v>
      </c>
    </row>
    <row r="827" spans="4:4" ht="17.649999999999999" x14ac:dyDescent="0.5">
      <c r="D827" s="3" t="s">
        <v>80</v>
      </c>
    </row>
    <row r="828" spans="4:4" ht="17.649999999999999" x14ac:dyDescent="0.5">
      <c r="D828" s="3" t="s">
        <v>75</v>
      </c>
    </row>
    <row r="829" spans="4:4" ht="17.649999999999999" x14ac:dyDescent="0.5">
      <c r="D829" s="3" t="s">
        <v>113</v>
      </c>
    </row>
    <row r="830" spans="4:4" ht="17.649999999999999" x14ac:dyDescent="0.5">
      <c r="D830" s="3" t="s">
        <v>78</v>
      </c>
    </row>
    <row r="831" spans="4:4" ht="17.649999999999999" x14ac:dyDescent="0.5">
      <c r="D831" s="3" t="s">
        <v>69</v>
      </c>
    </row>
    <row r="832" spans="4:4" ht="17.649999999999999" x14ac:dyDescent="0.5">
      <c r="D832" s="3" t="s">
        <v>77</v>
      </c>
    </row>
    <row r="833" spans="4:4" ht="17.649999999999999" x14ac:dyDescent="0.5">
      <c r="D833" s="3" t="s">
        <v>92</v>
      </c>
    </row>
    <row r="834" spans="4:4" ht="17.649999999999999" x14ac:dyDescent="0.5">
      <c r="D834" s="3" t="s">
        <v>84</v>
      </c>
    </row>
    <row r="835" spans="4:4" ht="17.649999999999999" x14ac:dyDescent="0.5">
      <c r="D835" s="3" t="s">
        <v>101</v>
      </c>
    </row>
    <row r="836" spans="4:4" ht="17.649999999999999" x14ac:dyDescent="0.5">
      <c r="D836" s="3" t="s">
        <v>46</v>
      </c>
    </row>
    <row r="837" spans="4:4" ht="17.649999999999999" x14ac:dyDescent="0.5">
      <c r="D837" s="3" t="s">
        <v>47</v>
      </c>
    </row>
    <row r="838" spans="4:4" ht="17.649999999999999" x14ac:dyDescent="0.5">
      <c r="D838" s="3" t="s">
        <v>108</v>
      </c>
    </row>
    <row r="839" spans="4:4" ht="17.649999999999999" x14ac:dyDescent="0.5">
      <c r="D839" s="3" t="s">
        <v>75</v>
      </c>
    </row>
    <row r="840" spans="4:4" ht="17.649999999999999" x14ac:dyDescent="0.5">
      <c r="D840" s="3" t="s">
        <v>115</v>
      </c>
    </row>
    <row r="841" spans="4:4" ht="17.649999999999999" x14ac:dyDescent="0.5">
      <c r="D841" s="3" t="s">
        <v>45</v>
      </c>
    </row>
    <row r="842" spans="4:4" ht="17.649999999999999" x14ac:dyDescent="0.5">
      <c r="D842" s="3" t="s">
        <v>42</v>
      </c>
    </row>
    <row r="843" spans="4:4" ht="17.649999999999999" x14ac:dyDescent="0.5">
      <c r="D843" s="3" t="s">
        <v>73</v>
      </c>
    </row>
    <row r="844" spans="4:4" ht="17.649999999999999" x14ac:dyDescent="0.5">
      <c r="D844" s="3" t="s">
        <v>55</v>
      </c>
    </row>
    <row r="845" spans="4:4" ht="17.649999999999999" x14ac:dyDescent="0.5">
      <c r="D845" s="3" t="s">
        <v>50</v>
      </c>
    </row>
    <row r="846" spans="4:4" ht="17.649999999999999" x14ac:dyDescent="0.5">
      <c r="D846" s="3" t="s">
        <v>79</v>
      </c>
    </row>
    <row r="847" spans="4:4" ht="17.649999999999999" x14ac:dyDescent="0.5">
      <c r="D847" s="3" t="s">
        <v>51</v>
      </c>
    </row>
    <row r="848" spans="4:4" ht="17.649999999999999" x14ac:dyDescent="0.5">
      <c r="D848" s="3" t="s">
        <v>136</v>
      </c>
    </row>
    <row r="849" spans="4:4" ht="17.649999999999999" x14ac:dyDescent="0.5">
      <c r="D849" s="3" t="s">
        <v>70</v>
      </c>
    </row>
    <row r="850" spans="4:4" ht="17.649999999999999" x14ac:dyDescent="0.5">
      <c r="D850" s="3" t="s">
        <v>98</v>
      </c>
    </row>
    <row r="851" spans="4:4" ht="17.649999999999999" x14ac:dyDescent="0.5">
      <c r="D851" s="3" t="s">
        <v>47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83</v>
      </c>
    </row>
    <row r="854" spans="4:4" ht="17.649999999999999" x14ac:dyDescent="0.5">
      <c r="D854" s="3" t="s">
        <v>66</v>
      </c>
    </row>
    <row r="855" spans="4:4" ht="17.649999999999999" x14ac:dyDescent="0.5">
      <c r="D855" s="3" t="s">
        <v>81</v>
      </c>
    </row>
    <row r="856" spans="4:4" ht="17.649999999999999" x14ac:dyDescent="0.5">
      <c r="D856" s="3" t="s">
        <v>76</v>
      </c>
    </row>
    <row r="857" spans="4:4" ht="17.649999999999999" x14ac:dyDescent="0.5">
      <c r="D857" s="3" t="s">
        <v>43</v>
      </c>
    </row>
    <row r="858" spans="4:4" ht="17.649999999999999" x14ac:dyDescent="0.5">
      <c r="D858" s="3" t="s">
        <v>114</v>
      </c>
    </row>
    <row r="859" spans="4:4" ht="17.649999999999999" x14ac:dyDescent="0.5">
      <c r="D859" s="3" t="s">
        <v>121</v>
      </c>
    </row>
    <row r="860" spans="4:4" ht="17.649999999999999" x14ac:dyDescent="0.5">
      <c r="D860" s="3" t="s">
        <v>83</v>
      </c>
    </row>
    <row r="861" spans="4:4" ht="17.649999999999999" x14ac:dyDescent="0.5">
      <c r="D861" s="3" t="s">
        <v>107</v>
      </c>
    </row>
    <row r="862" spans="4:4" ht="17.649999999999999" x14ac:dyDescent="0.5">
      <c r="D862" s="3" t="s">
        <v>43</v>
      </c>
    </row>
    <row r="863" spans="4:4" ht="17.649999999999999" x14ac:dyDescent="0.5">
      <c r="D863" s="3" t="s">
        <v>44</v>
      </c>
    </row>
    <row r="864" spans="4:4" ht="17.649999999999999" x14ac:dyDescent="0.5">
      <c r="D864" s="3" t="s">
        <v>55</v>
      </c>
    </row>
    <row r="865" spans="4:4" ht="17.649999999999999" x14ac:dyDescent="0.5">
      <c r="D865" s="3" t="s">
        <v>75</v>
      </c>
    </row>
    <row r="866" spans="4:4" ht="17.649999999999999" x14ac:dyDescent="0.5">
      <c r="D866" s="3" t="s">
        <v>90</v>
      </c>
    </row>
    <row r="867" spans="4:4" ht="17.649999999999999" x14ac:dyDescent="0.5">
      <c r="D867" s="3" t="s">
        <v>84</v>
      </c>
    </row>
    <row r="868" spans="4:4" ht="17.649999999999999" x14ac:dyDescent="0.5">
      <c r="D868" s="3" t="s">
        <v>65</v>
      </c>
    </row>
    <row r="869" spans="4:4" ht="17.649999999999999" x14ac:dyDescent="0.5">
      <c r="D869" s="3" t="s">
        <v>107</v>
      </c>
    </row>
    <row r="870" spans="4:4" ht="17.649999999999999" x14ac:dyDescent="0.5">
      <c r="D870" s="3" t="s">
        <v>75</v>
      </c>
    </row>
    <row r="871" spans="4:4" ht="17.649999999999999" x14ac:dyDescent="0.5">
      <c r="D871" s="3" t="s">
        <v>128</v>
      </c>
    </row>
    <row r="872" spans="4:4" ht="17.649999999999999" x14ac:dyDescent="0.5">
      <c r="D872" s="3" t="s">
        <v>78</v>
      </c>
    </row>
    <row r="873" spans="4:4" ht="17.649999999999999" x14ac:dyDescent="0.5">
      <c r="D873" s="3" t="s">
        <v>65</v>
      </c>
    </row>
    <row r="874" spans="4:4" ht="17.649999999999999" x14ac:dyDescent="0.5">
      <c r="D874" s="3" t="s">
        <v>74</v>
      </c>
    </row>
    <row r="875" spans="4:4" ht="17.649999999999999" x14ac:dyDescent="0.5">
      <c r="D875" s="3" t="s">
        <v>59</v>
      </c>
    </row>
    <row r="876" spans="4:4" ht="17.649999999999999" x14ac:dyDescent="0.5">
      <c r="D876" s="3" t="s">
        <v>49</v>
      </c>
    </row>
    <row r="877" spans="4:4" ht="17.649999999999999" x14ac:dyDescent="0.5">
      <c r="D877" s="3" t="s">
        <v>58</v>
      </c>
    </row>
    <row r="878" spans="4:4" ht="17.649999999999999" x14ac:dyDescent="0.5">
      <c r="D878" s="3" t="s">
        <v>60</v>
      </c>
    </row>
    <row r="879" spans="4:4" ht="17.649999999999999" x14ac:dyDescent="0.5">
      <c r="D879" s="3" t="s">
        <v>69</v>
      </c>
    </row>
    <row r="880" spans="4:4" ht="17.649999999999999" x14ac:dyDescent="0.5">
      <c r="D880" s="3" t="s">
        <v>104</v>
      </c>
    </row>
    <row r="881" spans="4:4" ht="17.649999999999999" x14ac:dyDescent="0.5">
      <c r="D881" s="3" t="s">
        <v>126</v>
      </c>
    </row>
    <row r="882" spans="4:4" ht="17.649999999999999" x14ac:dyDescent="0.5">
      <c r="D882" s="3" t="s">
        <v>52</v>
      </c>
    </row>
    <row r="883" spans="4:4" ht="17.649999999999999" x14ac:dyDescent="0.5">
      <c r="D883" s="3" t="s">
        <v>102</v>
      </c>
    </row>
    <row r="884" spans="4:4" ht="17.649999999999999" x14ac:dyDescent="0.5">
      <c r="D884" s="3" t="s">
        <v>77</v>
      </c>
    </row>
    <row r="885" spans="4:4" ht="17.649999999999999" x14ac:dyDescent="0.5">
      <c r="D885" s="3" t="s">
        <v>67</v>
      </c>
    </row>
    <row r="886" spans="4:4" ht="17.649999999999999" x14ac:dyDescent="0.5">
      <c r="D886" s="3" t="s">
        <v>54</v>
      </c>
    </row>
    <row r="887" spans="4:4" ht="17.649999999999999" x14ac:dyDescent="0.5">
      <c r="D887" s="3" t="s">
        <v>83</v>
      </c>
    </row>
    <row r="888" spans="4:4" ht="17.649999999999999" x14ac:dyDescent="0.5">
      <c r="D888" s="3" t="s">
        <v>107</v>
      </c>
    </row>
    <row r="889" spans="4:4" ht="17.649999999999999" x14ac:dyDescent="0.5">
      <c r="D889" s="3" t="s">
        <v>61</v>
      </c>
    </row>
    <row r="890" spans="4:4" ht="17.649999999999999" x14ac:dyDescent="0.5">
      <c r="D890" s="3" t="s">
        <v>94</v>
      </c>
    </row>
    <row r="891" spans="4:4" ht="17.649999999999999" x14ac:dyDescent="0.5">
      <c r="D891" s="3" t="s">
        <v>52</v>
      </c>
    </row>
    <row r="892" spans="4:4" ht="17.649999999999999" x14ac:dyDescent="0.5">
      <c r="D892" s="3" t="s">
        <v>63</v>
      </c>
    </row>
    <row r="893" spans="4:4" ht="17.649999999999999" x14ac:dyDescent="0.5">
      <c r="D893" s="3" t="s">
        <v>123</v>
      </c>
    </row>
    <row r="894" spans="4:4" ht="17.649999999999999" x14ac:dyDescent="0.5">
      <c r="D894" s="3" t="s">
        <v>51</v>
      </c>
    </row>
    <row r="895" spans="4:4" ht="17.649999999999999" x14ac:dyDescent="0.5">
      <c r="D895" s="3" t="s">
        <v>98</v>
      </c>
    </row>
    <row r="896" spans="4:4" ht="17.649999999999999" x14ac:dyDescent="0.5">
      <c r="D896" s="3" t="s">
        <v>51</v>
      </c>
    </row>
    <row r="897" spans="4:4" ht="17.649999999999999" x14ac:dyDescent="0.5">
      <c r="D897" s="3" t="s">
        <v>52</v>
      </c>
    </row>
    <row r="898" spans="4:4" ht="17.649999999999999" x14ac:dyDescent="0.5">
      <c r="D898" s="3" t="s">
        <v>101</v>
      </c>
    </row>
    <row r="899" spans="4:4" ht="17.649999999999999" x14ac:dyDescent="0.5">
      <c r="D899" s="3" t="s">
        <v>74</v>
      </c>
    </row>
    <row r="900" spans="4:4" ht="17.649999999999999" x14ac:dyDescent="0.5">
      <c r="D900" s="3" t="s">
        <v>118</v>
      </c>
    </row>
    <row r="901" spans="4:4" ht="17.649999999999999" x14ac:dyDescent="0.5">
      <c r="D901" s="3" t="s">
        <v>51</v>
      </c>
    </row>
    <row r="902" spans="4:4" ht="17.649999999999999" x14ac:dyDescent="0.5">
      <c r="D902" s="3" t="s">
        <v>46</v>
      </c>
    </row>
    <row r="903" spans="4:4" ht="17.649999999999999" x14ac:dyDescent="0.5">
      <c r="D903" s="3" t="s">
        <v>79</v>
      </c>
    </row>
    <row r="904" spans="4:4" ht="17.649999999999999" x14ac:dyDescent="0.5">
      <c r="D904" s="3" t="s">
        <v>74</v>
      </c>
    </row>
    <row r="905" spans="4:4" ht="17.649999999999999" x14ac:dyDescent="0.5">
      <c r="D905" s="3" t="s">
        <v>50</v>
      </c>
    </row>
    <row r="906" spans="4:4" ht="17.649999999999999" x14ac:dyDescent="0.5">
      <c r="D906" s="3" t="s">
        <v>101</v>
      </c>
    </row>
    <row r="907" spans="4:4" ht="17.649999999999999" x14ac:dyDescent="0.5">
      <c r="D907" s="3" t="s">
        <v>45</v>
      </c>
    </row>
    <row r="908" spans="4:4" ht="17.649999999999999" x14ac:dyDescent="0.5">
      <c r="D908" s="3" t="s">
        <v>101</v>
      </c>
    </row>
    <row r="909" spans="4:4" ht="17.649999999999999" x14ac:dyDescent="0.5">
      <c r="D909" s="3" t="s">
        <v>107</v>
      </c>
    </row>
    <row r="910" spans="4:4" ht="17.649999999999999" x14ac:dyDescent="0.5">
      <c r="D910" s="3" t="s">
        <v>90</v>
      </c>
    </row>
    <row r="911" spans="4:4" ht="17.649999999999999" x14ac:dyDescent="0.5">
      <c r="D911" s="3" t="s">
        <v>124</v>
      </c>
    </row>
    <row r="912" spans="4:4" ht="17.649999999999999" x14ac:dyDescent="0.5">
      <c r="D912" s="3" t="s">
        <v>105</v>
      </c>
    </row>
    <row r="913" spans="4:4" ht="17.649999999999999" x14ac:dyDescent="0.5">
      <c r="D913" s="3" t="s">
        <v>114</v>
      </c>
    </row>
    <row r="914" spans="4:4" ht="17.649999999999999" x14ac:dyDescent="0.5">
      <c r="D914" s="3" t="s">
        <v>51</v>
      </c>
    </row>
    <row r="915" spans="4:4" ht="17.649999999999999" x14ac:dyDescent="0.5">
      <c r="D915" s="3" t="s">
        <v>52</v>
      </c>
    </row>
    <row r="916" spans="4:4" ht="17.649999999999999" x14ac:dyDescent="0.5">
      <c r="D916" s="3" t="s">
        <v>57</v>
      </c>
    </row>
    <row r="917" spans="4:4" ht="17.649999999999999" x14ac:dyDescent="0.5">
      <c r="D917" s="3" t="s">
        <v>55</v>
      </c>
    </row>
    <row r="918" spans="4:4" ht="17.649999999999999" x14ac:dyDescent="0.5">
      <c r="D918" s="3" t="s">
        <v>83</v>
      </c>
    </row>
    <row r="919" spans="4:4" ht="17.649999999999999" x14ac:dyDescent="0.5">
      <c r="D919" s="3" t="s">
        <v>50</v>
      </c>
    </row>
    <row r="920" spans="4:4" ht="17.649999999999999" x14ac:dyDescent="0.5">
      <c r="D920" s="3" t="s">
        <v>77</v>
      </c>
    </row>
    <row r="921" spans="4:4" ht="17.649999999999999" x14ac:dyDescent="0.5">
      <c r="D921" s="3" t="s">
        <v>52</v>
      </c>
    </row>
    <row r="922" spans="4:4" ht="17.649999999999999" x14ac:dyDescent="0.5">
      <c r="D922" s="3" t="s">
        <v>105</v>
      </c>
    </row>
    <row r="923" spans="4:4" ht="17.649999999999999" x14ac:dyDescent="0.5">
      <c r="D923" s="3" t="s">
        <v>132</v>
      </c>
    </row>
    <row r="924" spans="4:4" ht="17.649999999999999" x14ac:dyDescent="0.5">
      <c r="D924" s="3" t="s">
        <v>78</v>
      </c>
    </row>
    <row r="925" spans="4:4" ht="17.649999999999999" x14ac:dyDescent="0.5">
      <c r="D925" s="3" t="s">
        <v>103</v>
      </c>
    </row>
    <row r="926" spans="4:4" ht="17.649999999999999" x14ac:dyDescent="0.5">
      <c r="D926" s="3" t="s">
        <v>64</v>
      </c>
    </row>
    <row r="927" spans="4:4" ht="17.649999999999999" x14ac:dyDescent="0.5">
      <c r="D927" s="3" t="s">
        <v>44</v>
      </c>
    </row>
    <row r="928" spans="4:4" ht="17.649999999999999" x14ac:dyDescent="0.5">
      <c r="D928" s="3" t="s">
        <v>47</v>
      </c>
    </row>
    <row r="929" spans="4:4" ht="17.649999999999999" x14ac:dyDescent="0.5">
      <c r="D929" s="3" t="s">
        <v>115</v>
      </c>
    </row>
    <row r="930" spans="4:4" ht="17.649999999999999" x14ac:dyDescent="0.5">
      <c r="D930" s="3" t="s">
        <v>53</v>
      </c>
    </row>
    <row r="931" spans="4:4" ht="17.649999999999999" x14ac:dyDescent="0.5">
      <c r="D931" s="3" t="s">
        <v>56</v>
      </c>
    </row>
    <row r="932" spans="4:4" ht="17.649999999999999" x14ac:dyDescent="0.5">
      <c r="D932" s="3" t="s">
        <v>65</v>
      </c>
    </row>
    <row r="933" spans="4:4" ht="17.649999999999999" x14ac:dyDescent="0.5">
      <c r="D933" s="3" t="s">
        <v>107</v>
      </c>
    </row>
    <row r="934" spans="4:4" ht="17.649999999999999" x14ac:dyDescent="0.5">
      <c r="D934" s="3" t="s">
        <v>54</v>
      </c>
    </row>
    <row r="935" spans="4:4" ht="17.649999999999999" x14ac:dyDescent="0.5">
      <c r="D935" s="3" t="s">
        <v>78</v>
      </c>
    </row>
    <row r="936" spans="4:4" ht="17.649999999999999" x14ac:dyDescent="0.5">
      <c r="D936" s="3" t="s">
        <v>87</v>
      </c>
    </row>
    <row r="937" spans="4:4" ht="17.649999999999999" x14ac:dyDescent="0.5">
      <c r="D937" s="3" t="s">
        <v>92</v>
      </c>
    </row>
    <row r="938" spans="4:4" ht="17.649999999999999" x14ac:dyDescent="0.5">
      <c r="D938" s="3" t="s">
        <v>56</v>
      </c>
    </row>
    <row r="939" spans="4:4" ht="17.649999999999999" x14ac:dyDescent="0.5">
      <c r="D939" s="3" t="s">
        <v>85</v>
      </c>
    </row>
    <row r="940" spans="4:4" ht="17.649999999999999" x14ac:dyDescent="0.5">
      <c r="D940" s="3" t="s">
        <v>132</v>
      </c>
    </row>
    <row r="941" spans="4:4" ht="17.649999999999999" x14ac:dyDescent="0.5">
      <c r="D941" s="3" t="s">
        <v>49</v>
      </c>
    </row>
    <row r="942" spans="4:4" ht="17.649999999999999" x14ac:dyDescent="0.5">
      <c r="D942" s="3" t="s">
        <v>86</v>
      </c>
    </row>
    <row r="943" spans="4:4" ht="17.649999999999999" x14ac:dyDescent="0.5">
      <c r="D943" s="3" t="s">
        <v>68</v>
      </c>
    </row>
    <row r="944" spans="4:4" ht="17.649999999999999" x14ac:dyDescent="0.5">
      <c r="D944" s="3" t="s">
        <v>54</v>
      </c>
    </row>
    <row r="945" spans="4:4" ht="17.649999999999999" x14ac:dyDescent="0.5">
      <c r="D945" s="3" t="s">
        <v>69</v>
      </c>
    </row>
    <row r="946" spans="4:4" ht="17.649999999999999" x14ac:dyDescent="0.5">
      <c r="D946" s="3" t="s">
        <v>100</v>
      </c>
    </row>
    <row r="947" spans="4:4" ht="17.649999999999999" x14ac:dyDescent="0.5">
      <c r="D947" s="3" t="s">
        <v>102</v>
      </c>
    </row>
    <row r="948" spans="4:4" ht="17.649999999999999" x14ac:dyDescent="0.5">
      <c r="D948" s="3" t="s">
        <v>53</v>
      </c>
    </row>
    <row r="949" spans="4:4" ht="17.649999999999999" x14ac:dyDescent="0.5">
      <c r="D949" s="3" t="s">
        <v>79</v>
      </c>
    </row>
    <row r="950" spans="4:4" ht="17.649999999999999" x14ac:dyDescent="0.5">
      <c r="D950" s="3" t="s">
        <v>127</v>
      </c>
    </row>
    <row r="951" spans="4:4" ht="17.649999999999999" x14ac:dyDescent="0.5">
      <c r="D951" s="3" t="s">
        <v>52</v>
      </c>
    </row>
    <row r="952" spans="4:4" ht="17.649999999999999" x14ac:dyDescent="0.5">
      <c r="D952" s="3" t="s">
        <v>100</v>
      </c>
    </row>
    <row r="953" spans="4:4" ht="17.649999999999999" x14ac:dyDescent="0.5">
      <c r="D953" s="3" t="s">
        <v>81</v>
      </c>
    </row>
    <row r="954" spans="4:4" ht="17.649999999999999" x14ac:dyDescent="0.5">
      <c r="D954" s="3" t="s">
        <v>68</v>
      </c>
    </row>
    <row r="955" spans="4:4" ht="17.649999999999999" x14ac:dyDescent="0.5">
      <c r="D955" s="3" t="s">
        <v>44</v>
      </c>
    </row>
    <row r="956" spans="4:4" ht="17.649999999999999" x14ac:dyDescent="0.5">
      <c r="D956" s="3" t="s">
        <v>98</v>
      </c>
    </row>
    <row r="957" spans="4:4" ht="17.649999999999999" x14ac:dyDescent="0.5">
      <c r="D957" s="3" t="s">
        <v>90</v>
      </c>
    </row>
    <row r="958" spans="4:4" ht="17.649999999999999" x14ac:dyDescent="0.5">
      <c r="D958" s="3" t="s">
        <v>47</v>
      </c>
    </row>
    <row r="959" spans="4:4" ht="17.649999999999999" x14ac:dyDescent="0.5">
      <c r="D959" s="3" t="s">
        <v>66</v>
      </c>
    </row>
    <row r="960" spans="4:4" ht="17.649999999999999" x14ac:dyDescent="0.5">
      <c r="D960" s="3" t="s">
        <v>122</v>
      </c>
    </row>
    <row r="961" spans="4:4" ht="17.649999999999999" x14ac:dyDescent="0.5">
      <c r="D961" s="3" t="s">
        <v>114</v>
      </c>
    </row>
    <row r="962" spans="4:4" ht="17.649999999999999" x14ac:dyDescent="0.5">
      <c r="D962" s="3" t="s">
        <v>101</v>
      </c>
    </row>
    <row r="963" spans="4:4" ht="17.649999999999999" x14ac:dyDescent="0.5">
      <c r="D963" s="3" t="s">
        <v>98</v>
      </c>
    </row>
    <row r="964" spans="4:4" ht="17.649999999999999" x14ac:dyDescent="0.5">
      <c r="D964" s="3" t="s">
        <v>77</v>
      </c>
    </row>
    <row r="965" spans="4:4" ht="17.649999999999999" x14ac:dyDescent="0.5">
      <c r="D965" s="3" t="s">
        <v>46</v>
      </c>
    </row>
    <row r="966" spans="4:4" ht="17.649999999999999" x14ac:dyDescent="0.5">
      <c r="D966" s="3" t="s">
        <v>49</v>
      </c>
    </row>
    <row r="967" spans="4:4" ht="17.649999999999999" x14ac:dyDescent="0.5">
      <c r="D967" s="3" t="s">
        <v>44</v>
      </c>
    </row>
    <row r="968" spans="4:4" ht="17.649999999999999" x14ac:dyDescent="0.5">
      <c r="D968" s="3" t="s">
        <v>105</v>
      </c>
    </row>
    <row r="969" spans="4:4" ht="17.649999999999999" x14ac:dyDescent="0.5">
      <c r="D969" s="3" t="s">
        <v>94</v>
      </c>
    </row>
    <row r="970" spans="4:4" ht="17.649999999999999" x14ac:dyDescent="0.5">
      <c r="D970" s="3" t="s">
        <v>63</v>
      </c>
    </row>
    <row r="971" spans="4:4" ht="17.649999999999999" x14ac:dyDescent="0.5">
      <c r="D971" s="3" t="s">
        <v>95</v>
      </c>
    </row>
    <row r="972" spans="4:4" ht="17.649999999999999" x14ac:dyDescent="0.5">
      <c r="D972" s="3" t="s">
        <v>47</v>
      </c>
    </row>
    <row r="973" spans="4:4" ht="17.649999999999999" x14ac:dyDescent="0.5">
      <c r="D973" s="3" t="s">
        <v>58</v>
      </c>
    </row>
    <row r="974" spans="4:4" ht="17.649999999999999" x14ac:dyDescent="0.5">
      <c r="D974" s="3" t="s">
        <v>75</v>
      </c>
    </row>
    <row r="975" spans="4:4" ht="17.649999999999999" x14ac:dyDescent="0.5">
      <c r="D975" s="3" t="s">
        <v>96</v>
      </c>
    </row>
    <row r="976" spans="4:4" ht="17.649999999999999" x14ac:dyDescent="0.5">
      <c r="D976" s="3" t="s">
        <v>69</v>
      </c>
    </row>
    <row r="977" spans="4:4" ht="17.649999999999999" x14ac:dyDescent="0.5">
      <c r="D977" s="3" t="s">
        <v>87</v>
      </c>
    </row>
    <row r="978" spans="4:4" ht="17.649999999999999" x14ac:dyDescent="0.5">
      <c r="D978" s="3" t="s">
        <v>63</v>
      </c>
    </row>
    <row r="979" spans="4:4" ht="17.649999999999999" x14ac:dyDescent="0.5">
      <c r="D979" s="3" t="s">
        <v>106</v>
      </c>
    </row>
    <row r="980" spans="4:4" ht="17.649999999999999" x14ac:dyDescent="0.5">
      <c r="D980" s="3" t="s">
        <v>98</v>
      </c>
    </row>
    <row r="981" spans="4:4" ht="17.649999999999999" x14ac:dyDescent="0.5">
      <c r="D981" s="3" t="s">
        <v>115</v>
      </c>
    </row>
    <row r="982" spans="4:4" ht="17.649999999999999" x14ac:dyDescent="0.5">
      <c r="D982" s="3" t="s">
        <v>108</v>
      </c>
    </row>
    <row r="983" spans="4:4" ht="17.649999999999999" x14ac:dyDescent="0.5">
      <c r="D983" s="3" t="s">
        <v>84</v>
      </c>
    </row>
    <row r="984" spans="4:4" ht="17.649999999999999" x14ac:dyDescent="0.5">
      <c r="D984" s="3" t="s">
        <v>83</v>
      </c>
    </row>
    <row r="985" spans="4:4" ht="17.649999999999999" x14ac:dyDescent="0.5">
      <c r="D985" s="3" t="s">
        <v>78</v>
      </c>
    </row>
    <row r="986" spans="4:4" ht="17.649999999999999" x14ac:dyDescent="0.5">
      <c r="D986" s="3" t="s">
        <v>105</v>
      </c>
    </row>
    <row r="987" spans="4:4" ht="17.649999999999999" x14ac:dyDescent="0.5">
      <c r="D987" s="3" t="s">
        <v>77</v>
      </c>
    </row>
    <row r="988" spans="4:4" ht="17.649999999999999" x14ac:dyDescent="0.5">
      <c r="D988" s="3" t="s">
        <v>50</v>
      </c>
    </row>
    <row r="989" spans="4:4" ht="17.649999999999999" x14ac:dyDescent="0.5">
      <c r="D989" s="3" t="s">
        <v>74</v>
      </c>
    </row>
    <row r="990" spans="4:4" ht="17.649999999999999" x14ac:dyDescent="0.5">
      <c r="D990" s="3" t="s">
        <v>68</v>
      </c>
    </row>
    <row r="991" spans="4:4" ht="17.649999999999999" x14ac:dyDescent="0.5">
      <c r="D991" s="3" t="s">
        <v>57</v>
      </c>
    </row>
    <row r="992" spans="4:4" ht="17.649999999999999" x14ac:dyDescent="0.5">
      <c r="D992" s="3" t="s">
        <v>94</v>
      </c>
    </row>
    <row r="993" spans="4:4" ht="17.649999999999999" x14ac:dyDescent="0.5">
      <c r="D993" s="3" t="s">
        <v>77</v>
      </c>
    </row>
    <row r="994" spans="4:4" ht="17.649999999999999" x14ac:dyDescent="0.5">
      <c r="D994" s="3" t="s">
        <v>53</v>
      </c>
    </row>
    <row r="995" spans="4:4" ht="17.649999999999999" x14ac:dyDescent="0.5">
      <c r="D995" s="3" t="s">
        <v>65</v>
      </c>
    </row>
    <row r="996" spans="4:4" ht="17.649999999999999" x14ac:dyDescent="0.5">
      <c r="D996" s="3" t="s">
        <v>120</v>
      </c>
    </row>
    <row r="997" spans="4:4" ht="17.649999999999999" x14ac:dyDescent="0.5">
      <c r="D997" s="3" t="s">
        <v>66</v>
      </c>
    </row>
    <row r="998" spans="4:4" ht="17.649999999999999" x14ac:dyDescent="0.5">
      <c r="D998" s="3" t="s">
        <v>43</v>
      </c>
    </row>
    <row r="999" spans="4:4" ht="17.649999999999999" x14ac:dyDescent="0.5">
      <c r="D999" s="3" t="s">
        <v>53</v>
      </c>
    </row>
    <row r="1000" spans="4:4" ht="17.649999999999999" x14ac:dyDescent="0.5">
      <c r="D1000" s="3" t="s">
        <v>107</v>
      </c>
    </row>
    <row r="1001" spans="4:4" ht="17.649999999999999" x14ac:dyDescent="0.5">
      <c r="D1001" s="3" t="s">
        <v>115</v>
      </c>
    </row>
    <row r="1002" spans="4:4" ht="17.649999999999999" x14ac:dyDescent="0.5">
      <c r="D1002" s="3" t="s">
        <v>84</v>
      </c>
    </row>
    <row r="1003" spans="4:4" ht="17.649999999999999" x14ac:dyDescent="0.5">
      <c r="D1003" s="3" t="s">
        <v>83</v>
      </c>
    </row>
    <row r="1004" spans="4:4" ht="17.649999999999999" x14ac:dyDescent="0.5">
      <c r="D1004" s="3" t="s">
        <v>108</v>
      </c>
    </row>
    <row r="1005" spans="4:4" ht="17.649999999999999" x14ac:dyDescent="0.5">
      <c r="D1005" s="3" t="s">
        <v>70</v>
      </c>
    </row>
    <row r="1006" spans="4:4" ht="17.649999999999999" x14ac:dyDescent="0.5">
      <c r="D1006" s="3" t="s">
        <v>69</v>
      </c>
    </row>
    <row r="1007" spans="4:4" ht="17.649999999999999" x14ac:dyDescent="0.5">
      <c r="D1007" s="3" t="s">
        <v>53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97</v>
      </c>
    </row>
    <row r="1010" spans="4:4" ht="17.649999999999999" x14ac:dyDescent="0.5">
      <c r="D1010" s="3" t="s">
        <v>77</v>
      </c>
    </row>
    <row r="1011" spans="4:4" ht="17.649999999999999" x14ac:dyDescent="0.5">
      <c r="D1011" s="3" t="s">
        <v>78</v>
      </c>
    </row>
    <row r="1012" spans="4:4" ht="17.649999999999999" x14ac:dyDescent="0.5">
      <c r="D1012" s="3" t="s">
        <v>94</v>
      </c>
    </row>
    <row r="1013" spans="4:4" ht="17.649999999999999" x14ac:dyDescent="0.5">
      <c r="D1013" s="3" t="s">
        <v>69</v>
      </c>
    </row>
    <row r="1014" spans="4:4" ht="17.649999999999999" x14ac:dyDescent="0.5">
      <c r="D1014" s="3" t="s">
        <v>64</v>
      </c>
    </row>
    <row r="1015" spans="4:4" ht="17.649999999999999" x14ac:dyDescent="0.5">
      <c r="D1015" s="3" t="s">
        <v>112</v>
      </c>
    </row>
    <row r="1016" spans="4:4" ht="17.649999999999999" x14ac:dyDescent="0.5">
      <c r="D1016" s="3" t="s">
        <v>51</v>
      </c>
    </row>
    <row r="1017" spans="4:4" ht="17.649999999999999" x14ac:dyDescent="0.5">
      <c r="D1017" s="3" t="s">
        <v>115</v>
      </c>
    </row>
    <row r="1018" spans="4:4" ht="17.649999999999999" x14ac:dyDescent="0.5">
      <c r="D1018" s="3" t="s">
        <v>79</v>
      </c>
    </row>
    <row r="1019" spans="4:4" ht="17.649999999999999" x14ac:dyDescent="0.5">
      <c r="D1019" s="3" t="s">
        <v>62</v>
      </c>
    </row>
    <row r="1020" spans="4:4" ht="17.649999999999999" x14ac:dyDescent="0.5">
      <c r="D1020" s="3" t="s">
        <v>75</v>
      </c>
    </row>
    <row r="1021" spans="4:4" ht="17.649999999999999" x14ac:dyDescent="0.5">
      <c r="D1021" s="3" t="s">
        <v>50</v>
      </c>
    </row>
    <row r="1022" spans="4:4" ht="17.649999999999999" x14ac:dyDescent="0.5">
      <c r="D1022" s="3" t="s">
        <v>94</v>
      </c>
    </row>
    <row r="1023" spans="4:4" ht="17.649999999999999" x14ac:dyDescent="0.5">
      <c r="D1023" s="3" t="s">
        <v>64</v>
      </c>
    </row>
    <row r="1024" spans="4:4" ht="17.649999999999999" x14ac:dyDescent="0.5">
      <c r="D1024" s="3" t="s">
        <v>78</v>
      </c>
    </row>
    <row r="1025" spans="4:4" ht="17.649999999999999" x14ac:dyDescent="0.5">
      <c r="D1025" s="3" t="s">
        <v>47</v>
      </c>
    </row>
    <row r="1026" spans="4:4" ht="17.649999999999999" x14ac:dyDescent="0.5">
      <c r="D1026" s="3" t="s">
        <v>67</v>
      </c>
    </row>
    <row r="1027" spans="4:4" ht="17.649999999999999" x14ac:dyDescent="0.5">
      <c r="D1027" s="3" t="s">
        <v>43</v>
      </c>
    </row>
    <row r="1028" spans="4:4" ht="17.649999999999999" x14ac:dyDescent="0.5">
      <c r="D1028" s="3" t="s">
        <v>83</v>
      </c>
    </row>
    <row r="1029" spans="4:4" ht="17.649999999999999" x14ac:dyDescent="0.5">
      <c r="D1029" s="3" t="s">
        <v>44</v>
      </c>
    </row>
    <row r="1030" spans="4:4" ht="17.649999999999999" x14ac:dyDescent="0.5">
      <c r="D1030" s="3" t="s">
        <v>56</v>
      </c>
    </row>
    <row r="1031" spans="4:4" ht="17.649999999999999" x14ac:dyDescent="0.5">
      <c r="D1031" s="3" t="s">
        <v>101</v>
      </c>
    </row>
    <row r="1032" spans="4:4" ht="17.649999999999999" x14ac:dyDescent="0.5">
      <c r="D1032" s="3" t="s">
        <v>119</v>
      </c>
    </row>
    <row r="1033" spans="4:4" ht="17.649999999999999" x14ac:dyDescent="0.5">
      <c r="D1033" s="3" t="s">
        <v>107</v>
      </c>
    </row>
    <row r="1034" spans="4:4" ht="17.649999999999999" x14ac:dyDescent="0.5">
      <c r="D1034" s="3" t="s">
        <v>49</v>
      </c>
    </row>
    <row r="1035" spans="4:4" ht="17.649999999999999" x14ac:dyDescent="0.5">
      <c r="D1035" s="3" t="s">
        <v>41</v>
      </c>
    </row>
    <row r="1036" spans="4:4" ht="17.649999999999999" x14ac:dyDescent="0.5">
      <c r="D1036" s="3" t="s">
        <v>69</v>
      </c>
    </row>
    <row r="1037" spans="4:4" ht="17.649999999999999" x14ac:dyDescent="0.5">
      <c r="D1037" s="3" t="s">
        <v>85</v>
      </c>
    </row>
    <row r="1038" spans="4:4" ht="17.649999999999999" x14ac:dyDescent="0.5">
      <c r="D1038" s="3" t="s">
        <v>134</v>
      </c>
    </row>
    <row r="1039" spans="4:4" ht="17.649999999999999" x14ac:dyDescent="0.5">
      <c r="D1039" s="3" t="s">
        <v>51</v>
      </c>
    </row>
    <row r="1040" spans="4:4" ht="17.649999999999999" x14ac:dyDescent="0.5">
      <c r="D1040" s="3" t="s">
        <v>43</v>
      </c>
    </row>
    <row r="1041" spans="4:4" ht="17.649999999999999" x14ac:dyDescent="0.5">
      <c r="D1041" s="3" t="s">
        <v>73</v>
      </c>
    </row>
    <row r="1042" spans="4:4" ht="17.649999999999999" x14ac:dyDescent="0.5">
      <c r="D1042" s="3" t="s">
        <v>46</v>
      </c>
    </row>
    <row r="1043" spans="4:4" ht="17.649999999999999" x14ac:dyDescent="0.5">
      <c r="D1043" s="3" t="s">
        <v>107</v>
      </c>
    </row>
    <row r="1044" spans="4:4" ht="17.649999999999999" x14ac:dyDescent="0.5">
      <c r="D1044" s="3" t="s">
        <v>90</v>
      </c>
    </row>
    <row r="1045" spans="4:4" ht="17.649999999999999" x14ac:dyDescent="0.5">
      <c r="D1045" s="3" t="s">
        <v>51</v>
      </c>
    </row>
    <row r="1046" spans="4:4" ht="17.649999999999999" x14ac:dyDescent="0.5">
      <c r="D1046" s="3" t="s">
        <v>62</v>
      </c>
    </row>
    <row r="1047" spans="4:4" ht="17.649999999999999" x14ac:dyDescent="0.5">
      <c r="D1047" s="3" t="s">
        <v>81</v>
      </c>
    </row>
    <row r="1048" spans="4:4" ht="17.649999999999999" x14ac:dyDescent="0.5">
      <c r="D1048" s="3" t="s">
        <v>50</v>
      </c>
    </row>
    <row r="1049" spans="4:4" ht="17.649999999999999" x14ac:dyDescent="0.5">
      <c r="D1049" s="3" t="s">
        <v>84</v>
      </c>
    </row>
    <row r="1050" spans="4:4" ht="17.649999999999999" x14ac:dyDescent="0.5">
      <c r="D1050" s="3" t="s">
        <v>90</v>
      </c>
    </row>
    <row r="1051" spans="4:4" ht="17.649999999999999" x14ac:dyDescent="0.5">
      <c r="D1051" s="3" t="s">
        <v>105</v>
      </c>
    </row>
    <row r="1052" spans="4:4" ht="17.649999999999999" x14ac:dyDescent="0.5">
      <c r="D1052" s="3" t="s">
        <v>80</v>
      </c>
    </row>
    <row r="1053" spans="4:4" ht="17.649999999999999" x14ac:dyDescent="0.5">
      <c r="D1053" s="3" t="s">
        <v>113</v>
      </c>
    </row>
    <row r="1054" spans="4:4" ht="17.649999999999999" x14ac:dyDescent="0.5">
      <c r="D1054" s="3" t="s">
        <v>73</v>
      </c>
    </row>
    <row r="1055" spans="4:4" ht="17.649999999999999" x14ac:dyDescent="0.5">
      <c r="D1055" s="3" t="s">
        <v>89</v>
      </c>
    </row>
    <row r="1056" spans="4:4" ht="17.649999999999999" x14ac:dyDescent="0.5">
      <c r="D1056" s="3" t="s">
        <v>41</v>
      </c>
    </row>
    <row r="1057" spans="4:4" ht="17.649999999999999" x14ac:dyDescent="0.5">
      <c r="D1057" s="3" t="s">
        <v>43</v>
      </c>
    </row>
    <row r="1058" spans="4:4" ht="17.649999999999999" x14ac:dyDescent="0.5">
      <c r="D1058" s="3" t="s">
        <v>114</v>
      </c>
    </row>
    <row r="1059" spans="4:4" ht="17.649999999999999" x14ac:dyDescent="0.5">
      <c r="D1059" s="3" t="s">
        <v>87</v>
      </c>
    </row>
    <row r="1060" spans="4:4" ht="17.649999999999999" x14ac:dyDescent="0.5">
      <c r="D1060" s="3" t="s">
        <v>94</v>
      </c>
    </row>
    <row r="1061" spans="4:4" ht="17.649999999999999" x14ac:dyDescent="0.5">
      <c r="D1061" s="3" t="s">
        <v>81</v>
      </c>
    </row>
    <row r="1062" spans="4:4" ht="17.649999999999999" x14ac:dyDescent="0.5">
      <c r="D1062" s="3" t="s">
        <v>128</v>
      </c>
    </row>
    <row r="1063" spans="4:4" ht="17.649999999999999" x14ac:dyDescent="0.5">
      <c r="D1063" s="3" t="s">
        <v>127</v>
      </c>
    </row>
    <row r="1064" spans="4:4" ht="17.649999999999999" x14ac:dyDescent="0.5">
      <c r="D1064" s="3" t="s">
        <v>65</v>
      </c>
    </row>
    <row r="1065" spans="4:4" ht="17.649999999999999" x14ac:dyDescent="0.5">
      <c r="D1065" s="3" t="s">
        <v>61</v>
      </c>
    </row>
    <row r="1066" spans="4:4" ht="17.649999999999999" x14ac:dyDescent="0.5">
      <c r="D1066" s="3" t="s">
        <v>103</v>
      </c>
    </row>
    <row r="1067" spans="4:4" ht="17.649999999999999" x14ac:dyDescent="0.5">
      <c r="D1067" s="3" t="s">
        <v>126</v>
      </c>
    </row>
    <row r="1068" spans="4:4" ht="17.649999999999999" x14ac:dyDescent="0.5">
      <c r="D1068" s="3" t="s">
        <v>44</v>
      </c>
    </row>
    <row r="1069" spans="4:4" ht="17.649999999999999" x14ac:dyDescent="0.5">
      <c r="D1069" s="3" t="s">
        <v>131</v>
      </c>
    </row>
    <row r="1070" spans="4:4" ht="17.649999999999999" x14ac:dyDescent="0.5">
      <c r="D1070" s="3" t="s">
        <v>60</v>
      </c>
    </row>
    <row r="1071" spans="4:4" ht="17.649999999999999" x14ac:dyDescent="0.5">
      <c r="D1071" s="3" t="s">
        <v>103</v>
      </c>
    </row>
    <row r="1072" spans="4:4" ht="17.649999999999999" x14ac:dyDescent="0.5">
      <c r="D1072" s="3" t="s">
        <v>60</v>
      </c>
    </row>
    <row r="1073" spans="4:4" ht="17.649999999999999" x14ac:dyDescent="0.5">
      <c r="D1073" s="3" t="s">
        <v>42</v>
      </c>
    </row>
    <row r="1074" spans="4:4" ht="17.649999999999999" x14ac:dyDescent="0.5">
      <c r="D1074" s="3" t="s">
        <v>133</v>
      </c>
    </row>
    <row r="1075" spans="4:4" ht="17.649999999999999" x14ac:dyDescent="0.5">
      <c r="D1075" s="3" t="s">
        <v>83</v>
      </c>
    </row>
    <row r="1076" spans="4:4" ht="17.649999999999999" x14ac:dyDescent="0.5">
      <c r="D1076" s="3" t="s">
        <v>112</v>
      </c>
    </row>
    <row r="1077" spans="4:4" ht="17.649999999999999" x14ac:dyDescent="0.5">
      <c r="D1077" s="3" t="s">
        <v>85</v>
      </c>
    </row>
    <row r="1078" spans="4:4" ht="17.649999999999999" x14ac:dyDescent="0.5">
      <c r="D1078" s="3" t="s">
        <v>41</v>
      </c>
    </row>
    <row r="1079" spans="4:4" ht="17.649999999999999" x14ac:dyDescent="0.5">
      <c r="D1079" s="3" t="s">
        <v>43</v>
      </c>
    </row>
    <row r="1080" spans="4:4" ht="17.649999999999999" x14ac:dyDescent="0.5">
      <c r="D1080" s="3" t="s">
        <v>112</v>
      </c>
    </row>
    <row r="1081" spans="4:4" ht="17.649999999999999" x14ac:dyDescent="0.5">
      <c r="D1081" s="3" t="s">
        <v>103</v>
      </c>
    </row>
    <row r="1082" spans="4:4" ht="17.649999999999999" x14ac:dyDescent="0.5">
      <c r="D1082" s="3" t="s">
        <v>92</v>
      </c>
    </row>
    <row r="1083" spans="4:4" ht="17.649999999999999" x14ac:dyDescent="0.5">
      <c r="D1083" s="3" t="s">
        <v>66</v>
      </c>
    </row>
    <row r="1084" spans="4:4" ht="17.649999999999999" x14ac:dyDescent="0.5">
      <c r="D1084" s="3" t="s">
        <v>67</v>
      </c>
    </row>
    <row r="1085" spans="4:4" ht="17.649999999999999" x14ac:dyDescent="0.5">
      <c r="D1085" s="3" t="s">
        <v>73</v>
      </c>
    </row>
    <row r="1086" spans="4:4" ht="17.649999999999999" x14ac:dyDescent="0.5">
      <c r="D1086" s="3" t="s">
        <v>133</v>
      </c>
    </row>
    <row r="1087" spans="4:4" ht="17.649999999999999" x14ac:dyDescent="0.5">
      <c r="D1087" s="3" t="s">
        <v>118</v>
      </c>
    </row>
    <row r="1088" spans="4:4" ht="17.649999999999999" x14ac:dyDescent="0.5">
      <c r="D1088" s="3" t="s">
        <v>46</v>
      </c>
    </row>
    <row r="1089" spans="4:4" ht="17.649999999999999" x14ac:dyDescent="0.5">
      <c r="D1089" s="3" t="s">
        <v>57</v>
      </c>
    </row>
    <row r="1090" spans="4:4" ht="17.649999999999999" x14ac:dyDescent="0.5">
      <c r="D1090" s="3" t="s">
        <v>63</v>
      </c>
    </row>
    <row r="1091" spans="4:4" ht="17.649999999999999" x14ac:dyDescent="0.5">
      <c r="D1091" s="3" t="s">
        <v>57</v>
      </c>
    </row>
    <row r="1092" spans="4:4" ht="17.649999999999999" x14ac:dyDescent="0.5">
      <c r="D1092" s="3" t="s">
        <v>98</v>
      </c>
    </row>
    <row r="1093" spans="4:4" ht="17.649999999999999" x14ac:dyDescent="0.5">
      <c r="D1093" s="3" t="s">
        <v>41</v>
      </c>
    </row>
    <row r="1094" spans="4:4" ht="17.649999999999999" x14ac:dyDescent="0.5">
      <c r="D1094" s="3" t="s">
        <v>105</v>
      </c>
    </row>
    <row r="1095" spans="4:4" ht="17.649999999999999" x14ac:dyDescent="0.5">
      <c r="D1095" s="3" t="s">
        <v>94</v>
      </c>
    </row>
    <row r="1096" spans="4:4" ht="17.649999999999999" x14ac:dyDescent="0.5">
      <c r="D1096" s="3" t="s">
        <v>80</v>
      </c>
    </row>
    <row r="1097" spans="4:4" ht="17.649999999999999" x14ac:dyDescent="0.5">
      <c r="D1097" s="3" t="s">
        <v>46</v>
      </c>
    </row>
    <row r="1098" spans="4:4" ht="17.649999999999999" x14ac:dyDescent="0.5">
      <c r="D1098" s="3" t="s">
        <v>68</v>
      </c>
    </row>
    <row r="1099" spans="4:4" ht="17.649999999999999" x14ac:dyDescent="0.5">
      <c r="D1099" s="3" t="s">
        <v>51</v>
      </c>
    </row>
    <row r="1100" spans="4:4" ht="17.649999999999999" x14ac:dyDescent="0.5">
      <c r="D1100" s="3" t="s">
        <v>97</v>
      </c>
    </row>
    <row r="1101" spans="4:4" ht="17.649999999999999" x14ac:dyDescent="0.5">
      <c r="D1101" s="3" t="s">
        <v>120</v>
      </c>
    </row>
    <row r="1102" spans="4:4" ht="17.649999999999999" x14ac:dyDescent="0.5">
      <c r="D1102" s="3" t="s">
        <v>119</v>
      </c>
    </row>
    <row r="1103" spans="4:4" ht="17.649999999999999" x14ac:dyDescent="0.5">
      <c r="D1103" s="3" t="s">
        <v>46</v>
      </c>
    </row>
    <row r="1104" spans="4:4" ht="17.649999999999999" x14ac:dyDescent="0.5">
      <c r="D1104" s="3" t="s">
        <v>47</v>
      </c>
    </row>
    <row r="1105" spans="4:4" ht="17.649999999999999" x14ac:dyDescent="0.5">
      <c r="D1105" s="3" t="s">
        <v>46</v>
      </c>
    </row>
    <row r="1106" spans="4:4" ht="17.649999999999999" x14ac:dyDescent="0.5">
      <c r="D1106" s="3" t="s">
        <v>98</v>
      </c>
    </row>
    <row r="1107" spans="4:4" ht="17.649999999999999" x14ac:dyDescent="0.5">
      <c r="D1107" s="3" t="s">
        <v>60</v>
      </c>
    </row>
    <row r="1108" spans="4:4" ht="17.649999999999999" x14ac:dyDescent="0.5">
      <c r="D1108" s="3" t="s">
        <v>57</v>
      </c>
    </row>
    <row r="1109" spans="4:4" ht="17.649999999999999" x14ac:dyDescent="0.5">
      <c r="D1109" s="3" t="s">
        <v>54</v>
      </c>
    </row>
    <row r="1110" spans="4:4" ht="17.649999999999999" x14ac:dyDescent="0.5">
      <c r="D1110" s="3" t="s">
        <v>101</v>
      </c>
    </row>
    <row r="1111" spans="4:4" ht="17.649999999999999" x14ac:dyDescent="0.5">
      <c r="D1111" s="3" t="s">
        <v>102</v>
      </c>
    </row>
    <row r="1112" spans="4:4" ht="17.649999999999999" x14ac:dyDescent="0.5">
      <c r="D1112" s="3" t="s">
        <v>83</v>
      </c>
    </row>
    <row r="1113" spans="4:4" ht="17.649999999999999" x14ac:dyDescent="0.5">
      <c r="D1113" s="3" t="s">
        <v>52</v>
      </c>
    </row>
    <row r="1114" spans="4:4" ht="17.649999999999999" x14ac:dyDescent="0.5">
      <c r="D1114" s="3" t="s">
        <v>83</v>
      </c>
    </row>
    <row r="1115" spans="4:4" ht="17.649999999999999" x14ac:dyDescent="0.5">
      <c r="D1115" s="3" t="s">
        <v>133</v>
      </c>
    </row>
    <row r="1116" spans="4:4" ht="17.649999999999999" x14ac:dyDescent="0.5">
      <c r="D1116" s="3" t="s">
        <v>69</v>
      </c>
    </row>
    <row r="1117" spans="4:4" ht="17.649999999999999" x14ac:dyDescent="0.5">
      <c r="D1117" s="3" t="s">
        <v>57</v>
      </c>
    </row>
    <row r="1118" spans="4:4" ht="17.649999999999999" x14ac:dyDescent="0.5">
      <c r="D1118" s="3" t="s">
        <v>108</v>
      </c>
    </row>
    <row r="1119" spans="4:4" ht="17.649999999999999" x14ac:dyDescent="0.5">
      <c r="D1119" s="3" t="s">
        <v>83</v>
      </c>
    </row>
    <row r="1120" spans="4:4" ht="17.649999999999999" x14ac:dyDescent="0.5">
      <c r="D1120" s="3" t="s">
        <v>85</v>
      </c>
    </row>
    <row r="1121" spans="4:4" ht="17.649999999999999" x14ac:dyDescent="0.5">
      <c r="D1121" s="3" t="s">
        <v>116</v>
      </c>
    </row>
    <row r="1122" spans="4:4" ht="17.649999999999999" x14ac:dyDescent="0.5">
      <c r="D1122" s="3" t="s">
        <v>92</v>
      </c>
    </row>
    <row r="1123" spans="4:4" ht="17.649999999999999" x14ac:dyDescent="0.5">
      <c r="D1123" s="3" t="s">
        <v>117</v>
      </c>
    </row>
    <row r="1124" spans="4:4" ht="17.649999999999999" x14ac:dyDescent="0.5">
      <c r="D1124" s="3" t="s">
        <v>74</v>
      </c>
    </row>
    <row r="1125" spans="4:4" ht="17.649999999999999" x14ac:dyDescent="0.5">
      <c r="D1125" s="3" t="s">
        <v>105</v>
      </c>
    </row>
    <row r="1126" spans="4:4" ht="17.649999999999999" x14ac:dyDescent="0.5">
      <c r="D1126" s="3" t="s">
        <v>77</v>
      </c>
    </row>
    <row r="1127" spans="4:4" ht="17.649999999999999" x14ac:dyDescent="0.5">
      <c r="D1127" s="3" t="s">
        <v>65</v>
      </c>
    </row>
    <row r="1128" spans="4:4" ht="17.649999999999999" x14ac:dyDescent="0.5">
      <c r="D1128" s="3" t="s">
        <v>64</v>
      </c>
    </row>
    <row r="1129" spans="4:4" ht="17.649999999999999" x14ac:dyDescent="0.5">
      <c r="D1129" s="3" t="s">
        <v>81</v>
      </c>
    </row>
    <row r="1130" spans="4:4" ht="17.649999999999999" x14ac:dyDescent="0.5">
      <c r="D1130" s="3" t="s">
        <v>121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132</v>
      </c>
    </row>
    <row r="1133" spans="4:4" ht="17.649999999999999" x14ac:dyDescent="0.5">
      <c r="D1133" s="3" t="s">
        <v>65</v>
      </c>
    </row>
    <row r="1134" spans="4:4" ht="17.649999999999999" x14ac:dyDescent="0.5">
      <c r="D1134" s="3" t="s">
        <v>51</v>
      </c>
    </row>
    <row r="1135" spans="4:4" ht="17.649999999999999" x14ac:dyDescent="0.5">
      <c r="D1135" s="3" t="s">
        <v>66</v>
      </c>
    </row>
    <row r="1136" spans="4:4" ht="17.649999999999999" x14ac:dyDescent="0.5">
      <c r="D1136" s="3" t="s">
        <v>107</v>
      </c>
    </row>
    <row r="1137" spans="4:4" ht="17.649999999999999" x14ac:dyDescent="0.5">
      <c r="D1137" s="3" t="s">
        <v>134</v>
      </c>
    </row>
    <row r="1138" spans="4:4" ht="17.649999999999999" x14ac:dyDescent="0.5">
      <c r="D1138" s="3" t="s">
        <v>112</v>
      </c>
    </row>
    <row r="1139" spans="4:4" ht="17.649999999999999" x14ac:dyDescent="0.5">
      <c r="D1139" s="3" t="s">
        <v>81</v>
      </c>
    </row>
    <row r="1140" spans="4:4" ht="17.649999999999999" x14ac:dyDescent="0.5">
      <c r="D1140" s="3" t="s">
        <v>66</v>
      </c>
    </row>
    <row r="1141" spans="4:4" ht="17.649999999999999" x14ac:dyDescent="0.5">
      <c r="D1141" s="3" t="s">
        <v>112</v>
      </c>
    </row>
    <row r="1142" spans="4:4" ht="17.649999999999999" x14ac:dyDescent="0.5">
      <c r="D1142" s="3" t="s">
        <v>47</v>
      </c>
    </row>
    <row r="1143" spans="4:4" ht="17.649999999999999" x14ac:dyDescent="0.5">
      <c r="D1143" s="3" t="s">
        <v>69</v>
      </c>
    </row>
    <row r="1144" spans="4:4" ht="17.649999999999999" x14ac:dyDescent="0.5">
      <c r="D1144" s="3" t="s">
        <v>101</v>
      </c>
    </row>
    <row r="1145" spans="4:4" ht="17.649999999999999" x14ac:dyDescent="0.5">
      <c r="D1145" s="3" t="s">
        <v>90</v>
      </c>
    </row>
    <row r="1146" spans="4:4" ht="17.649999999999999" x14ac:dyDescent="0.5">
      <c r="D1146" s="3" t="s">
        <v>41</v>
      </c>
    </row>
    <row r="1147" spans="4:4" ht="17.649999999999999" x14ac:dyDescent="0.5">
      <c r="D1147" s="3" t="s">
        <v>56</v>
      </c>
    </row>
    <row r="1148" spans="4:4" ht="17.649999999999999" x14ac:dyDescent="0.5">
      <c r="D1148" s="3" t="s">
        <v>92</v>
      </c>
    </row>
    <row r="1149" spans="4:4" ht="17.649999999999999" x14ac:dyDescent="0.5">
      <c r="D1149" s="3" t="s">
        <v>63</v>
      </c>
    </row>
    <row r="1150" spans="4:4" ht="17.649999999999999" x14ac:dyDescent="0.5">
      <c r="D1150" s="3" t="s">
        <v>45</v>
      </c>
    </row>
    <row r="1151" spans="4:4" ht="17.649999999999999" x14ac:dyDescent="0.5">
      <c r="D1151" s="3" t="s">
        <v>99</v>
      </c>
    </row>
    <row r="1152" spans="4:4" ht="17.649999999999999" x14ac:dyDescent="0.5">
      <c r="D1152" s="3" t="s">
        <v>41</v>
      </c>
    </row>
    <row r="1153" spans="4:4" ht="17.649999999999999" x14ac:dyDescent="0.5">
      <c r="D1153" s="3" t="s">
        <v>84</v>
      </c>
    </row>
    <row r="1154" spans="4:4" ht="17.649999999999999" x14ac:dyDescent="0.5">
      <c r="D1154" s="3" t="s">
        <v>50</v>
      </c>
    </row>
    <row r="1155" spans="4:4" ht="17.649999999999999" x14ac:dyDescent="0.5">
      <c r="D1155" s="3" t="s">
        <v>96</v>
      </c>
    </row>
    <row r="1156" spans="4:4" ht="17.649999999999999" x14ac:dyDescent="0.5">
      <c r="D1156" s="3" t="s">
        <v>64</v>
      </c>
    </row>
    <row r="1157" spans="4:4" ht="17.649999999999999" x14ac:dyDescent="0.5">
      <c r="D1157" s="3" t="s">
        <v>65</v>
      </c>
    </row>
    <row r="1158" spans="4:4" ht="17.649999999999999" x14ac:dyDescent="0.5">
      <c r="D1158" s="3" t="s">
        <v>59</v>
      </c>
    </row>
    <row r="1159" spans="4:4" ht="17.649999999999999" x14ac:dyDescent="0.5">
      <c r="D1159" s="3" t="s">
        <v>49</v>
      </c>
    </row>
    <row r="1160" spans="4:4" ht="17.649999999999999" x14ac:dyDescent="0.5">
      <c r="D1160" s="3" t="s">
        <v>136</v>
      </c>
    </row>
    <row r="1161" spans="4:4" ht="17.649999999999999" x14ac:dyDescent="0.5">
      <c r="D1161" s="3" t="s">
        <v>85</v>
      </c>
    </row>
    <row r="1162" spans="4:4" ht="17.649999999999999" x14ac:dyDescent="0.5">
      <c r="D1162" s="3" t="s">
        <v>82</v>
      </c>
    </row>
    <row r="1163" spans="4:4" ht="17.649999999999999" x14ac:dyDescent="0.5">
      <c r="D1163" s="3" t="s">
        <v>112</v>
      </c>
    </row>
    <row r="1164" spans="4:4" ht="17.649999999999999" x14ac:dyDescent="0.5">
      <c r="D1164" s="3" t="s">
        <v>131</v>
      </c>
    </row>
    <row r="1165" spans="4:4" ht="17.649999999999999" x14ac:dyDescent="0.5">
      <c r="D1165" s="3" t="s">
        <v>67</v>
      </c>
    </row>
    <row r="1166" spans="4:4" ht="17.649999999999999" x14ac:dyDescent="0.5">
      <c r="D1166" s="3" t="s">
        <v>94</v>
      </c>
    </row>
    <row r="1167" spans="4:4" ht="17.649999999999999" x14ac:dyDescent="0.5">
      <c r="D1167" s="3" t="s">
        <v>120</v>
      </c>
    </row>
    <row r="1168" spans="4:4" ht="17.649999999999999" x14ac:dyDescent="0.5">
      <c r="D1168" s="3" t="s">
        <v>67</v>
      </c>
    </row>
    <row r="1169" spans="4:4" ht="17.649999999999999" x14ac:dyDescent="0.5">
      <c r="D1169" s="3" t="s">
        <v>64</v>
      </c>
    </row>
    <row r="1170" spans="4:4" ht="17.649999999999999" x14ac:dyDescent="0.5">
      <c r="D1170" s="3" t="s">
        <v>80</v>
      </c>
    </row>
    <row r="1171" spans="4:4" ht="17.649999999999999" x14ac:dyDescent="0.5">
      <c r="D1171" s="3" t="s">
        <v>67</v>
      </c>
    </row>
    <row r="1172" spans="4:4" ht="17.649999999999999" x14ac:dyDescent="0.5">
      <c r="D1172" s="3" t="s">
        <v>90</v>
      </c>
    </row>
    <row r="1173" spans="4:4" ht="17.649999999999999" x14ac:dyDescent="0.5">
      <c r="D1173" s="3" t="s">
        <v>101</v>
      </c>
    </row>
    <row r="1174" spans="4:4" ht="17.649999999999999" x14ac:dyDescent="0.5">
      <c r="D1174" s="3" t="s">
        <v>119</v>
      </c>
    </row>
    <row r="1175" spans="4:4" ht="17.649999999999999" x14ac:dyDescent="0.5">
      <c r="D1175" s="3" t="s">
        <v>69</v>
      </c>
    </row>
    <row r="1176" spans="4:4" ht="17.649999999999999" x14ac:dyDescent="0.5">
      <c r="D1176" s="3" t="s">
        <v>92</v>
      </c>
    </row>
    <row r="1177" spans="4:4" ht="17.649999999999999" x14ac:dyDescent="0.5">
      <c r="D1177" s="3" t="s">
        <v>103</v>
      </c>
    </row>
    <row r="1178" spans="4:4" ht="17.649999999999999" x14ac:dyDescent="0.5">
      <c r="D1178" s="3" t="s">
        <v>101</v>
      </c>
    </row>
    <row r="1179" spans="4:4" ht="17.649999999999999" x14ac:dyDescent="0.5">
      <c r="D1179" s="3" t="s">
        <v>98</v>
      </c>
    </row>
    <row r="1180" spans="4:4" ht="17.649999999999999" x14ac:dyDescent="0.5">
      <c r="D1180" s="3" t="s">
        <v>73</v>
      </c>
    </row>
    <row r="1181" spans="4:4" ht="17.649999999999999" x14ac:dyDescent="0.5">
      <c r="D1181" s="3" t="s">
        <v>77</v>
      </c>
    </row>
    <row r="1182" spans="4:4" ht="17.649999999999999" x14ac:dyDescent="0.5">
      <c r="D1182" s="3" t="s">
        <v>59</v>
      </c>
    </row>
    <row r="1183" spans="4:4" ht="17.649999999999999" x14ac:dyDescent="0.5">
      <c r="D1183" s="3" t="s">
        <v>43</v>
      </c>
    </row>
    <row r="1184" spans="4:4" ht="17.649999999999999" x14ac:dyDescent="0.5">
      <c r="D1184" s="3" t="s">
        <v>61</v>
      </c>
    </row>
    <row r="1185" spans="4:4" ht="17.649999999999999" x14ac:dyDescent="0.5">
      <c r="D1185" s="3" t="s">
        <v>53</v>
      </c>
    </row>
    <row r="1186" spans="4:4" ht="17.649999999999999" x14ac:dyDescent="0.5">
      <c r="D1186" s="3" t="s">
        <v>68</v>
      </c>
    </row>
    <row r="1187" spans="4:4" ht="17.649999999999999" x14ac:dyDescent="0.5">
      <c r="D1187" s="3" t="s">
        <v>69</v>
      </c>
    </row>
    <row r="1188" spans="4:4" ht="17.649999999999999" x14ac:dyDescent="0.5">
      <c r="D1188" s="3" t="s">
        <v>54</v>
      </c>
    </row>
    <row r="1189" spans="4:4" ht="17.649999999999999" x14ac:dyDescent="0.5">
      <c r="D1189" s="3" t="s">
        <v>121</v>
      </c>
    </row>
    <row r="1190" spans="4:4" ht="17.649999999999999" x14ac:dyDescent="0.5">
      <c r="D1190" s="3" t="s">
        <v>111</v>
      </c>
    </row>
    <row r="1191" spans="4:4" ht="17.649999999999999" x14ac:dyDescent="0.5">
      <c r="D1191" s="3" t="s">
        <v>65</v>
      </c>
    </row>
    <row r="1192" spans="4:4" ht="17.649999999999999" x14ac:dyDescent="0.5">
      <c r="D1192" s="3" t="s">
        <v>80</v>
      </c>
    </row>
    <row r="1193" spans="4:4" ht="17.649999999999999" x14ac:dyDescent="0.5">
      <c r="D1193" s="3" t="s">
        <v>112</v>
      </c>
    </row>
    <row r="1194" spans="4:4" ht="17.649999999999999" x14ac:dyDescent="0.5">
      <c r="D1194" s="3" t="s">
        <v>59</v>
      </c>
    </row>
    <row r="1195" spans="4:4" ht="17.649999999999999" x14ac:dyDescent="0.5">
      <c r="D1195" s="3" t="s">
        <v>90</v>
      </c>
    </row>
    <row r="1196" spans="4:4" ht="17.649999999999999" x14ac:dyDescent="0.5">
      <c r="D1196" s="3" t="s">
        <v>85</v>
      </c>
    </row>
    <row r="1197" spans="4:4" ht="17.649999999999999" x14ac:dyDescent="0.5">
      <c r="D1197" s="3" t="s">
        <v>92</v>
      </c>
    </row>
    <row r="1198" spans="4:4" ht="17.649999999999999" x14ac:dyDescent="0.5">
      <c r="D1198" s="3" t="s">
        <v>53</v>
      </c>
    </row>
    <row r="1199" spans="4:4" ht="17.649999999999999" x14ac:dyDescent="0.5">
      <c r="D1199" s="3" t="s">
        <v>123</v>
      </c>
    </row>
    <row r="1200" spans="4:4" ht="17.649999999999999" x14ac:dyDescent="0.5">
      <c r="D1200" s="3" t="s">
        <v>69</v>
      </c>
    </row>
    <row r="1201" spans="4:4" ht="17.649999999999999" x14ac:dyDescent="0.5">
      <c r="D1201" s="3" t="s">
        <v>64</v>
      </c>
    </row>
    <row r="1202" spans="4:4" ht="17.649999999999999" x14ac:dyDescent="0.5">
      <c r="D1202" s="3" t="s">
        <v>108</v>
      </c>
    </row>
    <row r="1203" spans="4:4" ht="17.649999999999999" x14ac:dyDescent="0.5">
      <c r="D1203" s="3" t="s">
        <v>74</v>
      </c>
    </row>
    <row r="1204" spans="4:4" ht="17.649999999999999" x14ac:dyDescent="0.5">
      <c r="D1204" s="3" t="s">
        <v>102</v>
      </c>
    </row>
    <row r="1205" spans="4:4" ht="17.649999999999999" x14ac:dyDescent="0.5">
      <c r="D1205" s="3" t="s">
        <v>51</v>
      </c>
    </row>
    <row r="1206" spans="4:4" ht="17.649999999999999" x14ac:dyDescent="0.5">
      <c r="D1206" s="3" t="s">
        <v>115</v>
      </c>
    </row>
    <row r="1207" spans="4:4" ht="17.649999999999999" x14ac:dyDescent="0.5">
      <c r="D1207" s="3" t="s">
        <v>77</v>
      </c>
    </row>
    <row r="1208" spans="4:4" ht="17.649999999999999" x14ac:dyDescent="0.5">
      <c r="D1208" s="3" t="s">
        <v>65</v>
      </c>
    </row>
    <row r="1209" spans="4:4" ht="17.649999999999999" x14ac:dyDescent="0.5">
      <c r="D1209" s="3" t="s">
        <v>107</v>
      </c>
    </row>
    <row r="1210" spans="4:4" ht="17.649999999999999" x14ac:dyDescent="0.5">
      <c r="D1210" s="3" t="s">
        <v>78</v>
      </c>
    </row>
    <row r="1211" spans="4:4" ht="17.649999999999999" x14ac:dyDescent="0.5">
      <c r="D1211" s="3" t="s">
        <v>101</v>
      </c>
    </row>
    <row r="1212" spans="4:4" ht="17.649999999999999" x14ac:dyDescent="0.5">
      <c r="D1212" s="3" t="s">
        <v>61</v>
      </c>
    </row>
    <row r="1213" spans="4:4" ht="17.649999999999999" x14ac:dyDescent="0.5">
      <c r="D1213" s="3" t="s">
        <v>120</v>
      </c>
    </row>
    <row r="1214" spans="4:4" ht="17.649999999999999" x14ac:dyDescent="0.5">
      <c r="D1214" s="3" t="s">
        <v>77</v>
      </c>
    </row>
    <row r="1215" spans="4:4" ht="17.649999999999999" x14ac:dyDescent="0.5">
      <c r="D1215" s="3" t="s">
        <v>50</v>
      </c>
    </row>
    <row r="1216" spans="4:4" ht="17.649999999999999" x14ac:dyDescent="0.5">
      <c r="D1216" s="3" t="s">
        <v>126</v>
      </c>
    </row>
    <row r="1217" spans="4:4" ht="17.649999999999999" x14ac:dyDescent="0.5">
      <c r="D1217" s="3" t="s">
        <v>71</v>
      </c>
    </row>
    <row r="1218" spans="4:4" ht="17.649999999999999" x14ac:dyDescent="0.5">
      <c r="D1218" s="3" t="s">
        <v>95</v>
      </c>
    </row>
    <row r="1219" spans="4:4" ht="17.649999999999999" x14ac:dyDescent="0.5">
      <c r="D1219" s="3" t="s">
        <v>101</v>
      </c>
    </row>
    <row r="1220" spans="4:4" ht="17.649999999999999" x14ac:dyDescent="0.5">
      <c r="D1220" s="3" t="s">
        <v>56</v>
      </c>
    </row>
    <row r="1221" spans="4:4" ht="17.649999999999999" x14ac:dyDescent="0.5">
      <c r="D1221" s="3" t="s">
        <v>103</v>
      </c>
    </row>
    <row r="1222" spans="4:4" ht="17.649999999999999" x14ac:dyDescent="0.5">
      <c r="D1222" s="3" t="s">
        <v>63</v>
      </c>
    </row>
    <row r="1223" spans="4:4" ht="17.649999999999999" x14ac:dyDescent="0.5">
      <c r="D1223" s="3" t="s">
        <v>88</v>
      </c>
    </row>
    <row r="1224" spans="4:4" ht="17.649999999999999" x14ac:dyDescent="0.5">
      <c r="D1224" s="3" t="s">
        <v>103</v>
      </c>
    </row>
    <row r="1225" spans="4:4" ht="17.649999999999999" x14ac:dyDescent="0.5">
      <c r="D1225" s="3" t="s">
        <v>121</v>
      </c>
    </row>
    <row r="1226" spans="4:4" ht="17.649999999999999" x14ac:dyDescent="0.5">
      <c r="D1226" s="3" t="s">
        <v>49</v>
      </c>
    </row>
    <row r="1227" spans="4:4" ht="17.649999999999999" x14ac:dyDescent="0.5">
      <c r="D1227" s="3" t="s">
        <v>92</v>
      </c>
    </row>
    <row r="1228" spans="4:4" ht="17.649999999999999" x14ac:dyDescent="0.5">
      <c r="D1228" s="3" t="s">
        <v>59</v>
      </c>
    </row>
    <row r="1229" spans="4:4" ht="17.649999999999999" x14ac:dyDescent="0.5">
      <c r="D1229" s="3" t="s">
        <v>41</v>
      </c>
    </row>
    <row r="1230" spans="4:4" ht="17.649999999999999" x14ac:dyDescent="0.5">
      <c r="D1230" s="3" t="s">
        <v>77</v>
      </c>
    </row>
    <row r="1231" spans="4:4" ht="17.649999999999999" x14ac:dyDescent="0.5">
      <c r="D1231" s="3" t="s">
        <v>55</v>
      </c>
    </row>
    <row r="1232" spans="4:4" ht="17.649999999999999" x14ac:dyDescent="0.5">
      <c r="D1232" s="3" t="s">
        <v>136</v>
      </c>
    </row>
    <row r="1233" spans="4:4" ht="17.649999999999999" x14ac:dyDescent="0.5">
      <c r="D1233" s="3" t="s">
        <v>63</v>
      </c>
    </row>
    <row r="1234" spans="4:4" ht="17.649999999999999" x14ac:dyDescent="0.5">
      <c r="D1234" s="3" t="s">
        <v>66</v>
      </c>
    </row>
    <row r="1235" spans="4:4" ht="17.649999999999999" x14ac:dyDescent="0.5">
      <c r="D1235" s="3" t="s">
        <v>72</v>
      </c>
    </row>
    <row r="1236" spans="4:4" ht="17.649999999999999" x14ac:dyDescent="0.5">
      <c r="D1236" s="3" t="s">
        <v>90</v>
      </c>
    </row>
    <row r="1237" spans="4:4" ht="17.649999999999999" x14ac:dyDescent="0.5">
      <c r="D1237" s="3" t="s">
        <v>91</v>
      </c>
    </row>
    <row r="1238" spans="4:4" ht="17.649999999999999" x14ac:dyDescent="0.5">
      <c r="D1238" s="3" t="s">
        <v>68</v>
      </c>
    </row>
    <row r="1239" spans="4:4" ht="17.649999999999999" x14ac:dyDescent="0.5">
      <c r="D1239" s="3" t="s">
        <v>80</v>
      </c>
    </row>
    <row r="1240" spans="4:4" ht="17.649999999999999" x14ac:dyDescent="0.5">
      <c r="D1240" s="3" t="s">
        <v>98</v>
      </c>
    </row>
    <row r="1241" spans="4:4" ht="17.649999999999999" x14ac:dyDescent="0.5">
      <c r="D1241" s="3" t="s">
        <v>112</v>
      </c>
    </row>
    <row r="1242" spans="4:4" ht="17.649999999999999" x14ac:dyDescent="0.5">
      <c r="D1242" s="3" t="s">
        <v>87</v>
      </c>
    </row>
    <row r="1243" spans="4:4" ht="17.649999999999999" x14ac:dyDescent="0.5">
      <c r="D1243" s="3" t="s">
        <v>69</v>
      </c>
    </row>
    <row r="1244" spans="4:4" ht="17.649999999999999" x14ac:dyDescent="0.5">
      <c r="D1244" s="3" t="s">
        <v>86</v>
      </c>
    </row>
    <row r="1245" spans="4:4" ht="17.649999999999999" x14ac:dyDescent="0.5">
      <c r="D1245" s="3" t="s">
        <v>105</v>
      </c>
    </row>
    <row r="1246" spans="4:4" ht="17.649999999999999" x14ac:dyDescent="0.5">
      <c r="D1246" s="3" t="s">
        <v>132</v>
      </c>
    </row>
    <row r="1247" spans="4:4" ht="17.649999999999999" x14ac:dyDescent="0.5">
      <c r="D1247" s="3" t="s">
        <v>68</v>
      </c>
    </row>
    <row r="1248" spans="4:4" ht="17.649999999999999" x14ac:dyDescent="0.5">
      <c r="D1248" s="3" t="s">
        <v>73</v>
      </c>
    </row>
    <row r="1249" spans="4:4" ht="17.649999999999999" x14ac:dyDescent="0.5">
      <c r="D1249" s="3" t="s">
        <v>66</v>
      </c>
    </row>
    <row r="1250" spans="4:4" ht="17.649999999999999" x14ac:dyDescent="0.5">
      <c r="D1250" s="3" t="s">
        <v>91</v>
      </c>
    </row>
    <row r="1251" spans="4:4" ht="17.649999999999999" x14ac:dyDescent="0.5">
      <c r="D1251" s="3" t="s">
        <v>55</v>
      </c>
    </row>
    <row r="1252" spans="4:4" ht="17.649999999999999" x14ac:dyDescent="0.5">
      <c r="D1252" s="3" t="s">
        <v>53</v>
      </c>
    </row>
    <row r="1253" spans="4:4" ht="17.649999999999999" x14ac:dyDescent="0.5">
      <c r="D1253" s="3" t="s">
        <v>101</v>
      </c>
    </row>
    <row r="1254" spans="4:4" ht="17.649999999999999" x14ac:dyDescent="0.5">
      <c r="D1254" s="3" t="s">
        <v>131</v>
      </c>
    </row>
    <row r="1255" spans="4:4" ht="17.649999999999999" x14ac:dyDescent="0.5">
      <c r="D1255" s="3" t="s">
        <v>77</v>
      </c>
    </row>
    <row r="1256" spans="4:4" ht="17.649999999999999" x14ac:dyDescent="0.5">
      <c r="D1256" s="3" t="s">
        <v>101</v>
      </c>
    </row>
    <row r="1257" spans="4:4" ht="17.649999999999999" x14ac:dyDescent="0.5">
      <c r="D1257" s="3" t="s">
        <v>98</v>
      </c>
    </row>
    <row r="1258" spans="4:4" ht="17.649999999999999" x14ac:dyDescent="0.5">
      <c r="D1258" s="3" t="s">
        <v>47</v>
      </c>
    </row>
    <row r="1259" spans="4:4" ht="17.649999999999999" x14ac:dyDescent="0.5">
      <c r="D1259" s="3" t="s">
        <v>58</v>
      </c>
    </row>
    <row r="1260" spans="4:4" ht="17.649999999999999" x14ac:dyDescent="0.5">
      <c r="D1260" s="3" t="s">
        <v>50</v>
      </c>
    </row>
    <row r="1261" spans="4:4" ht="17.649999999999999" x14ac:dyDescent="0.5">
      <c r="D1261" s="3" t="s">
        <v>50</v>
      </c>
    </row>
    <row r="1262" spans="4:4" ht="17.649999999999999" x14ac:dyDescent="0.5">
      <c r="D1262" s="3" t="s">
        <v>70</v>
      </c>
    </row>
    <row r="1263" spans="4:4" ht="17.649999999999999" x14ac:dyDescent="0.5">
      <c r="D1263" s="3" t="s">
        <v>48</v>
      </c>
    </row>
    <row r="1264" spans="4:4" ht="17.649999999999999" x14ac:dyDescent="0.5">
      <c r="D1264" s="3" t="s">
        <v>69</v>
      </c>
    </row>
    <row r="1265" spans="4:4" ht="17.649999999999999" x14ac:dyDescent="0.5">
      <c r="D1265" s="3" t="s">
        <v>96</v>
      </c>
    </row>
    <row r="1266" spans="4:4" ht="17.649999999999999" x14ac:dyDescent="0.5">
      <c r="D1266" s="3" t="s">
        <v>91</v>
      </c>
    </row>
    <row r="1267" spans="4:4" ht="17.649999999999999" x14ac:dyDescent="0.5">
      <c r="D1267" s="3" t="s">
        <v>52</v>
      </c>
    </row>
    <row r="1268" spans="4:4" ht="17.649999999999999" x14ac:dyDescent="0.5">
      <c r="D1268" s="3" t="s">
        <v>80</v>
      </c>
    </row>
    <row r="1269" spans="4:4" ht="17.649999999999999" x14ac:dyDescent="0.5">
      <c r="D1269" s="3" t="s">
        <v>58</v>
      </c>
    </row>
    <row r="1270" spans="4:4" ht="17.649999999999999" x14ac:dyDescent="0.5">
      <c r="D1270" s="3" t="s">
        <v>68</v>
      </c>
    </row>
    <row r="1271" spans="4:4" ht="17.649999999999999" x14ac:dyDescent="0.5">
      <c r="D1271" s="3" t="s">
        <v>56</v>
      </c>
    </row>
    <row r="1272" spans="4:4" ht="17.649999999999999" x14ac:dyDescent="0.5">
      <c r="D1272" s="3" t="s">
        <v>84</v>
      </c>
    </row>
    <row r="1273" spans="4:4" ht="17.649999999999999" x14ac:dyDescent="0.5">
      <c r="D1273" s="3" t="s">
        <v>48</v>
      </c>
    </row>
    <row r="1274" spans="4:4" ht="17.649999999999999" x14ac:dyDescent="0.5">
      <c r="D1274" s="3" t="s">
        <v>98</v>
      </c>
    </row>
    <row r="1275" spans="4:4" ht="17.649999999999999" x14ac:dyDescent="0.5">
      <c r="D1275" s="3" t="s">
        <v>46</v>
      </c>
    </row>
    <row r="1276" spans="4:4" ht="17.649999999999999" x14ac:dyDescent="0.5">
      <c r="D1276" s="3" t="s">
        <v>61</v>
      </c>
    </row>
    <row r="1277" spans="4:4" ht="17.649999999999999" x14ac:dyDescent="0.5">
      <c r="D1277" s="3" t="s">
        <v>42</v>
      </c>
    </row>
    <row r="1278" spans="4:4" ht="17.649999999999999" x14ac:dyDescent="0.5">
      <c r="D1278" s="3" t="s">
        <v>55</v>
      </c>
    </row>
    <row r="1279" spans="4:4" ht="17.649999999999999" x14ac:dyDescent="0.5">
      <c r="D1279" s="3" t="s">
        <v>124</v>
      </c>
    </row>
    <row r="1280" spans="4:4" ht="17.649999999999999" x14ac:dyDescent="0.5">
      <c r="D1280" s="3" t="s">
        <v>55</v>
      </c>
    </row>
    <row r="1281" spans="4:4" ht="17.649999999999999" x14ac:dyDescent="0.5">
      <c r="D1281" s="3" t="s">
        <v>123</v>
      </c>
    </row>
    <row r="1282" spans="4:4" ht="17.649999999999999" x14ac:dyDescent="0.5">
      <c r="D1282" s="3" t="s">
        <v>87</v>
      </c>
    </row>
    <row r="1283" spans="4:4" ht="17.649999999999999" x14ac:dyDescent="0.5">
      <c r="D1283" s="3" t="s">
        <v>100</v>
      </c>
    </row>
    <row r="1284" spans="4:4" ht="17.649999999999999" x14ac:dyDescent="0.5">
      <c r="D1284" s="3" t="s">
        <v>49</v>
      </c>
    </row>
    <row r="1285" spans="4:4" ht="17.649999999999999" x14ac:dyDescent="0.5">
      <c r="D1285" s="3" t="s">
        <v>82</v>
      </c>
    </row>
    <row r="1286" spans="4:4" ht="17.649999999999999" x14ac:dyDescent="0.5">
      <c r="D1286" s="3" t="s">
        <v>109</v>
      </c>
    </row>
    <row r="1287" spans="4:4" ht="17.649999999999999" x14ac:dyDescent="0.5">
      <c r="D1287" s="3" t="s">
        <v>73</v>
      </c>
    </row>
    <row r="1288" spans="4:4" ht="17.649999999999999" x14ac:dyDescent="0.5">
      <c r="D1288" s="3" t="s">
        <v>120</v>
      </c>
    </row>
    <row r="1289" spans="4:4" ht="17.649999999999999" x14ac:dyDescent="0.5">
      <c r="D1289" s="3" t="s">
        <v>111</v>
      </c>
    </row>
    <row r="1290" spans="4:4" ht="17.649999999999999" x14ac:dyDescent="0.5">
      <c r="D1290" s="3" t="s">
        <v>83</v>
      </c>
    </row>
    <row r="1291" spans="4:4" ht="17.649999999999999" x14ac:dyDescent="0.5">
      <c r="D1291" s="3" t="s">
        <v>91</v>
      </c>
    </row>
    <row r="1292" spans="4:4" ht="17.649999999999999" x14ac:dyDescent="0.5">
      <c r="D1292" s="3" t="s">
        <v>90</v>
      </c>
    </row>
    <row r="1293" spans="4:4" ht="17.649999999999999" x14ac:dyDescent="0.5">
      <c r="D1293" s="3" t="s">
        <v>77</v>
      </c>
    </row>
    <row r="1294" spans="4:4" ht="17.649999999999999" x14ac:dyDescent="0.5">
      <c r="D1294" s="3" t="s">
        <v>56</v>
      </c>
    </row>
    <row r="1295" spans="4:4" ht="17.649999999999999" x14ac:dyDescent="0.5">
      <c r="D1295" s="3" t="s">
        <v>116</v>
      </c>
    </row>
    <row r="1296" spans="4:4" ht="17.649999999999999" x14ac:dyDescent="0.5">
      <c r="D1296" s="3" t="s">
        <v>47</v>
      </c>
    </row>
    <row r="1297" spans="4:4" ht="17.649999999999999" x14ac:dyDescent="0.5">
      <c r="D1297" s="3" t="s">
        <v>44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94</v>
      </c>
    </row>
    <row r="1300" spans="4:4" ht="17.649999999999999" x14ac:dyDescent="0.5">
      <c r="D1300" s="3" t="s">
        <v>112</v>
      </c>
    </row>
    <row r="1301" spans="4:4" ht="17.649999999999999" x14ac:dyDescent="0.5">
      <c r="D1301" s="3" t="s">
        <v>107</v>
      </c>
    </row>
    <row r="1302" spans="4:4" ht="17.649999999999999" x14ac:dyDescent="0.5">
      <c r="D1302" s="3" t="s">
        <v>48</v>
      </c>
    </row>
    <row r="1303" spans="4:4" ht="17.649999999999999" x14ac:dyDescent="0.5">
      <c r="D1303" s="3" t="s">
        <v>42</v>
      </c>
    </row>
    <row r="1304" spans="4:4" ht="17.649999999999999" x14ac:dyDescent="0.5">
      <c r="D1304" s="3" t="s">
        <v>84</v>
      </c>
    </row>
    <row r="1305" spans="4:4" ht="17.649999999999999" x14ac:dyDescent="0.5">
      <c r="D1305" s="3" t="s">
        <v>47</v>
      </c>
    </row>
    <row r="1306" spans="4:4" ht="17.649999999999999" x14ac:dyDescent="0.5">
      <c r="D1306" s="3" t="s">
        <v>68</v>
      </c>
    </row>
    <row r="1307" spans="4:4" ht="17.649999999999999" x14ac:dyDescent="0.5">
      <c r="D1307" s="3" t="s">
        <v>44</v>
      </c>
    </row>
    <row r="1308" spans="4:4" ht="17.649999999999999" x14ac:dyDescent="0.5">
      <c r="D1308" s="3" t="s">
        <v>51</v>
      </c>
    </row>
    <row r="1309" spans="4:4" ht="17.649999999999999" x14ac:dyDescent="0.5">
      <c r="D1309" s="3" t="s">
        <v>136</v>
      </c>
    </row>
    <row r="1310" spans="4:4" ht="17.649999999999999" x14ac:dyDescent="0.5">
      <c r="D1310" s="3" t="s">
        <v>92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51</v>
      </c>
    </row>
    <row r="1313" spans="4:4" ht="17.649999999999999" x14ac:dyDescent="0.5">
      <c r="D1313" s="3" t="s">
        <v>133</v>
      </c>
    </row>
    <row r="1314" spans="4:4" ht="17.649999999999999" x14ac:dyDescent="0.5">
      <c r="D1314" s="3" t="s">
        <v>78</v>
      </c>
    </row>
    <row r="1315" spans="4:4" ht="17.649999999999999" x14ac:dyDescent="0.5">
      <c r="D1315" s="3" t="s">
        <v>95</v>
      </c>
    </row>
    <row r="1316" spans="4:4" ht="17.649999999999999" x14ac:dyDescent="0.5">
      <c r="D1316" s="3" t="s">
        <v>94</v>
      </c>
    </row>
    <row r="1317" spans="4:4" ht="17.649999999999999" x14ac:dyDescent="0.5">
      <c r="D1317" s="3" t="s">
        <v>105</v>
      </c>
    </row>
    <row r="1318" spans="4:4" ht="17.649999999999999" x14ac:dyDescent="0.5">
      <c r="D1318" s="3" t="s">
        <v>81</v>
      </c>
    </row>
    <row r="1319" spans="4:4" ht="17.649999999999999" x14ac:dyDescent="0.5">
      <c r="D1319" s="3" t="s">
        <v>51</v>
      </c>
    </row>
    <row r="1320" spans="4:4" ht="17.649999999999999" x14ac:dyDescent="0.5">
      <c r="D1320" s="3" t="s">
        <v>136</v>
      </c>
    </row>
    <row r="1321" spans="4:4" ht="17.649999999999999" x14ac:dyDescent="0.5">
      <c r="D1321" s="3" t="s">
        <v>112</v>
      </c>
    </row>
    <row r="1322" spans="4:4" ht="17.649999999999999" x14ac:dyDescent="0.5">
      <c r="D1322" s="3" t="s">
        <v>54</v>
      </c>
    </row>
    <row r="1323" spans="4:4" ht="17.649999999999999" x14ac:dyDescent="0.5">
      <c r="D1323" s="3" t="s">
        <v>67</v>
      </c>
    </row>
    <row r="1324" spans="4:4" ht="17.649999999999999" x14ac:dyDescent="0.5">
      <c r="D1324" s="3" t="s">
        <v>101</v>
      </c>
    </row>
    <row r="1325" spans="4:4" ht="17.649999999999999" x14ac:dyDescent="0.5">
      <c r="D1325" s="3" t="s">
        <v>74</v>
      </c>
    </row>
    <row r="1326" spans="4:4" ht="17.649999999999999" x14ac:dyDescent="0.5">
      <c r="D1326" s="3" t="s">
        <v>63</v>
      </c>
    </row>
    <row r="1327" spans="4:4" ht="17.649999999999999" x14ac:dyDescent="0.5">
      <c r="D1327" s="3" t="s">
        <v>93</v>
      </c>
    </row>
    <row r="1328" spans="4:4" ht="17.649999999999999" x14ac:dyDescent="0.5">
      <c r="D1328" s="3" t="s">
        <v>81</v>
      </c>
    </row>
    <row r="1329" spans="4:4" ht="17.649999999999999" x14ac:dyDescent="0.5">
      <c r="D1329" s="3" t="s">
        <v>113</v>
      </c>
    </row>
    <row r="1330" spans="4:4" ht="17.649999999999999" x14ac:dyDescent="0.5">
      <c r="D1330" s="3" t="s">
        <v>84</v>
      </c>
    </row>
    <row r="1331" spans="4:4" ht="17.649999999999999" x14ac:dyDescent="0.5">
      <c r="D1331" s="3" t="s">
        <v>65</v>
      </c>
    </row>
    <row r="1332" spans="4:4" ht="17.649999999999999" x14ac:dyDescent="0.5">
      <c r="D1332" s="3" t="s">
        <v>53</v>
      </c>
    </row>
    <row r="1333" spans="4:4" ht="17.649999999999999" x14ac:dyDescent="0.5">
      <c r="D1333" s="3" t="s">
        <v>107</v>
      </c>
    </row>
    <row r="1334" spans="4:4" ht="17.649999999999999" x14ac:dyDescent="0.5">
      <c r="D1334" s="3" t="s">
        <v>105</v>
      </c>
    </row>
    <row r="1335" spans="4:4" ht="17.649999999999999" x14ac:dyDescent="0.5">
      <c r="D1335" s="3" t="s">
        <v>108</v>
      </c>
    </row>
    <row r="1336" spans="4:4" ht="17.649999999999999" x14ac:dyDescent="0.5">
      <c r="D1336" s="3" t="s">
        <v>77</v>
      </c>
    </row>
    <row r="1337" spans="4:4" ht="17.649999999999999" x14ac:dyDescent="0.5">
      <c r="D1337" s="3" t="s">
        <v>63</v>
      </c>
    </row>
    <row r="1338" spans="4:4" ht="17.649999999999999" x14ac:dyDescent="0.5">
      <c r="D1338" s="3" t="s">
        <v>90</v>
      </c>
    </row>
    <row r="1339" spans="4:4" ht="17.649999999999999" x14ac:dyDescent="0.5">
      <c r="D1339" s="3" t="s">
        <v>81</v>
      </c>
    </row>
    <row r="1340" spans="4:4" ht="17.649999999999999" x14ac:dyDescent="0.5">
      <c r="D1340" s="3" t="s">
        <v>53</v>
      </c>
    </row>
    <row r="1341" spans="4:4" ht="17.649999999999999" x14ac:dyDescent="0.5">
      <c r="D1341" s="3" t="s">
        <v>56</v>
      </c>
    </row>
    <row r="1342" spans="4:4" ht="17.649999999999999" x14ac:dyDescent="0.5">
      <c r="D1342" s="3" t="s">
        <v>47</v>
      </c>
    </row>
    <row r="1343" spans="4:4" ht="17.649999999999999" x14ac:dyDescent="0.5">
      <c r="D1343" s="3" t="s">
        <v>122</v>
      </c>
    </row>
    <row r="1344" spans="4:4" ht="17.649999999999999" x14ac:dyDescent="0.5">
      <c r="D1344" s="3" t="s">
        <v>132</v>
      </c>
    </row>
    <row r="1345" spans="4:4" ht="17.649999999999999" x14ac:dyDescent="0.5">
      <c r="D1345" s="3" t="s">
        <v>99</v>
      </c>
    </row>
    <row r="1346" spans="4:4" ht="17.649999999999999" x14ac:dyDescent="0.5">
      <c r="D1346" s="3" t="s">
        <v>81</v>
      </c>
    </row>
    <row r="1347" spans="4:4" ht="17.649999999999999" x14ac:dyDescent="0.5">
      <c r="D1347" s="3" t="s">
        <v>41</v>
      </c>
    </row>
    <row r="1348" spans="4:4" ht="17.649999999999999" x14ac:dyDescent="0.5">
      <c r="D1348" s="3" t="s">
        <v>68</v>
      </c>
    </row>
    <row r="1349" spans="4:4" ht="17.649999999999999" x14ac:dyDescent="0.5">
      <c r="D1349" s="3" t="s">
        <v>50</v>
      </c>
    </row>
    <row r="1350" spans="4:4" ht="17.649999999999999" x14ac:dyDescent="0.5">
      <c r="D1350" s="3" t="s">
        <v>54</v>
      </c>
    </row>
    <row r="1351" spans="4:4" ht="17.649999999999999" x14ac:dyDescent="0.5">
      <c r="D1351" s="3" t="s">
        <v>133</v>
      </c>
    </row>
    <row r="1352" spans="4:4" ht="17.649999999999999" x14ac:dyDescent="0.5">
      <c r="D1352" s="3" t="s">
        <v>66</v>
      </c>
    </row>
    <row r="1353" spans="4:4" ht="17.649999999999999" x14ac:dyDescent="0.5">
      <c r="D1353" s="3" t="s">
        <v>46</v>
      </c>
    </row>
    <row r="1354" spans="4:4" ht="17.649999999999999" x14ac:dyDescent="0.5">
      <c r="D1354" s="3" t="s">
        <v>84</v>
      </c>
    </row>
    <row r="1355" spans="4:4" ht="17.649999999999999" x14ac:dyDescent="0.5">
      <c r="D1355" s="3" t="s">
        <v>68</v>
      </c>
    </row>
    <row r="1356" spans="4:4" ht="17.649999999999999" x14ac:dyDescent="0.5">
      <c r="D1356" s="3" t="s">
        <v>103</v>
      </c>
    </row>
    <row r="1357" spans="4:4" ht="17.649999999999999" x14ac:dyDescent="0.5">
      <c r="D1357" s="3" t="s">
        <v>117</v>
      </c>
    </row>
    <row r="1358" spans="4:4" ht="17.649999999999999" x14ac:dyDescent="0.5">
      <c r="D1358" s="3" t="s">
        <v>63</v>
      </c>
    </row>
    <row r="1359" spans="4:4" ht="17.649999999999999" x14ac:dyDescent="0.5">
      <c r="D1359" s="3" t="s">
        <v>48</v>
      </c>
    </row>
    <row r="1360" spans="4:4" ht="17.649999999999999" x14ac:dyDescent="0.5">
      <c r="D1360" s="3" t="s">
        <v>133</v>
      </c>
    </row>
    <row r="1361" spans="4:4" ht="17.649999999999999" x14ac:dyDescent="0.5">
      <c r="D1361" s="3" t="s">
        <v>129</v>
      </c>
    </row>
    <row r="1362" spans="4:4" ht="17.649999999999999" x14ac:dyDescent="0.5">
      <c r="D1362" s="3" t="s">
        <v>41</v>
      </c>
    </row>
    <row r="1363" spans="4:4" ht="17.649999999999999" x14ac:dyDescent="0.5">
      <c r="D1363" s="3" t="s">
        <v>66</v>
      </c>
    </row>
    <row r="1364" spans="4:4" ht="17.649999999999999" x14ac:dyDescent="0.5">
      <c r="D1364" s="3" t="s">
        <v>92</v>
      </c>
    </row>
    <row r="1365" spans="4:4" ht="17.649999999999999" x14ac:dyDescent="0.5">
      <c r="D1365" s="3" t="s">
        <v>117</v>
      </c>
    </row>
    <row r="1366" spans="4:4" ht="17.649999999999999" x14ac:dyDescent="0.5">
      <c r="D1366" s="3" t="s">
        <v>47</v>
      </c>
    </row>
    <row r="1367" spans="4:4" ht="17.649999999999999" x14ac:dyDescent="0.5">
      <c r="D1367" s="3" t="s">
        <v>129</v>
      </c>
    </row>
    <row r="1368" spans="4:4" ht="17.649999999999999" x14ac:dyDescent="0.5">
      <c r="D1368" s="3" t="s">
        <v>121</v>
      </c>
    </row>
    <row r="1369" spans="4:4" ht="17.649999999999999" x14ac:dyDescent="0.5">
      <c r="D1369" s="3" t="s">
        <v>59</v>
      </c>
    </row>
    <row r="1370" spans="4:4" ht="17.649999999999999" x14ac:dyDescent="0.5">
      <c r="D1370" s="3" t="s">
        <v>61</v>
      </c>
    </row>
    <row r="1371" spans="4:4" ht="17.649999999999999" x14ac:dyDescent="0.5">
      <c r="D1371" s="3" t="s">
        <v>75</v>
      </c>
    </row>
    <row r="1372" spans="4:4" ht="17.649999999999999" x14ac:dyDescent="0.5">
      <c r="D1372" s="3" t="s">
        <v>48</v>
      </c>
    </row>
    <row r="1373" spans="4:4" ht="17.649999999999999" x14ac:dyDescent="0.5">
      <c r="D1373" s="3" t="s">
        <v>49</v>
      </c>
    </row>
    <row r="1374" spans="4:4" ht="17.649999999999999" x14ac:dyDescent="0.5">
      <c r="D1374" s="3" t="s">
        <v>77</v>
      </c>
    </row>
    <row r="1375" spans="4:4" ht="17.649999999999999" x14ac:dyDescent="0.5">
      <c r="D1375" s="3" t="s">
        <v>56</v>
      </c>
    </row>
    <row r="1376" spans="4:4" ht="17.649999999999999" x14ac:dyDescent="0.5">
      <c r="D1376" s="3" t="s">
        <v>63</v>
      </c>
    </row>
    <row r="1377" spans="4:4" ht="17.649999999999999" x14ac:dyDescent="0.5">
      <c r="D1377" s="3" t="s">
        <v>44</v>
      </c>
    </row>
    <row r="1378" spans="4:4" ht="17.649999999999999" x14ac:dyDescent="0.5">
      <c r="D1378" s="3" t="s">
        <v>68</v>
      </c>
    </row>
    <row r="1379" spans="4:4" ht="17.649999999999999" x14ac:dyDescent="0.5">
      <c r="D1379" s="3" t="s">
        <v>67</v>
      </c>
    </row>
    <row r="1380" spans="4:4" ht="17.649999999999999" x14ac:dyDescent="0.5">
      <c r="D1380" s="3" t="s">
        <v>125</v>
      </c>
    </row>
    <row r="1381" spans="4:4" ht="17.649999999999999" x14ac:dyDescent="0.5">
      <c r="D1381" s="3" t="s">
        <v>90</v>
      </c>
    </row>
    <row r="1382" spans="4:4" ht="17.649999999999999" x14ac:dyDescent="0.5">
      <c r="D1382" s="3" t="s">
        <v>57</v>
      </c>
    </row>
    <row r="1383" spans="4:4" ht="17.649999999999999" x14ac:dyDescent="0.5">
      <c r="D1383" s="3" t="s">
        <v>54</v>
      </c>
    </row>
    <row r="1384" spans="4:4" ht="17.649999999999999" x14ac:dyDescent="0.5">
      <c r="D1384" s="3" t="s">
        <v>52</v>
      </c>
    </row>
    <row r="1385" spans="4:4" ht="17.649999999999999" x14ac:dyDescent="0.5">
      <c r="D1385" s="3" t="s">
        <v>60</v>
      </c>
    </row>
    <row r="1386" spans="4:4" ht="17.649999999999999" x14ac:dyDescent="0.5">
      <c r="D1386" s="3" t="s">
        <v>59</v>
      </c>
    </row>
    <row r="1387" spans="4:4" ht="17.649999999999999" x14ac:dyDescent="0.5">
      <c r="D1387" s="3" t="s">
        <v>103</v>
      </c>
    </row>
    <row r="1388" spans="4:4" ht="17.649999999999999" x14ac:dyDescent="0.5">
      <c r="D1388" s="3" t="s">
        <v>65</v>
      </c>
    </row>
    <row r="1389" spans="4:4" ht="17.649999999999999" x14ac:dyDescent="0.5">
      <c r="D1389" s="3" t="s">
        <v>78</v>
      </c>
    </row>
    <row r="1390" spans="4:4" ht="17.649999999999999" x14ac:dyDescent="0.5">
      <c r="D1390" s="3" t="s">
        <v>63</v>
      </c>
    </row>
    <row r="1391" spans="4:4" ht="17.649999999999999" x14ac:dyDescent="0.5">
      <c r="D1391" s="3" t="s">
        <v>136</v>
      </c>
    </row>
    <row r="1392" spans="4:4" ht="17.649999999999999" x14ac:dyDescent="0.5">
      <c r="D1392" s="3" t="s">
        <v>50</v>
      </c>
    </row>
    <row r="1393" spans="4:4" ht="17.649999999999999" x14ac:dyDescent="0.5">
      <c r="D1393" s="3" t="s">
        <v>105</v>
      </c>
    </row>
    <row r="1394" spans="4:4" ht="17.649999999999999" x14ac:dyDescent="0.5">
      <c r="D1394" s="3" t="s">
        <v>117</v>
      </c>
    </row>
    <row r="1395" spans="4:4" ht="17.649999999999999" x14ac:dyDescent="0.5">
      <c r="D1395" s="3" t="s">
        <v>73</v>
      </c>
    </row>
    <row r="1396" spans="4:4" ht="17.649999999999999" x14ac:dyDescent="0.5">
      <c r="D1396" s="3" t="s">
        <v>52</v>
      </c>
    </row>
    <row r="1397" spans="4:4" ht="17.649999999999999" x14ac:dyDescent="0.5">
      <c r="D1397" s="3" t="s">
        <v>74</v>
      </c>
    </row>
    <row r="1398" spans="4:4" ht="17.649999999999999" x14ac:dyDescent="0.5">
      <c r="D1398" s="3" t="s">
        <v>83</v>
      </c>
    </row>
    <row r="1399" spans="4:4" ht="17.649999999999999" x14ac:dyDescent="0.5">
      <c r="D1399" s="3" t="s">
        <v>118</v>
      </c>
    </row>
    <row r="1400" spans="4:4" ht="17.649999999999999" x14ac:dyDescent="0.5">
      <c r="D1400" s="3" t="s">
        <v>66</v>
      </c>
    </row>
    <row r="1401" spans="4:4" ht="17.649999999999999" x14ac:dyDescent="0.5">
      <c r="D1401" s="3" t="s">
        <v>104</v>
      </c>
    </row>
    <row r="1402" spans="4:4" ht="17.649999999999999" x14ac:dyDescent="0.5">
      <c r="D1402" s="3" t="s">
        <v>64</v>
      </c>
    </row>
    <row r="1403" spans="4:4" ht="17.649999999999999" x14ac:dyDescent="0.5">
      <c r="D1403" s="3" t="s">
        <v>69</v>
      </c>
    </row>
    <row r="1404" spans="4:4" ht="17.649999999999999" x14ac:dyDescent="0.5">
      <c r="D1404" s="3" t="s">
        <v>117</v>
      </c>
    </row>
    <row r="1405" spans="4:4" ht="17.649999999999999" x14ac:dyDescent="0.5">
      <c r="D1405" s="3" t="s">
        <v>80</v>
      </c>
    </row>
    <row r="1406" spans="4:4" ht="17.649999999999999" x14ac:dyDescent="0.5">
      <c r="D1406" s="3" t="s">
        <v>110</v>
      </c>
    </row>
    <row r="1407" spans="4:4" ht="17.649999999999999" x14ac:dyDescent="0.5">
      <c r="D1407" s="3" t="s">
        <v>115</v>
      </c>
    </row>
    <row r="1408" spans="4:4" ht="17.649999999999999" x14ac:dyDescent="0.5">
      <c r="D1408" s="3" t="s">
        <v>108</v>
      </c>
    </row>
    <row r="1409" spans="4:4" ht="17.649999999999999" x14ac:dyDescent="0.5">
      <c r="D1409" s="3" t="s">
        <v>59</v>
      </c>
    </row>
    <row r="1410" spans="4:4" ht="17.649999999999999" x14ac:dyDescent="0.5">
      <c r="D1410" s="3" t="s">
        <v>83</v>
      </c>
    </row>
    <row r="1411" spans="4:4" ht="17.649999999999999" x14ac:dyDescent="0.5">
      <c r="D1411" s="3" t="s">
        <v>74</v>
      </c>
    </row>
    <row r="1412" spans="4:4" ht="17.649999999999999" x14ac:dyDescent="0.5">
      <c r="D1412" s="3" t="s">
        <v>56</v>
      </c>
    </row>
    <row r="1413" spans="4:4" ht="17.649999999999999" x14ac:dyDescent="0.5">
      <c r="D1413" s="3" t="s">
        <v>67</v>
      </c>
    </row>
    <row r="1414" spans="4:4" ht="17.649999999999999" x14ac:dyDescent="0.5">
      <c r="D1414" s="3" t="s">
        <v>64</v>
      </c>
    </row>
    <row r="1415" spans="4:4" ht="17.649999999999999" x14ac:dyDescent="0.5">
      <c r="D1415" s="3" t="s">
        <v>41</v>
      </c>
    </row>
    <row r="1416" spans="4:4" ht="17.649999999999999" x14ac:dyDescent="0.5">
      <c r="D1416" s="3" t="s">
        <v>53</v>
      </c>
    </row>
    <row r="1417" spans="4:4" ht="17.649999999999999" x14ac:dyDescent="0.5">
      <c r="D1417" s="3" t="s">
        <v>43</v>
      </c>
    </row>
    <row r="1418" spans="4:4" ht="17.649999999999999" x14ac:dyDescent="0.5">
      <c r="D1418" s="3" t="s">
        <v>84</v>
      </c>
    </row>
    <row r="1419" spans="4:4" ht="17.649999999999999" x14ac:dyDescent="0.5">
      <c r="D1419" s="3" t="s">
        <v>90</v>
      </c>
    </row>
    <row r="1420" spans="4:4" ht="17.649999999999999" x14ac:dyDescent="0.5">
      <c r="D1420" s="3" t="s">
        <v>112</v>
      </c>
    </row>
    <row r="1421" spans="4:4" ht="17.649999999999999" x14ac:dyDescent="0.5">
      <c r="D1421" s="3" t="s">
        <v>112</v>
      </c>
    </row>
    <row r="1422" spans="4:4" ht="17.649999999999999" x14ac:dyDescent="0.5">
      <c r="D1422" s="3" t="s">
        <v>43</v>
      </c>
    </row>
    <row r="1423" spans="4:4" ht="17.649999999999999" x14ac:dyDescent="0.5">
      <c r="D1423" s="3" t="s">
        <v>96</v>
      </c>
    </row>
    <row r="1424" spans="4:4" ht="17.649999999999999" x14ac:dyDescent="0.5">
      <c r="D1424" s="3" t="s">
        <v>84</v>
      </c>
    </row>
    <row r="1425" spans="4:4" ht="17.649999999999999" x14ac:dyDescent="0.5">
      <c r="D1425" s="3" t="s">
        <v>91</v>
      </c>
    </row>
    <row r="1426" spans="4:4" ht="17.649999999999999" x14ac:dyDescent="0.5">
      <c r="D1426" s="3" t="s">
        <v>96</v>
      </c>
    </row>
    <row r="1427" spans="4:4" ht="17.649999999999999" x14ac:dyDescent="0.5">
      <c r="D1427" s="3" t="s">
        <v>107</v>
      </c>
    </row>
    <row r="1428" spans="4:4" ht="17.649999999999999" x14ac:dyDescent="0.5">
      <c r="D1428" s="3" t="s">
        <v>68</v>
      </c>
    </row>
    <row r="1429" spans="4:4" ht="17.649999999999999" x14ac:dyDescent="0.5">
      <c r="D1429" s="3" t="s">
        <v>107</v>
      </c>
    </row>
    <row r="1430" spans="4:4" ht="17.649999999999999" x14ac:dyDescent="0.5">
      <c r="D1430" s="3" t="s">
        <v>51</v>
      </c>
    </row>
    <row r="1431" spans="4:4" ht="17.649999999999999" x14ac:dyDescent="0.5">
      <c r="D1431" s="3" t="s">
        <v>93</v>
      </c>
    </row>
    <row r="1432" spans="4:4" ht="17.649999999999999" x14ac:dyDescent="0.5">
      <c r="D1432" s="3" t="s">
        <v>131</v>
      </c>
    </row>
    <row r="1433" spans="4:4" ht="17.649999999999999" x14ac:dyDescent="0.5">
      <c r="D1433" s="3" t="s">
        <v>132</v>
      </c>
    </row>
    <row r="1434" spans="4:4" ht="17.649999999999999" x14ac:dyDescent="0.5">
      <c r="D1434" s="3" t="s">
        <v>67</v>
      </c>
    </row>
    <row r="1435" spans="4:4" ht="17.649999999999999" x14ac:dyDescent="0.5">
      <c r="D1435" s="3" t="s">
        <v>105</v>
      </c>
    </row>
    <row r="1436" spans="4:4" ht="17.649999999999999" x14ac:dyDescent="0.5">
      <c r="D1436" s="3" t="s">
        <v>82</v>
      </c>
    </row>
    <row r="1437" spans="4:4" ht="17.649999999999999" x14ac:dyDescent="0.5">
      <c r="D1437" s="3" t="s">
        <v>47</v>
      </c>
    </row>
    <row r="1438" spans="4:4" ht="17.649999999999999" x14ac:dyDescent="0.5">
      <c r="D1438" s="3" t="s">
        <v>77</v>
      </c>
    </row>
    <row r="1439" spans="4:4" ht="17.649999999999999" x14ac:dyDescent="0.5">
      <c r="D1439" s="3" t="s">
        <v>96</v>
      </c>
    </row>
    <row r="1440" spans="4:4" ht="17.649999999999999" x14ac:dyDescent="0.5">
      <c r="D1440" s="3" t="s">
        <v>57</v>
      </c>
    </row>
    <row r="1441" spans="4:4" ht="17.649999999999999" x14ac:dyDescent="0.5">
      <c r="D1441" s="3" t="s">
        <v>96</v>
      </c>
    </row>
    <row r="1442" spans="4:4" ht="17.649999999999999" x14ac:dyDescent="0.5">
      <c r="D1442" s="3" t="s">
        <v>117</v>
      </c>
    </row>
    <row r="1443" spans="4:4" ht="17.649999999999999" x14ac:dyDescent="0.5">
      <c r="D1443" s="3" t="s">
        <v>46</v>
      </c>
    </row>
    <row r="1444" spans="4:4" ht="17.649999999999999" x14ac:dyDescent="0.5">
      <c r="D1444" s="3" t="s">
        <v>45</v>
      </c>
    </row>
    <row r="1445" spans="4:4" ht="17.649999999999999" x14ac:dyDescent="0.5">
      <c r="D1445" s="3" t="s">
        <v>131</v>
      </c>
    </row>
    <row r="1446" spans="4:4" ht="17.649999999999999" x14ac:dyDescent="0.5">
      <c r="D1446" s="3" t="s">
        <v>85</v>
      </c>
    </row>
    <row r="1447" spans="4:4" ht="17.649999999999999" x14ac:dyDescent="0.5">
      <c r="D1447" s="3" t="s">
        <v>88</v>
      </c>
    </row>
    <row r="1448" spans="4:4" ht="17.649999999999999" x14ac:dyDescent="0.5">
      <c r="D1448" s="3" t="s">
        <v>90</v>
      </c>
    </row>
    <row r="1449" spans="4:4" ht="17.649999999999999" x14ac:dyDescent="0.5">
      <c r="D1449" s="3" t="s">
        <v>123</v>
      </c>
    </row>
    <row r="1450" spans="4:4" ht="17.649999999999999" x14ac:dyDescent="0.5">
      <c r="D1450" s="3" t="s">
        <v>107</v>
      </c>
    </row>
    <row r="1451" spans="4:4" ht="17.649999999999999" x14ac:dyDescent="0.5">
      <c r="D1451" s="3" t="s">
        <v>88</v>
      </c>
    </row>
    <row r="1452" spans="4:4" ht="17.649999999999999" x14ac:dyDescent="0.5">
      <c r="D1452" s="3" t="s">
        <v>52</v>
      </c>
    </row>
    <row r="1453" spans="4:4" ht="17.649999999999999" x14ac:dyDescent="0.5">
      <c r="D1453" s="3" t="s">
        <v>112</v>
      </c>
    </row>
    <row r="1454" spans="4:4" ht="17.649999999999999" x14ac:dyDescent="0.5">
      <c r="D1454" s="3" t="s">
        <v>51</v>
      </c>
    </row>
    <row r="1455" spans="4:4" ht="17.649999999999999" x14ac:dyDescent="0.5">
      <c r="D1455" s="3" t="s">
        <v>87</v>
      </c>
    </row>
    <row r="1456" spans="4:4" ht="17.649999999999999" x14ac:dyDescent="0.5">
      <c r="D1456" s="3" t="s">
        <v>63</v>
      </c>
    </row>
    <row r="1457" spans="4:4" ht="17.649999999999999" x14ac:dyDescent="0.5">
      <c r="D1457" s="3" t="s">
        <v>56</v>
      </c>
    </row>
    <row r="1458" spans="4:4" ht="17.649999999999999" x14ac:dyDescent="0.5">
      <c r="D1458" s="3" t="s">
        <v>90</v>
      </c>
    </row>
    <row r="1459" spans="4:4" ht="17.649999999999999" x14ac:dyDescent="0.5">
      <c r="D1459" s="3" t="s">
        <v>57</v>
      </c>
    </row>
    <row r="1460" spans="4:4" ht="17.649999999999999" x14ac:dyDescent="0.5">
      <c r="D1460" s="3" t="s">
        <v>117</v>
      </c>
    </row>
    <row r="1461" spans="4:4" ht="17.649999999999999" x14ac:dyDescent="0.5">
      <c r="D1461" s="3" t="s">
        <v>74</v>
      </c>
    </row>
    <row r="1462" spans="4:4" ht="17.649999999999999" x14ac:dyDescent="0.5">
      <c r="D1462" s="3" t="s">
        <v>45</v>
      </c>
    </row>
    <row r="1463" spans="4:4" ht="17.649999999999999" x14ac:dyDescent="0.5">
      <c r="D1463" s="3" t="s">
        <v>115</v>
      </c>
    </row>
    <row r="1464" spans="4:4" ht="17.649999999999999" x14ac:dyDescent="0.5">
      <c r="D1464" s="3" t="s">
        <v>51</v>
      </c>
    </row>
    <row r="1465" spans="4:4" ht="17.649999999999999" x14ac:dyDescent="0.5">
      <c r="D1465" s="3" t="s">
        <v>77</v>
      </c>
    </row>
    <row r="1466" spans="4:4" ht="17.649999999999999" x14ac:dyDescent="0.5">
      <c r="D1466" s="3" t="s">
        <v>78</v>
      </c>
    </row>
    <row r="1467" spans="4:4" ht="17.649999999999999" x14ac:dyDescent="0.5">
      <c r="D1467" s="3" t="s">
        <v>75</v>
      </c>
    </row>
    <row r="1468" spans="4:4" ht="17.649999999999999" x14ac:dyDescent="0.5">
      <c r="D1468" s="3" t="s">
        <v>68</v>
      </c>
    </row>
    <row r="1469" spans="4:4" ht="17.649999999999999" x14ac:dyDescent="0.5">
      <c r="D1469" s="3" t="s">
        <v>96</v>
      </c>
    </row>
    <row r="1470" spans="4:4" ht="17.649999999999999" x14ac:dyDescent="0.5">
      <c r="D1470" s="3" t="s">
        <v>87</v>
      </c>
    </row>
    <row r="1471" spans="4:4" ht="17.649999999999999" x14ac:dyDescent="0.5">
      <c r="D1471" s="3" t="s">
        <v>133</v>
      </c>
    </row>
    <row r="1472" spans="4:4" ht="17.649999999999999" x14ac:dyDescent="0.5">
      <c r="D1472" s="3" t="s">
        <v>90</v>
      </c>
    </row>
    <row r="1473" spans="4:4" ht="17.649999999999999" x14ac:dyDescent="0.5">
      <c r="D1473" s="3" t="s">
        <v>91</v>
      </c>
    </row>
    <row r="1474" spans="4:4" ht="17.649999999999999" x14ac:dyDescent="0.5">
      <c r="D1474" s="3" t="s">
        <v>94</v>
      </c>
    </row>
    <row r="1475" spans="4:4" ht="17.649999999999999" x14ac:dyDescent="0.5">
      <c r="D1475" s="3" t="s">
        <v>105</v>
      </c>
    </row>
    <row r="1476" spans="4:4" ht="17.649999999999999" x14ac:dyDescent="0.5">
      <c r="D1476" s="3" t="s">
        <v>66</v>
      </c>
    </row>
    <row r="1477" spans="4:4" ht="17.649999999999999" x14ac:dyDescent="0.5">
      <c r="D1477" s="3" t="s">
        <v>101</v>
      </c>
    </row>
    <row r="1478" spans="4:4" ht="17.649999999999999" x14ac:dyDescent="0.5">
      <c r="D1478" s="3" t="s">
        <v>78</v>
      </c>
    </row>
    <row r="1479" spans="4:4" ht="17.649999999999999" x14ac:dyDescent="0.5">
      <c r="D1479" s="3" t="s">
        <v>125</v>
      </c>
    </row>
    <row r="1480" spans="4:4" ht="17.649999999999999" x14ac:dyDescent="0.5">
      <c r="D1480" s="3" t="s">
        <v>75</v>
      </c>
    </row>
    <row r="1481" spans="4:4" ht="17.649999999999999" x14ac:dyDescent="0.5">
      <c r="D1481" s="3" t="s">
        <v>43</v>
      </c>
    </row>
    <row r="1482" spans="4:4" ht="17.649999999999999" x14ac:dyDescent="0.5">
      <c r="D1482" s="3" t="s">
        <v>63</v>
      </c>
    </row>
    <row r="1483" spans="4:4" ht="17.649999999999999" x14ac:dyDescent="0.5">
      <c r="D1483" s="3" t="s">
        <v>100</v>
      </c>
    </row>
    <row r="1484" spans="4:4" ht="17.649999999999999" x14ac:dyDescent="0.5">
      <c r="D1484" s="3" t="s">
        <v>81</v>
      </c>
    </row>
    <row r="1485" spans="4:4" ht="17.649999999999999" x14ac:dyDescent="0.5">
      <c r="D1485" s="3" t="s">
        <v>68</v>
      </c>
    </row>
    <row r="1486" spans="4:4" ht="17.649999999999999" x14ac:dyDescent="0.5">
      <c r="D1486" s="3" t="s">
        <v>81</v>
      </c>
    </row>
    <row r="1487" spans="4:4" ht="17.649999999999999" x14ac:dyDescent="0.5">
      <c r="D1487" s="3" t="s">
        <v>96</v>
      </c>
    </row>
    <row r="1488" spans="4:4" ht="17.649999999999999" x14ac:dyDescent="0.5">
      <c r="D1488" s="3" t="s">
        <v>63</v>
      </c>
    </row>
    <row r="1489" spans="4:4" ht="17.649999999999999" x14ac:dyDescent="0.5">
      <c r="D1489" s="3" t="s">
        <v>81</v>
      </c>
    </row>
    <row r="1490" spans="4:4" ht="17.649999999999999" x14ac:dyDescent="0.5">
      <c r="D1490" s="3" t="s">
        <v>95</v>
      </c>
    </row>
    <row r="1491" spans="4:4" ht="17.649999999999999" x14ac:dyDescent="0.5">
      <c r="D1491" s="3" t="s">
        <v>63</v>
      </c>
    </row>
    <row r="1492" spans="4:4" ht="17.649999999999999" x14ac:dyDescent="0.5">
      <c r="D1492" s="3" t="s">
        <v>75</v>
      </c>
    </row>
    <row r="1493" spans="4:4" ht="17.649999999999999" x14ac:dyDescent="0.5">
      <c r="D1493" s="3" t="s">
        <v>115</v>
      </c>
    </row>
    <row r="1494" spans="4:4" ht="17.649999999999999" x14ac:dyDescent="0.5">
      <c r="D1494" s="3" t="s">
        <v>131</v>
      </c>
    </row>
    <row r="1495" spans="4:4" ht="17.649999999999999" x14ac:dyDescent="0.5">
      <c r="D1495" s="3" t="s">
        <v>122</v>
      </c>
    </row>
    <row r="1496" spans="4:4" ht="17.649999999999999" x14ac:dyDescent="0.5">
      <c r="D1496" s="3" t="s">
        <v>81</v>
      </c>
    </row>
    <row r="1497" spans="4:4" ht="17.649999999999999" x14ac:dyDescent="0.5">
      <c r="D1497" s="3" t="s">
        <v>108</v>
      </c>
    </row>
    <row r="1498" spans="4:4" ht="17.649999999999999" x14ac:dyDescent="0.5">
      <c r="D1498" s="3" t="s">
        <v>89</v>
      </c>
    </row>
    <row r="1499" spans="4:4" ht="17.649999999999999" x14ac:dyDescent="0.5">
      <c r="D1499" s="3" t="s">
        <v>48</v>
      </c>
    </row>
    <row r="1500" spans="4:4" ht="17.649999999999999" x14ac:dyDescent="0.5">
      <c r="D1500" s="3" t="s">
        <v>128</v>
      </c>
    </row>
    <row r="1501" spans="4:4" ht="17.649999999999999" x14ac:dyDescent="0.5">
      <c r="D1501" s="3" t="s">
        <v>112</v>
      </c>
    </row>
    <row r="1502" spans="4:4" ht="17.649999999999999" x14ac:dyDescent="0.5">
      <c r="D1502" s="3" t="s">
        <v>45</v>
      </c>
    </row>
    <row r="1503" spans="4:4" ht="17.649999999999999" x14ac:dyDescent="0.5">
      <c r="D1503" s="3" t="s">
        <v>56</v>
      </c>
    </row>
    <row r="1504" spans="4:4" ht="17.649999999999999" x14ac:dyDescent="0.5">
      <c r="D1504" s="3" t="s">
        <v>53</v>
      </c>
    </row>
    <row r="1505" spans="4:4" ht="17.649999999999999" x14ac:dyDescent="0.5">
      <c r="D1505" s="3" t="s">
        <v>65</v>
      </c>
    </row>
    <row r="1506" spans="4:4" ht="17.649999999999999" x14ac:dyDescent="0.5">
      <c r="D1506" s="3" t="s">
        <v>119</v>
      </c>
    </row>
    <row r="1507" spans="4:4" ht="17.649999999999999" x14ac:dyDescent="0.5">
      <c r="D1507" s="3" t="s">
        <v>89</v>
      </c>
    </row>
    <row r="1508" spans="4:4" ht="17.649999999999999" x14ac:dyDescent="0.5">
      <c r="D1508" s="3" t="s">
        <v>54</v>
      </c>
    </row>
    <row r="1509" spans="4:4" ht="17.649999999999999" x14ac:dyDescent="0.5">
      <c r="D1509" s="3" t="s">
        <v>110</v>
      </c>
    </row>
    <row r="1510" spans="4:4" ht="17.649999999999999" x14ac:dyDescent="0.5">
      <c r="D1510" s="3" t="s">
        <v>84</v>
      </c>
    </row>
    <row r="1511" spans="4:4" ht="17.649999999999999" x14ac:dyDescent="0.5">
      <c r="D1511" s="3" t="s">
        <v>73</v>
      </c>
    </row>
    <row r="1512" spans="4:4" ht="17.649999999999999" x14ac:dyDescent="0.5">
      <c r="D1512" s="3" t="s">
        <v>65</v>
      </c>
    </row>
    <row r="1513" spans="4:4" ht="17.649999999999999" x14ac:dyDescent="0.5">
      <c r="D1513" s="3" t="s">
        <v>98</v>
      </c>
    </row>
    <row r="1514" spans="4:4" ht="17.649999999999999" x14ac:dyDescent="0.5">
      <c r="D1514" s="3" t="s">
        <v>48</v>
      </c>
    </row>
    <row r="1515" spans="4:4" ht="17.649999999999999" x14ac:dyDescent="0.5">
      <c r="D1515" s="3" t="s">
        <v>66</v>
      </c>
    </row>
    <row r="1516" spans="4:4" ht="17.649999999999999" x14ac:dyDescent="0.5">
      <c r="D1516" s="3" t="s">
        <v>41</v>
      </c>
    </row>
    <row r="1517" spans="4:4" ht="17.649999999999999" x14ac:dyDescent="0.5">
      <c r="D1517" s="3" t="s">
        <v>67</v>
      </c>
    </row>
    <row r="1518" spans="4:4" ht="17.649999999999999" x14ac:dyDescent="0.5">
      <c r="D1518" s="3" t="s">
        <v>87</v>
      </c>
    </row>
    <row r="1519" spans="4:4" ht="17.649999999999999" x14ac:dyDescent="0.5">
      <c r="D1519" s="3" t="s">
        <v>53</v>
      </c>
    </row>
    <row r="1520" spans="4:4" ht="17.649999999999999" x14ac:dyDescent="0.5">
      <c r="D1520" s="3" t="s">
        <v>133</v>
      </c>
    </row>
    <row r="1521" spans="4:4" ht="17.649999999999999" x14ac:dyDescent="0.5">
      <c r="D1521" s="3" t="s">
        <v>103</v>
      </c>
    </row>
    <row r="1522" spans="4:4" ht="17.649999999999999" x14ac:dyDescent="0.5">
      <c r="D1522" s="3" t="s">
        <v>98</v>
      </c>
    </row>
    <row r="1523" spans="4:4" ht="17.649999999999999" x14ac:dyDescent="0.5">
      <c r="D1523" s="3" t="s">
        <v>61</v>
      </c>
    </row>
    <row r="1524" spans="4:4" ht="17.649999999999999" x14ac:dyDescent="0.5">
      <c r="D1524" s="3" t="s">
        <v>87</v>
      </c>
    </row>
    <row r="1525" spans="4:4" ht="17.649999999999999" x14ac:dyDescent="0.5">
      <c r="D1525" s="3" t="s">
        <v>55</v>
      </c>
    </row>
    <row r="1526" spans="4:4" ht="17.649999999999999" x14ac:dyDescent="0.5">
      <c r="D1526" s="3" t="s">
        <v>47</v>
      </c>
    </row>
    <row r="1527" spans="4:4" ht="17.649999999999999" x14ac:dyDescent="0.5">
      <c r="D1527" s="3" t="s">
        <v>106</v>
      </c>
    </row>
    <row r="1528" spans="4:4" ht="17.649999999999999" x14ac:dyDescent="0.5">
      <c r="D1528" s="3" t="s">
        <v>127</v>
      </c>
    </row>
    <row r="1529" spans="4:4" ht="17.649999999999999" x14ac:dyDescent="0.5">
      <c r="D1529" s="3" t="s">
        <v>86</v>
      </c>
    </row>
    <row r="1530" spans="4:4" ht="17.649999999999999" x14ac:dyDescent="0.5">
      <c r="D1530" s="3" t="s">
        <v>112</v>
      </c>
    </row>
    <row r="1531" spans="4:4" ht="17.649999999999999" x14ac:dyDescent="0.5">
      <c r="D1531" s="3" t="s">
        <v>64</v>
      </c>
    </row>
    <row r="1532" spans="4:4" ht="17.649999999999999" x14ac:dyDescent="0.5">
      <c r="D1532" s="3" t="s">
        <v>98</v>
      </c>
    </row>
    <row r="1533" spans="4:4" ht="17.649999999999999" x14ac:dyDescent="0.5">
      <c r="D1533" s="3" t="s">
        <v>113</v>
      </c>
    </row>
    <row r="1534" spans="4:4" ht="17.649999999999999" x14ac:dyDescent="0.5">
      <c r="D1534" s="3" t="s">
        <v>115</v>
      </c>
    </row>
    <row r="1535" spans="4:4" ht="17.649999999999999" x14ac:dyDescent="0.5">
      <c r="D1535" s="3" t="s">
        <v>98</v>
      </c>
    </row>
    <row r="1536" spans="4:4" ht="17.649999999999999" x14ac:dyDescent="0.5">
      <c r="D1536" s="3" t="s">
        <v>122</v>
      </c>
    </row>
    <row r="1537" spans="4:4" ht="17.649999999999999" x14ac:dyDescent="0.5">
      <c r="D1537" s="3" t="s">
        <v>62</v>
      </c>
    </row>
    <row r="1538" spans="4:4" ht="17.649999999999999" x14ac:dyDescent="0.5">
      <c r="D1538" s="3" t="s">
        <v>96</v>
      </c>
    </row>
    <row r="1539" spans="4:4" ht="17.649999999999999" x14ac:dyDescent="0.5">
      <c r="D1539" s="3" t="s">
        <v>80</v>
      </c>
    </row>
    <row r="1540" spans="4:4" ht="17.649999999999999" x14ac:dyDescent="0.5">
      <c r="D1540" s="3" t="s">
        <v>69</v>
      </c>
    </row>
    <row r="1541" spans="4:4" ht="17.649999999999999" x14ac:dyDescent="0.5">
      <c r="D1541" s="3" t="s">
        <v>61</v>
      </c>
    </row>
    <row r="1542" spans="4:4" ht="17.649999999999999" x14ac:dyDescent="0.5">
      <c r="D1542" s="3" t="s">
        <v>54</v>
      </c>
    </row>
    <row r="1543" spans="4:4" ht="17.649999999999999" x14ac:dyDescent="0.5">
      <c r="D1543" s="3" t="s">
        <v>112</v>
      </c>
    </row>
    <row r="1544" spans="4:4" ht="17.649999999999999" x14ac:dyDescent="0.5">
      <c r="D1544" s="3" t="s">
        <v>101</v>
      </c>
    </row>
    <row r="1545" spans="4:4" ht="17.649999999999999" x14ac:dyDescent="0.5">
      <c r="D1545" s="3" t="s">
        <v>80</v>
      </c>
    </row>
    <row r="1546" spans="4:4" ht="17.649999999999999" x14ac:dyDescent="0.5">
      <c r="D1546" s="3" t="s">
        <v>92</v>
      </c>
    </row>
    <row r="1547" spans="4:4" ht="17.649999999999999" x14ac:dyDescent="0.5">
      <c r="D1547" s="3" t="s">
        <v>62</v>
      </c>
    </row>
    <row r="1548" spans="4:4" ht="17.649999999999999" x14ac:dyDescent="0.5">
      <c r="D1548" s="3" t="s">
        <v>101</v>
      </c>
    </row>
    <row r="1549" spans="4:4" ht="17.649999999999999" x14ac:dyDescent="0.5">
      <c r="D1549" s="3" t="s">
        <v>92</v>
      </c>
    </row>
    <row r="1550" spans="4:4" ht="17.649999999999999" x14ac:dyDescent="0.5">
      <c r="D1550" s="3" t="s">
        <v>47</v>
      </c>
    </row>
    <row r="1551" spans="4:4" ht="17.649999999999999" x14ac:dyDescent="0.5">
      <c r="D1551" s="3" t="s">
        <v>103</v>
      </c>
    </row>
    <row r="1552" spans="4:4" ht="17.649999999999999" x14ac:dyDescent="0.5">
      <c r="D1552" s="3" t="s">
        <v>114</v>
      </c>
    </row>
    <row r="1553" spans="4:4" ht="17.649999999999999" x14ac:dyDescent="0.5">
      <c r="D1553" s="3" t="s">
        <v>97</v>
      </c>
    </row>
    <row r="1554" spans="4:4" ht="17.649999999999999" x14ac:dyDescent="0.5">
      <c r="D1554" s="3" t="s">
        <v>135</v>
      </c>
    </row>
    <row r="1555" spans="4:4" ht="17.649999999999999" x14ac:dyDescent="0.5">
      <c r="D1555" s="3" t="s">
        <v>45</v>
      </c>
    </row>
    <row r="1556" spans="4:4" ht="17.649999999999999" x14ac:dyDescent="0.5">
      <c r="D1556" s="3" t="s">
        <v>77</v>
      </c>
    </row>
    <row r="1557" spans="4:4" ht="17.649999999999999" x14ac:dyDescent="0.5">
      <c r="D1557" s="3" t="s">
        <v>87</v>
      </c>
    </row>
    <row r="1558" spans="4:4" ht="17.649999999999999" x14ac:dyDescent="0.5">
      <c r="D1558" s="3" t="s">
        <v>134</v>
      </c>
    </row>
    <row r="1559" spans="4:4" ht="17.649999999999999" x14ac:dyDescent="0.5">
      <c r="D1559" s="3" t="s">
        <v>50</v>
      </c>
    </row>
    <row r="1560" spans="4:4" ht="17.649999999999999" x14ac:dyDescent="0.5">
      <c r="D1560" s="3" t="s">
        <v>46</v>
      </c>
    </row>
    <row r="1561" spans="4:4" ht="17.649999999999999" x14ac:dyDescent="0.5">
      <c r="D1561" s="3" t="s">
        <v>65</v>
      </c>
    </row>
    <row r="1562" spans="4:4" ht="17.649999999999999" x14ac:dyDescent="0.5">
      <c r="D1562" s="3" t="s">
        <v>47</v>
      </c>
    </row>
    <row r="1563" spans="4:4" ht="17.649999999999999" x14ac:dyDescent="0.5">
      <c r="D1563" s="3" t="s">
        <v>120</v>
      </c>
    </row>
    <row r="1564" spans="4:4" ht="17.649999999999999" x14ac:dyDescent="0.5">
      <c r="D1564" s="3" t="s">
        <v>73</v>
      </c>
    </row>
    <row r="1565" spans="4:4" ht="17.649999999999999" x14ac:dyDescent="0.5">
      <c r="D1565" s="3" t="s">
        <v>47</v>
      </c>
    </row>
    <row r="1566" spans="4:4" ht="17.649999999999999" x14ac:dyDescent="0.5">
      <c r="D1566" s="3" t="s">
        <v>75</v>
      </c>
    </row>
    <row r="1567" spans="4:4" ht="17.649999999999999" x14ac:dyDescent="0.5">
      <c r="D1567" s="3" t="s">
        <v>60</v>
      </c>
    </row>
    <row r="1568" spans="4:4" ht="17.649999999999999" x14ac:dyDescent="0.5">
      <c r="D1568" s="3" t="s">
        <v>118</v>
      </c>
    </row>
    <row r="1569" spans="4:4" ht="17.649999999999999" x14ac:dyDescent="0.5">
      <c r="D1569" s="3" t="s">
        <v>96</v>
      </c>
    </row>
    <row r="1570" spans="4:4" ht="17.649999999999999" x14ac:dyDescent="0.5">
      <c r="D1570" s="3" t="s">
        <v>75</v>
      </c>
    </row>
    <row r="1571" spans="4:4" ht="17.649999999999999" x14ac:dyDescent="0.5">
      <c r="D1571" s="3" t="s">
        <v>43</v>
      </c>
    </row>
    <row r="1572" spans="4:4" ht="17.649999999999999" x14ac:dyDescent="0.5">
      <c r="D1572" s="3" t="s">
        <v>76</v>
      </c>
    </row>
    <row r="1573" spans="4:4" ht="17.649999999999999" x14ac:dyDescent="0.5">
      <c r="D1573" s="3" t="s">
        <v>61</v>
      </c>
    </row>
    <row r="1574" spans="4:4" ht="17.649999999999999" x14ac:dyDescent="0.5">
      <c r="D1574" s="3" t="s">
        <v>79</v>
      </c>
    </row>
    <row r="1575" spans="4:4" ht="17.649999999999999" x14ac:dyDescent="0.5">
      <c r="D1575" s="3" t="s">
        <v>117</v>
      </c>
    </row>
    <row r="1576" spans="4:4" ht="17.649999999999999" x14ac:dyDescent="0.5">
      <c r="D1576" s="3" t="s">
        <v>96</v>
      </c>
    </row>
    <row r="1577" spans="4:4" ht="17.649999999999999" x14ac:dyDescent="0.5">
      <c r="D1577" s="3" t="s">
        <v>80</v>
      </c>
    </row>
    <row r="1578" spans="4:4" ht="17.649999999999999" x14ac:dyDescent="0.5">
      <c r="D1578" s="3" t="s">
        <v>47</v>
      </c>
    </row>
    <row r="1579" spans="4:4" ht="17.649999999999999" x14ac:dyDescent="0.5">
      <c r="D1579" s="3" t="s">
        <v>130</v>
      </c>
    </row>
    <row r="1580" spans="4:4" ht="17.649999999999999" x14ac:dyDescent="0.5">
      <c r="D1580" s="3" t="s">
        <v>118</v>
      </c>
    </row>
    <row r="1581" spans="4:4" ht="17.649999999999999" x14ac:dyDescent="0.5">
      <c r="D1581" s="3" t="s">
        <v>68</v>
      </c>
    </row>
    <row r="1582" spans="4:4" ht="17.649999999999999" x14ac:dyDescent="0.5">
      <c r="D1582" s="3" t="s">
        <v>117</v>
      </c>
    </row>
    <row r="1583" spans="4:4" ht="17.649999999999999" x14ac:dyDescent="0.5">
      <c r="D1583" s="3" t="s">
        <v>105</v>
      </c>
    </row>
    <row r="1584" spans="4:4" ht="17.649999999999999" x14ac:dyDescent="0.5">
      <c r="D1584" s="3" t="s">
        <v>47</v>
      </c>
    </row>
    <row r="1585" spans="4:4" ht="17.649999999999999" x14ac:dyDescent="0.5">
      <c r="D1585" s="3" t="s">
        <v>94</v>
      </c>
    </row>
    <row r="1586" spans="4:4" ht="17.649999999999999" x14ac:dyDescent="0.5">
      <c r="D1586" s="3" t="s">
        <v>115</v>
      </c>
    </row>
    <row r="1587" spans="4:4" ht="17.649999999999999" x14ac:dyDescent="0.5">
      <c r="D1587" s="3" t="s">
        <v>56</v>
      </c>
    </row>
    <row r="1588" spans="4:4" ht="17.649999999999999" x14ac:dyDescent="0.5">
      <c r="D1588" s="3" t="s">
        <v>127</v>
      </c>
    </row>
    <row r="1589" spans="4:4" ht="17.649999999999999" x14ac:dyDescent="0.5">
      <c r="D1589" s="3" t="s">
        <v>88</v>
      </c>
    </row>
    <row r="1590" spans="4:4" ht="17.649999999999999" x14ac:dyDescent="0.5">
      <c r="D1590" s="3" t="s">
        <v>41</v>
      </c>
    </row>
    <row r="1591" spans="4:4" ht="17.649999999999999" x14ac:dyDescent="0.5">
      <c r="D1591" s="3" t="s">
        <v>84</v>
      </c>
    </row>
    <row r="1592" spans="4:4" ht="17.649999999999999" x14ac:dyDescent="0.5">
      <c r="D1592" s="3" t="s">
        <v>107</v>
      </c>
    </row>
    <row r="1593" spans="4:4" ht="17.649999999999999" x14ac:dyDescent="0.5">
      <c r="D1593" s="3" t="s">
        <v>132</v>
      </c>
    </row>
    <row r="1594" spans="4:4" ht="17.649999999999999" x14ac:dyDescent="0.5">
      <c r="D1594" s="3" t="s">
        <v>48</v>
      </c>
    </row>
    <row r="1595" spans="4:4" ht="17.649999999999999" x14ac:dyDescent="0.5">
      <c r="D1595" s="3" t="s">
        <v>42</v>
      </c>
    </row>
    <row r="1596" spans="4:4" ht="17.649999999999999" x14ac:dyDescent="0.5">
      <c r="D1596" s="3" t="s">
        <v>51</v>
      </c>
    </row>
    <row r="1597" spans="4:4" ht="17.649999999999999" x14ac:dyDescent="0.5">
      <c r="D1597" s="3" t="s">
        <v>46</v>
      </c>
    </row>
    <row r="1598" spans="4:4" ht="17.649999999999999" x14ac:dyDescent="0.5">
      <c r="D1598" s="3" t="s">
        <v>42</v>
      </c>
    </row>
    <row r="1599" spans="4:4" ht="17.649999999999999" x14ac:dyDescent="0.5">
      <c r="D1599" s="3" t="s">
        <v>52</v>
      </c>
    </row>
    <row r="1600" spans="4:4" ht="17.649999999999999" x14ac:dyDescent="0.5">
      <c r="D1600" s="3" t="s">
        <v>51</v>
      </c>
    </row>
    <row r="1601" spans="4:4" ht="17.649999999999999" x14ac:dyDescent="0.5">
      <c r="D1601" s="3" t="s">
        <v>66</v>
      </c>
    </row>
    <row r="1602" spans="4:4" ht="17.649999999999999" x14ac:dyDescent="0.5">
      <c r="D1602" s="3" t="s">
        <v>115</v>
      </c>
    </row>
    <row r="1603" spans="4:4" ht="17.649999999999999" x14ac:dyDescent="0.5">
      <c r="D1603" s="3" t="s">
        <v>56</v>
      </c>
    </row>
    <row r="1604" spans="4:4" ht="17.649999999999999" x14ac:dyDescent="0.5">
      <c r="D1604" s="3" t="s">
        <v>99</v>
      </c>
    </row>
    <row r="1605" spans="4:4" ht="17.649999999999999" x14ac:dyDescent="0.5">
      <c r="D1605" s="3" t="s">
        <v>78</v>
      </c>
    </row>
    <row r="1606" spans="4:4" ht="17.649999999999999" x14ac:dyDescent="0.5">
      <c r="D1606" s="3" t="s">
        <v>49</v>
      </c>
    </row>
    <row r="1607" spans="4:4" ht="17.649999999999999" x14ac:dyDescent="0.5">
      <c r="D1607" s="3" t="s">
        <v>63</v>
      </c>
    </row>
    <row r="1608" spans="4:4" ht="17.649999999999999" x14ac:dyDescent="0.5">
      <c r="D1608" s="3" t="s">
        <v>125</v>
      </c>
    </row>
    <row r="1609" spans="4:4" ht="17.649999999999999" x14ac:dyDescent="0.5">
      <c r="D1609" s="3" t="s">
        <v>67</v>
      </c>
    </row>
    <row r="1610" spans="4:4" ht="17.649999999999999" x14ac:dyDescent="0.5">
      <c r="D1610" s="3" t="s">
        <v>96</v>
      </c>
    </row>
    <row r="1611" spans="4:4" ht="17.649999999999999" x14ac:dyDescent="0.5">
      <c r="D1611" s="3" t="s">
        <v>52</v>
      </c>
    </row>
    <row r="1612" spans="4:4" ht="17.649999999999999" x14ac:dyDescent="0.5">
      <c r="D1612" s="3" t="s">
        <v>57</v>
      </c>
    </row>
    <row r="1613" spans="4:4" ht="17.649999999999999" x14ac:dyDescent="0.5">
      <c r="D1613" s="3" t="s">
        <v>46</v>
      </c>
    </row>
    <row r="1614" spans="4:4" ht="17.649999999999999" x14ac:dyDescent="0.5">
      <c r="D1614" s="3" t="s">
        <v>48</v>
      </c>
    </row>
    <row r="1615" spans="4:4" ht="17.649999999999999" x14ac:dyDescent="0.5">
      <c r="D1615" s="3" t="s">
        <v>74</v>
      </c>
    </row>
    <row r="1616" spans="4:4" ht="17.649999999999999" x14ac:dyDescent="0.5">
      <c r="D1616" s="3" t="s">
        <v>49</v>
      </c>
    </row>
    <row r="1617" spans="4:4" ht="17.649999999999999" x14ac:dyDescent="0.5">
      <c r="D1617" s="3" t="s">
        <v>50</v>
      </c>
    </row>
    <row r="1618" spans="4:4" ht="17.649999999999999" x14ac:dyDescent="0.5">
      <c r="D1618" s="3" t="s">
        <v>59</v>
      </c>
    </row>
    <row r="1619" spans="4:4" ht="17.649999999999999" x14ac:dyDescent="0.5">
      <c r="D1619" s="3" t="s">
        <v>51</v>
      </c>
    </row>
    <row r="1620" spans="4:4" ht="17.649999999999999" x14ac:dyDescent="0.5">
      <c r="D1620" s="3" t="s">
        <v>80</v>
      </c>
    </row>
    <row r="1621" spans="4:4" ht="17.649999999999999" x14ac:dyDescent="0.5">
      <c r="D1621" s="3" t="s">
        <v>61</v>
      </c>
    </row>
    <row r="1622" spans="4:4" ht="17.649999999999999" x14ac:dyDescent="0.5">
      <c r="D1622" s="3" t="s">
        <v>107</v>
      </c>
    </row>
    <row r="1623" spans="4:4" ht="17.649999999999999" x14ac:dyDescent="0.5">
      <c r="D1623" s="3" t="s">
        <v>101</v>
      </c>
    </row>
    <row r="1624" spans="4:4" ht="17.649999999999999" x14ac:dyDescent="0.5">
      <c r="D1624" s="3" t="s">
        <v>77</v>
      </c>
    </row>
    <row r="1625" spans="4:4" ht="17.649999999999999" x14ac:dyDescent="0.5">
      <c r="D1625" s="3" t="s">
        <v>90</v>
      </c>
    </row>
    <row r="1626" spans="4:4" ht="17.649999999999999" x14ac:dyDescent="0.5">
      <c r="D1626" s="3" t="s">
        <v>114</v>
      </c>
    </row>
    <row r="1627" spans="4:4" ht="17.649999999999999" x14ac:dyDescent="0.5">
      <c r="D1627" s="3" t="s">
        <v>64</v>
      </c>
    </row>
    <row r="1628" spans="4:4" ht="17.649999999999999" x14ac:dyDescent="0.5">
      <c r="D1628" s="3" t="s">
        <v>91</v>
      </c>
    </row>
    <row r="1629" spans="4:4" ht="17.649999999999999" x14ac:dyDescent="0.5">
      <c r="D1629" s="3" t="s">
        <v>50</v>
      </c>
    </row>
    <row r="1630" spans="4:4" ht="17.649999999999999" x14ac:dyDescent="0.5">
      <c r="D1630" s="3" t="s">
        <v>51</v>
      </c>
    </row>
    <row r="1631" spans="4:4" ht="17.649999999999999" x14ac:dyDescent="0.5">
      <c r="D1631" s="3" t="s">
        <v>107</v>
      </c>
    </row>
    <row r="1632" spans="4:4" ht="17.649999999999999" x14ac:dyDescent="0.5">
      <c r="D1632" s="3" t="s">
        <v>48</v>
      </c>
    </row>
    <row r="1633" spans="4:4" ht="17.649999999999999" x14ac:dyDescent="0.5">
      <c r="D1633" s="3" t="s">
        <v>124</v>
      </c>
    </row>
    <row r="1634" spans="4:4" ht="17.649999999999999" x14ac:dyDescent="0.5">
      <c r="D1634" s="3" t="s">
        <v>43</v>
      </c>
    </row>
    <row r="1635" spans="4:4" ht="17.649999999999999" x14ac:dyDescent="0.5">
      <c r="D1635" s="3" t="s">
        <v>44</v>
      </c>
    </row>
    <row r="1636" spans="4:4" ht="17.649999999999999" x14ac:dyDescent="0.5">
      <c r="D1636" s="3" t="s">
        <v>56</v>
      </c>
    </row>
    <row r="1637" spans="4:4" ht="17.649999999999999" x14ac:dyDescent="0.5">
      <c r="D1637" s="3" t="s">
        <v>83</v>
      </c>
    </row>
    <row r="1638" spans="4:4" ht="17.649999999999999" x14ac:dyDescent="0.5">
      <c r="D1638" s="3" t="s">
        <v>90</v>
      </c>
    </row>
    <row r="1639" spans="4:4" ht="17.649999999999999" x14ac:dyDescent="0.5">
      <c r="D1639" s="3" t="s">
        <v>53</v>
      </c>
    </row>
    <row r="1640" spans="4:4" ht="17.649999999999999" x14ac:dyDescent="0.5">
      <c r="D1640" s="3" t="s">
        <v>97</v>
      </c>
    </row>
    <row r="1641" spans="4:4" ht="17.649999999999999" x14ac:dyDescent="0.5">
      <c r="D1641" s="3" t="s">
        <v>66</v>
      </c>
    </row>
    <row r="1642" spans="4:4" ht="17.649999999999999" x14ac:dyDescent="0.5">
      <c r="D1642" s="3" t="s">
        <v>44</v>
      </c>
    </row>
    <row r="1643" spans="4:4" ht="17.649999999999999" x14ac:dyDescent="0.5">
      <c r="D1643" s="3" t="s">
        <v>92</v>
      </c>
    </row>
    <row r="1644" spans="4:4" ht="17.649999999999999" x14ac:dyDescent="0.5">
      <c r="D1644" s="3" t="s">
        <v>89</v>
      </c>
    </row>
    <row r="1645" spans="4:4" ht="17.649999999999999" x14ac:dyDescent="0.5">
      <c r="D1645" s="3" t="s">
        <v>81</v>
      </c>
    </row>
    <row r="1646" spans="4:4" ht="17.649999999999999" x14ac:dyDescent="0.5">
      <c r="D1646" s="3" t="s">
        <v>68</v>
      </c>
    </row>
    <row r="1647" spans="4:4" ht="17.649999999999999" x14ac:dyDescent="0.5">
      <c r="D1647" s="3" t="s">
        <v>129</v>
      </c>
    </row>
    <row r="1648" spans="4:4" ht="17.649999999999999" x14ac:dyDescent="0.5">
      <c r="D1648" s="3" t="s">
        <v>51</v>
      </c>
    </row>
    <row r="1649" spans="4:4" ht="17.649999999999999" x14ac:dyDescent="0.5">
      <c r="D1649" s="3" t="s">
        <v>66</v>
      </c>
    </row>
    <row r="1650" spans="4:4" ht="17.649999999999999" x14ac:dyDescent="0.5">
      <c r="D1650" s="3" t="s">
        <v>84</v>
      </c>
    </row>
    <row r="1651" spans="4:4" ht="17.649999999999999" x14ac:dyDescent="0.5">
      <c r="D1651" s="3" t="s">
        <v>55</v>
      </c>
    </row>
    <row r="1652" spans="4:4" ht="17.649999999999999" x14ac:dyDescent="0.5">
      <c r="D1652" s="3" t="s">
        <v>63</v>
      </c>
    </row>
    <row r="1653" spans="4:4" ht="17.649999999999999" x14ac:dyDescent="0.5">
      <c r="D1653" s="3" t="s">
        <v>131</v>
      </c>
    </row>
    <row r="1654" spans="4:4" ht="17.649999999999999" x14ac:dyDescent="0.5">
      <c r="D1654" s="3" t="s">
        <v>74</v>
      </c>
    </row>
    <row r="1655" spans="4:4" ht="17.649999999999999" x14ac:dyDescent="0.5">
      <c r="D1655" s="3" t="s">
        <v>68</v>
      </c>
    </row>
    <row r="1656" spans="4:4" ht="17.649999999999999" x14ac:dyDescent="0.5">
      <c r="D1656" s="3" t="s">
        <v>115</v>
      </c>
    </row>
    <row r="1657" spans="4:4" ht="17.649999999999999" x14ac:dyDescent="0.5">
      <c r="D1657" s="3" t="s">
        <v>80</v>
      </c>
    </row>
    <row r="1658" spans="4:4" ht="17.649999999999999" x14ac:dyDescent="0.5">
      <c r="D1658" s="3" t="s">
        <v>75</v>
      </c>
    </row>
    <row r="1659" spans="4:4" ht="17.649999999999999" x14ac:dyDescent="0.5">
      <c r="D1659" s="3" t="s">
        <v>50</v>
      </c>
    </row>
    <row r="1660" spans="4:4" ht="17.649999999999999" x14ac:dyDescent="0.5">
      <c r="D1660" s="3" t="s">
        <v>78</v>
      </c>
    </row>
    <row r="1661" spans="4:4" ht="17.649999999999999" x14ac:dyDescent="0.5">
      <c r="D1661" s="3" t="s">
        <v>64</v>
      </c>
    </row>
    <row r="1662" spans="4:4" ht="17.649999999999999" x14ac:dyDescent="0.5">
      <c r="D1662" s="3" t="s">
        <v>43</v>
      </c>
    </row>
    <row r="1663" spans="4:4" ht="17.649999999999999" x14ac:dyDescent="0.5">
      <c r="D1663" s="3" t="s">
        <v>101</v>
      </c>
    </row>
    <row r="1664" spans="4:4" ht="17.649999999999999" x14ac:dyDescent="0.5">
      <c r="D1664" s="3" t="s">
        <v>83</v>
      </c>
    </row>
    <row r="1665" spans="4:4" ht="17.649999999999999" x14ac:dyDescent="0.5">
      <c r="D1665" s="3" t="s">
        <v>89</v>
      </c>
    </row>
    <row r="1666" spans="4:4" ht="17.649999999999999" x14ac:dyDescent="0.5">
      <c r="D1666" s="3" t="s">
        <v>48</v>
      </c>
    </row>
    <row r="1667" spans="4:4" ht="17.649999999999999" x14ac:dyDescent="0.5">
      <c r="D1667" s="3" t="s">
        <v>105</v>
      </c>
    </row>
    <row r="1668" spans="4:4" ht="17.649999999999999" x14ac:dyDescent="0.5">
      <c r="D1668" s="3" t="s">
        <v>133</v>
      </c>
    </row>
    <row r="1669" spans="4:4" ht="17.649999999999999" x14ac:dyDescent="0.5">
      <c r="D1669" s="3" t="s">
        <v>44</v>
      </c>
    </row>
    <row r="1670" spans="4:4" ht="17.649999999999999" x14ac:dyDescent="0.5">
      <c r="D1670" s="3" t="s">
        <v>103</v>
      </c>
    </row>
    <row r="1671" spans="4:4" ht="17.649999999999999" x14ac:dyDescent="0.5">
      <c r="D1671" s="3" t="s">
        <v>102</v>
      </c>
    </row>
    <row r="1672" spans="4:4" ht="17.649999999999999" x14ac:dyDescent="0.5">
      <c r="D1672" s="3" t="s">
        <v>53</v>
      </c>
    </row>
    <row r="1673" spans="4:4" ht="17.649999999999999" x14ac:dyDescent="0.5">
      <c r="D1673" s="3" t="s">
        <v>80</v>
      </c>
    </row>
    <row r="1674" spans="4:4" ht="17.649999999999999" x14ac:dyDescent="0.5">
      <c r="D1674" s="3" t="s">
        <v>54</v>
      </c>
    </row>
    <row r="1675" spans="4:4" ht="17.649999999999999" x14ac:dyDescent="0.5">
      <c r="D1675" s="3" t="s">
        <v>113</v>
      </c>
    </row>
    <row r="1676" spans="4:4" ht="17.649999999999999" x14ac:dyDescent="0.5">
      <c r="D1676" s="3" t="s">
        <v>68</v>
      </c>
    </row>
    <row r="1677" spans="4:4" ht="17.649999999999999" x14ac:dyDescent="0.5">
      <c r="D1677" s="3" t="s">
        <v>97</v>
      </c>
    </row>
    <row r="1678" spans="4:4" ht="17.649999999999999" x14ac:dyDescent="0.5">
      <c r="D1678" s="3" t="s">
        <v>61</v>
      </c>
    </row>
    <row r="1679" spans="4:4" ht="17.649999999999999" x14ac:dyDescent="0.5">
      <c r="D1679" s="3" t="s">
        <v>73</v>
      </c>
    </row>
    <row r="1680" spans="4:4" ht="17.649999999999999" x14ac:dyDescent="0.5">
      <c r="D1680" s="3" t="s">
        <v>118</v>
      </c>
    </row>
    <row r="1681" spans="4:4" ht="17.649999999999999" x14ac:dyDescent="0.5">
      <c r="D1681" s="3" t="s">
        <v>66</v>
      </c>
    </row>
    <row r="1682" spans="4:4" ht="17.649999999999999" x14ac:dyDescent="0.5">
      <c r="D1682" s="3" t="s">
        <v>52</v>
      </c>
    </row>
    <row r="1683" spans="4:4" ht="17.649999999999999" x14ac:dyDescent="0.5">
      <c r="D1683" s="3" t="s">
        <v>90</v>
      </c>
    </row>
    <row r="1684" spans="4:4" ht="17.649999999999999" x14ac:dyDescent="0.5">
      <c r="D1684" s="3" t="s">
        <v>41</v>
      </c>
    </row>
    <row r="1685" spans="4:4" ht="17.649999999999999" x14ac:dyDescent="0.5">
      <c r="D1685" s="3" t="s">
        <v>107</v>
      </c>
    </row>
    <row r="1686" spans="4:4" ht="17.649999999999999" x14ac:dyDescent="0.5">
      <c r="D1686" s="3" t="s">
        <v>78</v>
      </c>
    </row>
    <row r="1687" spans="4:4" ht="17.649999999999999" x14ac:dyDescent="0.5">
      <c r="D1687" s="3" t="s">
        <v>52</v>
      </c>
    </row>
    <row r="1688" spans="4:4" ht="17.649999999999999" x14ac:dyDescent="0.5">
      <c r="D1688" s="3" t="s">
        <v>44</v>
      </c>
    </row>
    <row r="1689" spans="4:4" ht="17.649999999999999" x14ac:dyDescent="0.5">
      <c r="D1689" s="3" t="s">
        <v>105</v>
      </c>
    </row>
    <row r="1690" spans="4:4" ht="17.649999999999999" x14ac:dyDescent="0.5">
      <c r="D1690" s="3" t="s">
        <v>49</v>
      </c>
    </row>
    <row r="1691" spans="4:4" ht="17.649999999999999" x14ac:dyDescent="0.5">
      <c r="D1691" s="3" t="s">
        <v>46</v>
      </c>
    </row>
    <row r="1692" spans="4:4" ht="17.649999999999999" x14ac:dyDescent="0.5">
      <c r="D1692" s="3" t="s">
        <v>77</v>
      </c>
    </row>
    <row r="1693" spans="4:4" ht="17.649999999999999" x14ac:dyDescent="0.5">
      <c r="D1693" s="3" t="s">
        <v>83</v>
      </c>
    </row>
    <row r="1694" spans="4:4" ht="17.649999999999999" x14ac:dyDescent="0.5">
      <c r="D1694" s="3" t="s">
        <v>50</v>
      </c>
    </row>
    <row r="1695" spans="4:4" ht="17.649999999999999" x14ac:dyDescent="0.5">
      <c r="D1695" s="3" t="s">
        <v>84</v>
      </c>
    </row>
    <row r="1696" spans="4:4" ht="17.649999999999999" x14ac:dyDescent="0.5">
      <c r="D1696" s="3" t="s">
        <v>75</v>
      </c>
    </row>
    <row r="1697" spans="4:4" ht="17.649999999999999" x14ac:dyDescent="0.5">
      <c r="D1697" s="3" t="s">
        <v>63</v>
      </c>
    </row>
    <row r="1698" spans="4:4" ht="17.649999999999999" x14ac:dyDescent="0.5">
      <c r="D1698" s="3" t="s">
        <v>61</v>
      </c>
    </row>
    <row r="1699" spans="4:4" ht="17.649999999999999" x14ac:dyDescent="0.5">
      <c r="D1699" s="3" t="s">
        <v>80</v>
      </c>
    </row>
    <row r="1700" spans="4:4" ht="17.649999999999999" x14ac:dyDescent="0.5">
      <c r="D1700" s="3" t="s">
        <v>87</v>
      </c>
    </row>
    <row r="1701" spans="4:4" ht="17.649999999999999" x14ac:dyDescent="0.5">
      <c r="D1701" s="3" t="s">
        <v>41</v>
      </c>
    </row>
    <row r="1702" spans="4:4" ht="17.649999999999999" x14ac:dyDescent="0.5">
      <c r="D1702" s="3" t="s">
        <v>61</v>
      </c>
    </row>
    <row r="1703" spans="4:4" ht="17.649999999999999" x14ac:dyDescent="0.5">
      <c r="D1703" s="3" t="s">
        <v>91</v>
      </c>
    </row>
    <row r="1704" spans="4:4" ht="17.649999999999999" x14ac:dyDescent="0.5">
      <c r="D1704" s="3" t="s">
        <v>80</v>
      </c>
    </row>
    <row r="1705" spans="4:4" ht="17.649999999999999" x14ac:dyDescent="0.5">
      <c r="D1705" s="3" t="s">
        <v>128</v>
      </c>
    </row>
    <row r="1706" spans="4:4" ht="17.649999999999999" x14ac:dyDescent="0.5">
      <c r="D1706" s="3" t="s">
        <v>103</v>
      </c>
    </row>
    <row r="1707" spans="4:4" ht="17.649999999999999" x14ac:dyDescent="0.5">
      <c r="D1707" s="3" t="s">
        <v>112</v>
      </c>
    </row>
    <row r="1708" spans="4:4" ht="17.649999999999999" x14ac:dyDescent="0.5">
      <c r="D1708" s="3" t="s">
        <v>66</v>
      </c>
    </row>
    <row r="1709" spans="4:4" ht="17.649999999999999" x14ac:dyDescent="0.5">
      <c r="D1709" s="3" t="s">
        <v>112</v>
      </c>
    </row>
    <row r="1710" spans="4:4" ht="17.649999999999999" x14ac:dyDescent="0.5">
      <c r="D1710" s="3" t="s">
        <v>83</v>
      </c>
    </row>
    <row r="1711" spans="4:4" ht="17.649999999999999" x14ac:dyDescent="0.5">
      <c r="D1711" s="3" t="s">
        <v>80</v>
      </c>
    </row>
    <row r="1712" spans="4:4" ht="17.649999999999999" x14ac:dyDescent="0.5">
      <c r="D1712" s="3" t="s">
        <v>113</v>
      </c>
    </row>
    <row r="1713" spans="4:4" ht="17.649999999999999" x14ac:dyDescent="0.5">
      <c r="D1713" s="3" t="s">
        <v>47</v>
      </c>
    </row>
    <row r="1714" spans="4:4" ht="17.649999999999999" x14ac:dyDescent="0.5">
      <c r="D1714" s="3" t="s">
        <v>59</v>
      </c>
    </row>
    <row r="1715" spans="4:4" ht="17.649999999999999" x14ac:dyDescent="0.5">
      <c r="D1715" s="3" t="s">
        <v>115</v>
      </c>
    </row>
    <row r="1716" spans="4:4" ht="17.649999999999999" x14ac:dyDescent="0.5">
      <c r="D1716" s="3" t="s">
        <v>132</v>
      </c>
    </row>
    <row r="1717" spans="4:4" ht="17.649999999999999" x14ac:dyDescent="0.5">
      <c r="D1717" s="3" t="s">
        <v>94</v>
      </c>
    </row>
    <row r="1718" spans="4:4" ht="17.649999999999999" x14ac:dyDescent="0.5">
      <c r="D1718" s="3" t="s">
        <v>123</v>
      </c>
    </row>
    <row r="1719" spans="4:4" ht="17.649999999999999" x14ac:dyDescent="0.5">
      <c r="D1719" s="3" t="s">
        <v>50</v>
      </c>
    </row>
    <row r="1720" spans="4:4" ht="17.649999999999999" x14ac:dyDescent="0.5">
      <c r="D1720" s="3" t="s">
        <v>118</v>
      </c>
    </row>
    <row r="1721" spans="4:4" ht="17.649999999999999" x14ac:dyDescent="0.5">
      <c r="D1721" s="3" t="s">
        <v>103</v>
      </c>
    </row>
    <row r="1722" spans="4:4" ht="17.649999999999999" x14ac:dyDescent="0.5">
      <c r="D1722" s="3" t="s">
        <v>94</v>
      </c>
    </row>
    <row r="1723" spans="4:4" ht="17.649999999999999" x14ac:dyDescent="0.5">
      <c r="D1723" s="3" t="s">
        <v>73</v>
      </c>
    </row>
    <row r="1724" spans="4:4" ht="17.649999999999999" x14ac:dyDescent="0.5">
      <c r="D1724" s="3" t="s">
        <v>124</v>
      </c>
    </row>
    <row r="1725" spans="4:4" ht="17.649999999999999" x14ac:dyDescent="0.5">
      <c r="D1725" s="3" t="s">
        <v>47</v>
      </c>
    </row>
    <row r="1726" spans="4:4" ht="17.649999999999999" x14ac:dyDescent="0.5">
      <c r="D1726" s="3" t="s">
        <v>69</v>
      </c>
    </row>
    <row r="1727" spans="4:4" ht="17.649999999999999" x14ac:dyDescent="0.5">
      <c r="D1727" s="3" t="s">
        <v>120</v>
      </c>
    </row>
    <row r="1728" spans="4:4" ht="17.649999999999999" x14ac:dyDescent="0.5">
      <c r="D1728" s="3" t="s">
        <v>72</v>
      </c>
    </row>
    <row r="1729" spans="4:4" ht="17.649999999999999" x14ac:dyDescent="0.5">
      <c r="D1729" s="3" t="s">
        <v>88</v>
      </c>
    </row>
    <row r="1730" spans="4:4" ht="17.649999999999999" x14ac:dyDescent="0.5">
      <c r="D1730" s="3" t="s">
        <v>120</v>
      </c>
    </row>
    <row r="1731" spans="4:4" ht="17.649999999999999" x14ac:dyDescent="0.5">
      <c r="D1731" s="3" t="s">
        <v>64</v>
      </c>
    </row>
    <row r="1732" spans="4:4" ht="17.649999999999999" x14ac:dyDescent="0.5">
      <c r="D1732" s="3" t="s">
        <v>76</v>
      </c>
    </row>
    <row r="1733" spans="4:4" ht="17.649999999999999" x14ac:dyDescent="0.5">
      <c r="D1733" s="3" t="s">
        <v>52</v>
      </c>
    </row>
    <row r="1734" spans="4:4" ht="17.649999999999999" x14ac:dyDescent="0.5">
      <c r="D1734" s="3" t="s">
        <v>113</v>
      </c>
    </row>
    <row r="1735" spans="4:4" ht="17.649999999999999" x14ac:dyDescent="0.5">
      <c r="D1735" s="3" t="s">
        <v>78</v>
      </c>
    </row>
    <row r="1736" spans="4:4" ht="17.649999999999999" x14ac:dyDescent="0.5">
      <c r="D1736" s="3" t="s">
        <v>44</v>
      </c>
    </row>
    <row r="1737" spans="4:4" ht="17.649999999999999" x14ac:dyDescent="0.5">
      <c r="D1737" s="3" t="s">
        <v>81</v>
      </c>
    </row>
    <row r="1738" spans="4:4" ht="17.649999999999999" x14ac:dyDescent="0.5">
      <c r="D1738" s="3" t="s">
        <v>87</v>
      </c>
    </row>
    <row r="1739" spans="4:4" ht="17.649999999999999" x14ac:dyDescent="0.5">
      <c r="D1739" s="3" t="s">
        <v>116</v>
      </c>
    </row>
    <row r="1740" spans="4:4" ht="17.649999999999999" x14ac:dyDescent="0.5">
      <c r="D1740" s="3" t="s">
        <v>55</v>
      </c>
    </row>
    <row r="1741" spans="4:4" ht="17.649999999999999" x14ac:dyDescent="0.5">
      <c r="D1741" s="3" t="s">
        <v>54</v>
      </c>
    </row>
    <row r="1742" spans="4:4" ht="17.649999999999999" x14ac:dyDescent="0.5">
      <c r="D1742" s="3" t="s">
        <v>66</v>
      </c>
    </row>
    <row r="1743" spans="4:4" ht="17.649999999999999" x14ac:dyDescent="0.5">
      <c r="D1743" s="3" t="s">
        <v>50</v>
      </c>
    </row>
    <row r="1744" spans="4:4" ht="17.649999999999999" x14ac:dyDescent="0.5">
      <c r="D1744" s="3" t="s">
        <v>103</v>
      </c>
    </row>
    <row r="1745" spans="4:4" ht="17.649999999999999" x14ac:dyDescent="0.5">
      <c r="D1745" s="3" t="s">
        <v>73</v>
      </c>
    </row>
    <row r="1746" spans="4:4" ht="17.649999999999999" x14ac:dyDescent="0.5">
      <c r="D1746" s="3" t="s">
        <v>69</v>
      </c>
    </row>
    <row r="1747" spans="4:4" ht="17.649999999999999" x14ac:dyDescent="0.5">
      <c r="D1747" s="3" t="s">
        <v>67</v>
      </c>
    </row>
    <row r="1748" spans="4:4" ht="17.649999999999999" x14ac:dyDescent="0.5">
      <c r="D1748" s="3" t="s">
        <v>115</v>
      </c>
    </row>
    <row r="1749" spans="4:4" ht="17.649999999999999" x14ac:dyDescent="0.5">
      <c r="D1749" s="3" t="s">
        <v>47</v>
      </c>
    </row>
    <row r="1750" spans="4:4" ht="17.649999999999999" x14ac:dyDescent="0.5">
      <c r="D1750" s="3" t="s">
        <v>92</v>
      </c>
    </row>
    <row r="1751" spans="4:4" ht="17.649999999999999" x14ac:dyDescent="0.5">
      <c r="D1751" s="3" t="s">
        <v>75</v>
      </c>
    </row>
    <row r="1752" spans="4:4" ht="17.649999999999999" x14ac:dyDescent="0.5">
      <c r="D1752" s="3" t="s">
        <v>44</v>
      </c>
    </row>
    <row r="1753" spans="4:4" ht="17.649999999999999" x14ac:dyDescent="0.5">
      <c r="D1753" s="3" t="s">
        <v>68</v>
      </c>
    </row>
    <row r="1754" spans="4:4" ht="17.649999999999999" x14ac:dyDescent="0.5">
      <c r="D1754" s="3" t="s">
        <v>69</v>
      </c>
    </row>
    <row r="1755" spans="4:4" ht="17.649999999999999" x14ac:dyDescent="0.5">
      <c r="D1755" s="3" t="s">
        <v>44</v>
      </c>
    </row>
    <row r="1756" spans="4:4" ht="17.649999999999999" x14ac:dyDescent="0.5">
      <c r="D1756" s="3" t="s">
        <v>118</v>
      </c>
    </row>
    <row r="1757" spans="4:4" ht="17.649999999999999" x14ac:dyDescent="0.5">
      <c r="D1757" s="3" t="s">
        <v>96</v>
      </c>
    </row>
    <row r="1758" spans="4:4" ht="17.649999999999999" x14ac:dyDescent="0.5">
      <c r="D1758" s="3" t="s">
        <v>84</v>
      </c>
    </row>
    <row r="1759" spans="4:4" ht="17.649999999999999" x14ac:dyDescent="0.5">
      <c r="D1759" s="3" t="s">
        <v>43</v>
      </c>
    </row>
    <row r="1760" spans="4:4" ht="17.649999999999999" x14ac:dyDescent="0.5">
      <c r="D1760" s="3" t="s">
        <v>53</v>
      </c>
    </row>
    <row r="1761" spans="4:4" ht="17.649999999999999" x14ac:dyDescent="0.5">
      <c r="D1761" s="3" t="s">
        <v>87</v>
      </c>
    </row>
    <row r="1762" spans="4:4" ht="17.649999999999999" x14ac:dyDescent="0.5">
      <c r="D1762" s="3" t="s">
        <v>59</v>
      </c>
    </row>
    <row r="1763" spans="4:4" ht="17.649999999999999" x14ac:dyDescent="0.5">
      <c r="D1763" s="3" t="s">
        <v>117</v>
      </c>
    </row>
    <row r="1764" spans="4:4" ht="17.649999999999999" x14ac:dyDescent="0.5">
      <c r="D1764" s="3" t="s">
        <v>53</v>
      </c>
    </row>
    <row r="1765" spans="4:4" ht="17.649999999999999" x14ac:dyDescent="0.5">
      <c r="D1765" s="3" t="s">
        <v>91</v>
      </c>
    </row>
    <row r="1766" spans="4:4" ht="17.649999999999999" x14ac:dyDescent="0.5">
      <c r="D1766" s="3" t="s">
        <v>100</v>
      </c>
    </row>
    <row r="1767" spans="4:4" ht="17.649999999999999" x14ac:dyDescent="0.5">
      <c r="D1767" s="3" t="s">
        <v>77</v>
      </c>
    </row>
    <row r="1768" spans="4:4" ht="17.649999999999999" x14ac:dyDescent="0.5">
      <c r="D1768" s="3" t="s">
        <v>66</v>
      </c>
    </row>
    <row r="1769" spans="4:4" ht="17.649999999999999" x14ac:dyDescent="0.5">
      <c r="D1769" s="3" t="s">
        <v>59</v>
      </c>
    </row>
    <row r="1770" spans="4:4" ht="17.649999999999999" x14ac:dyDescent="0.5">
      <c r="D1770" s="3" t="s">
        <v>41</v>
      </c>
    </row>
    <row r="1771" spans="4:4" ht="17.649999999999999" x14ac:dyDescent="0.5">
      <c r="D1771" s="3" t="s">
        <v>96</v>
      </c>
    </row>
    <row r="1772" spans="4:4" ht="17.649999999999999" x14ac:dyDescent="0.5">
      <c r="D1772" s="3" t="s">
        <v>46</v>
      </c>
    </row>
    <row r="1773" spans="4:4" ht="17.649999999999999" x14ac:dyDescent="0.5">
      <c r="D1773" s="3" t="s">
        <v>98</v>
      </c>
    </row>
    <row r="1774" spans="4:4" ht="17.649999999999999" x14ac:dyDescent="0.5">
      <c r="D1774" s="3" t="s">
        <v>49</v>
      </c>
    </row>
    <row r="1775" spans="4:4" ht="17.649999999999999" x14ac:dyDescent="0.5">
      <c r="D1775" s="3" t="s">
        <v>63</v>
      </c>
    </row>
    <row r="1776" spans="4:4" ht="17.649999999999999" x14ac:dyDescent="0.5">
      <c r="D1776" s="3" t="s">
        <v>58</v>
      </c>
    </row>
    <row r="1777" spans="4:4" ht="17.649999999999999" x14ac:dyDescent="0.5">
      <c r="D1777" s="3" t="s">
        <v>70</v>
      </c>
    </row>
    <row r="1778" spans="4:4" ht="17.649999999999999" x14ac:dyDescent="0.5">
      <c r="D1778" s="3" t="s">
        <v>41</v>
      </c>
    </row>
    <row r="1779" spans="4:4" ht="17.649999999999999" x14ac:dyDescent="0.5">
      <c r="D1779" s="3" t="s">
        <v>46</v>
      </c>
    </row>
    <row r="1780" spans="4:4" ht="17.649999999999999" x14ac:dyDescent="0.5">
      <c r="D1780" s="3" t="s">
        <v>95</v>
      </c>
    </row>
    <row r="1781" spans="4:4" ht="17.649999999999999" x14ac:dyDescent="0.5">
      <c r="D1781" s="3" t="s">
        <v>84</v>
      </c>
    </row>
    <row r="1782" spans="4:4" ht="17.649999999999999" x14ac:dyDescent="0.5">
      <c r="D1782" s="3" t="s">
        <v>85</v>
      </c>
    </row>
    <row r="1783" spans="4:4" ht="17.649999999999999" x14ac:dyDescent="0.5">
      <c r="D1783" s="3" t="s">
        <v>63</v>
      </c>
    </row>
    <row r="1784" spans="4:4" ht="17.649999999999999" x14ac:dyDescent="0.5">
      <c r="D1784" s="3" t="s">
        <v>91</v>
      </c>
    </row>
    <row r="1785" spans="4:4" ht="17.649999999999999" x14ac:dyDescent="0.5">
      <c r="D1785" s="3" t="s">
        <v>122</v>
      </c>
    </row>
    <row r="1786" spans="4:4" ht="17.649999999999999" x14ac:dyDescent="0.5">
      <c r="D1786" s="3" t="s">
        <v>94</v>
      </c>
    </row>
    <row r="1787" spans="4:4" ht="17.649999999999999" x14ac:dyDescent="0.5">
      <c r="D1787" s="3" t="s">
        <v>55</v>
      </c>
    </row>
    <row r="1788" spans="4:4" ht="17.649999999999999" x14ac:dyDescent="0.5">
      <c r="D1788" s="3" t="s">
        <v>56</v>
      </c>
    </row>
    <row r="1789" spans="4:4" ht="17.649999999999999" x14ac:dyDescent="0.5">
      <c r="D1789" s="3" t="s">
        <v>118</v>
      </c>
    </row>
    <row r="1790" spans="4:4" ht="17.649999999999999" x14ac:dyDescent="0.5">
      <c r="D1790" s="3" t="s">
        <v>96</v>
      </c>
    </row>
    <row r="1791" spans="4:4" ht="17.649999999999999" x14ac:dyDescent="0.5">
      <c r="D1791" s="3" t="s">
        <v>52</v>
      </c>
    </row>
    <row r="1792" spans="4:4" ht="17.649999999999999" x14ac:dyDescent="0.5">
      <c r="D1792" s="3" t="s">
        <v>129</v>
      </c>
    </row>
    <row r="1793" spans="4:4" ht="17.649999999999999" x14ac:dyDescent="0.5">
      <c r="D1793" s="3" t="s">
        <v>90</v>
      </c>
    </row>
    <row r="1794" spans="4:4" ht="17.649999999999999" x14ac:dyDescent="0.5">
      <c r="D1794" s="3" t="s">
        <v>105</v>
      </c>
    </row>
    <row r="1795" spans="4:4" ht="17.649999999999999" x14ac:dyDescent="0.5">
      <c r="D1795" s="3" t="s">
        <v>76</v>
      </c>
    </row>
    <row r="1796" spans="4:4" ht="17.649999999999999" x14ac:dyDescent="0.5">
      <c r="D1796" s="3" t="s">
        <v>52</v>
      </c>
    </row>
    <row r="1797" spans="4:4" ht="17.649999999999999" x14ac:dyDescent="0.5">
      <c r="D1797" s="3" t="s">
        <v>48</v>
      </c>
    </row>
    <row r="1798" spans="4:4" ht="17.649999999999999" x14ac:dyDescent="0.5">
      <c r="D1798" s="3" t="s">
        <v>64</v>
      </c>
    </row>
    <row r="1799" spans="4:4" ht="17.649999999999999" x14ac:dyDescent="0.5">
      <c r="D1799" s="3" t="s">
        <v>117</v>
      </c>
    </row>
    <row r="1800" spans="4:4" ht="17.649999999999999" x14ac:dyDescent="0.5">
      <c r="D1800" s="3" t="s">
        <v>74</v>
      </c>
    </row>
    <row r="1801" spans="4:4" ht="17.649999999999999" x14ac:dyDescent="0.5">
      <c r="D1801" s="3" t="s">
        <v>92</v>
      </c>
    </row>
    <row r="1802" spans="4:4" ht="17.649999999999999" x14ac:dyDescent="0.5">
      <c r="D1802" s="3" t="s">
        <v>51</v>
      </c>
    </row>
    <row r="1803" spans="4:4" ht="17.649999999999999" x14ac:dyDescent="0.5">
      <c r="D1803" s="3" t="s">
        <v>94</v>
      </c>
    </row>
    <row r="1804" spans="4:4" ht="17.649999999999999" x14ac:dyDescent="0.5">
      <c r="D1804" s="3" t="s">
        <v>75</v>
      </c>
    </row>
    <row r="1805" spans="4:4" ht="17.649999999999999" x14ac:dyDescent="0.5">
      <c r="D1805" s="3" t="s">
        <v>107</v>
      </c>
    </row>
    <row r="1806" spans="4:4" ht="17.649999999999999" x14ac:dyDescent="0.5">
      <c r="D1806" s="3" t="s">
        <v>54</v>
      </c>
    </row>
    <row r="1807" spans="4:4" ht="17.649999999999999" x14ac:dyDescent="0.5">
      <c r="D1807" s="3" t="s">
        <v>106</v>
      </c>
    </row>
    <row r="1808" spans="4:4" ht="17.649999999999999" x14ac:dyDescent="0.5">
      <c r="D1808" s="3" t="s">
        <v>43</v>
      </c>
    </row>
    <row r="1809" spans="4:4" ht="17.649999999999999" x14ac:dyDescent="0.5">
      <c r="D1809" s="3" t="s">
        <v>48</v>
      </c>
    </row>
    <row r="1810" spans="4:4" ht="17.649999999999999" x14ac:dyDescent="0.5">
      <c r="D1810" s="3" t="s">
        <v>112</v>
      </c>
    </row>
    <row r="1811" spans="4:4" ht="17.649999999999999" x14ac:dyDescent="0.5">
      <c r="D1811" s="3" t="s">
        <v>85</v>
      </c>
    </row>
    <row r="1812" spans="4:4" ht="17.649999999999999" x14ac:dyDescent="0.5">
      <c r="D1812" s="3" t="s">
        <v>78</v>
      </c>
    </row>
    <row r="1813" spans="4:4" ht="17.649999999999999" x14ac:dyDescent="0.5">
      <c r="D1813" s="3" t="s">
        <v>123</v>
      </c>
    </row>
    <row r="1814" spans="4:4" ht="17.649999999999999" x14ac:dyDescent="0.5">
      <c r="D1814" s="3" t="s">
        <v>51</v>
      </c>
    </row>
    <row r="1815" spans="4:4" ht="17.649999999999999" x14ac:dyDescent="0.5">
      <c r="D1815" s="3" t="s">
        <v>117</v>
      </c>
    </row>
    <row r="1816" spans="4:4" ht="17.649999999999999" x14ac:dyDescent="0.5">
      <c r="D1816" s="3" t="s">
        <v>136</v>
      </c>
    </row>
    <row r="1817" spans="4:4" ht="17.649999999999999" x14ac:dyDescent="0.5">
      <c r="D1817" s="3" t="s">
        <v>98</v>
      </c>
    </row>
    <row r="1818" spans="4:4" ht="17.649999999999999" x14ac:dyDescent="0.5">
      <c r="D1818" s="3" t="s">
        <v>44</v>
      </c>
    </row>
    <row r="1819" spans="4:4" ht="17.649999999999999" x14ac:dyDescent="0.5">
      <c r="D1819" s="3" t="s">
        <v>91</v>
      </c>
    </row>
    <row r="1820" spans="4:4" ht="17.649999999999999" x14ac:dyDescent="0.5">
      <c r="D1820" s="3" t="s">
        <v>106</v>
      </c>
    </row>
    <row r="1821" spans="4:4" ht="17.649999999999999" x14ac:dyDescent="0.5">
      <c r="D1821" s="3" t="s">
        <v>80</v>
      </c>
    </row>
    <row r="1822" spans="4:4" ht="17.649999999999999" x14ac:dyDescent="0.5">
      <c r="D1822" s="3" t="s">
        <v>48</v>
      </c>
    </row>
    <row r="1823" spans="4:4" ht="17.649999999999999" x14ac:dyDescent="0.5">
      <c r="D1823" s="3" t="s">
        <v>83</v>
      </c>
    </row>
    <row r="1824" spans="4:4" ht="17.649999999999999" x14ac:dyDescent="0.5">
      <c r="D1824" s="3" t="s">
        <v>49</v>
      </c>
    </row>
    <row r="1825" spans="4:4" ht="17.649999999999999" x14ac:dyDescent="0.5">
      <c r="D1825" s="3" t="s">
        <v>71</v>
      </c>
    </row>
    <row r="1826" spans="4:4" ht="17.649999999999999" x14ac:dyDescent="0.5">
      <c r="D1826" s="3" t="s">
        <v>46</v>
      </c>
    </row>
    <row r="1827" spans="4:4" ht="17.649999999999999" x14ac:dyDescent="0.5">
      <c r="D1827" s="3" t="s">
        <v>44</v>
      </c>
    </row>
    <row r="1828" spans="4:4" ht="17.649999999999999" x14ac:dyDescent="0.5">
      <c r="D1828" s="3" t="s">
        <v>133</v>
      </c>
    </row>
    <row r="1829" spans="4:4" ht="17.649999999999999" x14ac:dyDescent="0.5">
      <c r="D1829" s="3" t="s">
        <v>85</v>
      </c>
    </row>
    <row r="1830" spans="4:4" ht="17.649999999999999" x14ac:dyDescent="0.5">
      <c r="D1830" s="3" t="s">
        <v>49</v>
      </c>
    </row>
    <row r="1831" spans="4:4" ht="17.649999999999999" x14ac:dyDescent="0.5">
      <c r="D1831" s="3" t="s">
        <v>58</v>
      </c>
    </row>
    <row r="1832" spans="4:4" ht="17.649999999999999" x14ac:dyDescent="0.5">
      <c r="D1832" s="3" t="s">
        <v>78</v>
      </c>
    </row>
    <row r="1833" spans="4:4" ht="17.649999999999999" x14ac:dyDescent="0.5">
      <c r="D1833" s="3" t="s">
        <v>98</v>
      </c>
    </row>
    <row r="1834" spans="4:4" ht="17.649999999999999" x14ac:dyDescent="0.5">
      <c r="D1834" s="3" t="s">
        <v>48</v>
      </c>
    </row>
    <row r="1835" spans="4:4" ht="17.649999999999999" x14ac:dyDescent="0.5">
      <c r="D1835" s="3" t="s">
        <v>136</v>
      </c>
    </row>
    <row r="1836" spans="4:4" ht="17.649999999999999" x14ac:dyDescent="0.5">
      <c r="D1836" s="3" t="s">
        <v>57</v>
      </c>
    </row>
    <row r="1837" spans="4:4" ht="17.649999999999999" x14ac:dyDescent="0.5">
      <c r="D1837" s="3" t="s">
        <v>55</v>
      </c>
    </row>
    <row r="1838" spans="4:4" ht="17.649999999999999" x14ac:dyDescent="0.5">
      <c r="D1838" s="3" t="s">
        <v>117</v>
      </c>
    </row>
    <row r="1839" spans="4:4" ht="17.649999999999999" x14ac:dyDescent="0.5">
      <c r="D1839" s="3" t="s">
        <v>56</v>
      </c>
    </row>
    <row r="1840" spans="4:4" ht="17.649999999999999" x14ac:dyDescent="0.5">
      <c r="D1840" s="3" t="s">
        <v>59</v>
      </c>
    </row>
    <row r="1841" spans="4:4" ht="17.649999999999999" x14ac:dyDescent="0.5">
      <c r="D1841" s="3" t="s">
        <v>112</v>
      </c>
    </row>
    <row r="1842" spans="4:4" ht="17.649999999999999" x14ac:dyDescent="0.5">
      <c r="D1842" s="3" t="s">
        <v>74</v>
      </c>
    </row>
    <row r="1843" spans="4:4" ht="17.649999999999999" x14ac:dyDescent="0.5">
      <c r="D1843" s="3" t="s">
        <v>53</v>
      </c>
    </row>
    <row r="1844" spans="4:4" ht="17.649999999999999" x14ac:dyDescent="0.5">
      <c r="D1844" s="3" t="s">
        <v>48</v>
      </c>
    </row>
    <row r="1845" spans="4:4" ht="17.649999999999999" x14ac:dyDescent="0.5">
      <c r="D1845" s="3" t="s">
        <v>46</v>
      </c>
    </row>
    <row r="1846" spans="4:4" ht="17.649999999999999" x14ac:dyDescent="0.5">
      <c r="D1846" s="3" t="s">
        <v>75</v>
      </c>
    </row>
    <row r="1847" spans="4:4" ht="17.649999999999999" x14ac:dyDescent="0.5">
      <c r="D1847" s="3" t="s">
        <v>107</v>
      </c>
    </row>
    <row r="1848" spans="4:4" ht="17.649999999999999" x14ac:dyDescent="0.5">
      <c r="D1848" s="3" t="s">
        <v>57</v>
      </c>
    </row>
    <row r="1849" spans="4:4" ht="17.649999999999999" x14ac:dyDescent="0.5">
      <c r="D1849" s="3" t="s">
        <v>68</v>
      </c>
    </row>
    <row r="1850" spans="4:4" ht="17.649999999999999" x14ac:dyDescent="0.5">
      <c r="D1850" s="3" t="s">
        <v>42</v>
      </c>
    </row>
    <row r="1851" spans="4:4" ht="17.649999999999999" x14ac:dyDescent="0.5">
      <c r="D1851" s="3" t="s">
        <v>91</v>
      </c>
    </row>
    <row r="1852" spans="4:4" ht="17.649999999999999" x14ac:dyDescent="0.5">
      <c r="D1852" s="3" t="s">
        <v>117</v>
      </c>
    </row>
    <row r="1853" spans="4:4" ht="17.649999999999999" x14ac:dyDescent="0.5">
      <c r="D1853" s="3" t="s">
        <v>100</v>
      </c>
    </row>
    <row r="1854" spans="4:4" ht="17.649999999999999" x14ac:dyDescent="0.5">
      <c r="D1854" s="3" t="s">
        <v>94</v>
      </c>
    </row>
    <row r="1855" spans="4:4" ht="17.649999999999999" x14ac:dyDescent="0.5">
      <c r="D1855" s="3" t="s">
        <v>80</v>
      </c>
    </row>
    <row r="1856" spans="4:4" ht="17.649999999999999" x14ac:dyDescent="0.5">
      <c r="D1856" s="3" t="s">
        <v>74</v>
      </c>
    </row>
    <row r="1857" spans="4:4" ht="17.649999999999999" x14ac:dyDescent="0.5">
      <c r="D1857" s="3" t="s">
        <v>41</v>
      </c>
    </row>
    <row r="1858" spans="4:4" ht="17.649999999999999" x14ac:dyDescent="0.5">
      <c r="D1858" s="3" t="s">
        <v>66</v>
      </c>
    </row>
    <row r="1859" spans="4:4" ht="17.649999999999999" x14ac:dyDescent="0.5">
      <c r="D1859" s="3" t="s">
        <v>50</v>
      </c>
    </row>
    <row r="1860" spans="4:4" ht="17.649999999999999" x14ac:dyDescent="0.5">
      <c r="D1860" s="3" t="s">
        <v>45</v>
      </c>
    </row>
    <row r="1861" spans="4:4" ht="17.649999999999999" x14ac:dyDescent="0.5">
      <c r="D1861" s="3" t="s">
        <v>78</v>
      </c>
    </row>
    <row r="1862" spans="4:4" ht="17.649999999999999" x14ac:dyDescent="0.5">
      <c r="D1862" s="3" t="s">
        <v>84</v>
      </c>
    </row>
    <row r="1863" spans="4:4" ht="17.649999999999999" x14ac:dyDescent="0.5">
      <c r="D1863" s="3" t="s">
        <v>101</v>
      </c>
    </row>
    <row r="1864" spans="4:4" ht="17.649999999999999" x14ac:dyDescent="0.5">
      <c r="D1864" s="3" t="s">
        <v>49</v>
      </c>
    </row>
    <row r="1865" spans="4:4" ht="17.649999999999999" x14ac:dyDescent="0.5">
      <c r="D1865" s="3" t="s">
        <v>67</v>
      </c>
    </row>
    <row r="1866" spans="4:4" ht="17.649999999999999" x14ac:dyDescent="0.5">
      <c r="D1866" s="3" t="s">
        <v>85</v>
      </c>
    </row>
    <row r="1867" spans="4:4" ht="17.649999999999999" x14ac:dyDescent="0.5">
      <c r="D1867" s="3" t="s">
        <v>55</v>
      </c>
    </row>
    <row r="1868" spans="4:4" ht="17.649999999999999" x14ac:dyDescent="0.5">
      <c r="D1868" s="3" t="s">
        <v>96</v>
      </c>
    </row>
    <row r="1869" spans="4:4" ht="17.649999999999999" x14ac:dyDescent="0.5">
      <c r="D1869" s="3" t="s">
        <v>62</v>
      </c>
    </row>
    <row r="1870" spans="4:4" ht="17.649999999999999" x14ac:dyDescent="0.5">
      <c r="D1870" s="3" t="s">
        <v>103</v>
      </c>
    </row>
    <row r="1871" spans="4:4" ht="17.649999999999999" x14ac:dyDescent="0.5">
      <c r="D1871" s="3" t="s">
        <v>46</v>
      </c>
    </row>
    <row r="1872" spans="4:4" ht="17.649999999999999" x14ac:dyDescent="0.5">
      <c r="D1872" s="3" t="s">
        <v>105</v>
      </c>
    </row>
    <row r="1873" spans="4:4" ht="17.649999999999999" x14ac:dyDescent="0.5">
      <c r="D1873" s="3" t="s">
        <v>101</v>
      </c>
    </row>
    <row r="1874" spans="4:4" ht="17.649999999999999" x14ac:dyDescent="0.5">
      <c r="D1874" s="3" t="s">
        <v>74</v>
      </c>
    </row>
    <row r="1875" spans="4:4" ht="17.649999999999999" x14ac:dyDescent="0.5">
      <c r="D1875" s="3" t="s">
        <v>94</v>
      </c>
    </row>
    <row r="1876" spans="4:4" ht="17.649999999999999" x14ac:dyDescent="0.5">
      <c r="D1876" s="3" t="s">
        <v>87</v>
      </c>
    </row>
    <row r="1877" spans="4:4" ht="17.649999999999999" x14ac:dyDescent="0.5">
      <c r="D1877" s="3" t="s">
        <v>134</v>
      </c>
    </row>
    <row r="1878" spans="4:4" ht="17.649999999999999" x14ac:dyDescent="0.5">
      <c r="D1878" s="3" t="s">
        <v>77</v>
      </c>
    </row>
    <row r="1879" spans="4:4" ht="17.649999999999999" x14ac:dyDescent="0.5">
      <c r="D1879" s="3" t="s">
        <v>73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51</v>
      </c>
    </row>
    <row r="1882" spans="4:4" ht="17.649999999999999" x14ac:dyDescent="0.5">
      <c r="D1882" s="3" t="s">
        <v>46</v>
      </c>
    </row>
    <row r="1883" spans="4:4" ht="17.649999999999999" x14ac:dyDescent="0.5">
      <c r="D1883" s="3" t="s">
        <v>69</v>
      </c>
    </row>
    <row r="1884" spans="4:4" ht="17.649999999999999" x14ac:dyDescent="0.5">
      <c r="D1884" s="3" t="s">
        <v>96</v>
      </c>
    </row>
    <row r="1885" spans="4:4" ht="17.649999999999999" x14ac:dyDescent="0.5">
      <c r="D1885" s="3" t="s">
        <v>49</v>
      </c>
    </row>
    <row r="1886" spans="4:4" ht="17.649999999999999" x14ac:dyDescent="0.5">
      <c r="D1886" s="3" t="s">
        <v>97</v>
      </c>
    </row>
    <row r="1887" spans="4:4" ht="17.649999999999999" x14ac:dyDescent="0.5">
      <c r="D1887" s="3" t="s">
        <v>112</v>
      </c>
    </row>
    <row r="1888" spans="4:4" ht="17.649999999999999" x14ac:dyDescent="0.5">
      <c r="D1888" s="3" t="s">
        <v>92</v>
      </c>
    </row>
    <row r="1889" spans="4:4" ht="17.649999999999999" x14ac:dyDescent="0.5">
      <c r="D1889" s="3" t="s">
        <v>64</v>
      </c>
    </row>
    <row r="1890" spans="4:4" ht="17.649999999999999" x14ac:dyDescent="0.5">
      <c r="D1890" s="3" t="s">
        <v>50</v>
      </c>
    </row>
    <row r="1891" spans="4:4" ht="17.649999999999999" x14ac:dyDescent="0.5">
      <c r="D1891" s="3" t="s">
        <v>52</v>
      </c>
    </row>
    <row r="1892" spans="4:4" ht="17.649999999999999" x14ac:dyDescent="0.5">
      <c r="D1892" s="3" t="s">
        <v>55</v>
      </c>
    </row>
    <row r="1893" spans="4:4" ht="17.649999999999999" x14ac:dyDescent="0.5">
      <c r="D1893" s="3" t="s">
        <v>129</v>
      </c>
    </row>
    <row r="1894" spans="4:4" ht="17.649999999999999" x14ac:dyDescent="0.5">
      <c r="D1894" s="3" t="s">
        <v>90</v>
      </c>
    </row>
    <row r="1895" spans="4:4" ht="17.649999999999999" x14ac:dyDescent="0.5">
      <c r="D1895" s="3" t="s">
        <v>103</v>
      </c>
    </row>
    <row r="1896" spans="4:4" ht="17.649999999999999" x14ac:dyDescent="0.5">
      <c r="D1896" s="3" t="s">
        <v>59</v>
      </c>
    </row>
    <row r="1897" spans="4:4" ht="17.649999999999999" x14ac:dyDescent="0.5">
      <c r="D1897" s="3" t="s">
        <v>43</v>
      </c>
    </row>
    <row r="1898" spans="4:4" ht="17.649999999999999" x14ac:dyDescent="0.5">
      <c r="D1898" s="3" t="s">
        <v>51</v>
      </c>
    </row>
    <row r="1899" spans="4:4" ht="17.649999999999999" x14ac:dyDescent="0.5">
      <c r="D1899" s="3" t="s">
        <v>78</v>
      </c>
    </row>
    <row r="1900" spans="4:4" ht="17.649999999999999" x14ac:dyDescent="0.5">
      <c r="D1900" s="3" t="s">
        <v>123</v>
      </c>
    </row>
    <row r="1901" spans="4:4" ht="17.649999999999999" x14ac:dyDescent="0.5">
      <c r="D1901" s="3" t="s">
        <v>81</v>
      </c>
    </row>
    <row r="1902" spans="4:4" ht="17.649999999999999" x14ac:dyDescent="0.5">
      <c r="D1902" s="3" t="s">
        <v>121</v>
      </c>
    </row>
    <row r="1903" spans="4:4" ht="17.649999999999999" x14ac:dyDescent="0.5">
      <c r="D1903" s="3" t="s">
        <v>76</v>
      </c>
    </row>
    <row r="1904" spans="4:4" ht="17.649999999999999" x14ac:dyDescent="0.5">
      <c r="D1904" s="3" t="s">
        <v>109</v>
      </c>
    </row>
    <row r="1905" spans="4:4" ht="17.649999999999999" x14ac:dyDescent="0.5">
      <c r="D1905" s="3" t="s">
        <v>103</v>
      </c>
    </row>
    <row r="1906" spans="4:4" ht="17.649999999999999" x14ac:dyDescent="0.5">
      <c r="D1906" s="3" t="s">
        <v>112</v>
      </c>
    </row>
    <row r="1907" spans="4:4" ht="17.649999999999999" x14ac:dyDescent="0.5">
      <c r="D1907" s="3" t="s">
        <v>133</v>
      </c>
    </row>
    <row r="1908" spans="4:4" ht="17.649999999999999" x14ac:dyDescent="0.5">
      <c r="D1908" s="3" t="s">
        <v>94</v>
      </c>
    </row>
    <row r="1909" spans="4:4" ht="17.649999999999999" x14ac:dyDescent="0.5">
      <c r="D1909" s="3" t="s">
        <v>57</v>
      </c>
    </row>
    <row r="1910" spans="4:4" ht="17.649999999999999" x14ac:dyDescent="0.5">
      <c r="D1910" s="3" t="s">
        <v>50</v>
      </c>
    </row>
    <row r="1911" spans="4:4" ht="17.649999999999999" x14ac:dyDescent="0.5">
      <c r="D1911" s="3" t="s">
        <v>91</v>
      </c>
    </row>
    <row r="1912" spans="4:4" ht="17.649999999999999" x14ac:dyDescent="0.5">
      <c r="D1912" s="3" t="s">
        <v>83</v>
      </c>
    </row>
    <row r="1913" spans="4:4" ht="17.649999999999999" x14ac:dyDescent="0.5">
      <c r="D1913" s="3" t="s">
        <v>57</v>
      </c>
    </row>
    <row r="1914" spans="4:4" ht="17.649999999999999" x14ac:dyDescent="0.5">
      <c r="D1914" s="3" t="s">
        <v>53</v>
      </c>
    </row>
    <row r="1915" spans="4:4" ht="17.649999999999999" x14ac:dyDescent="0.5">
      <c r="D1915" s="3" t="s">
        <v>80</v>
      </c>
    </row>
    <row r="1916" spans="4:4" ht="17.649999999999999" x14ac:dyDescent="0.5">
      <c r="D1916" s="3" t="s">
        <v>92</v>
      </c>
    </row>
    <row r="1917" spans="4:4" ht="17.649999999999999" x14ac:dyDescent="0.5">
      <c r="D1917" s="3" t="s">
        <v>66</v>
      </c>
    </row>
    <row r="1918" spans="4:4" ht="17.649999999999999" x14ac:dyDescent="0.5">
      <c r="D1918" s="3" t="s">
        <v>84</v>
      </c>
    </row>
    <row r="1919" spans="4:4" ht="17.649999999999999" x14ac:dyDescent="0.5">
      <c r="D1919" s="3" t="s">
        <v>55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57</v>
      </c>
    </row>
    <row r="1922" spans="4:4" ht="17.649999999999999" x14ac:dyDescent="0.5">
      <c r="D1922" s="3" t="s">
        <v>52</v>
      </c>
    </row>
    <row r="1923" spans="4:4" ht="17.649999999999999" x14ac:dyDescent="0.5">
      <c r="D1923" s="3" t="s">
        <v>92</v>
      </c>
    </row>
    <row r="1924" spans="4:4" ht="17.649999999999999" x14ac:dyDescent="0.5">
      <c r="D1924" s="3" t="s">
        <v>44</v>
      </c>
    </row>
    <row r="1925" spans="4:4" ht="17.649999999999999" x14ac:dyDescent="0.5">
      <c r="D1925" s="3" t="s">
        <v>70</v>
      </c>
    </row>
    <row r="1926" spans="4:4" ht="17.649999999999999" x14ac:dyDescent="0.5">
      <c r="D1926" s="3" t="s">
        <v>80</v>
      </c>
    </row>
    <row r="1927" spans="4:4" ht="17.649999999999999" x14ac:dyDescent="0.5">
      <c r="D1927" s="3" t="s">
        <v>78</v>
      </c>
    </row>
    <row r="1928" spans="4:4" ht="17.649999999999999" x14ac:dyDescent="0.5">
      <c r="D1928" s="3" t="s">
        <v>81</v>
      </c>
    </row>
    <row r="1929" spans="4:4" ht="17.649999999999999" x14ac:dyDescent="0.5">
      <c r="D1929" s="3" t="s">
        <v>65</v>
      </c>
    </row>
    <row r="1930" spans="4:4" ht="17.649999999999999" x14ac:dyDescent="0.5">
      <c r="D1930" s="3" t="s">
        <v>64</v>
      </c>
    </row>
    <row r="1931" spans="4:4" ht="17.649999999999999" x14ac:dyDescent="0.5">
      <c r="D1931" s="3" t="s">
        <v>115</v>
      </c>
    </row>
    <row r="1932" spans="4:4" ht="17.649999999999999" x14ac:dyDescent="0.5">
      <c r="D1932" s="3" t="s">
        <v>80</v>
      </c>
    </row>
    <row r="1933" spans="4:4" ht="17.649999999999999" x14ac:dyDescent="0.5">
      <c r="D1933" s="3" t="s">
        <v>47</v>
      </c>
    </row>
    <row r="1934" spans="4:4" ht="17.649999999999999" x14ac:dyDescent="0.5">
      <c r="D1934" s="3" t="s">
        <v>130</v>
      </c>
    </row>
    <row r="1935" spans="4:4" ht="17.649999999999999" x14ac:dyDescent="0.5">
      <c r="D1935" s="3" t="s">
        <v>52</v>
      </c>
    </row>
    <row r="1936" spans="4:4" ht="17.649999999999999" x14ac:dyDescent="0.5">
      <c r="D1936" s="3" t="s">
        <v>94</v>
      </c>
    </row>
    <row r="1937" spans="4:4" ht="17.649999999999999" x14ac:dyDescent="0.5">
      <c r="D1937" s="3" t="s">
        <v>92</v>
      </c>
    </row>
    <row r="1938" spans="4:4" ht="17.649999999999999" x14ac:dyDescent="0.5">
      <c r="D1938" s="3" t="s">
        <v>57</v>
      </c>
    </row>
    <row r="1939" spans="4:4" ht="17.649999999999999" x14ac:dyDescent="0.5">
      <c r="D1939" s="3" t="s">
        <v>63</v>
      </c>
    </row>
    <row r="1940" spans="4:4" ht="17.649999999999999" x14ac:dyDescent="0.5">
      <c r="D1940" s="3" t="s">
        <v>120</v>
      </c>
    </row>
    <row r="1941" spans="4:4" ht="17.649999999999999" x14ac:dyDescent="0.5">
      <c r="D1941" s="3" t="s">
        <v>61</v>
      </c>
    </row>
    <row r="1942" spans="4:4" ht="17.649999999999999" x14ac:dyDescent="0.5">
      <c r="D1942" s="3" t="s">
        <v>80</v>
      </c>
    </row>
    <row r="1943" spans="4:4" ht="17.649999999999999" x14ac:dyDescent="0.5">
      <c r="D1943" s="3" t="s">
        <v>96</v>
      </c>
    </row>
    <row r="1944" spans="4:4" ht="17.649999999999999" x14ac:dyDescent="0.5">
      <c r="D1944" s="3" t="s">
        <v>64</v>
      </c>
    </row>
    <row r="1945" spans="4:4" ht="17.649999999999999" x14ac:dyDescent="0.5">
      <c r="D1945" s="3" t="s">
        <v>92</v>
      </c>
    </row>
    <row r="1946" spans="4:4" ht="17.649999999999999" x14ac:dyDescent="0.5">
      <c r="D1946" s="3" t="s">
        <v>50</v>
      </c>
    </row>
    <row r="1947" spans="4:4" ht="17.649999999999999" x14ac:dyDescent="0.5">
      <c r="D1947" s="3" t="s">
        <v>103</v>
      </c>
    </row>
    <row r="1948" spans="4:4" ht="17.649999999999999" x14ac:dyDescent="0.5">
      <c r="D1948" s="3" t="s">
        <v>80</v>
      </c>
    </row>
    <row r="1949" spans="4:4" ht="17.649999999999999" x14ac:dyDescent="0.5">
      <c r="D1949" s="3" t="s">
        <v>121</v>
      </c>
    </row>
    <row r="1950" spans="4:4" ht="17.649999999999999" x14ac:dyDescent="0.5">
      <c r="D1950" s="3" t="s">
        <v>49</v>
      </c>
    </row>
    <row r="1951" spans="4:4" ht="17.649999999999999" x14ac:dyDescent="0.5">
      <c r="D1951" s="3" t="s">
        <v>44</v>
      </c>
    </row>
    <row r="1952" spans="4:4" ht="17.649999999999999" x14ac:dyDescent="0.5">
      <c r="D1952" s="3" t="s">
        <v>130</v>
      </c>
    </row>
    <row r="1953" spans="4:4" ht="17.649999999999999" x14ac:dyDescent="0.5">
      <c r="D1953" s="3" t="s">
        <v>79</v>
      </c>
    </row>
    <row r="1954" spans="4:4" ht="17.649999999999999" x14ac:dyDescent="0.5">
      <c r="D1954" s="3" t="s">
        <v>61</v>
      </c>
    </row>
    <row r="1955" spans="4:4" ht="17.649999999999999" x14ac:dyDescent="0.5">
      <c r="D1955" s="3" t="s">
        <v>97</v>
      </c>
    </row>
    <row r="1956" spans="4:4" ht="17.649999999999999" x14ac:dyDescent="0.5">
      <c r="D1956" s="3" t="s">
        <v>87</v>
      </c>
    </row>
    <row r="1957" spans="4:4" ht="17.649999999999999" x14ac:dyDescent="0.5">
      <c r="D1957" s="3" t="s">
        <v>92</v>
      </c>
    </row>
    <row r="1958" spans="4:4" ht="17.649999999999999" x14ac:dyDescent="0.5">
      <c r="D1958" s="3" t="s">
        <v>54</v>
      </c>
    </row>
    <row r="1959" spans="4:4" ht="17.649999999999999" x14ac:dyDescent="0.5">
      <c r="D1959" s="3" t="s">
        <v>61</v>
      </c>
    </row>
    <row r="1960" spans="4:4" ht="17.649999999999999" x14ac:dyDescent="0.5">
      <c r="D1960" s="3" t="s">
        <v>86</v>
      </c>
    </row>
    <row r="1961" spans="4:4" ht="17.649999999999999" x14ac:dyDescent="0.5">
      <c r="D1961" s="3" t="s">
        <v>75</v>
      </c>
    </row>
    <row r="1962" spans="4:4" ht="17.649999999999999" x14ac:dyDescent="0.5">
      <c r="D1962" s="3" t="s">
        <v>53</v>
      </c>
    </row>
    <row r="1963" spans="4:4" ht="17.649999999999999" x14ac:dyDescent="0.5">
      <c r="D1963" s="3" t="s">
        <v>44</v>
      </c>
    </row>
    <row r="1964" spans="4:4" ht="17.649999999999999" x14ac:dyDescent="0.5">
      <c r="D1964" s="3" t="s">
        <v>48</v>
      </c>
    </row>
    <row r="1965" spans="4:4" ht="17.649999999999999" x14ac:dyDescent="0.5">
      <c r="D1965" s="3" t="s">
        <v>95</v>
      </c>
    </row>
    <row r="1966" spans="4:4" ht="17.649999999999999" x14ac:dyDescent="0.5">
      <c r="D1966" s="3" t="s">
        <v>49</v>
      </c>
    </row>
    <row r="1967" spans="4:4" ht="17.649999999999999" x14ac:dyDescent="0.5">
      <c r="D1967" s="3" t="s">
        <v>123</v>
      </c>
    </row>
    <row r="1968" spans="4:4" ht="17.649999999999999" x14ac:dyDescent="0.5">
      <c r="D1968" s="3" t="s">
        <v>83</v>
      </c>
    </row>
    <row r="1969" spans="4:4" ht="17.649999999999999" x14ac:dyDescent="0.5">
      <c r="D1969" s="3" t="s">
        <v>81</v>
      </c>
    </row>
    <row r="1970" spans="4:4" ht="17.649999999999999" x14ac:dyDescent="0.5">
      <c r="D1970" s="3" t="s">
        <v>50</v>
      </c>
    </row>
    <row r="1971" spans="4:4" ht="17.649999999999999" x14ac:dyDescent="0.5">
      <c r="D1971" s="3" t="s">
        <v>90</v>
      </c>
    </row>
    <row r="1972" spans="4:4" ht="17.649999999999999" x14ac:dyDescent="0.5">
      <c r="D1972" s="3" t="s">
        <v>127</v>
      </c>
    </row>
    <row r="1973" spans="4:4" ht="17.649999999999999" x14ac:dyDescent="0.5">
      <c r="D1973" s="3" t="s">
        <v>59</v>
      </c>
    </row>
    <row r="1974" spans="4:4" ht="17.649999999999999" x14ac:dyDescent="0.5">
      <c r="D1974" s="3" t="s">
        <v>78</v>
      </c>
    </row>
    <row r="1975" spans="4:4" ht="17.649999999999999" x14ac:dyDescent="0.5">
      <c r="D1975" s="3" t="s">
        <v>53</v>
      </c>
    </row>
    <row r="1976" spans="4:4" ht="17.649999999999999" x14ac:dyDescent="0.5">
      <c r="D1976" s="3" t="s">
        <v>69</v>
      </c>
    </row>
    <row r="1977" spans="4:4" ht="17.649999999999999" x14ac:dyDescent="0.5">
      <c r="D1977" s="3" t="s">
        <v>115</v>
      </c>
    </row>
    <row r="1978" spans="4:4" ht="17.649999999999999" x14ac:dyDescent="0.5">
      <c r="D1978" s="3" t="s">
        <v>43</v>
      </c>
    </row>
    <row r="1979" spans="4:4" ht="17.649999999999999" x14ac:dyDescent="0.5">
      <c r="D1979" s="3" t="s">
        <v>119</v>
      </c>
    </row>
    <row r="1980" spans="4:4" ht="17.649999999999999" x14ac:dyDescent="0.5">
      <c r="D1980" s="3" t="s">
        <v>71</v>
      </c>
    </row>
    <row r="1981" spans="4:4" ht="17.649999999999999" x14ac:dyDescent="0.5">
      <c r="D1981" s="3" t="s">
        <v>80</v>
      </c>
    </row>
    <row r="1982" spans="4:4" ht="17.649999999999999" x14ac:dyDescent="0.5">
      <c r="D1982" s="3" t="s">
        <v>55</v>
      </c>
    </row>
    <row r="1983" spans="4:4" ht="17.649999999999999" x14ac:dyDescent="0.5">
      <c r="D1983" s="3" t="s">
        <v>50</v>
      </c>
    </row>
    <row r="1984" spans="4:4" ht="17.649999999999999" x14ac:dyDescent="0.5">
      <c r="D1984" s="3" t="s">
        <v>103</v>
      </c>
    </row>
    <row r="1985" spans="4:4" ht="17.649999999999999" x14ac:dyDescent="0.5">
      <c r="D1985" s="3" t="s">
        <v>94</v>
      </c>
    </row>
    <row r="1986" spans="4:4" ht="17.649999999999999" x14ac:dyDescent="0.5">
      <c r="D1986" s="3" t="s">
        <v>96</v>
      </c>
    </row>
    <row r="1987" spans="4:4" ht="17.649999999999999" x14ac:dyDescent="0.5">
      <c r="D1987" s="3" t="s">
        <v>91</v>
      </c>
    </row>
    <row r="1988" spans="4:4" ht="17.649999999999999" x14ac:dyDescent="0.5">
      <c r="D1988" s="3" t="s">
        <v>112</v>
      </c>
    </row>
    <row r="1989" spans="4:4" ht="17.649999999999999" x14ac:dyDescent="0.5">
      <c r="D1989" s="3" t="s">
        <v>57</v>
      </c>
    </row>
    <row r="1990" spans="4:4" ht="17.649999999999999" x14ac:dyDescent="0.5">
      <c r="D1990" s="3" t="s">
        <v>85</v>
      </c>
    </row>
    <row r="1991" spans="4:4" ht="17.649999999999999" x14ac:dyDescent="0.5">
      <c r="D1991" s="3" t="s">
        <v>106</v>
      </c>
    </row>
    <row r="1992" spans="4:4" ht="17.649999999999999" x14ac:dyDescent="0.5">
      <c r="D1992" s="3" t="s">
        <v>117</v>
      </c>
    </row>
    <row r="1993" spans="4:4" ht="17.649999999999999" x14ac:dyDescent="0.5">
      <c r="D1993" s="3" t="s">
        <v>85</v>
      </c>
    </row>
    <row r="1994" spans="4:4" ht="17.649999999999999" x14ac:dyDescent="0.5">
      <c r="D1994" s="3" t="s">
        <v>73</v>
      </c>
    </row>
    <row r="1995" spans="4:4" ht="17.649999999999999" x14ac:dyDescent="0.5">
      <c r="D1995" s="3" t="s">
        <v>77</v>
      </c>
    </row>
    <row r="1996" spans="4:4" ht="17.649999999999999" x14ac:dyDescent="0.5">
      <c r="D1996" s="3" t="s">
        <v>62</v>
      </c>
    </row>
    <row r="1997" spans="4:4" ht="17.649999999999999" x14ac:dyDescent="0.5">
      <c r="D1997" s="3" t="s">
        <v>134</v>
      </c>
    </row>
    <row r="1998" spans="4:4" ht="17.649999999999999" x14ac:dyDescent="0.5">
      <c r="D1998" s="3" t="s">
        <v>48</v>
      </c>
    </row>
    <row r="1999" spans="4:4" ht="17.649999999999999" x14ac:dyDescent="0.5">
      <c r="D1999" s="3" t="s">
        <v>48</v>
      </c>
    </row>
    <row r="2000" spans="4:4" ht="17.649999999999999" x14ac:dyDescent="0.5">
      <c r="D2000" s="3" t="s">
        <v>49</v>
      </c>
    </row>
    <row r="2001" spans="4:4" ht="17.649999999999999" x14ac:dyDescent="0.5">
      <c r="D2001" s="3" t="s">
        <v>136</v>
      </c>
    </row>
    <row r="2002" spans="4:4" ht="17.649999999999999" x14ac:dyDescent="0.5">
      <c r="D2002" s="3" t="s">
        <v>66</v>
      </c>
    </row>
    <row r="2003" spans="4:4" ht="17.649999999999999" x14ac:dyDescent="0.5">
      <c r="D2003" s="3" t="s">
        <v>74</v>
      </c>
    </row>
    <row r="2004" spans="4:4" ht="17.649999999999999" x14ac:dyDescent="0.5">
      <c r="D2004" s="3" t="s">
        <v>100</v>
      </c>
    </row>
    <row r="2005" spans="4:4" ht="17.649999999999999" x14ac:dyDescent="0.5">
      <c r="D2005" s="3" t="s">
        <v>82</v>
      </c>
    </row>
    <row r="2006" spans="4:4" ht="17.649999999999999" x14ac:dyDescent="0.5">
      <c r="D2006" s="3" t="s">
        <v>105</v>
      </c>
    </row>
    <row r="2007" spans="4:4" ht="17.649999999999999" x14ac:dyDescent="0.5">
      <c r="D2007" s="3" t="s">
        <v>67</v>
      </c>
    </row>
    <row r="2008" spans="4:4" ht="17.649999999999999" x14ac:dyDescent="0.5">
      <c r="D2008" s="3" t="s">
        <v>66</v>
      </c>
    </row>
    <row r="2009" spans="4:4" ht="17.649999999999999" x14ac:dyDescent="0.5">
      <c r="D2009" s="3" t="s">
        <v>117</v>
      </c>
    </row>
    <row r="2010" spans="4:4" ht="17.649999999999999" x14ac:dyDescent="0.5">
      <c r="D2010" s="3" t="s">
        <v>107</v>
      </c>
    </row>
    <row r="2011" spans="4:4" ht="17.649999999999999" x14ac:dyDescent="0.5">
      <c r="D2011" s="3" t="s">
        <v>108</v>
      </c>
    </row>
    <row r="2012" spans="4:4" ht="17.649999999999999" x14ac:dyDescent="0.5">
      <c r="D2012" s="3" t="s">
        <v>81</v>
      </c>
    </row>
    <row r="2013" spans="4:4" ht="17.649999999999999" x14ac:dyDescent="0.5">
      <c r="D2013" s="3" t="s">
        <v>41</v>
      </c>
    </row>
    <row r="2014" spans="4:4" ht="17.649999999999999" x14ac:dyDescent="0.5">
      <c r="D2014" s="3" t="s">
        <v>91</v>
      </c>
    </row>
    <row r="2015" spans="4:4" ht="17.649999999999999" x14ac:dyDescent="0.5">
      <c r="D2015" s="3" t="s">
        <v>117</v>
      </c>
    </row>
    <row r="2016" spans="4:4" ht="17.649999999999999" x14ac:dyDescent="0.5">
      <c r="D2016" s="3" t="s">
        <v>80</v>
      </c>
    </row>
    <row r="2017" spans="4:4" ht="17.649999999999999" x14ac:dyDescent="0.5">
      <c r="D2017" s="3" t="s">
        <v>80</v>
      </c>
    </row>
    <row r="2018" spans="4:4" ht="17.649999999999999" x14ac:dyDescent="0.5">
      <c r="D2018" s="3" t="s">
        <v>82</v>
      </c>
    </row>
    <row r="2019" spans="4:4" ht="17.649999999999999" x14ac:dyDescent="0.5">
      <c r="D2019" s="3" t="s">
        <v>68</v>
      </c>
    </row>
    <row r="2020" spans="4:4" ht="17.649999999999999" x14ac:dyDescent="0.5">
      <c r="D2020" s="3" t="s">
        <v>51</v>
      </c>
    </row>
    <row r="2021" spans="4:4" ht="17.649999999999999" x14ac:dyDescent="0.5">
      <c r="D2021" s="3" t="s">
        <v>66</v>
      </c>
    </row>
    <row r="2022" spans="4:4" ht="17.649999999999999" x14ac:dyDescent="0.5">
      <c r="D2022" s="3" t="s">
        <v>88</v>
      </c>
    </row>
    <row r="2023" spans="4:4" ht="17.649999999999999" x14ac:dyDescent="0.5">
      <c r="D2023" s="3" t="s">
        <v>105</v>
      </c>
    </row>
    <row r="2024" spans="4:4" ht="17.649999999999999" x14ac:dyDescent="0.5">
      <c r="D2024" s="3" t="s">
        <v>78</v>
      </c>
    </row>
    <row r="2025" spans="4:4" ht="17.649999999999999" x14ac:dyDescent="0.5">
      <c r="D2025" s="3" t="s">
        <v>74</v>
      </c>
    </row>
    <row r="2026" spans="4:4" ht="17.649999999999999" x14ac:dyDescent="0.5">
      <c r="D2026" s="3" t="s">
        <v>115</v>
      </c>
    </row>
    <row r="2027" spans="4:4" ht="17.649999999999999" x14ac:dyDescent="0.5">
      <c r="D2027" s="3" t="s">
        <v>64</v>
      </c>
    </row>
    <row r="2028" spans="4:4" ht="17.649999999999999" x14ac:dyDescent="0.5">
      <c r="D2028" s="3" t="s">
        <v>91</v>
      </c>
    </row>
    <row r="2029" spans="4:4" ht="17.649999999999999" x14ac:dyDescent="0.5">
      <c r="D2029" s="3" t="s">
        <v>44</v>
      </c>
    </row>
    <row r="2030" spans="4:4" ht="17.649999999999999" x14ac:dyDescent="0.5">
      <c r="D2030" s="3" t="s">
        <v>65</v>
      </c>
    </row>
    <row r="2031" spans="4:4" ht="17.649999999999999" x14ac:dyDescent="0.5">
      <c r="D2031" s="3" t="s">
        <v>87</v>
      </c>
    </row>
    <row r="2032" spans="4:4" ht="17.649999999999999" x14ac:dyDescent="0.5">
      <c r="D2032" s="3" t="s">
        <v>91</v>
      </c>
    </row>
    <row r="2033" spans="4:4" ht="17.649999999999999" x14ac:dyDescent="0.5">
      <c r="D2033" s="3" t="s">
        <v>72</v>
      </c>
    </row>
    <row r="2034" spans="4:4" ht="17.649999999999999" x14ac:dyDescent="0.5">
      <c r="D2034" s="3" t="s">
        <v>50</v>
      </c>
    </row>
    <row r="2035" spans="4:4" ht="17.649999999999999" x14ac:dyDescent="0.5">
      <c r="D2035" s="3" t="s">
        <v>81</v>
      </c>
    </row>
    <row r="2036" spans="4:4" ht="17.649999999999999" x14ac:dyDescent="0.5">
      <c r="D2036" s="3" t="s">
        <v>53</v>
      </c>
    </row>
    <row r="2037" spans="4:4" ht="17.649999999999999" x14ac:dyDescent="0.5">
      <c r="D2037" s="3" t="s">
        <v>105</v>
      </c>
    </row>
    <row r="2038" spans="4:4" ht="17.649999999999999" x14ac:dyDescent="0.5">
      <c r="D2038" s="3" t="s">
        <v>74</v>
      </c>
    </row>
    <row r="2039" spans="4:4" ht="17.649999999999999" x14ac:dyDescent="0.5">
      <c r="D2039" s="3" t="s">
        <v>112</v>
      </c>
    </row>
    <row r="2040" spans="4:4" ht="17.649999999999999" x14ac:dyDescent="0.5">
      <c r="D2040" s="3" t="s">
        <v>66</v>
      </c>
    </row>
    <row r="2041" spans="4:4" ht="17.649999999999999" x14ac:dyDescent="0.5">
      <c r="D2041" s="3" t="s">
        <v>53</v>
      </c>
    </row>
    <row r="2042" spans="4:4" ht="17.649999999999999" x14ac:dyDescent="0.5">
      <c r="D2042" s="3" t="s">
        <v>81</v>
      </c>
    </row>
    <row r="2043" spans="4:4" ht="17.649999999999999" x14ac:dyDescent="0.5">
      <c r="D2043" s="3" t="s">
        <v>51</v>
      </c>
    </row>
    <row r="2044" spans="4:4" ht="17.649999999999999" x14ac:dyDescent="0.5">
      <c r="D2044" s="3" t="s">
        <v>113</v>
      </c>
    </row>
    <row r="2045" spans="4:4" ht="17.649999999999999" x14ac:dyDescent="0.5">
      <c r="D2045" s="3" t="s">
        <v>56</v>
      </c>
    </row>
    <row r="2046" spans="4:4" ht="17.649999999999999" x14ac:dyDescent="0.5">
      <c r="D2046" s="3" t="s">
        <v>41</v>
      </c>
    </row>
    <row r="2047" spans="4:4" ht="17.649999999999999" x14ac:dyDescent="0.5">
      <c r="D2047" s="3" t="s">
        <v>98</v>
      </c>
    </row>
    <row r="2048" spans="4:4" ht="17.649999999999999" x14ac:dyDescent="0.5">
      <c r="D2048" s="3" t="s">
        <v>48</v>
      </c>
    </row>
    <row r="2049" spans="4:4" ht="17.649999999999999" x14ac:dyDescent="0.5">
      <c r="D2049" s="3" t="s">
        <v>43</v>
      </c>
    </row>
    <row r="2050" spans="4:4" ht="17.649999999999999" x14ac:dyDescent="0.5">
      <c r="D2050" s="3" t="s">
        <v>74</v>
      </c>
    </row>
    <row r="2051" spans="4:4" ht="17.649999999999999" x14ac:dyDescent="0.5">
      <c r="D2051" s="3" t="s">
        <v>44</v>
      </c>
    </row>
    <row r="2052" spans="4:4" ht="17.649999999999999" x14ac:dyDescent="0.5">
      <c r="D2052" s="3" t="s">
        <v>78</v>
      </c>
    </row>
    <row r="2053" spans="4:4" ht="17.649999999999999" x14ac:dyDescent="0.5">
      <c r="D2053" s="3" t="s">
        <v>71</v>
      </c>
    </row>
    <row r="2054" spans="4:4" ht="17.649999999999999" x14ac:dyDescent="0.5">
      <c r="D2054" s="3" t="s">
        <v>96</v>
      </c>
    </row>
    <row r="2055" spans="4:4" ht="17.649999999999999" x14ac:dyDescent="0.5">
      <c r="D2055" s="3" t="s">
        <v>65</v>
      </c>
    </row>
    <row r="2056" spans="4:4" ht="17.649999999999999" x14ac:dyDescent="0.5">
      <c r="D2056" s="3" t="s">
        <v>47</v>
      </c>
    </row>
    <row r="2057" spans="4:4" ht="17.649999999999999" x14ac:dyDescent="0.5">
      <c r="D2057" s="3" t="s">
        <v>59</v>
      </c>
    </row>
    <row r="2058" spans="4:4" ht="17.649999999999999" x14ac:dyDescent="0.5">
      <c r="D2058" s="3" t="s">
        <v>123</v>
      </c>
    </row>
    <row r="2059" spans="4:4" ht="17.649999999999999" x14ac:dyDescent="0.5">
      <c r="D2059" s="3" t="s">
        <v>41</v>
      </c>
    </row>
    <row r="2060" spans="4:4" ht="17.649999999999999" x14ac:dyDescent="0.5">
      <c r="D2060" s="3" t="s">
        <v>73</v>
      </c>
    </row>
    <row r="2061" spans="4:4" ht="17.649999999999999" x14ac:dyDescent="0.5">
      <c r="D2061" s="3" t="s">
        <v>97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141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331</v>
      </c>
      <c r="G13" s="2">
        <v>335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333</v>
      </c>
      <c r="G23" s="2">
        <v>333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47</v>
      </c>
      <c r="F31" s="2">
        <v>44</v>
      </c>
      <c r="G31" s="2">
        <v>37</v>
      </c>
      <c r="H31" s="2">
        <v>38</v>
      </c>
      <c r="I31" s="2">
        <v>44</v>
      </c>
      <c r="J31" s="2">
        <v>44</v>
      </c>
      <c r="K31" s="2">
        <v>33</v>
      </c>
      <c r="L31" s="2">
        <v>42</v>
      </c>
      <c r="M31" s="2">
        <v>45</v>
      </c>
      <c r="N31" s="2">
        <v>43</v>
      </c>
      <c r="O31" s="2">
        <v>42</v>
      </c>
      <c r="P31" s="2">
        <v>41</v>
      </c>
    </row>
    <row r="32" spans="4:16" x14ac:dyDescent="0.5">
      <c r="D32" s="2">
        <v>2</v>
      </c>
      <c r="E32" s="2">
        <v>41</v>
      </c>
      <c r="F32" s="2">
        <v>44</v>
      </c>
      <c r="G32" s="2">
        <v>48</v>
      </c>
      <c r="H32" s="2">
        <v>32</v>
      </c>
      <c r="I32" s="2">
        <v>42</v>
      </c>
      <c r="J32" s="2">
        <v>39</v>
      </c>
      <c r="K32" s="2">
        <v>43</v>
      </c>
      <c r="L32" s="2">
        <v>37</v>
      </c>
      <c r="M32" s="2">
        <v>46</v>
      </c>
      <c r="N32" s="2">
        <v>46</v>
      </c>
      <c r="O32" s="2">
        <v>33</v>
      </c>
      <c r="P32" s="2">
        <v>49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36</v>
      </c>
      <c r="F37" s="2">
        <v>39</v>
      </c>
      <c r="G37" s="2">
        <v>47</v>
      </c>
      <c r="H37" s="2">
        <v>45</v>
      </c>
      <c r="I37" s="2">
        <v>40</v>
      </c>
      <c r="J37" s="2">
        <v>39</v>
      </c>
      <c r="K37" s="2">
        <v>50</v>
      </c>
      <c r="L37" s="2">
        <v>41</v>
      </c>
      <c r="M37" s="2">
        <v>39</v>
      </c>
      <c r="N37" s="2">
        <v>40</v>
      </c>
      <c r="O37" s="2">
        <v>41</v>
      </c>
      <c r="P37" s="2">
        <v>43</v>
      </c>
    </row>
    <row r="38" spans="4:16" x14ac:dyDescent="0.5">
      <c r="D38" s="2">
        <v>2</v>
      </c>
      <c r="E38" s="2">
        <v>42</v>
      </c>
      <c r="F38" s="2">
        <v>39</v>
      </c>
      <c r="G38" s="2">
        <v>36</v>
      </c>
      <c r="H38" s="2">
        <v>51</v>
      </c>
      <c r="I38" s="2">
        <v>42</v>
      </c>
      <c r="J38" s="2">
        <v>44</v>
      </c>
      <c r="K38" s="2">
        <v>40</v>
      </c>
      <c r="L38" s="2">
        <v>46</v>
      </c>
      <c r="M38" s="2">
        <v>38</v>
      </c>
      <c r="N38" s="2">
        <v>37</v>
      </c>
      <c r="O38" s="2">
        <v>50</v>
      </c>
      <c r="P38" s="2">
        <v>35</v>
      </c>
    </row>
    <row r="39" spans="4:16" ht="17.649999999999999" x14ac:dyDescent="0.5">
      <c r="D39" s="3" t="s">
        <v>137</v>
      </c>
      <c r="E39">
        <f t="shared" ref="E39:P39" si="0">E31-E37</f>
        <v>11</v>
      </c>
      <c r="F39">
        <f t="shared" si="0"/>
        <v>5</v>
      </c>
      <c r="G39">
        <f t="shared" si="0"/>
        <v>-10</v>
      </c>
      <c r="H39">
        <f t="shared" si="0"/>
        <v>-7</v>
      </c>
      <c r="I39">
        <f t="shared" si="0"/>
        <v>4</v>
      </c>
      <c r="J39">
        <f t="shared" si="0"/>
        <v>5</v>
      </c>
      <c r="K39">
        <f t="shared" si="0"/>
        <v>-17</v>
      </c>
      <c r="L39">
        <f t="shared" si="0"/>
        <v>1</v>
      </c>
      <c r="M39">
        <f t="shared" si="0"/>
        <v>6</v>
      </c>
      <c r="N39">
        <f t="shared" si="0"/>
        <v>3</v>
      </c>
      <c r="O39">
        <f t="shared" si="0"/>
        <v>1</v>
      </c>
      <c r="P39">
        <f t="shared" si="0"/>
        <v>-2</v>
      </c>
    </row>
    <row r="40" spans="4:16" ht="17.649999999999999" x14ac:dyDescent="0.5">
      <c r="D40" s="3" t="s">
        <v>138</v>
      </c>
      <c r="E40">
        <f t="shared" ref="E40:P40" si="1">E32-E38</f>
        <v>-1</v>
      </c>
      <c r="F40">
        <f t="shared" si="1"/>
        <v>5</v>
      </c>
      <c r="G40">
        <f t="shared" si="1"/>
        <v>12</v>
      </c>
      <c r="H40">
        <f t="shared" si="1"/>
        <v>-19</v>
      </c>
      <c r="I40">
        <f t="shared" si="1"/>
        <v>0</v>
      </c>
      <c r="J40">
        <f t="shared" si="1"/>
        <v>-5</v>
      </c>
      <c r="K40">
        <f t="shared" si="1"/>
        <v>3</v>
      </c>
      <c r="L40">
        <f t="shared" si="1"/>
        <v>-9</v>
      </c>
      <c r="M40">
        <f t="shared" si="1"/>
        <v>8</v>
      </c>
      <c r="N40">
        <f t="shared" si="1"/>
        <v>9</v>
      </c>
      <c r="O40">
        <f t="shared" si="1"/>
        <v>-17</v>
      </c>
      <c r="P40">
        <f t="shared" si="1"/>
        <v>14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88</v>
      </c>
      <c r="F44" s="2">
        <v>88</v>
      </c>
      <c r="G44" s="2">
        <v>85</v>
      </c>
      <c r="H44" s="2">
        <v>70</v>
      </c>
      <c r="I44" s="2">
        <v>86</v>
      </c>
      <c r="J44" s="2">
        <v>83</v>
      </c>
      <c r="K44" s="2">
        <v>76</v>
      </c>
      <c r="L44" s="2">
        <v>79</v>
      </c>
      <c r="M44" s="2">
        <v>91</v>
      </c>
      <c r="N44" s="2">
        <v>89</v>
      </c>
      <c r="O44" s="2">
        <v>75</v>
      </c>
      <c r="P44" s="2">
        <v>90</v>
      </c>
    </row>
    <row r="45" spans="4:16" x14ac:dyDescent="0.5">
      <c r="D45" s="2" t="s">
        <v>28</v>
      </c>
      <c r="E45" s="2">
        <v>78</v>
      </c>
      <c r="F45" s="2">
        <v>78</v>
      </c>
      <c r="G45" s="2">
        <v>83</v>
      </c>
      <c r="H45" s="2">
        <v>96</v>
      </c>
      <c r="I45" s="2">
        <v>82</v>
      </c>
      <c r="J45" s="2">
        <v>83</v>
      </c>
      <c r="K45" s="2">
        <v>90</v>
      </c>
      <c r="L45" s="2">
        <v>87</v>
      </c>
      <c r="M45" s="2">
        <v>77</v>
      </c>
      <c r="N45" s="2">
        <v>77</v>
      </c>
      <c r="O45" s="2">
        <v>91</v>
      </c>
      <c r="P45" s="2">
        <v>78</v>
      </c>
    </row>
    <row r="46" spans="4:16" x14ac:dyDescent="0.5">
      <c r="D46" s="2" t="s">
        <v>30</v>
      </c>
      <c r="E46" s="2">
        <v>10</v>
      </c>
      <c r="F46" s="2">
        <v>10</v>
      </c>
      <c r="G46" s="2">
        <v>2</v>
      </c>
      <c r="H46" s="2">
        <v>-26</v>
      </c>
      <c r="I46" s="2">
        <v>4</v>
      </c>
      <c r="J46" s="2">
        <v>0</v>
      </c>
      <c r="K46" s="2">
        <v>-14</v>
      </c>
      <c r="L46" s="2">
        <v>-8</v>
      </c>
      <c r="M46" s="2">
        <v>14</v>
      </c>
      <c r="N46" s="2">
        <v>12</v>
      </c>
      <c r="O46" s="2">
        <v>-16</v>
      </c>
      <c r="P46" s="2">
        <v>12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331</v>
      </c>
      <c r="H51" s="2">
        <v>335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333</v>
      </c>
      <c r="H52" s="2">
        <v>333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-2</v>
      </c>
      <c r="H53" s="2">
        <v>2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91</v>
      </c>
      <c r="G56" s="2">
        <v>507</v>
      </c>
      <c r="H56" s="2">
        <v>807</v>
      </c>
      <c r="I56" s="2">
        <v>488</v>
      </c>
      <c r="J56" s="2">
        <v>102</v>
      </c>
      <c r="K56" s="2">
        <v>3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142</v>
      </c>
    </row>
    <row r="61" spans="4:11" ht="17.649999999999999" x14ac:dyDescent="0.5">
      <c r="D61" s="3" t="s">
        <v>143</v>
      </c>
    </row>
    <row r="62" spans="4:11" ht="17.649999999999999" x14ac:dyDescent="0.5">
      <c r="D62" s="3" t="s">
        <v>75</v>
      </c>
    </row>
    <row r="63" spans="4:11" ht="17.649999999999999" x14ac:dyDescent="0.5">
      <c r="D63" s="3" t="s">
        <v>53</v>
      </c>
    </row>
    <row r="64" spans="4:11" ht="17.649999999999999" x14ac:dyDescent="0.5">
      <c r="D64" s="3" t="s">
        <v>122</v>
      </c>
    </row>
    <row r="65" spans="4:4" ht="17.649999999999999" x14ac:dyDescent="0.5">
      <c r="D65" s="3" t="s">
        <v>107</v>
      </c>
    </row>
    <row r="66" spans="4:4" ht="17.649999999999999" x14ac:dyDescent="0.5">
      <c r="D66" s="3" t="s">
        <v>61</v>
      </c>
    </row>
    <row r="67" spans="4:4" ht="17.649999999999999" x14ac:dyDescent="0.5">
      <c r="D67" s="3" t="s">
        <v>77</v>
      </c>
    </row>
    <row r="68" spans="4:4" ht="17.649999999999999" x14ac:dyDescent="0.5">
      <c r="D68" s="3" t="s">
        <v>68</v>
      </c>
    </row>
    <row r="69" spans="4:4" ht="17.649999999999999" x14ac:dyDescent="0.5">
      <c r="D69" s="3" t="s">
        <v>55</v>
      </c>
    </row>
    <row r="70" spans="4:4" ht="17.649999999999999" x14ac:dyDescent="0.5">
      <c r="D70" s="3" t="s">
        <v>64</v>
      </c>
    </row>
    <row r="71" spans="4:4" ht="17.649999999999999" x14ac:dyDescent="0.5">
      <c r="D71" s="3" t="s">
        <v>42</v>
      </c>
    </row>
    <row r="72" spans="4:4" ht="17.649999999999999" x14ac:dyDescent="0.5">
      <c r="D72" s="3" t="s">
        <v>61</v>
      </c>
    </row>
    <row r="73" spans="4:4" ht="17.649999999999999" x14ac:dyDescent="0.5">
      <c r="D73" s="3" t="s">
        <v>43</v>
      </c>
    </row>
    <row r="74" spans="4:4" ht="17.649999999999999" x14ac:dyDescent="0.5">
      <c r="D74" s="3" t="s">
        <v>73</v>
      </c>
    </row>
    <row r="75" spans="4:4" ht="17.649999999999999" x14ac:dyDescent="0.5">
      <c r="D75" s="3" t="s">
        <v>57</v>
      </c>
    </row>
    <row r="76" spans="4:4" ht="17.649999999999999" x14ac:dyDescent="0.5">
      <c r="D76" s="3" t="s">
        <v>111</v>
      </c>
    </row>
    <row r="77" spans="4:4" ht="17.649999999999999" x14ac:dyDescent="0.5">
      <c r="D77" s="3" t="s">
        <v>130</v>
      </c>
    </row>
    <row r="78" spans="4:4" ht="17.649999999999999" x14ac:dyDescent="0.5">
      <c r="D78" s="3" t="s">
        <v>50</v>
      </c>
    </row>
    <row r="79" spans="4:4" ht="17.649999999999999" x14ac:dyDescent="0.5">
      <c r="D79" s="3" t="s">
        <v>44</v>
      </c>
    </row>
    <row r="80" spans="4:4" ht="17.649999999999999" x14ac:dyDescent="0.5">
      <c r="D80" s="3" t="s">
        <v>42</v>
      </c>
    </row>
    <row r="81" spans="4:4" ht="17.649999999999999" x14ac:dyDescent="0.5">
      <c r="D81" s="3" t="s">
        <v>98</v>
      </c>
    </row>
    <row r="82" spans="4:4" ht="17.649999999999999" x14ac:dyDescent="0.5">
      <c r="D82" s="3" t="s">
        <v>107</v>
      </c>
    </row>
    <row r="83" spans="4:4" ht="17.649999999999999" x14ac:dyDescent="0.5">
      <c r="D83" s="3" t="s">
        <v>103</v>
      </c>
    </row>
    <row r="84" spans="4:4" ht="17.649999999999999" x14ac:dyDescent="0.5">
      <c r="D84" s="3" t="s">
        <v>110</v>
      </c>
    </row>
    <row r="85" spans="4:4" ht="17.649999999999999" x14ac:dyDescent="0.5">
      <c r="D85" s="3" t="s">
        <v>106</v>
      </c>
    </row>
    <row r="86" spans="4:4" ht="17.649999999999999" x14ac:dyDescent="0.5">
      <c r="D86" s="3" t="s">
        <v>56</v>
      </c>
    </row>
    <row r="87" spans="4:4" ht="17.649999999999999" x14ac:dyDescent="0.5">
      <c r="D87" s="3" t="s">
        <v>53</v>
      </c>
    </row>
    <row r="88" spans="4:4" ht="17.649999999999999" x14ac:dyDescent="0.5">
      <c r="D88" s="3" t="s">
        <v>92</v>
      </c>
    </row>
    <row r="89" spans="4:4" ht="17.649999999999999" x14ac:dyDescent="0.5">
      <c r="D89" s="3" t="s">
        <v>54</v>
      </c>
    </row>
    <row r="90" spans="4:4" ht="17.649999999999999" x14ac:dyDescent="0.5">
      <c r="D90" s="3" t="s">
        <v>53</v>
      </c>
    </row>
    <row r="91" spans="4:4" ht="17.649999999999999" x14ac:dyDescent="0.5">
      <c r="D91" s="3" t="s">
        <v>46</v>
      </c>
    </row>
    <row r="92" spans="4:4" ht="17.649999999999999" x14ac:dyDescent="0.5">
      <c r="D92" s="3" t="s">
        <v>68</v>
      </c>
    </row>
    <row r="93" spans="4:4" ht="17.649999999999999" x14ac:dyDescent="0.5">
      <c r="D93" s="3" t="s">
        <v>99</v>
      </c>
    </row>
    <row r="94" spans="4:4" ht="17.649999999999999" x14ac:dyDescent="0.5">
      <c r="D94" s="3" t="s">
        <v>45</v>
      </c>
    </row>
    <row r="95" spans="4:4" ht="17.649999999999999" x14ac:dyDescent="0.5">
      <c r="D95" s="3" t="s">
        <v>112</v>
      </c>
    </row>
    <row r="96" spans="4:4" ht="17.649999999999999" x14ac:dyDescent="0.5">
      <c r="D96" s="3" t="s">
        <v>133</v>
      </c>
    </row>
    <row r="97" spans="4:4" ht="17.649999999999999" x14ac:dyDescent="0.5">
      <c r="D97" s="3" t="s">
        <v>118</v>
      </c>
    </row>
    <row r="98" spans="4:4" ht="17.649999999999999" x14ac:dyDescent="0.5">
      <c r="D98" s="3" t="s">
        <v>86</v>
      </c>
    </row>
    <row r="99" spans="4:4" ht="17.649999999999999" x14ac:dyDescent="0.5">
      <c r="D99" s="3" t="s">
        <v>85</v>
      </c>
    </row>
    <row r="100" spans="4:4" ht="17.649999999999999" x14ac:dyDescent="0.5">
      <c r="D100" s="3" t="s">
        <v>87</v>
      </c>
    </row>
    <row r="101" spans="4:4" ht="17.649999999999999" x14ac:dyDescent="0.5">
      <c r="D101" s="3" t="s">
        <v>44</v>
      </c>
    </row>
    <row r="102" spans="4:4" ht="17.649999999999999" x14ac:dyDescent="0.5">
      <c r="D102" s="3" t="s">
        <v>59</v>
      </c>
    </row>
    <row r="103" spans="4:4" ht="17.649999999999999" x14ac:dyDescent="0.5">
      <c r="D103" s="3" t="s">
        <v>107</v>
      </c>
    </row>
    <row r="104" spans="4:4" ht="17.649999999999999" x14ac:dyDescent="0.5">
      <c r="D104" s="3" t="s">
        <v>112</v>
      </c>
    </row>
    <row r="105" spans="4:4" ht="17.649999999999999" x14ac:dyDescent="0.5">
      <c r="D105" s="3" t="s">
        <v>117</v>
      </c>
    </row>
    <row r="106" spans="4:4" ht="17.649999999999999" x14ac:dyDescent="0.5">
      <c r="D106" s="3" t="s">
        <v>62</v>
      </c>
    </row>
    <row r="107" spans="4:4" ht="17.649999999999999" x14ac:dyDescent="0.5">
      <c r="D107" s="3" t="s">
        <v>103</v>
      </c>
    </row>
    <row r="108" spans="4:4" ht="17.649999999999999" x14ac:dyDescent="0.5">
      <c r="D108" s="3" t="s">
        <v>114</v>
      </c>
    </row>
    <row r="109" spans="4:4" ht="17.649999999999999" x14ac:dyDescent="0.5">
      <c r="D109" s="3" t="s">
        <v>46</v>
      </c>
    </row>
    <row r="110" spans="4:4" ht="17.649999999999999" x14ac:dyDescent="0.5">
      <c r="D110" s="3" t="s">
        <v>64</v>
      </c>
    </row>
    <row r="111" spans="4:4" ht="17.649999999999999" x14ac:dyDescent="0.5">
      <c r="D111" s="3" t="s">
        <v>112</v>
      </c>
    </row>
    <row r="112" spans="4:4" ht="17.649999999999999" x14ac:dyDescent="0.5">
      <c r="D112" s="3" t="s">
        <v>43</v>
      </c>
    </row>
    <row r="113" spans="4:4" ht="17.649999999999999" x14ac:dyDescent="0.5">
      <c r="D113" s="3" t="s">
        <v>61</v>
      </c>
    </row>
    <row r="114" spans="4:4" ht="17.649999999999999" x14ac:dyDescent="0.5">
      <c r="D114" s="3" t="s">
        <v>92</v>
      </c>
    </row>
    <row r="115" spans="4:4" ht="17.649999999999999" x14ac:dyDescent="0.5">
      <c r="D115" s="3" t="s">
        <v>115</v>
      </c>
    </row>
    <row r="116" spans="4:4" ht="17.649999999999999" x14ac:dyDescent="0.5">
      <c r="D116" s="3" t="s">
        <v>64</v>
      </c>
    </row>
    <row r="117" spans="4:4" ht="17.649999999999999" x14ac:dyDescent="0.5">
      <c r="D117" s="3" t="s">
        <v>115</v>
      </c>
    </row>
    <row r="118" spans="4:4" ht="17.649999999999999" x14ac:dyDescent="0.5">
      <c r="D118" s="3" t="s">
        <v>118</v>
      </c>
    </row>
    <row r="119" spans="4:4" ht="17.649999999999999" x14ac:dyDescent="0.5">
      <c r="D119" s="3" t="s">
        <v>54</v>
      </c>
    </row>
    <row r="120" spans="4:4" ht="17.649999999999999" x14ac:dyDescent="0.5">
      <c r="D120" s="3" t="s">
        <v>43</v>
      </c>
    </row>
    <row r="121" spans="4:4" ht="17.649999999999999" x14ac:dyDescent="0.5">
      <c r="D121" s="3" t="s">
        <v>116</v>
      </c>
    </row>
    <row r="122" spans="4:4" ht="17.649999999999999" x14ac:dyDescent="0.5">
      <c r="D122" s="3" t="s">
        <v>129</v>
      </c>
    </row>
    <row r="123" spans="4:4" ht="17.649999999999999" x14ac:dyDescent="0.5">
      <c r="D123" s="3" t="s">
        <v>130</v>
      </c>
    </row>
    <row r="124" spans="4:4" ht="17.649999999999999" x14ac:dyDescent="0.5">
      <c r="D124" s="3" t="s">
        <v>59</v>
      </c>
    </row>
    <row r="125" spans="4:4" ht="17.649999999999999" x14ac:dyDescent="0.5">
      <c r="D125" s="3" t="s">
        <v>78</v>
      </c>
    </row>
    <row r="126" spans="4:4" ht="17.649999999999999" x14ac:dyDescent="0.5">
      <c r="D126" s="3" t="s">
        <v>103</v>
      </c>
    </row>
    <row r="127" spans="4:4" ht="17.649999999999999" x14ac:dyDescent="0.5">
      <c r="D127" s="3" t="s">
        <v>61</v>
      </c>
    </row>
    <row r="128" spans="4:4" ht="17.649999999999999" x14ac:dyDescent="0.5">
      <c r="D128" s="3" t="s">
        <v>119</v>
      </c>
    </row>
    <row r="129" spans="4:4" ht="17.649999999999999" x14ac:dyDescent="0.5">
      <c r="D129" s="3" t="s">
        <v>86</v>
      </c>
    </row>
    <row r="130" spans="4:4" ht="17.649999999999999" x14ac:dyDescent="0.5">
      <c r="D130" s="3" t="s">
        <v>81</v>
      </c>
    </row>
    <row r="131" spans="4:4" ht="17.649999999999999" x14ac:dyDescent="0.5">
      <c r="D131" s="3" t="s">
        <v>46</v>
      </c>
    </row>
    <row r="132" spans="4:4" ht="17.649999999999999" x14ac:dyDescent="0.5">
      <c r="D132" s="3" t="s">
        <v>75</v>
      </c>
    </row>
    <row r="133" spans="4:4" ht="17.649999999999999" x14ac:dyDescent="0.5">
      <c r="D133" s="3" t="s">
        <v>108</v>
      </c>
    </row>
    <row r="134" spans="4:4" ht="17.649999999999999" x14ac:dyDescent="0.5">
      <c r="D134" s="3" t="s">
        <v>96</v>
      </c>
    </row>
    <row r="135" spans="4:4" ht="17.649999999999999" x14ac:dyDescent="0.5">
      <c r="D135" s="3" t="s">
        <v>87</v>
      </c>
    </row>
    <row r="136" spans="4:4" ht="17.649999999999999" x14ac:dyDescent="0.5">
      <c r="D136" s="3" t="s">
        <v>90</v>
      </c>
    </row>
    <row r="137" spans="4:4" ht="17.649999999999999" x14ac:dyDescent="0.5">
      <c r="D137" s="3" t="s">
        <v>66</v>
      </c>
    </row>
    <row r="138" spans="4:4" ht="17.649999999999999" x14ac:dyDescent="0.5">
      <c r="D138" s="3" t="s">
        <v>41</v>
      </c>
    </row>
    <row r="139" spans="4:4" ht="17.649999999999999" x14ac:dyDescent="0.5">
      <c r="D139" s="3" t="s">
        <v>73</v>
      </c>
    </row>
    <row r="140" spans="4:4" ht="17.649999999999999" x14ac:dyDescent="0.5">
      <c r="D140" s="3" t="s">
        <v>45</v>
      </c>
    </row>
    <row r="141" spans="4:4" ht="17.649999999999999" x14ac:dyDescent="0.5">
      <c r="D141" s="3" t="s">
        <v>80</v>
      </c>
    </row>
    <row r="142" spans="4:4" ht="17.649999999999999" x14ac:dyDescent="0.5">
      <c r="D142" s="3" t="s">
        <v>73</v>
      </c>
    </row>
    <row r="143" spans="4:4" ht="17.649999999999999" x14ac:dyDescent="0.5">
      <c r="D143" s="3" t="s">
        <v>124</v>
      </c>
    </row>
    <row r="144" spans="4:4" ht="17.649999999999999" x14ac:dyDescent="0.5">
      <c r="D144" s="3" t="s">
        <v>51</v>
      </c>
    </row>
    <row r="145" spans="4:4" ht="17.649999999999999" x14ac:dyDescent="0.5">
      <c r="D145" s="3" t="s">
        <v>61</v>
      </c>
    </row>
    <row r="146" spans="4:4" ht="17.649999999999999" x14ac:dyDescent="0.5">
      <c r="D146" s="3" t="s">
        <v>59</v>
      </c>
    </row>
    <row r="147" spans="4:4" ht="17.649999999999999" x14ac:dyDescent="0.5">
      <c r="D147" s="3" t="s">
        <v>50</v>
      </c>
    </row>
    <row r="148" spans="4:4" ht="17.649999999999999" x14ac:dyDescent="0.5">
      <c r="D148" s="3" t="s">
        <v>118</v>
      </c>
    </row>
    <row r="149" spans="4:4" ht="17.649999999999999" x14ac:dyDescent="0.5">
      <c r="D149" s="3" t="s">
        <v>71</v>
      </c>
    </row>
    <row r="150" spans="4:4" ht="17.649999999999999" x14ac:dyDescent="0.5">
      <c r="D150" s="3" t="s">
        <v>41</v>
      </c>
    </row>
    <row r="151" spans="4:4" ht="17.649999999999999" x14ac:dyDescent="0.5">
      <c r="D151" s="3" t="s">
        <v>80</v>
      </c>
    </row>
    <row r="152" spans="4:4" ht="17.649999999999999" x14ac:dyDescent="0.5">
      <c r="D152" s="3" t="s">
        <v>66</v>
      </c>
    </row>
    <row r="153" spans="4:4" ht="17.649999999999999" x14ac:dyDescent="0.5">
      <c r="D153" s="3" t="s">
        <v>69</v>
      </c>
    </row>
    <row r="154" spans="4:4" ht="17.649999999999999" x14ac:dyDescent="0.5">
      <c r="D154" s="3" t="s">
        <v>48</v>
      </c>
    </row>
    <row r="155" spans="4:4" ht="17.649999999999999" x14ac:dyDescent="0.5">
      <c r="D155" s="3" t="s">
        <v>78</v>
      </c>
    </row>
    <row r="156" spans="4:4" ht="17.649999999999999" x14ac:dyDescent="0.5">
      <c r="D156" s="3" t="s">
        <v>133</v>
      </c>
    </row>
    <row r="157" spans="4:4" ht="17.649999999999999" x14ac:dyDescent="0.5">
      <c r="D157" s="3" t="s">
        <v>88</v>
      </c>
    </row>
    <row r="158" spans="4:4" ht="17.649999999999999" x14ac:dyDescent="0.5">
      <c r="D158" s="3" t="s">
        <v>107</v>
      </c>
    </row>
    <row r="159" spans="4:4" ht="17.649999999999999" x14ac:dyDescent="0.5">
      <c r="D159" s="3" t="s">
        <v>94</v>
      </c>
    </row>
    <row r="160" spans="4:4" ht="17.649999999999999" x14ac:dyDescent="0.5">
      <c r="D160" s="3" t="s">
        <v>91</v>
      </c>
    </row>
    <row r="161" spans="4:4" ht="17.649999999999999" x14ac:dyDescent="0.5">
      <c r="D161" s="3" t="s">
        <v>90</v>
      </c>
    </row>
    <row r="162" spans="4:4" ht="17.649999999999999" x14ac:dyDescent="0.5">
      <c r="D162" s="3" t="s">
        <v>123</v>
      </c>
    </row>
    <row r="163" spans="4:4" ht="17.649999999999999" x14ac:dyDescent="0.5">
      <c r="D163" s="3" t="s">
        <v>96</v>
      </c>
    </row>
    <row r="164" spans="4:4" ht="17.649999999999999" x14ac:dyDescent="0.5">
      <c r="D164" s="3" t="s">
        <v>112</v>
      </c>
    </row>
    <row r="165" spans="4:4" ht="17.649999999999999" x14ac:dyDescent="0.5">
      <c r="D165" s="3" t="s">
        <v>105</v>
      </c>
    </row>
    <row r="166" spans="4:4" ht="17.649999999999999" x14ac:dyDescent="0.5">
      <c r="D166" s="3" t="s">
        <v>55</v>
      </c>
    </row>
    <row r="167" spans="4:4" ht="17.649999999999999" x14ac:dyDescent="0.5">
      <c r="D167" s="3" t="s">
        <v>89</v>
      </c>
    </row>
    <row r="168" spans="4:4" ht="17.649999999999999" x14ac:dyDescent="0.5">
      <c r="D168" s="3" t="s">
        <v>102</v>
      </c>
    </row>
    <row r="169" spans="4:4" ht="17.649999999999999" x14ac:dyDescent="0.5">
      <c r="D169" s="3" t="s">
        <v>85</v>
      </c>
    </row>
    <row r="170" spans="4:4" ht="17.649999999999999" x14ac:dyDescent="0.5">
      <c r="D170" s="3" t="s">
        <v>44</v>
      </c>
    </row>
    <row r="171" spans="4:4" ht="17.649999999999999" x14ac:dyDescent="0.5">
      <c r="D171" s="3" t="s">
        <v>59</v>
      </c>
    </row>
    <row r="172" spans="4:4" ht="17.649999999999999" x14ac:dyDescent="0.5">
      <c r="D172" s="3" t="s">
        <v>73</v>
      </c>
    </row>
    <row r="173" spans="4:4" ht="17.649999999999999" x14ac:dyDescent="0.5">
      <c r="D173" s="3" t="s">
        <v>136</v>
      </c>
    </row>
    <row r="174" spans="4:4" ht="17.649999999999999" x14ac:dyDescent="0.5">
      <c r="D174" s="3" t="s">
        <v>103</v>
      </c>
    </row>
    <row r="175" spans="4:4" ht="17.649999999999999" x14ac:dyDescent="0.5">
      <c r="D175" s="3" t="s">
        <v>114</v>
      </c>
    </row>
    <row r="176" spans="4:4" ht="17.649999999999999" x14ac:dyDescent="0.5">
      <c r="D176" s="3" t="s">
        <v>87</v>
      </c>
    </row>
    <row r="177" spans="4:4" ht="17.649999999999999" x14ac:dyDescent="0.5">
      <c r="D177" s="3" t="s">
        <v>55</v>
      </c>
    </row>
    <row r="178" spans="4:4" ht="17.649999999999999" x14ac:dyDescent="0.5">
      <c r="D178" s="3" t="s">
        <v>41</v>
      </c>
    </row>
    <row r="179" spans="4:4" ht="17.649999999999999" x14ac:dyDescent="0.5">
      <c r="D179" s="3" t="s">
        <v>53</v>
      </c>
    </row>
    <row r="180" spans="4:4" ht="17.649999999999999" x14ac:dyDescent="0.5">
      <c r="D180" s="3" t="s">
        <v>64</v>
      </c>
    </row>
    <row r="181" spans="4:4" ht="17.649999999999999" x14ac:dyDescent="0.5">
      <c r="D181" s="3" t="s">
        <v>131</v>
      </c>
    </row>
    <row r="182" spans="4:4" ht="17.649999999999999" x14ac:dyDescent="0.5">
      <c r="D182" s="3" t="s">
        <v>65</v>
      </c>
    </row>
    <row r="183" spans="4:4" ht="17.649999999999999" x14ac:dyDescent="0.5">
      <c r="D183" s="3" t="s">
        <v>74</v>
      </c>
    </row>
    <row r="184" spans="4:4" ht="17.649999999999999" x14ac:dyDescent="0.5">
      <c r="D184" s="3" t="s">
        <v>56</v>
      </c>
    </row>
    <row r="185" spans="4:4" ht="17.649999999999999" x14ac:dyDescent="0.5">
      <c r="D185" s="3" t="s">
        <v>104</v>
      </c>
    </row>
    <row r="186" spans="4:4" ht="17.649999999999999" x14ac:dyDescent="0.5">
      <c r="D186" s="3" t="s">
        <v>98</v>
      </c>
    </row>
    <row r="187" spans="4:4" ht="17.649999999999999" x14ac:dyDescent="0.5">
      <c r="D187" s="3" t="s">
        <v>55</v>
      </c>
    </row>
    <row r="188" spans="4:4" ht="17.649999999999999" x14ac:dyDescent="0.5">
      <c r="D188" s="3" t="s">
        <v>46</v>
      </c>
    </row>
    <row r="189" spans="4:4" ht="17.649999999999999" x14ac:dyDescent="0.5">
      <c r="D189" s="3" t="s">
        <v>66</v>
      </c>
    </row>
    <row r="190" spans="4:4" ht="17.649999999999999" x14ac:dyDescent="0.5">
      <c r="D190" s="3" t="s">
        <v>96</v>
      </c>
    </row>
    <row r="191" spans="4:4" ht="17.649999999999999" x14ac:dyDescent="0.5">
      <c r="D191" s="3" t="s">
        <v>98</v>
      </c>
    </row>
    <row r="192" spans="4:4" ht="17.649999999999999" x14ac:dyDescent="0.5">
      <c r="D192" s="3" t="s">
        <v>122</v>
      </c>
    </row>
    <row r="193" spans="4:4" ht="17.649999999999999" x14ac:dyDescent="0.5">
      <c r="D193" s="3" t="s">
        <v>99</v>
      </c>
    </row>
    <row r="194" spans="4:4" ht="17.649999999999999" x14ac:dyDescent="0.5">
      <c r="D194" s="3" t="s">
        <v>113</v>
      </c>
    </row>
    <row r="195" spans="4:4" ht="17.649999999999999" x14ac:dyDescent="0.5">
      <c r="D195" s="3" t="s">
        <v>81</v>
      </c>
    </row>
    <row r="196" spans="4:4" ht="17.649999999999999" x14ac:dyDescent="0.5">
      <c r="D196" s="3" t="s">
        <v>78</v>
      </c>
    </row>
    <row r="197" spans="4:4" ht="17.649999999999999" x14ac:dyDescent="0.5">
      <c r="D197" s="3" t="s">
        <v>45</v>
      </c>
    </row>
    <row r="198" spans="4:4" ht="17.649999999999999" x14ac:dyDescent="0.5">
      <c r="D198" s="3" t="s">
        <v>65</v>
      </c>
    </row>
    <row r="199" spans="4:4" ht="17.649999999999999" x14ac:dyDescent="0.5">
      <c r="D199" s="3" t="s">
        <v>123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112</v>
      </c>
    </row>
    <row r="202" spans="4:4" ht="17.649999999999999" x14ac:dyDescent="0.5">
      <c r="D202" s="3" t="s">
        <v>92</v>
      </c>
    </row>
    <row r="203" spans="4:4" ht="17.649999999999999" x14ac:dyDescent="0.5">
      <c r="D203" s="3" t="s">
        <v>84</v>
      </c>
    </row>
    <row r="204" spans="4:4" ht="17.649999999999999" x14ac:dyDescent="0.5">
      <c r="D204" s="3" t="s">
        <v>46</v>
      </c>
    </row>
    <row r="205" spans="4:4" ht="17.649999999999999" x14ac:dyDescent="0.5">
      <c r="D205" s="3" t="s">
        <v>66</v>
      </c>
    </row>
    <row r="206" spans="4:4" ht="17.649999999999999" x14ac:dyDescent="0.5">
      <c r="D206" s="3" t="s">
        <v>55</v>
      </c>
    </row>
    <row r="207" spans="4:4" ht="17.649999999999999" x14ac:dyDescent="0.5">
      <c r="D207" s="3" t="s">
        <v>56</v>
      </c>
    </row>
    <row r="208" spans="4:4" ht="17.649999999999999" x14ac:dyDescent="0.5">
      <c r="D208" s="3" t="s">
        <v>78</v>
      </c>
    </row>
    <row r="209" spans="4:4" ht="17.649999999999999" x14ac:dyDescent="0.5">
      <c r="D209" s="3" t="s">
        <v>55</v>
      </c>
    </row>
    <row r="210" spans="4:4" ht="17.649999999999999" x14ac:dyDescent="0.5">
      <c r="D210" s="3" t="s">
        <v>131</v>
      </c>
    </row>
    <row r="211" spans="4:4" ht="17.649999999999999" x14ac:dyDescent="0.5">
      <c r="D211" s="3" t="s">
        <v>54</v>
      </c>
    </row>
    <row r="212" spans="4:4" ht="17.649999999999999" x14ac:dyDescent="0.5">
      <c r="D212" s="3" t="s">
        <v>94</v>
      </c>
    </row>
    <row r="213" spans="4:4" ht="17.649999999999999" x14ac:dyDescent="0.5">
      <c r="D213" s="3" t="s">
        <v>103</v>
      </c>
    </row>
    <row r="214" spans="4:4" ht="17.649999999999999" x14ac:dyDescent="0.5">
      <c r="D214" s="3" t="s">
        <v>112</v>
      </c>
    </row>
    <row r="215" spans="4:4" ht="17.649999999999999" x14ac:dyDescent="0.5">
      <c r="D215" s="3" t="s">
        <v>98</v>
      </c>
    </row>
    <row r="216" spans="4:4" ht="17.649999999999999" x14ac:dyDescent="0.5">
      <c r="D216" s="3" t="s">
        <v>84</v>
      </c>
    </row>
    <row r="217" spans="4:4" ht="17.649999999999999" x14ac:dyDescent="0.5">
      <c r="D217" s="3" t="s">
        <v>122</v>
      </c>
    </row>
    <row r="218" spans="4:4" ht="17.649999999999999" x14ac:dyDescent="0.5">
      <c r="D218" s="3" t="s">
        <v>64</v>
      </c>
    </row>
    <row r="219" spans="4:4" ht="17.649999999999999" x14ac:dyDescent="0.5">
      <c r="D219" s="3" t="s">
        <v>117</v>
      </c>
    </row>
    <row r="220" spans="4:4" ht="17.649999999999999" x14ac:dyDescent="0.5">
      <c r="D220" s="3" t="s">
        <v>113</v>
      </c>
    </row>
    <row r="221" spans="4:4" ht="17.649999999999999" x14ac:dyDescent="0.5">
      <c r="D221" s="3" t="s">
        <v>62</v>
      </c>
    </row>
    <row r="222" spans="4:4" ht="17.649999999999999" x14ac:dyDescent="0.5">
      <c r="D222" s="3" t="s">
        <v>80</v>
      </c>
    </row>
    <row r="223" spans="4:4" ht="17.649999999999999" x14ac:dyDescent="0.5">
      <c r="D223" s="3" t="s">
        <v>96</v>
      </c>
    </row>
    <row r="224" spans="4:4" ht="17.649999999999999" x14ac:dyDescent="0.5">
      <c r="D224" s="3" t="s">
        <v>57</v>
      </c>
    </row>
    <row r="225" spans="4:4" ht="17.649999999999999" x14ac:dyDescent="0.5">
      <c r="D225" s="3" t="s">
        <v>63</v>
      </c>
    </row>
    <row r="226" spans="4:4" ht="17.649999999999999" x14ac:dyDescent="0.5">
      <c r="D226" s="3" t="s">
        <v>41</v>
      </c>
    </row>
    <row r="227" spans="4:4" ht="17.649999999999999" x14ac:dyDescent="0.5">
      <c r="D227" s="3" t="s">
        <v>62</v>
      </c>
    </row>
    <row r="228" spans="4:4" ht="17.649999999999999" x14ac:dyDescent="0.5">
      <c r="D228" s="3" t="s">
        <v>94</v>
      </c>
    </row>
    <row r="229" spans="4:4" ht="17.649999999999999" x14ac:dyDescent="0.5">
      <c r="D229" s="3" t="s">
        <v>91</v>
      </c>
    </row>
    <row r="230" spans="4:4" ht="17.649999999999999" x14ac:dyDescent="0.5">
      <c r="D230" s="3" t="s">
        <v>65</v>
      </c>
    </row>
    <row r="231" spans="4:4" ht="17.649999999999999" x14ac:dyDescent="0.5">
      <c r="D231" s="3" t="s">
        <v>119</v>
      </c>
    </row>
    <row r="232" spans="4:4" ht="17.649999999999999" x14ac:dyDescent="0.5">
      <c r="D232" s="3" t="s">
        <v>105</v>
      </c>
    </row>
    <row r="233" spans="4:4" ht="17.649999999999999" x14ac:dyDescent="0.5">
      <c r="D233" s="3" t="s">
        <v>61</v>
      </c>
    </row>
    <row r="234" spans="4:4" ht="17.649999999999999" x14ac:dyDescent="0.5">
      <c r="D234" s="3" t="s">
        <v>80</v>
      </c>
    </row>
    <row r="235" spans="4:4" ht="17.649999999999999" x14ac:dyDescent="0.5">
      <c r="D235" s="3" t="s">
        <v>53</v>
      </c>
    </row>
    <row r="236" spans="4:4" ht="17.649999999999999" x14ac:dyDescent="0.5">
      <c r="D236" s="3" t="s">
        <v>68</v>
      </c>
    </row>
    <row r="237" spans="4:4" ht="17.649999999999999" x14ac:dyDescent="0.5">
      <c r="D237" s="3" t="s">
        <v>77</v>
      </c>
    </row>
    <row r="238" spans="4:4" ht="17.649999999999999" x14ac:dyDescent="0.5">
      <c r="D238" s="3" t="s">
        <v>74</v>
      </c>
    </row>
    <row r="239" spans="4:4" ht="17.649999999999999" x14ac:dyDescent="0.5">
      <c r="D239" s="3" t="s">
        <v>56</v>
      </c>
    </row>
    <row r="240" spans="4:4" ht="17.649999999999999" x14ac:dyDescent="0.5">
      <c r="D240" s="3" t="s">
        <v>78</v>
      </c>
    </row>
    <row r="241" spans="4:4" ht="17.649999999999999" x14ac:dyDescent="0.5">
      <c r="D241" s="3" t="s">
        <v>108</v>
      </c>
    </row>
    <row r="242" spans="4:4" ht="17.649999999999999" x14ac:dyDescent="0.5">
      <c r="D242" s="3" t="s">
        <v>106</v>
      </c>
    </row>
    <row r="243" spans="4:4" ht="17.649999999999999" x14ac:dyDescent="0.5">
      <c r="D243" s="3" t="s">
        <v>105</v>
      </c>
    </row>
    <row r="244" spans="4:4" ht="17.649999999999999" x14ac:dyDescent="0.5">
      <c r="D244" s="3" t="s">
        <v>82</v>
      </c>
    </row>
    <row r="245" spans="4:4" ht="17.649999999999999" x14ac:dyDescent="0.5">
      <c r="D245" s="3" t="s">
        <v>79</v>
      </c>
    </row>
    <row r="246" spans="4:4" ht="17.649999999999999" x14ac:dyDescent="0.5">
      <c r="D246" s="3" t="s">
        <v>102</v>
      </c>
    </row>
    <row r="247" spans="4:4" ht="17.649999999999999" x14ac:dyDescent="0.5">
      <c r="D247" s="3" t="s">
        <v>126</v>
      </c>
    </row>
    <row r="248" spans="4:4" ht="17.649999999999999" x14ac:dyDescent="0.5">
      <c r="D248" s="3" t="s">
        <v>44</v>
      </c>
    </row>
    <row r="249" spans="4:4" ht="17.649999999999999" x14ac:dyDescent="0.5">
      <c r="D249" s="3" t="s">
        <v>77</v>
      </c>
    </row>
    <row r="250" spans="4:4" ht="17.649999999999999" x14ac:dyDescent="0.5">
      <c r="D250" s="3" t="s">
        <v>90</v>
      </c>
    </row>
    <row r="251" spans="4:4" ht="17.649999999999999" x14ac:dyDescent="0.5">
      <c r="D251" s="3" t="s">
        <v>57</v>
      </c>
    </row>
    <row r="252" spans="4:4" ht="17.649999999999999" x14ac:dyDescent="0.5">
      <c r="D252" s="3" t="s">
        <v>47</v>
      </c>
    </row>
    <row r="253" spans="4:4" ht="17.649999999999999" x14ac:dyDescent="0.5">
      <c r="D253" s="3" t="s">
        <v>135</v>
      </c>
    </row>
    <row r="254" spans="4:4" ht="17.649999999999999" x14ac:dyDescent="0.5">
      <c r="D254" s="3" t="s">
        <v>74</v>
      </c>
    </row>
    <row r="255" spans="4:4" ht="17.649999999999999" x14ac:dyDescent="0.5">
      <c r="D255" s="3" t="s">
        <v>114</v>
      </c>
    </row>
    <row r="256" spans="4:4" ht="17.649999999999999" x14ac:dyDescent="0.5">
      <c r="D256" s="3" t="s">
        <v>75</v>
      </c>
    </row>
    <row r="257" spans="4:4" ht="17.649999999999999" x14ac:dyDescent="0.5">
      <c r="D257" s="3" t="s">
        <v>82</v>
      </c>
    </row>
    <row r="258" spans="4:4" ht="17.649999999999999" x14ac:dyDescent="0.5">
      <c r="D258" s="3" t="s">
        <v>101</v>
      </c>
    </row>
    <row r="259" spans="4:4" ht="17.649999999999999" x14ac:dyDescent="0.5">
      <c r="D259" s="3" t="s">
        <v>51</v>
      </c>
    </row>
    <row r="260" spans="4:4" ht="17.649999999999999" x14ac:dyDescent="0.5">
      <c r="D260" s="3" t="s">
        <v>89</v>
      </c>
    </row>
    <row r="261" spans="4:4" ht="17.649999999999999" x14ac:dyDescent="0.5">
      <c r="D261" s="3" t="s">
        <v>81</v>
      </c>
    </row>
    <row r="262" spans="4:4" ht="17.649999999999999" x14ac:dyDescent="0.5">
      <c r="D262" s="3" t="s">
        <v>112</v>
      </c>
    </row>
    <row r="263" spans="4:4" ht="17.649999999999999" x14ac:dyDescent="0.5">
      <c r="D263" s="3" t="s">
        <v>71</v>
      </c>
    </row>
    <row r="264" spans="4:4" ht="17.649999999999999" x14ac:dyDescent="0.5">
      <c r="D264" s="3" t="s">
        <v>96</v>
      </c>
    </row>
    <row r="265" spans="4:4" ht="17.649999999999999" x14ac:dyDescent="0.5">
      <c r="D265" s="3" t="s">
        <v>65</v>
      </c>
    </row>
    <row r="266" spans="4:4" ht="17.649999999999999" x14ac:dyDescent="0.5">
      <c r="D266" s="3" t="s">
        <v>66</v>
      </c>
    </row>
    <row r="267" spans="4:4" ht="17.649999999999999" x14ac:dyDescent="0.5">
      <c r="D267" s="3" t="s">
        <v>131</v>
      </c>
    </row>
    <row r="268" spans="4:4" ht="17.649999999999999" x14ac:dyDescent="0.5">
      <c r="D268" s="3" t="s">
        <v>112</v>
      </c>
    </row>
    <row r="269" spans="4:4" ht="17.649999999999999" x14ac:dyDescent="0.5">
      <c r="D269" s="3" t="s">
        <v>74</v>
      </c>
    </row>
    <row r="270" spans="4:4" ht="17.649999999999999" x14ac:dyDescent="0.5">
      <c r="D270" s="3" t="s">
        <v>51</v>
      </c>
    </row>
    <row r="271" spans="4:4" ht="17.649999999999999" x14ac:dyDescent="0.5">
      <c r="D271" s="3" t="s">
        <v>81</v>
      </c>
    </row>
    <row r="272" spans="4:4" ht="17.649999999999999" x14ac:dyDescent="0.5">
      <c r="D272" s="3" t="s">
        <v>83</v>
      </c>
    </row>
    <row r="273" spans="4:4" ht="17.649999999999999" x14ac:dyDescent="0.5">
      <c r="D273" s="3" t="s">
        <v>59</v>
      </c>
    </row>
    <row r="274" spans="4:4" ht="17.649999999999999" x14ac:dyDescent="0.5">
      <c r="D274" s="3" t="s">
        <v>50</v>
      </c>
    </row>
    <row r="275" spans="4:4" ht="17.649999999999999" x14ac:dyDescent="0.5">
      <c r="D275" s="3" t="s">
        <v>84</v>
      </c>
    </row>
    <row r="276" spans="4:4" ht="17.649999999999999" x14ac:dyDescent="0.5">
      <c r="D276" s="3" t="s">
        <v>70</v>
      </c>
    </row>
    <row r="277" spans="4:4" ht="17.649999999999999" x14ac:dyDescent="0.5">
      <c r="D277" s="3" t="s">
        <v>48</v>
      </c>
    </row>
    <row r="278" spans="4:4" ht="17.649999999999999" x14ac:dyDescent="0.5">
      <c r="D278" s="3" t="s">
        <v>56</v>
      </c>
    </row>
    <row r="279" spans="4:4" ht="17.649999999999999" x14ac:dyDescent="0.5">
      <c r="D279" s="3" t="s">
        <v>128</v>
      </c>
    </row>
    <row r="280" spans="4:4" ht="17.649999999999999" x14ac:dyDescent="0.5">
      <c r="D280" s="3" t="s">
        <v>53</v>
      </c>
    </row>
    <row r="281" spans="4:4" ht="17.649999999999999" x14ac:dyDescent="0.5">
      <c r="D281" s="3" t="s">
        <v>107</v>
      </c>
    </row>
    <row r="282" spans="4:4" ht="17.649999999999999" x14ac:dyDescent="0.5">
      <c r="D282" s="3" t="s">
        <v>69</v>
      </c>
    </row>
    <row r="283" spans="4:4" ht="17.649999999999999" x14ac:dyDescent="0.5">
      <c r="D283" s="3" t="s">
        <v>67</v>
      </c>
    </row>
    <row r="284" spans="4:4" ht="17.649999999999999" x14ac:dyDescent="0.5">
      <c r="D284" s="3" t="s">
        <v>81</v>
      </c>
    </row>
    <row r="285" spans="4:4" ht="17.649999999999999" x14ac:dyDescent="0.5">
      <c r="D285" s="3" t="s">
        <v>96</v>
      </c>
    </row>
    <row r="286" spans="4:4" ht="17.649999999999999" x14ac:dyDescent="0.5">
      <c r="D286" s="3" t="s">
        <v>92</v>
      </c>
    </row>
    <row r="287" spans="4:4" ht="17.649999999999999" x14ac:dyDescent="0.5">
      <c r="D287" s="3" t="s">
        <v>59</v>
      </c>
    </row>
    <row r="288" spans="4:4" ht="17.649999999999999" x14ac:dyDescent="0.5">
      <c r="D288" s="3" t="s">
        <v>94</v>
      </c>
    </row>
    <row r="289" spans="4:4" ht="17.649999999999999" x14ac:dyDescent="0.5">
      <c r="D289" s="3" t="s">
        <v>77</v>
      </c>
    </row>
    <row r="290" spans="4:4" ht="17.649999999999999" x14ac:dyDescent="0.5">
      <c r="D290" s="3" t="s">
        <v>69</v>
      </c>
    </row>
    <row r="291" spans="4:4" ht="17.649999999999999" x14ac:dyDescent="0.5">
      <c r="D291" s="3" t="s">
        <v>44</v>
      </c>
    </row>
    <row r="292" spans="4:4" ht="17.649999999999999" x14ac:dyDescent="0.5">
      <c r="D292" s="3" t="s">
        <v>55</v>
      </c>
    </row>
    <row r="293" spans="4:4" ht="17.649999999999999" x14ac:dyDescent="0.5">
      <c r="D293" s="3" t="s">
        <v>49</v>
      </c>
    </row>
    <row r="294" spans="4:4" ht="17.649999999999999" x14ac:dyDescent="0.5">
      <c r="D294" s="3" t="s">
        <v>69</v>
      </c>
    </row>
    <row r="295" spans="4:4" ht="17.649999999999999" x14ac:dyDescent="0.5">
      <c r="D295" s="3" t="s">
        <v>85</v>
      </c>
    </row>
    <row r="296" spans="4:4" ht="17.649999999999999" x14ac:dyDescent="0.5">
      <c r="D296" s="3" t="s">
        <v>112</v>
      </c>
    </row>
    <row r="297" spans="4:4" ht="17.649999999999999" x14ac:dyDescent="0.5">
      <c r="D297" s="3" t="s">
        <v>101</v>
      </c>
    </row>
    <row r="298" spans="4:4" ht="17.649999999999999" x14ac:dyDescent="0.5">
      <c r="D298" s="3" t="s">
        <v>65</v>
      </c>
    </row>
    <row r="299" spans="4:4" ht="17.649999999999999" x14ac:dyDescent="0.5">
      <c r="D299" s="3" t="s">
        <v>59</v>
      </c>
    </row>
    <row r="300" spans="4:4" ht="17.649999999999999" x14ac:dyDescent="0.5">
      <c r="D300" s="3" t="s">
        <v>53</v>
      </c>
    </row>
    <row r="301" spans="4:4" ht="17.649999999999999" x14ac:dyDescent="0.5">
      <c r="D301" s="3" t="s">
        <v>52</v>
      </c>
    </row>
    <row r="302" spans="4:4" ht="17.649999999999999" x14ac:dyDescent="0.5">
      <c r="D302" s="3" t="s">
        <v>49</v>
      </c>
    </row>
    <row r="303" spans="4:4" ht="17.649999999999999" x14ac:dyDescent="0.5">
      <c r="D303" s="3" t="s">
        <v>63</v>
      </c>
    </row>
    <row r="304" spans="4:4" ht="17.649999999999999" x14ac:dyDescent="0.5">
      <c r="D304" s="3" t="s">
        <v>94</v>
      </c>
    </row>
    <row r="305" spans="4:4" ht="17.649999999999999" x14ac:dyDescent="0.5">
      <c r="D305" s="3" t="s">
        <v>131</v>
      </c>
    </row>
    <row r="306" spans="4:4" ht="17.649999999999999" x14ac:dyDescent="0.5">
      <c r="D306" s="3" t="s">
        <v>83</v>
      </c>
    </row>
    <row r="307" spans="4:4" ht="17.649999999999999" x14ac:dyDescent="0.5">
      <c r="D307" s="3" t="s">
        <v>54</v>
      </c>
    </row>
    <row r="308" spans="4:4" ht="17.649999999999999" x14ac:dyDescent="0.5">
      <c r="D308" s="3" t="s">
        <v>57</v>
      </c>
    </row>
    <row r="309" spans="4:4" ht="17.649999999999999" x14ac:dyDescent="0.5">
      <c r="D309" s="3" t="s">
        <v>83</v>
      </c>
    </row>
    <row r="310" spans="4:4" ht="17.649999999999999" x14ac:dyDescent="0.5">
      <c r="D310" s="3" t="s">
        <v>98</v>
      </c>
    </row>
    <row r="311" spans="4:4" ht="17.649999999999999" x14ac:dyDescent="0.5">
      <c r="D311" s="3" t="s">
        <v>112</v>
      </c>
    </row>
    <row r="312" spans="4:4" ht="17.649999999999999" x14ac:dyDescent="0.5">
      <c r="D312" s="3" t="s">
        <v>56</v>
      </c>
    </row>
    <row r="313" spans="4:4" ht="17.649999999999999" x14ac:dyDescent="0.5">
      <c r="D313" s="3" t="s">
        <v>101</v>
      </c>
    </row>
    <row r="314" spans="4:4" ht="17.649999999999999" x14ac:dyDescent="0.5">
      <c r="D314" s="3" t="s">
        <v>62</v>
      </c>
    </row>
    <row r="315" spans="4:4" ht="17.649999999999999" x14ac:dyDescent="0.5">
      <c r="D315" s="3" t="s">
        <v>46</v>
      </c>
    </row>
    <row r="316" spans="4:4" ht="17.649999999999999" x14ac:dyDescent="0.5">
      <c r="D316" s="3" t="s">
        <v>65</v>
      </c>
    </row>
    <row r="317" spans="4:4" ht="17.649999999999999" x14ac:dyDescent="0.5">
      <c r="D317" s="3" t="s">
        <v>81</v>
      </c>
    </row>
    <row r="318" spans="4:4" ht="17.649999999999999" x14ac:dyDescent="0.5">
      <c r="D318" s="3" t="s">
        <v>54</v>
      </c>
    </row>
    <row r="319" spans="4:4" ht="17.649999999999999" x14ac:dyDescent="0.5">
      <c r="D319" s="3" t="s">
        <v>53</v>
      </c>
    </row>
    <row r="320" spans="4:4" ht="17.649999999999999" x14ac:dyDescent="0.5">
      <c r="D320" s="3" t="s">
        <v>48</v>
      </c>
    </row>
    <row r="321" spans="4:4" ht="17.649999999999999" x14ac:dyDescent="0.5">
      <c r="D321" s="3" t="s">
        <v>54</v>
      </c>
    </row>
    <row r="322" spans="4:4" ht="17.649999999999999" x14ac:dyDescent="0.5">
      <c r="D322" s="3" t="s">
        <v>92</v>
      </c>
    </row>
    <row r="323" spans="4:4" ht="17.649999999999999" x14ac:dyDescent="0.5">
      <c r="D323" s="3" t="s">
        <v>136</v>
      </c>
    </row>
    <row r="324" spans="4:4" ht="17.649999999999999" x14ac:dyDescent="0.5">
      <c r="D324" s="3" t="s">
        <v>51</v>
      </c>
    </row>
    <row r="325" spans="4:4" ht="17.649999999999999" x14ac:dyDescent="0.5">
      <c r="D325" s="3" t="s">
        <v>103</v>
      </c>
    </row>
    <row r="326" spans="4:4" ht="17.649999999999999" x14ac:dyDescent="0.5">
      <c r="D326" s="3" t="s">
        <v>98</v>
      </c>
    </row>
    <row r="327" spans="4:4" ht="17.649999999999999" x14ac:dyDescent="0.5">
      <c r="D327" s="3" t="s">
        <v>84</v>
      </c>
    </row>
    <row r="328" spans="4:4" ht="17.649999999999999" x14ac:dyDescent="0.5">
      <c r="D328" s="3" t="s">
        <v>82</v>
      </c>
    </row>
    <row r="329" spans="4:4" ht="17.649999999999999" x14ac:dyDescent="0.5">
      <c r="D329" s="3" t="s">
        <v>48</v>
      </c>
    </row>
    <row r="330" spans="4:4" ht="17.649999999999999" x14ac:dyDescent="0.5">
      <c r="D330" s="3" t="s">
        <v>57</v>
      </c>
    </row>
    <row r="331" spans="4:4" ht="17.649999999999999" x14ac:dyDescent="0.5">
      <c r="D331" s="3" t="s">
        <v>102</v>
      </c>
    </row>
    <row r="332" spans="4:4" ht="17.649999999999999" x14ac:dyDescent="0.5">
      <c r="D332" s="3" t="s">
        <v>47</v>
      </c>
    </row>
    <row r="333" spans="4:4" ht="17.649999999999999" x14ac:dyDescent="0.5">
      <c r="D333" s="3" t="s">
        <v>53</v>
      </c>
    </row>
    <row r="334" spans="4:4" ht="17.649999999999999" x14ac:dyDescent="0.5">
      <c r="D334" s="3" t="s">
        <v>54</v>
      </c>
    </row>
    <row r="335" spans="4:4" ht="17.649999999999999" x14ac:dyDescent="0.5">
      <c r="D335" s="3" t="s">
        <v>46</v>
      </c>
    </row>
    <row r="336" spans="4:4" ht="17.649999999999999" x14ac:dyDescent="0.5">
      <c r="D336" s="3" t="s">
        <v>41</v>
      </c>
    </row>
    <row r="337" spans="4:4" ht="17.649999999999999" x14ac:dyDescent="0.5">
      <c r="D337" s="3" t="s">
        <v>49</v>
      </c>
    </row>
    <row r="338" spans="4:4" ht="17.649999999999999" x14ac:dyDescent="0.5">
      <c r="D338" s="3" t="s">
        <v>44</v>
      </c>
    </row>
    <row r="339" spans="4:4" ht="17.649999999999999" x14ac:dyDescent="0.5">
      <c r="D339" s="3" t="s">
        <v>93</v>
      </c>
    </row>
    <row r="340" spans="4:4" ht="17.649999999999999" x14ac:dyDescent="0.5">
      <c r="D340" s="3" t="s">
        <v>107</v>
      </c>
    </row>
    <row r="341" spans="4:4" ht="17.649999999999999" x14ac:dyDescent="0.5">
      <c r="D341" s="3" t="s">
        <v>90</v>
      </c>
    </row>
    <row r="342" spans="4:4" ht="17.649999999999999" x14ac:dyDescent="0.5">
      <c r="D342" s="3" t="s">
        <v>51</v>
      </c>
    </row>
    <row r="343" spans="4:4" ht="17.649999999999999" x14ac:dyDescent="0.5">
      <c r="D343" s="3" t="s">
        <v>112</v>
      </c>
    </row>
    <row r="344" spans="4:4" ht="17.649999999999999" x14ac:dyDescent="0.5">
      <c r="D344" s="3" t="s">
        <v>64</v>
      </c>
    </row>
    <row r="345" spans="4:4" ht="17.649999999999999" x14ac:dyDescent="0.5">
      <c r="D345" s="3" t="s">
        <v>46</v>
      </c>
    </row>
    <row r="346" spans="4:4" ht="17.649999999999999" x14ac:dyDescent="0.5">
      <c r="D346" s="3" t="s">
        <v>97</v>
      </c>
    </row>
    <row r="347" spans="4:4" ht="17.649999999999999" x14ac:dyDescent="0.5">
      <c r="D347" s="3" t="s">
        <v>75</v>
      </c>
    </row>
    <row r="348" spans="4:4" ht="17.649999999999999" x14ac:dyDescent="0.5">
      <c r="D348" s="3" t="s">
        <v>57</v>
      </c>
    </row>
    <row r="349" spans="4:4" ht="17.649999999999999" x14ac:dyDescent="0.5">
      <c r="D349" s="3" t="s">
        <v>132</v>
      </c>
    </row>
    <row r="350" spans="4:4" ht="17.649999999999999" x14ac:dyDescent="0.5">
      <c r="D350" s="3" t="s">
        <v>49</v>
      </c>
    </row>
    <row r="351" spans="4:4" ht="17.649999999999999" x14ac:dyDescent="0.5">
      <c r="D351" s="3" t="s">
        <v>51</v>
      </c>
    </row>
    <row r="352" spans="4:4" ht="17.649999999999999" x14ac:dyDescent="0.5">
      <c r="D352" s="3" t="s">
        <v>46</v>
      </c>
    </row>
    <row r="353" spans="4:4" ht="17.649999999999999" x14ac:dyDescent="0.5">
      <c r="D353" s="3" t="s">
        <v>85</v>
      </c>
    </row>
    <row r="354" spans="4:4" ht="17.649999999999999" x14ac:dyDescent="0.5">
      <c r="D354" s="3" t="s">
        <v>51</v>
      </c>
    </row>
    <row r="355" spans="4:4" ht="17.649999999999999" x14ac:dyDescent="0.5">
      <c r="D355" s="3" t="s">
        <v>85</v>
      </c>
    </row>
    <row r="356" spans="4:4" ht="17.649999999999999" x14ac:dyDescent="0.5">
      <c r="D356" s="3" t="s">
        <v>61</v>
      </c>
    </row>
    <row r="357" spans="4:4" ht="17.649999999999999" x14ac:dyDescent="0.5">
      <c r="D357" s="3" t="s">
        <v>77</v>
      </c>
    </row>
    <row r="358" spans="4:4" ht="17.649999999999999" x14ac:dyDescent="0.5">
      <c r="D358" s="3" t="s">
        <v>57</v>
      </c>
    </row>
    <row r="359" spans="4:4" ht="17.649999999999999" x14ac:dyDescent="0.5">
      <c r="D359" s="3" t="s">
        <v>94</v>
      </c>
    </row>
    <row r="360" spans="4:4" ht="17.649999999999999" x14ac:dyDescent="0.5">
      <c r="D360" s="3" t="s">
        <v>47</v>
      </c>
    </row>
    <row r="361" spans="4:4" ht="17.649999999999999" x14ac:dyDescent="0.5">
      <c r="D361" s="3" t="s">
        <v>61</v>
      </c>
    </row>
    <row r="362" spans="4:4" ht="17.649999999999999" x14ac:dyDescent="0.5">
      <c r="D362" s="3" t="s">
        <v>101</v>
      </c>
    </row>
    <row r="363" spans="4:4" ht="17.649999999999999" x14ac:dyDescent="0.5">
      <c r="D363" s="3" t="s">
        <v>81</v>
      </c>
    </row>
    <row r="364" spans="4:4" ht="17.649999999999999" x14ac:dyDescent="0.5">
      <c r="D364" s="3" t="s">
        <v>73</v>
      </c>
    </row>
    <row r="365" spans="4:4" ht="17.649999999999999" x14ac:dyDescent="0.5">
      <c r="D365" s="3" t="s">
        <v>70</v>
      </c>
    </row>
    <row r="366" spans="4:4" ht="17.649999999999999" x14ac:dyDescent="0.5">
      <c r="D366" s="3" t="s">
        <v>112</v>
      </c>
    </row>
    <row r="367" spans="4:4" ht="17.649999999999999" x14ac:dyDescent="0.5">
      <c r="D367" s="3" t="s">
        <v>95</v>
      </c>
    </row>
    <row r="368" spans="4:4" ht="17.649999999999999" x14ac:dyDescent="0.5">
      <c r="D368" s="3" t="s">
        <v>55</v>
      </c>
    </row>
    <row r="369" spans="4:4" ht="17.649999999999999" x14ac:dyDescent="0.5">
      <c r="D369" s="3" t="s">
        <v>62</v>
      </c>
    </row>
    <row r="370" spans="4:4" ht="17.649999999999999" x14ac:dyDescent="0.5">
      <c r="D370" s="3" t="s">
        <v>91</v>
      </c>
    </row>
    <row r="371" spans="4:4" ht="17.649999999999999" x14ac:dyDescent="0.5">
      <c r="D371" s="3" t="s">
        <v>51</v>
      </c>
    </row>
    <row r="372" spans="4:4" ht="17.649999999999999" x14ac:dyDescent="0.5">
      <c r="D372" s="3" t="s">
        <v>115</v>
      </c>
    </row>
    <row r="373" spans="4:4" ht="17.649999999999999" x14ac:dyDescent="0.5">
      <c r="D373" s="3" t="s">
        <v>64</v>
      </c>
    </row>
    <row r="374" spans="4:4" ht="17.649999999999999" x14ac:dyDescent="0.5">
      <c r="D374" s="3" t="s">
        <v>46</v>
      </c>
    </row>
    <row r="375" spans="4:4" ht="17.649999999999999" x14ac:dyDescent="0.5">
      <c r="D375" s="3" t="s">
        <v>98</v>
      </c>
    </row>
    <row r="376" spans="4:4" ht="17.649999999999999" x14ac:dyDescent="0.5">
      <c r="D376" s="3" t="s">
        <v>68</v>
      </c>
    </row>
    <row r="377" spans="4:4" ht="17.649999999999999" x14ac:dyDescent="0.5">
      <c r="D377" s="3" t="s">
        <v>131</v>
      </c>
    </row>
    <row r="378" spans="4:4" ht="17.649999999999999" x14ac:dyDescent="0.5">
      <c r="D378" s="3" t="s">
        <v>57</v>
      </c>
    </row>
    <row r="379" spans="4:4" ht="17.649999999999999" x14ac:dyDescent="0.5">
      <c r="D379" s="3" t="s">
        <v>85</v>
      </c>
    </row>
    <row r="380" spans="4:4" ht="17.649999999999999" x14ac:dyDescent="0.5">
      <c r="D380" s="3" t="s">
        <v>101</v>
      </c>
    </row>
    <row r="381" spans="4:4" ht="17.649999999999999" x14ac:dyDescent="0.5">
      <c r="D381" s="3" t="s">
        <v>83</v>
      </c>
    </row>
    <row r="382" spans="4:4" ht="17.649999999999999" x14ac:dyDescent="0.5">
      <c r="D382" s="3" t="s">
        <v>91</v>
      </c>
    </row>
    <row r="383" spans="4:4" ht="17.649999999999999" x14ac:dyDescent="0.5">
      <c r="D383" s="3" t="s">
        <v>112</v>
      </c>
    </row>
    <row r="384" spans="4:4" ht="17.649999999999999" x14ac:dyDescent="0.5">
      <c r="D384" s="3" t="s">
        <v>92</v>
      </c>
    </row>
    <row r="385" spans="4:4" ht="17.649999999999999" x14ac:dyDescent="0.5">
      <c r="D385" s="3" t="s">
        <v>136</v>
      </c>
    </row>
    <row r="386" spans="4:4" ht="17.649999999999999" x14ac:dyDescent="0.5">
      <c r="D386" s="3" t="s">
        <v>63</v>
      </c>
    </row>
    <row r="387" spans="4:4" ht="17.649999999999999" x14ac:dyDescent="0.5">
      <c r="D387" s="3" t="s">
        <v>69</v>
      </c>
    </row>
    <row r="388" spans="4:4" ht="17.649999999999999" x14ac:dyDescent="0.5">
      <c r="D388" s="3" t="s">
        <v>50</v>
      </c>
    </row>
    <row r="389" spans="4:4" ht="17.649999999999999" x14ac:dyDescent="0.5">
      <c r="D389" s="3" t="s">
        <v>126</v>
      </c>
    </row>
    <row r="390" spans="4:4" ht="17.649999999999999" x14ac:dyDescent="0.5">
      <c r="D390" s="3" t="s">
        <v>87</v>
      </c>
    </row>
    <row r="391" spans="4:4" ht="17.649999999999999" x14ac:dyDescent="0.5">
      <c r="D391" s="3" t="s">
        <v>92</v>
      </c>
    </row>
    <row r="392" spans="4:4" ht="17.649999999999999" x14ac:dyDescent="0.5">
      <c r="D392" s="3" t="s">
        <v>57</v>
      </c>
    </row>
    <row r="393" spans="4:4" ht="17.649999999999999" x14ac:dyDescent="0.5">
      <c r="D393" s="3" t="s">
        <v>105</v>
      </c>
    </row>
    <row r="394" spans="4:4" ht="17.649999999999999" x14ac:dyDescent="0.5">
      <c r="D394" s="3" t="s">
        <v>92</v>
      </c>
    </row>
    <row r="395" spans="4:4" ht="17.649999999999999" x14ac:dyDescent="0.5">
      <c r="D395" s="3" t="s">
        <v>102</v>
      </c>
    </row>
    <row r="396" spans="4:4" ht="17.649999999999999" x14ac:dyDescent="0.5">
      <c r="D396" s="3" t="s">
        <v>94</v>
      </c>
    </row>
    <row r="397" spans="4:4" ht="17.649999999999999" x14ac:dyDescent="0.5">
      <c r="D397" s="3" t="s">
        <v>57</v>
      </c>
    </row>
    <row r="398" spans="4:4" ht="17.649999999999999" x14ac:dyDescent="0.5">
      <c r="D398" s="3" t="s">
        <v>55</v>
      </c>
    </row>
    <row r="399" spans="4:4" ht="17.649999999999999" x14ac:dyDescent="0.5">
      <c r="D399" s="3" t="s">
        <v>93</v>
      </c>
    </row>
    <row r="400" spans="4:4" ht="17.649999999999999" x14ac:dyDescent="0.5">
      <c r="D400" s="3" t="s">
        <v>101</v>
      </c>
    </row>
    <row r="401" spans="4:4" ht="17.649999999999999" x14ac:dyDescent="0.5">
      <c r="D401" s="3" t="s">
        <v>91</v>
      </c>
    </row>
    <row r="402" spans="4:4" ht="17.649999999999999" x14ac:dyDescent="0.5">
      <c r="D402" s="3" t="s">
        <v>60</v>
      </c>
    </row>
    <row r="403" spans="4:4" ht="17.649999999999999" x14ac:dyDescent="0.5">
      <c r="D403" s="3" t="s">
        <v>49</v>
      </c>
    </row>
    <row r="404" spans="4:4" ht="17.649999999999999" x14ac:dyDescent="0.5">
      <c r="D404" s="3" t="s">
        <v>84</v>
      </c>
    </row>
    <row r="405" spans="4:4" ht="17.649999999999999" x14ac:dyDescent="0.5">
      <c r="D405" s="3" t="s">
        <v>98</v>
      </c>
    </row>
    <row r="406" spans="4:4" ht="17.649999999999999" x14ac:dyDescent="0.5">
      <c r="D406" s="3" t="s">
        <v>82</v>
      </c>
    </row>
    <row r="407" spans="4:4" ht="17.649999999999999" x14ac:dyDescent="0.5">
      <c r="D407" s="3" t="s">
        <v>92</v>
      </c>
    </row>
    <row r="408" spans="4:4" ht="17.649999999999999" x14ac:dyDescent="0.5">
      <c r="D408" s="3" t="s">
        <v>48</v>
      </c>
    </row>
    <row r="409" spans="4:4" ht="17.649999999999999" x14ac:dyDescent="0.5">
      <c r="D409" s="3" t="s">
        <v>105</v>
      </c>
    </row>
    <row r="410" spans="4:4" ht="17.649999999999999" x14ac:dyDescent="0.5">
      <c r="D410" s="3" t="s">
        <v>57</v>
      </c>
    </row>
    <row r="411" spans="4:4" ht="17.649999999999999" x14ac:dyDescent="0.5">
      <c r="D411" s="3" t="s">
        <v>77</v>
      </c>
    </row>
    <row r="412" spans="4:4" ht="17.649999999999999" x14ac:dyDescent="0.5">
      <c r="D412" s="3" t="s">
        <v>121</v>
      </c>
    </row>
    <row r="413" spans="4:4" ht="17.649999999999999" x14ac:dyDescent="0.5">
      <c r="D413" s="3" t="s">
        <v>73</v>
      </c>
    </row>
    <row r="414" spans="4:4" ht="17.649999999999999" x14ac:dyDescent="0.5">
      <c r="D414" s="3" t="s">
        <v>67</v>
      </c>
    </row>
    <row r="415" spans="4:4" ht="17.649999999999999" x14ac:dyDescent="0.5">
      <c r="D415" s="3" t="s">
        <v>70</v>
      </c>
    </row>
    <row r="416" spans="4:4" ht="17.649999999999999" x14ac:dyDescent="0.5">
      <c r="D416" s="3" t="s">
        <v>46</v>
      </c>
    </row>
    <row r="417" spans="4:4" ht="17.649999999999999" x14ac:dyDescent="0.5">
      <c r="D417" s="3" t="s">
        <v>43</v>
      </c>
    </row>
    <row r="418" spans="4:4" ht="17.649999999999999" x14ac:dyDescent="0.5">
      <c r="D418" s="3" t="s">
        <v>73</v>
      </c>
    </row>
    <row r="419" spans="4:4" ht="17.649999999999999" x14ac:dyDescent="0.5">
      <c r="D419" s="3" t="s">
        <v>43</v>
      </c>
    </row>
    <row r="420" spans="4:4" ht="17.649999999999999" x14ac:dyDescent="0.5">
      <c r="D420" s="3" t="s">
        <v>73</v>
      </c>
    </row>
    <row r="421" spans="4:4" ht="17.649999999999999" x14ac:dyDescent="0.5">
      <c r="D421" s="3" t="s">
        <v>81</v>
      </c>
    </row>
    <row r="422" spans="4:4" ht="17.649999999999999" x14ac:dyDescent="0.5">
      <c r="D422" s="3" t="s">
        <v>51</v>
      </c>
    </row>
    <row r="423" spans="4:4" ht="17.649999999999999" x14ac:dyDescent="0.5">
      <c r="D423" s="3" t="s">
        <v>117</v>
      </c>
    </row>
    <row r="424" spans="4:4" ht="17.649999999999999" x14ac:dyDescent="0.5">
      <c r="D424" s="3" t="s">
        <v>107</v>
      </c>
    </row>
    <row r="425" spans="4:4" ht="17.649999999999999" x14ac:dyDescent="0.5">
      <c r="D425" s="3" t="s">
        <v>70</v>
      </c>
    </row>
    <row r="426" spans="4:4" ht="17.649999999999999" x14ac:dyDescent="0.5">
      <c r="D426" s="3" t="s">
        <v>91</v>
      </c>
    </row>
    <row r="427" spans="4:4" ht="17.649999999999999" x14ac:dyDescent="0.5">
      <c r="D427" s="3" t="s">
        <v>78</v>
      </c>
    </row>
    <row r="428" spans="4:4" ht="17.649999999999999" x14ac:dyDescent="0.5">
      <c r="D428" s="3" t="s">
        <v>80</v>
      </c>
    </row>
    <row r="429" spans="4:4" ht="17.649999999999999" x14ac:dyDescent="0.5">
      <c r="D429" s="3" t="s">
        <v>135</v>
      </c>
    </row>
    <row r="430" spans="4:4" ht="17.649999999999999" x14ac:dyDescent="0.5">
      <c r="D430" s="3" t="s">
        <v>50</v>
      </c>
    </row>
    <row r="431" spans="4:4" ht="17.649999999999999" x14ac:dyDescent="0.5">
      <c r="D431" s="3" t="s">
        <v>103</v>
      </c>
    </row>
    <row r="432" spans="4:4" ht="17.649999999999999" x14ac:dyDescent="0.5">
      <c r="D432" s="3" t="s">
        <v>103</v>
      </c>
    </row>
    <row r="433" spans="4:4" ht="17.649999999999999" x14ac:dyDescent="0.5">
      <c r="D433" s="3" t="s">
        <v>84</v>
      </c>
    </row>
    <row r="434" spans="4:4" ht="17.649999999999999" x14ac:dyDescent="0.5">
      <c r="D434" s="3" t="s">
        <v>46</v>
      </c>
    </row>
    <row r="435" spans="4:4" ht="17.649999999999999" x14ac:dyDescent="0.5">
      <c r="D435" s="3" t="s">
        <v>135</v>
      </c>
    </row>
    <row r="436" spans="4:4" ht="17.649999999999999" x14ac:dyDescent="0.5">
      <c r="D436" s="3" t="s">
        <v>49</v>
      </c>
    </row>
    <row r="437" spans="4:4" ht="17.649999999999999" x14ac:dyDescent="0.5">
      <c r="D437" s="3" t="s">
        <v>68</v>
      </c>
    </row>
    <row r="438" spans="4:4" ht="17.649999999999999" x14ac:dyDescent="0.5">
      <c r="D438" s="3" t="s">
        <v>56</v>
      </c>
    </row>
    <row r="439" spans="4:4" ht="17.649999999999999" x14ac:dyDescent="0.5">
      <c r="D439" s="3" t="s">
        <v>73</v>
      </c>
    </row>
    <row r="440" spans="4:4" ht="17.649999999999999" x14ac:dyDescent="0.5">
      <c r="D440" s="3" t="s">
        <v>78</v>
      </c>
    </row>
    <row r="441" spans="4:4" ht="17.649999999999999" x14ac:dyDescent="0.5">
      <c r="D441" s="3" t="s">
        <v>47</v>
      </c>
    </row>
    <row r="442" spans="4:4" ht="17.649999999999999" x14ac:dyDescent="0.5">
      <c r="D442" s="3" t="s">
        <v>67</v>
      </c>
    </row>
    <row r="443" spans="4:4" ht="17.649999999999999" x14ac:dyDescent="0.5">
      <c r="D443" s="3" t="s">
        <v>43</v>
      </c>
    </row>
    <row r="444" spans="4:4" ht="17.649999999999999" x14ac:dyDescent="0.5">
      <c r="D444" s="3" t="s">
        <v>96</v>
      </c>
    </row>
    <row r="445" spans="4:4" ht="17.649999999999999" x14ac:dyDescent="0.5">
      <c r="D445" s="3" t="s">
        <v>74</v>
      </c>
    </row>
    <row r="446" spans="4:4" ht="17.649999999999999" x14ac:dyDescent="0.5">
      <c r="D446" s="3" t="s">
        <v>101</v>
      </c>
    </row>
    <row r="447" spans="4:4" ht="17.649999999999999" x14ac:dyDescent="0.5">
      <c r="D447" s="3" t="s">
        <v>125</v>
      </c>
    </row>
    <row r="448" spans="4:4" ht="17.649999999999999" x14ac:dyDescent="0.5">
      <c r="D448" s="3" t="s">
        <v>50</v>
      </c>
    </row>
    <row r="449" spans="4:4" ht="17.649999999999999" x14ac:dyDescent="0.5">
      <c r="D449" s="3" t="s">
        <v>91</v>
      </c>
    </row>
    <row r="450" spans="4:4" ht="17.649999999999999" x14ac:dyDescent="0.5">
      <c r="D450" s="3" t="s">
        <v>73</v>
      </c>
    </row>
    <row r="451" spans="4:4" ht="17.649999999999999" x14ac:dyDescent="0.5">
      <c r="D451" s="3" t="s">
        <v>118</v>
      </c>
    </row>
    <row r="452" spans="4:4" ht="17.649999999999999" x14ac:dyDescent="0.5">
      <c r="D452" s="3" t="s">
        <v>78</v>
      </c>
    </row>
    <row r="453" spans="4:4" ht="17.649999999999999" x14ac:dyDescent="0.5">
      <c r="D453" s="3" t="s">
        <v>46</v>
      </c>
    </row>
    <row r="454" spans="4:4" ht="17.649999999999999" x14ac:dyDescent="0.5">
      <c r="D454" s="3" t="s">
        <v>126</v>
      </c>
    </row>
    <row r="455" spans="4:4" ht="17.649999999999999" x14ac:dyDescent="0.5">
      <c r="D455" s="3" t="s">
        <v>80</v>
      </c>
    </row>
    <row r="456" spans="4:4" ht="17.649999999999999" x14ac:dyDescent="0.5">
      <c r="D456" s="3" t="s">
        <v>91</v>
      </c>
    </row>
    <row r="457" spans="4:4" ht="17.649999999999999" x14ac:dyDescent="0.5">
      <c r="D457" s="3" t="s">
        <v>121</v>
      </c>
    </row>
    <row r="458" spans="4:4" ht="17.649999999999999" x14ac:dyDescent="0.5">
      <c r="D458" s="3" t="s">
        <v>57</v>
      </c>
    </row>
    <row r="459" spans="4:4" ht="17.649999999999999" x14ac:dyDescent="0.5">
      <c r="D459" s="3" t="s">
        <v>78</v>
      </c>
    </row>
    <row r="460" spans="4:4" ht="17.649999999999999" x14ac:dyDescent="0.5">
      <c r="D460" s="3" t="s">
        <v>50</v>
      </c>
    </row>
    <row r="461" spans="4:4" ht="17.649999999999999" x14ac:dyDescent="0.5">
      <c r="D461" s="3" t="s">
        <v>98</v>
      </c>
    </row>
    <row r="462" spans="4:4" ht="17.649999999999999" x14ac:dyDescent="0.5">
      <c r="D462" s="3" t="s">
        <v>79</v>
      </c>
    </row>
    <row r="463" spans="4:4" ht="17.649999999999999" x14ac:dyDescent="0.5">
      <c r="D463" s="3" t="s">
        <v>101</v>
      </c>
    </row>
    <row r="464" spans="4:4" ht="17.649999999999999" x14ac:dyDescent="0.5">
      <c r="D464" s="3" t="s">
        <v>51</v>
      </c>
    </row>
    <row r="465" spans="4:4" ht="17.649999999999999" x14ac:dyDescent="0.5">
      <c r="D465" s="3" t="s">
        <v>56</v>
      </c>
    </row>
    <row r="466" spans="4:4" ht="17.649999999999999" x14ac:dyDescent="0.5">
      <c r="D466" s="3" t="s">
        <v>84</v>
      </c>
    </row>
    <row r="467" spans="4:4" ht="17.649999999999999" x14ac:dyDescent="0.5">
      <c r="D467" s="3" t="s">
        <v>73</v>
      </c>
    </row>
    <row r="468" spans="4:4" ht="17.649999999999999" x14ac:dyDescent="0.5">
      <c r="D468" s="3" t="s">
        <v>95</v>
      </c>
    </row>
    <row r="469" spans="4:4" ht="17.649999999999999" x14ac:dyDescent="0.5">
      <c r="D469" s="3" t="s">
        <v>53</v>
      </c>
    </row>
    <row r="470" spans="4:4" ht="17.649999999999999" x14ac:dyDescent="0.5">
      <c r="D470" s="3" t="s">
        <v>80</v>
      </c>
    </row>
    <row r="471" spans="4:4" ht="17.649999999999999" x14ac:dyDescent="0.5">
      <c r="D471" s="3" t="s">
        <v>108</v>
      </c>
    </row>
    <row r="472" spans="4:4" ht="17.649999999999999" x14ac:dyDescent="0.5">
      <c r="D472" s="3" t="s">
        <v>42</v>
      </c>
    </row>
    <row r="473" spans="4:4" ht="17.649999999999999" x14ac:dyDescent="0.5">
      <c r="D473" s="3" t="s">
        <v>69</v>
      </c>
    </row>
    <row r="474" spans="4:4" ht="17.649999999999999" x14ac:dyDescent="0.5">
      <c r="D474" s="3" t="s">
        <v>88</v>
      </c>
    </row>
    <row r="475" spans="4:4" ht="17.649999999999999" x14ac:dyDescent="0.5">
      <c r="D475" s="3" t="s">
        <v>53</v>
      </c>
    </row>
    <row r="476" spans="4:4" ht="17.649999999999999" x14ac:dyDescent="0.5">
      <c r="D476" s="3" t="s">
        <v>101</v>
      </c>
    </row>
    <row r="477" spans="4:4" ht="17.649999999999999" x14ac:dyDescent="0.5">
      <c r="D477" s="3" t="s">
        <v>81</v>
      </c>
    </row>
    <row r="478" spans="4:4" ht="17.649999999999999" x14ac:dyDescent="0.5">
      <c r="D478" s="3" t="s">
        <v>110</v>
      </c>
    </row>
    <row r="479" spans="4:4" ht="17.649999999999999" x14ac:dyDescent="0.5">
      <c r="D479" s="3" t="s">
        <v>99</v>
      </c>
    </row>
    <row r="480" spans="4:4" ht="17.649999999999999" x14ac:dyDescent="0.5">
      <c r="D480" s="3" t="s">
        <v>105</v>
      </c>
    </row>
    <row r="481" spans="4:4" ht="17.649999999999999" x14ac:dyDescent="0.5">
      <c r="D481" s="3" t="s">
        <v>61</v>
      </c>
    </row>
    <row r="482" spans="4:4" ht="17.649999999999999" x14ac:dyDescent="0.5">
      <c r="D482" s="3" t="s">
        <v>90</v>
      </c>
    </row>
    <row r="483" spans="4:4" ht="17.649999999999999" x14ac:dyDescent="0.5">
      <c r="D483" s="3" t="s">
        <v>52</v>
      </c>
    </row>
    <row r="484" spans="4:4" ht="17.649999999999999" x14ac:dyDescent="0.5">
      <c r="D484" s="3" t="s">
        <v>67</v>
      </c>
    </row>
    <row r="485" spans="4:4" ht="17.649999999999999" x14ac:dyDescent="0.5">
      <c r="D485" s="3" t="s">
        <v>127</v>
      </c>
    </row>
    <row r="486" spans="4:4" ht="17.649999999999999" x14ac:dyDescent="0.5">
      <c r="D486" s="3" t="s">
        <v>87</v>
      </c>
    </row>
    <row r="487" spans="4:4" ht="17.649999999999999" x14ac:dyDescent="0.5">
      <c r="D487" s="3" t="s">
        <v>116</v>
      </c>
    </row>
    <row r="488" spans="4:4" ht="17.649999999999999" x14ac:dyDescent="0.5">
      <c r="D488" s="3" t="s">
        <v>84</v>
      </c>
    </row>
    <row r="489" spans="4:4" ht="17.649999999999999" x14ac:dyDescent="0.5">
      <c r="D489" s="3" t="s">
        <v>101</v>
      </c>
    </row>
    <row r="490" spans="4:4" ht="17.649999999999999" x14ac:dyDescent="0.5">
      <c r="D490" s="3" t="s">
        <v>91</v>
      </c>
    </row>
    <row r="491" spans="4:4" ht="17.649999999999999" x14ac:dyDescent="0.5">
      <c r="D491" s="3" t="s">
        <v>80</v>
      </c>
    </row>
    <row r="492" spans="4:4" ht="17.649999999999999" x14ac:dyDescent="0.5">
      <c r="D492" s="3" t="s">
        <v>116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101</v>
      </c>
    </row>
    <row r="495" spans="4:4" ht="17.649999999999999" x14ac:dyDescent="0.5">
      <c r="D495" s="3" t="s">
        <v>130</v>
      </c>
    </row>
    <row r="496" spans="4:4" ht="17.649999999999999" x14ac:dyDescent="0.5">
      <c r="D496" s="3" t="s">
        <v>91</v>
      </c>
    </row>
    <row r="497" spans="4:4" ht="17.649999999999999" x14ac:dyDescent="0.5">
      <c r="D497" s="3" t="s">
        <v>55</v>
      </c>
    </row>
    <row r="498" spans="4:4" ht="17.649999999999999" x14ac:dyDescent="0.5">
      <c r="D498" s="3" t="s">
        <v>66</v>
      </c>
    </row>
    <row r="499" spans="4:4" ht="17.649999999999999" x14ac:dyDescent="0.5">
      <c r="D499" s="3" t="s">
        <v>105</v>
      </c>
    </row>
    <row r="500" spans="4:4" ht="17.649999999999999" x14ac:dyDescent="0.5">
      <c r="D500" s="3" t="s">
        <v>135</v>
      </c>
    </row>
    <row r="501" spans="4:4" ht="17.649999999999999" x14ac:dyDescent="0.5">
      <c r="D501" s="3" t="s">
        <v>55</v>
      </c>
    </row>
    <row r="502" spans="4:4" ht="17.649999999999999" x14ac:dyDescent="0.5">
      <c r="D502" s="3" t="s">
        <v>66</v>
      </c>
    </row>
    <row r="503" spans="4:4" ht="17.649999999999999" x14ac:dyDescent="0.5">
      <c r="D503" s="3" t="s">
        <v>68</v>
      </c>
    </row>
    <row r="504" spans="4:4" ht="17.649999999999999" x14ac:dyDescent="0.5">
      <c r="D504" s="3" t="s">
        <v>75</v>
      </c>
    </row>
    <row r="505" spans="4:4" ht="17.649999999999999" x14ac:dyDescent="0.5">
      <c r="D505" s="3" t="s">
        <v>41</v>
      </c>
    </row>
    <row r="506" spans="4:4" ht="17.649999999999999" x14ac:dyDescent="0.5">
      <c r="D506" s="3" t="s">
        <v>83</v>
      </c>
    </row>
    <row r="507" spans="4:4" ht="17.649999999999999" x14ac:dyDescent="0.5">
      <c r="D507" s="3" t="s">
        <v>91</v>
      </c>
    </row>
    <row r="508" spans="4:4" ht="17.649999999999999" x14ac:dyDescent="0.5">
      <c r="D508" s="3" t="s">
        <v>86</v>
      </c>
    </row>
    <row r="509" spans="4:4" ht="17.649999999999999" x14ac:dyDescent="0.5">
      <c r="D509" s="3" t="s">
        <v>63</v>
      </c>
    </row>
    <row r="510" spans="4:4" ht="17.649999999999999" x14ac:dyDescent="0.5">
      <c r="D510" s="3" t="s">
        <v>126</v>
      </c>
    </row>
    <row r="511" spans="4:4" ht="17.649999999999999" x14ac:dyDescent="0.5">
      <c r="D511" s="3" t="s">
        <v>81</v>
      </c>
    </row>
    <row r="512" spans="4:4" ht="17.649999999999999" x14ac:dyDescent="0.5">
      <c r="D512" s="3" t="s">
        <v>65</v>
      </c>
    </row>
    <row r="513" spans="4:4" ht="17.649999999999999" x14ac:dyDescent="0.5">
      <c r="D513" s="3" t="s">
        <v>131</v>
      </c>
    </row>
    <row r="514" spans="4:4" ht="17.649999999999999" x14ac:dyDescent="0.5">
      <c r="D514" s="3" t="s">
        <v>90</v>
      </c>
    </row>
    <row r="515" spans="4:4" ht="17.649999999999999" x14ac:dyDescent="0.5">
      <c r="D515" s="3" t="s">
        <v>43</v>
      </c>
    </row>
    <row r="516" spans="4:4" ht="17.649999999999999" x14ac:dyDescent="0.5">
      <c r="D516" s="3" t="s">
        <v>76</v>
      </c>
    </row>
    <row r="517" spans="4:4" ht="17.649999999999999" x14ac:dyDescent="0.5">
      <c r="D517" s="3" t="s">
        <v>52</v>
      </c>
    </row>
    <row r="518" spans="4:4" ht="17.649999999999999" x14ac:dyDescent="0.5">
      <c r="D518" s="3" t="s">
        <v>83</v>
      </c>
    </row>
    <row r="519" spans="4:4" ht="17.649999999999999" x14ac:dyDescent="0.5">
      <c r="D519" s="3" t="s">
        <v>91</v>
      </c>
    </row>
    <row r="520" spans="4:4" ht="17.649999999999999" x14ac:dyDescent="0.5">
      <c r="D520" s="3" t="s">
        <v>44</v>
      </c>
    </row>
    <row r="521" spans="4:4" ht="17.649999999999999" x14ac:dyDescent="0.5">
      <c r="D521" s="3" t="s">
        <v>103</v>
      </c>
    </row>
    <row r="522" spans="4:4" ht="17.649999999999999" x14ac:dyDescent="0.5">
      <c r="D522" s="3" t="s">
        <v>115</v>
      </c>
    </row>
    <row r="523" spans="4:4" ht="17.649999999999999" x14ac:dyDescent="0.5">
      <c r="D523" s="3" t="s">
        <v>57</v>
      </c>
    </row>
    <row r="524" spans="4:4" ht="17.649999999999999" x14ac:dyDescent="0.5">
      <c r="D524" s="3" t="s">
        <v>96</v>
      </c>
    </row>
    <row r="525" spans="4:4" ht="17.649999999999999" x14ac:dyDescent="0.5">
      <c r="D525" s="3" t="s">
        <v>77</v>
      </c>
    </row>
    <row r="526" spans="4:4" ht="17.649999999999999" x14ac:dyDescent="0.5">
      <c r="D526" s="3" t="s">
        <v>41</v>
      </c>
    </row>
    <row r="527" spans="4:4" ht="17.649999999999999" x14ac:dyDescent="0.5">
      <c r="D527" s="3" t="s">
        <v>124</v>
      </c>
    </row>
    <row r="528" spans="4:4" ht="17.649999999999999" x14ac:dyDescent="0.5">
      <c r="D528" s="3" t="s">
        <v>67</v>
      </c>
    </row>
    <row r="529" spans="4:4" ht="17.649999999999999" x14ac:dyDescent="0.5">
      <c r="D529" s="3" t="s">
        <v>91</v>
      </c>
    </row>
    <row r="530" spans="4:4" ht="17.649999999999999" x14ac:dyDescent="0.5">
      <c r="D530" s="3" t="s">
        <v>71</v>
      </c>
    </row>
    <row r="531" spans="4:4" ht="17.649999999999999" x14ac:dyDescent="0.5">
      <c r="D531" s="3" t="s">
        <v>58</v>
      </c>
    </row>
    <row r="532" spans="4:4" ht="17.649999999999999" x14ac:dyDescent="0.5">
      <c r="D532" s="3" t="s">
        <v>56</v>
      </c>
    </row>
    <row r="533" spans="4:4" ht="17.649999999999999" x14ac:dyDescent="0.5">
      <c r="D533" s="3" t="s">
        <v>48</v>
      </c>
    </row>
    <row r="534" spans="4:4" ht="17.649999999999999" x14ac:dyDescent="0.5">
      <c r="D534" s="3" t="s">
        <v>112</v>
      </c>
    </row>
    <row r="535" spans="4:4" ht="17.649999999999999" x14ac:dyDescent="0.5">
      <c r="D535" s="3" t="s">
        <v>111</v>
      </c>
    </row>
    <row r="536" spans="4:4" ht="17.649999999999999" x14ac:dyDescent="0.5">
      <c r="D536" s="3" t="s">
        <v>68</v>
      </c>
    </row>
    <row r="537" spans="4:4" ht="17.649999999999999" x14ac:dyDescent="0.5">
      <c r="D537" s="3" t="s">
        <v>62</v>
      </c>
    </row>
    <row r="538" spans="4:4" ht="17.649999999999999" x14ac:dyDescent="0.5">
      <c r="D538" s="3" t="s">
        <v>94</v>
      </c>
    </row>
    <row r="539" spans="4:4" ht="17.649999999999999" x14ac:dyDescent="0.5">
      <c r="D539" s="3" t="s">
        <v>78</v>
      </c>
    </row>
    <row r="540" spans="4:4" ht="17.649999999999999" x14ac:dyDescent="0.5">
      <c r="D540" s="3" t="s">
        <v>71</v>
      </c>
    </row>
    <row r="541" spans="4:4" ht="17.649999999999999" x14ac:dyDescent="0.5">
      <c r="D541" s="3" t="s">
        <v>74</v>
      </c>
    </row>
    <row r="542" spans="4:4" ht="17.649999999999999" x14ac:dyDescent="0.5">
      <c r="D542" s="3" t="s">
        <v>56</v>
      </c>
    </row>
    <row r="543" spans="4:4" ht="17.649999999999999" x14ac:dyDescent="0.5">
      <c r="D543" s="3" t="s">
        <v>134</v>
      </c>
    </row>
    <row r="544" spans="4:4" ht="17.649999999999999" x14ac:dyDescent="0.5">
      <c r="D544" s="3" t="s">
        <v>51</v>
      </c>
    </row>
    <row r="545" spans="4:4" ht="17.649999999999999" x14ac:dyDescent="0.5">
      <c r="D545" s="3" t="s">
        <v>124</v>
      </c>
    </row>
    <row r="546" spans="4:4" ht="17.649999999999999" x14ac:dyDescent="0.5">
      <c r="D546" s="3" t="s">
        <v>96</v>
      </c>
    </row>
    <row r="547" spans="4:4" ht="17.649999999999999" x14ac:dyDescent="0.5">
      <c r="D547" s="3" t="s">
        <v>49</v>
      </c>
    </row>
    <row r="548" spans="4:4" ht="17.649999999999999" x14ac:dyDescent="0.5">
      <c r="D548" s="3" t="s">
        <v>75</v>
      </c>
    </row>
    <row r="549" spans="4:4" ht="17.649999999999999" x14ac:dyDescent="0.5">
      <c r="D549" s="3" t="s">
        <v>96</v>
      </c>
    </row>
    <row r="550" spans="4:4" ht="17.649999999999999" x14ac:dyDescent="0.5">
      <c r="D550" s="3" t="s">
        <v>115</v>
      </c>
    </row>
    <row r="551" spans="4:4" ht="17.649999999999999" x14ac:dyDescent="0.5">
      <c r="D551" s="3" t="s">
        <v>66</v>
      </c>
    </row>
    <row r="552" spans="4:4" ht="17.649999999999999" x14ac:dyDescent="0.5">
      <c r="D552" s="3" t="s">
        <v>51</v>
      </c>
    </row>
    <row r="553" spans="4:4" ht="17.649999999999999" x14ac:dyDescent="0.5">
      <c r="D553" s="3" t="s">
        <v>47</v>
      </c>
    </row>
    <row r="554" spans="4:4" ht="17.649999999999999" x14ac:dyDescent="0.5">
      <c r="D554" s="3" t="s">
        <v>59</v>
      </c>
    </row>
    <row r="555" spans="4:4" ht="17.649999999999999" x14ac:dyDescent="0.5">
      <c r="D555" s="3" t="s">
        <v>86</v>
      </c>
    </row>
    <row r="556" spans="4:4" ht="17.649999999999999" x14ac:dyDescent="0.5">
      <c r="D556" s="3" t="s">
        <v>43</v>
      </c>
    </row>
    <row r="557" spans="4:4" ht="17.649999999999999" x14ac:dyDescent="0.5">
      <c r="D557" s="3" t="s">
        <v>68</v>
      </c>
    </row>
    <row r="558" spans="4:4" ht="17.649999999999999" x14ac:dyDescent="0.5">
      <c r="D558" s="3" t="s">
        <v>121</v>
      </c>
    </row>
    <row r="559" spans="4:4" ht="17.649999999999999" x14ac:dyDescent="0.5">
      <c r="D559" s="3" t="s">
        <v>66</v>
      </c>
    </row>
    <row r="560" spans="4:4" ht="17.649999999999999" x14ac:dyDescent="0.5">
      <c r="D560" s="3" t="s">
        <v>41</v>
      </c>
    </row>
    <row r="561" spans="4:4" ht="17.649999999999999" x14ac:dyDescent="0.5">
      <c r="D561" s="3" t="s">
        <v>133</v>
      </c>
    </row>
    <row r="562" spans="4:4" ht="17.649999999999999" x14ac:dyDescent="0.5">
      <c r="D562" s="3" t="s">
        <v>84</v>
      </c>
    </row>
    <row r="563" spans="4:4" ht="17.649999999999999" x14ac:dyDescent="0.5">
      <c r="D563" s="3" t="s">
        <v>108</v>
      </c>
    </row>
    <row r="564" spans="4:4" ht="17.649999999999999" x14ac:dyDescent="0.5">
      <c r="D564" s="3" t="s">
        <v>61</v>
      </c>
    </row>
    <row r="565" spans="4:4" ht="17.649999999999999" x14ac:dyDescent="0.5">
      <c r="D565" s="3" t="s">
        <v>47</v>
      </c>
    </row>
    <row r="566" spans="4:4" ht="17.649999999999999" x14ac:dyDescent="0.5">
      <c r="D566" s="3" t="s">
        <v>117</v>
      </c>
    </row>
    <row r="567" spans="4:4" ht="17.649999999999999" x14ac:dyDescent="0.5">
      <c r="D567" s="3" t="s">
        <v>52</v>
      </c>
    </row>
    <row r="568" spans="4:4" ht="17.649999999999999" x14ac:dyDescent="0.5">
      <c r="D568" s="3" t="s">
        <v>49</v>
      </c>
    </row>
    <row r="569" spans="4:4" ht="17.649999999999999" x14ac:dyDescent="0.5">
      <c r="D569" s="3" t="s">
        <v>48</v>
      </c>
    </row>
    <row r="570" spans="4:4" ht="17.649999999999999" x14ac:dyDescent="0.5">
      <c r="D570" s="3" t="s">
        <v>96</v>
      </c>
    </row>
    <row r="571" spans="4:4" ht="17.649999999999999" x14ac:dyDescent="0.5">
      <c r="D571" s="3" t="s">
        <v>98</v>
      </c>
    </row>
    <row r="572" spans="4:4" ht="17.649999999999999" x14ac:dyDescent="0.5">
      <c r="D572" s="3" t="s">
        <v>43</v>
      </c>
    </row>
    <row r="573" spans="4:4" ht="17.649999999999999" x14ac:dyDescent="0.5">
      <c r="D573" s="3" t="s">
        <v>46</v>
      </c>
    </row>
    <row r="574" spans="4:4" ht="17.649999999999999" x14ac:dyDescent="0.5">
      <c r="D574" s="3" t="s">
        <v>115</v>
      </c>
    </row>
    <row r="575" spans="4:4" ht="17.649999999999999" x14ac:dyDescent="0.5">
      <c r="D575" s="3" t="s">
        <v>64</v>
      </c>
    </row>
    <row r="576" spans="4:4" ht="17.649999999999999" x14ac:dyDescent="0.5">
      <c r="D576" s="3" t="s">
        <v>92</v>
      </c>
    </row>
    <row r="577" spans="4:4" ht="17.649999999999999" x14ac:dyDescent="0.5">
      <c r="D577" s="3" t="s">
        <v>43</v>
      </c>
    </row>
    <row r="578" spans="4:4" ht="17.649999999999999" x14ac:dyDescent="0.5">
      <c r="D578" s="3" t="s">
        <v>44</v>
      </c>
    </row>
    <row r="579" spans="4:4" ht="17.649999999999999" x14ac:dyDescent="0.5">
      <c r="D579" s="3" t="s">
        <v>87</v>
      </c>
    </row>
    <row r="580" spans="4:4" ht="17.649999999999999" x14ac:dyDescent="0.5">
      <c r="D580" s="3" t="s">
        <v>64</v>
      </c>
    </row>
    <row r="581" spans="4:4" ht="17.649999999999999" x14ac:dyDescent="0.5">
      <c r="D581" s="3" t="s">
        <v>130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103</v>
      </c>
    </row>
    <row r="584" spans="4:4" ht="17.649999999999999" x14ac:dyDescent="0.5">
      <c r="D584" s="3" t="s">
        <v>64</v>
      </c>
    </row>
    <row r="585" spans="4:4" ht="17.649999999999999" x14ac:dyDescent="0.5">
      <c r="D585" s="3" t="s">
        <v>53</v>
      </c>
    </row>
    <row r="586" spans="4:4" ht="17.649999999999999" x14ac:dyDescent="0.5">
      <c r="D586" s="3" t="s">
        <v>112</v>
      </c>
    </row>
    <row r="587" spans="4:4" ht="17.649999999999999" x14ac:dyDescent="0.5">
      <c r="D587" s="3" t="s">
        <v>66</v>
      </c>
    </row>
    <row r="588" spans="4:4" ht="17.649999999999999" x14ac:dyDescent="0.5">
      <c r="D588" s="3" t="s">
        <v>129</v>
      </c>
    </row>
    <row r="589" spans="4:4" ht="17.649999999999999" x14ac:dyDescent="0.5">
      <c r="D589" s="3" t="s">
        <v>122</v>
      </c>
    </row>
    <row r="590" spans="4:4" ht="17.649999999999999" x14ac:dyDescent="0.5">
      <c r="D590" s="3" t="s">
        <v>74</v>
      </c>
    </row>
    <row r="591" spans="4:4" ht="17.649999999999999" x14ac:dyDescent="0.5">
      <c r="D591" s="3" t="s">
        <v>50</v>
      </c>
    </row>
    <row r="592" spans="4:4" ht="17.649999999999999" x14ac:dyDescent="0.5">
      <c r="D592" s="3" t="s">
        <v>79</v>
      </c>
    </row>
    <row r="593" spans="4:4" ht="17.649999999999999" x14ac:dyDescent="0.5">
      <c r="D593" s="3" t="s">
        <v>55</v>
      </c>
    </row>
    <row r="594" spans="4:4" ht="17.649999999999999" x14ac:dyDescent="0.5">
      <c r="D594" s="3" t="s">
        <v>94</v>
      </c>
    </row>
    <row r="595" spans="4:4" ht="17.649999999999999" x14ac:dyDescent="0.5">
      <c r="D595" s="3" t="s">
        <v>57</v>
      </c>
    </row>
    <row r="596" spans="4:4" ht="17.649999999999999" x14ac:dyDescent="0.5">
      <c r="D596" s="3" t="s">
        <v>63</v>
      </c>
    </row>
    <row r="597" spans="4:4" ht="17.649999999999999" x14ac:dyDescent="0.5">
      <c r="D597" s="3" t="s">
        <v>69</v>
      </c>
    </row>
    <row r="598" spans="4:4" ht="17.649999999999999" x14ac:dyDescent="0.5">
      <c r="D598" s="3" t="s">
        <v>96</v>
      </c>
    </row>
    <row r="599" spans="4:4" ht="17.649999999999999" x14ac:dyDescent="0.5">
      <c r="D599" s="3" t="s">
        <v>87</v>
      </c>
    </row>
    <row r="600" spans="4:4" ht="17.649999999999999" x14ac:dyDescent="0.5">
      <c r="D600" s="3" t="s">
        <v>75</v>
      </c>
    </row>
    <row r="601" spans="4:4" ht="17.649999999999999" x14ac:dyDescent="0.5">
      <c r="D601" s="3" t="s">
        <v>59</v>
      </c>
    </row>
    <row r="602" spans="4:4" ht="17.649999999999999" x14ac:dyDescent="0.5">
      <c r="D602" s="3" t="s">
        <v>67</v>
      </c>
    </row>
    <row r="603" spans="4:4" ht="17.649999999999999" x14ac:dyDescent="0.5">
      <c r="D603" s="3" t="s">
        <v>94</v>
      </c>
    </row>
    <row r="604" spans="4:4" ht="17.649999999999999" x14ac:dyDescent="0.5">
      <c r="D604" s="3" t="s">
        <v>92</v>
      </c>
    </row>
    <row r="605" spans="4:4" ht="17.649999999999999" x14ac:dyDescent="0.5">
      <c r="D605" s="3" t="s">
        <v>57</v>
      </c>
    </row>
    <row r="606" spans="4:4" ht="17.649999999999999" x14ac:dyDescent="0.5">
      <c r="D606" s="3" t="s">
        <v>51</v>
      </c>
    </row>
    <row r="607" spans="4:4" ht="17.649999999999999" x14ac:dyDescent="0.5">
      <c r="D607" s="3" t="s">
        <v>98</v>
      </c>
    </row>
    <row r="608" spans="4:4" ht="17.649999999999999" x14ac:dyDescent="0.5">
      <c r="D608" s="3" t="s">
        <v>84</v>
      </c>
    </row>
    <row r="609" spans="4:4" ht="17.649999999999999" x14ac:dyDescent="0.5">
      <c r="D609" s="3" t="s">
        <v>63</v>
      </c>
    </row>
    <row r="610" spans="4:4" ht="17.649999999999999" x14ac:dyDescent="0.5">
      <c r="D610" s="3" t="s">
        <v>115</v>
      </c>
    </row>
    <row r="611" spans="4:4" ht="17.649999999999999" x14ac:dyDescent="0.5">
      <c r="D611" s="3" t="s">
        <v>64</v>
      </c>
    </row>
    <row r="612" spans="4:4" ht="17.649999999999999" x14ac:dyDescent="0.5">
      <c r="D612" s="3" t="s">
        <v>48</v>
      </c>
    </row>
    <row r="613" spans="4:4" ht="17.649999999999999" x14ac:dyDescent="0.5">
      <c r="D613" s="3" t="s">
        <v>83</v>
      </c>
    </row>
    <row r="614" spans="4:4" ht="17.649999999999999" x14ac:dyDescent="0.5">
      <c r="D614" s="3" t="s">
        <v>42</v>
      </c>
    </row>
    <row r="615" spans="4:4" ht="17.649999999999999" x14ac:dyDescent="0.5">
      <c r="D615" s="3" t="s">
        <v>98</v>
      </c>
    </row>
    <row r="616" spans="4:4" ht="17.649999999999999" x14ac:dyDescent="0.5">
      <c r="D616" s="3" t="s">
        <v>65</v>
      </c>
    </row>
    <row r="617" spans="4:4" ht="17.649999999999999" x14ac:dyDescent="0.5">
      <c r="D617" s="3" t="s">
        <v>47</v>
      </c>
    </row>
    <row r="618" spans="4:4" ht="17.649999999999999" x14ac:dyDescent="0.5">
      <c r="D618" s="3" t="s">
        <v>112</v>
      </c>
    </row>
    <row r="619" spans="4:4" ht="17.649999999999999" x14ac:dyDescent="0.5">
      <c r="D619" s="3" t="s">
        <v>87</v>
      </c>
    </row>
    <row r="620" spans="4:4" ht="17.649999999999999" x14ac:dyDescent="0.5">
      <c r="D620" s="3" t="s">
        <v>84</v>
      </c>
    </row>
    <row r="621" spans="4:4" ht="17.649999999999999" x14ac:dyDescent="0.5">
      <c r="D621" s="3" t="s">
        <v>112</v>
      </c>
    </row>
    <row r="622" spans="4:4" ht="17.649999999999999" x14ac:dyDescent="0.5">
      <c r="D622" s="3" t="s">
        <v>92</v>
      </c>
    </row>
    <row r="623" spans="4:4" ht="17.649999999999999" x14ac:dyDescent="0.5">
      <c r="D623" s="3" t="s">
        <v>75</v>
      </c>
    </row>
    <row r="624" spans="4:4" ht="17.649999999999999" x14ac:dyDescent="0.5">
      <c r="D624" s="3" t="s">
        <v>66</v>
      </c>
    </row>
    <row r="625" spans="4:4" ht="17.649999999999999" x14ac:dyDescent="0.5">
      <c r="D625" s="3" t="s">
        <v>46</v>
      </c>
    </row>
    <row r="626" spans="4:4" ht="17.649999999999999" x14ac:dyDescent="0.5">
      <c r="D626" s="3" t="s">
        <v>101</v>
      </c>
    </row>
    <row r="627" spans="4:4" ht="17.649999999999999" x14ac:dyDescent="0.5">
      <c r="D627" s="3" t="s">
        <v>99</v>
      </c>
    </row>
    <row r="628" spans="4:4" ht="17.649999999999999" x14ac:dyDescent="0.5">
      <c r="D628" s="3" t="s">
        <v>68</v>
      </c>
    </row>
    <row r="629" spans="4:4" ht="17.649999999999999" x14ac:dyDescent="0.5">
      <c r="D629" s="3" t="s">
        <v>59</v>
      </c>
    </row>
    <row r="630" spans="4:4" ht="17.649999999999999" x14ac:dyDescent="0.5">
      <c r="D630" s="3" t="s">
        <v>51</v>
      </c>
    </row>
    <row r="631" spans="4:4" ht="17.649999999999999" x14ac:dyDescent="0.5">
      <c r="D631" s="3" t="s">
        <v>89</v>
      </c>
    </row>
    <row r="632" spans="4:4" ht="17.649999999999999" x14ac:dyDescent="0.5">
      <c r="D632" s="3" t="s">
        <v>78</v>
      </c>
    </row>
    <row r="633" spans="4:4" ht="17.649999999999999" x14ac:dyDescent="0.5">
      <c r="D633" s="3" t="s">
        <v>43</v>
      </c>
    </row>
    <row r="634" spans="4:4" ht="17.649999999999999" x14ac:dyDescent="0.5">
      <c r="D634" s="3" t="s">
        <v>53</v>
      </c>
    </row>
    <row r="635" spans="4:4" ht="17.649999999999999" x14ac:dyDescent="0.5">
      <c r="D635" s="3" t="s">
        <v>75</v>
      </c>
    </row>
    <row r="636" spans="4:4" ht="17.649999999999999" x14ac:dyDescent="0.5">
      <c r="D636" s="3" t="s">
        <v>104</v>
      </c>
    </row>
    <row r="637" spans="4:4" ht="17.649999999999999" x14ac:dyDescent="0.5">
      <c r="D637" s="3" t="s">
        <v>115</v>
      </c>
    </row>
    <row r="638" spans="4:4" ht="17.649999999999999" x14ac:dyDescent="0.5">
      <c r="D638" s="3" t="s">
        <v>133</v>
      </c>
    </row>
    <row r="639" spans="4:4" ht="17.649999999999999" x14ac:dyDescent="0.5">
      <c r="D639" s="3" t="s">
        <v>69</v>
      </c>
    </row>
    <row r="640" spans="4:4" ht="17.649999999999999" x14ac:dyDescent="0.5">
      <c r="D640" s="3" t="s">
        <v>66</v>
      </c>
    </row>
    <row r="641" spans="4:4" ht="17.649999999999999" x14ac:dyDescent="0.5">
      <c r="D641" s="3" t="s">
        <v>73</v>
      </c>
    </row>
    <row r="642" spans="4:4" ht="17.649999999999999" x14ac:dyDescent="0.5">
      <c r="D642" s="3" t="s">
        <v>54</v>
      </c>
    </row>
    <row r="643" spans="4:4" ht="17.649999999999999" x14ac:dyDescent="0.5">
      <c r="D643" s="3" t="s">
        <v>81</v>
      </c>
    </row>
    <row r="644" spans="4:4" ht="17.649999999999999" x14ac:dyDescent="0.5">
      <c r="D644" s="3" t="s">
        <v>115</v>
      </c>
    </row>
    <row r="645" spans="4:4" ht="17.649999999999999" x14ac:dyDescent="0.5">
      <c r="D645" s="3" t="s">
        <v>46</v>
      </c>
    </row>
    <row r="646" spans="4:4" ht="17.649999999999999" x14ac:dyDescent="0.5">
      <c r="D646" s="3" t="s">
        <v>88</v>
      </c>
    </row>
    <row r="647" spans="4:4" ht="17.649999999999999" x14ac:dyDescent="0.5">
      <c r="D647" s="3" t="s">
        <v>64</v>
      </c>
    </row>
    <row r="648" spans="4:4" ht="17.649999999999999" x14ac:dyDescent="0.5">
      <c r="D648" s="3" t="s">
        <v>57</v>
      </c>
    </row>
    <row r="649" spans="4:4" ht="17.649999999999999" x14ac:dyDescent="0.5">
      <c r="D649" s="3" t="s">
        <v>74</v>
      </c>
    </row>
    <row r="650" spans="4:4" ht="17.649999999999999" x14ac:dyDescent="0.5">
      <c r="D650" s="3" t="s">
        <v>101</v>
      </c>
    </row>
    <row r="651" spans="4:4" ht="17.649999999999999" x14ac:dyDescent="0.5">
      <c r="D651" s="3" t="s">
        <v>122</v>
      </c>
    </row>
    <row r="652" spans="4:4" ht="17.649999999999999" x14ac:dyDescent="0.5">
      <c r="D652" s="3" t="s">
        <v>105</v>
      </c>
    </row>
    <row r="653" spans="4:4" ht="17.649999999999999" x14ac:dyDescent="0.5">
      <c r="D653" s="3" t="s">
        <v>75</v>
      </c>
    </row>
    <row r="654" spans="4:4" ht="17.649999999999999" x14ac:dyDescent="0.5">
      <c r="D654" s="3" t="s">
        <v>134</v>
      </c>
    </row>
    <row r="655" spans="4:4" ht="17.649999999999999" x14ac:dyDescent="0.5">
      <c r="D655" s="3" t="s">
        <v>48</v>
      </c>
    </row>
    <row r="656" spans="4:4" ht="17.649999999999999" x14ac:dyDescent="0.5">
      <c r="D656" s="3" t="s">
        <v>63</v>
      </c>
    </row>
    <row r="657" spans="4:4" ht="17.649999999999999" x14ac:dyDescent="0.5">
      <c r="D657" s="3" t="s">
        <v>136</v>
      </c>
    </row>
    <row r="658" spans="4:4" ht="17.649999999999999" x14ac:dyDescent="0.5">
      <c r="D658" s="3" t="s">
        <v>56</v>
      </c>
    </row>
    <row r="659" spans="4:4" ht="17.649999999999999" x14ac:dyDescent="0.5">
      <c r="D659" s="3" t="s">
        <v>59</v>
      </c>
    </row>
    <row r="660" spans="4:4" ht="17.649999999999999" x14ac:dyDescent="0.5">
      <c r="D660" s="3" t="s">
        <v>48</v>
      </c>
    </row>
    <row r="661" spans="4:4" ht="17.649999999999999" x14ac:dyDescent="0.5">
      <c r="D661" s="3" t="s">
        <v>73</v>
      </c>
    </row>
    <row r="662" spans="4:4" ht="17.649999999999999" x14ac:dyDescent="0.5">
      <c r="D662" s="3" t="s">
        <v>63</v>
      </c>
    </row>
    <row r="663" spans="4:4" ht="17.649999999999999" x14ac:dyDescent="0.5">
      <c r="D663" s="3" t="s">
        <v>50</v>
      </c>
    </row>
    <row r="664" spans="4:4" ht="17.649999999999999" x14ac:dyDescent="0.5">
      <c r="D664" s="3" t="s">
        <v>99</v>
      </c>
    </row>
    <row r="665" spans="4:4" ht="17.649999999999999" x14ac:dyDescent="0.5">
      <c r="D665" s="3" t="s">
        <v>66</v>
      </c>
    </row>
    <row r="666" spans="4:4" ht="17.649999999999999" x14ac:dyDescent="0.5">
      <c r="D666" s="3" t="s">
        <v>56</v>
      </c>
    </row>
    <row r="667" spans="4:4" ht="17.649999999999999" x14ac:dyDescent="0.5">
      <c r="D667" s="3" t="s">
        <v>117</v>
      </c>
    </row>
    <row r="668" spans="4:4" ht="17.649999999999999" x14ac:dyDescent="0.5">
      <c r="D668" s="3" t="s">
        <v>87</v>
      </c>
    </row>
    <row r="669" spans="4:4" ht="17.649999999999999" x14ac:dyDescent="0.5">
      <c r="D669" s="3" t="s">
        <v>130</v>
      </c>
    </row>
    <row r="670" spans="4:4" ht="17.649999999999999" x14ac:dyDescent="0.5">
      <c r="D670" s="3" t="s">
        <v>110</v>
      </c>
    </row>
    <row r="671" spans="4:4" ht="17.649999999999999" x14ac:dyDescent="0.5">
      <c r="D671" s="3" t="s">
        <v>55</v>
      </c>
    </row>
    <row r="672" spans="4:4" ht="17.649999999999999" x14ac:dyDescent="0.5">
      <c r="D672" s="3" t="s">
        <v>56</v>
      </c>
    </row>
    <row r="673" spans="4:4" ht="17.649999999999999" x14ac:dyDescent="0.5">
      <c r="D673" s="3" t="s">
        <v>62</v>
      </c>
    </row>
    <row r="674" spans="4:4" ht="17.649999999999999" x14ac:dyDescent="0.5">
      <c r="D674" s="3" t="s">
        <v>61</v>
      </c>
    </row>
    <row r="675" spans="4:4" ht="17.649999999999999" x14ac:dyDescent="0.5">
      <c r="D675" s="3" t="s">
        <v>84</v>
      </c>
    </row>
    <row r="676" spans="4:4" ht="17.649999999999999" x14ac:dyDescent="0.5">
      <c r="D676" s="3" t="s">
        <v>91</v>
      </c>
    </row>
    <row r="677" spans="4:4" ht="17.649999999999999" x14ac:dyDescent="0.5">
      <c r="D677" s="3" t="s">
        <v>84</v>
      </c>
    </row>
    <row r="678" spans="4:4" ht="17.649999999999999" x14ac:dyDescent="0.5">
      <c r="D678" s="3" t="s">
        <v>44</v>
      </c>
    </row>
    <row r="679" spans="4:4" ht="17.649999999999999" x14ac:dyDescent="0.5">
      <c r="D679" s="3" t="s">
        <v>106</v>
      </c>
    </row>
    <row r="680" spans="4:4" ht="17.649999999999999" x14ac:dyDescent="0.5">
      <c r="D680" s="3" t="s">
        <v>74</v>
      </c>
    </row>
    <row r="681" spans="4:4" ht="17.649999999999999" x14ac:dyDescent="0.5">
      <c r="D681" s="3" t="s">
        <v>115</v>
      </c>
    </row>
    <row r="682" spans="4:4" ht="17.649999999999999" x14ac:dyDescent="0.5">
      <c r="D682" s="3" t="s">
        <v>85</v>
      </c>
    </row>
    <row r="683" spans="4:4" ht="17.649999999999999" x14ac:dyDescent="0.5">
      <c r="D683" s="3" t="s">
        <v>134</v>
      </c>
    </row>
    <row r="684" spans="4:4" ht="17.649999999999999" x14ac:dyDescent="0.5">
      <c r="D684" s="3" t="s">
        <v>87</v>
      </c>
    </row>
    <row r="685" spans="4:4" ht="17.649999999999999" x14ac:dyDescent="0.5">
      <c r="D685" s="3" t="s">
        <v>85</v>
      </c>
    </row>
    <row r="686" spans="4:4" ht="17.649999999999999" x14ac:dyDescent="0.5">
      <c r="D686" s="3" t="s">
        <v>132</v>
      </c>
    </row>
    <row r="687" spans="4:4" ht="17.649999999999999" x14ac:dyDescent="0.5">
      <c r="D687" s="3" t="s">
        <v>60</v>
      </c>
    </row>
    <row r="688" spans="4:4" ht="17.649999999999999" x14ac:dyDescent="0.5">
      <c r="D688" s="3" t="s">
        <v>107</v>
      </c>
    </row>
    <row r="689" spans="4:4" ht="17.649999999999999" x14ac:dyDescent="0.5">
      <c r="D689" s="3" t="s">
        <v>74</v>
      </c>
    </row>
    <row r="690" spans="4:4" ht="17.649999999999999" x14ac:dyDescent="0.5">
      <c r="D690" s="3" t="s">
        <v>113</v>
      </c>
    </row>
    <row r="691" spans="4:4" ht="17.649999999999999" x14ac:dyDescent="0.5">
      <c r="D691" s="3" t="s">
        <v>68</v>
      </c>
    </row>
    <row r="692" spans="4:4" ht="17.649999999999999" x14ac:dyDescent="0.5">
      <c r="D692" s="3" t="s">
        <v>85</v>
      </c>
    </row>
    <row r="693" spans="4:4" ht="17.649999999999999" x14ac:dyDescent="0.5">
      <c r="D693" s="3" t="s">
        <v>128</v>
      </c>
    </row>
    <row r="694" spans="4:4" ht="17.649999999999999" x14ac:dyDescent="0.5">
      <c r="D694" s="3" t="s">
        <v>53</v>
      </c>
    </row>
    <row r="695" spans="4:4" ht="17.649999999999999" x14ac:dyDescent="0.5">
      <c r="D695" s="3" t="s">
        <v>83</v>
      </c>
    </row>
    <row r="696" spans="4:4" ht="17.649999999999999" x14ac:dyDescent="0.5">
      <c r="D696" s="3" t="s">
        <v>133</v>
      </c>
    </row>
    <row r="697" spans="4:4" ht="17.649999999999999" x14ac:dyDescent="0.5">
      <c r="D697" s="3" t="s">
        <v>45</v>
      </c>
    </row>
    <row r="698" spans="4:4" ht="17.649999999999999" x14ac:dyDescent="0.5">
      <c r="D698" s="3" t="s">
        <v>49</v>
      </c>
    </row>
    <row r="699" spans="4:4" ht="17.649999999999999" x14ac:dyDescent="0.5">
      <c r="D699" s="3" t="s">
        <v>55</v>
      </c>
    </row>
    <row r="700" spans="4:4" ht="17.649999999999999" x14ac:dyDescent="0.5">
      <c r="D700" s="3" t="s">
        <v>75</v>
      </c>
    </row>
    <row r="701" spans="4:4" ht="17.649999999999999" x14ac:dyDescent="0.5">
      <c r="D701" s="3" t="s">
        <v>73</v>
      </c>
    </row>
    <row r="702" spans="4:4" ht="17.649999999999999" x14ac:dyDescent="0.5">
      <c r="D702" s="3" t="s">
        <v>67</v>
      </c>
    </row>
    <row r="703" spans="4:4" ht="17.649999999999999" x14ac:dyDescent="0.5">
      <c r="D703" s="3" t="s">
        <v>68</v>
      </c>
    </row>
    <row r="704" spans="4:4" ht="17.649999999999999" x14ac:dyDescent="0.5">
      <c r="D704" s="3" t="s">
        <v>49</v>
      </c>
    </row>
    <row r="705" spans="4:4" ht="17.649999999999999" x14ac:dyDescent="0.5">
      <c r="D705" s="3" t="s">
        <v>65</v>
      </c>
    </row>
    <row r="706" spans="4:4" ht="17.649999999999999" x14ac:dyDescent="0.5">
      <c r="D706" s="3" t="s">
        <v>47</v>
      </c>
    </row>
    <row r="707" spans="4:4" ht="17.649999999999999" x14ac:dyDescent="0.5">
      <c r="D707" s="3" t="s">
        <v>73</v>
      </c>
    </row>
    <row r="708" spans="4:4" ht="17.649999999999999" x14ac:dyDescent="0.5">
      <c r="D708" s="3" t="s">
        <v>71</v>
      </c>
    </row>
    <row r="709" spans="4:4" ht="17.649999999999999" x14ac:dyDescent="0.5">
      <c r="D709" s="3" t="s">
        <v>44</v>
      </c>
    </row>
    <row r="710" spans="4:4" ht="17.649999999999999" x14ac:dyDescent="0.5">
      <c r="D710" s="3" t="s">
        <v>118</v>
      </c>
    </row>
    <row r="711" spans="4:4" ht="17.649999999999999" x14ac:dyDescent="0.5">
      <c r="D711" s="3" t="s">
        <v>124</v>
      </c>
    </row>
    <row r="712" spans="4:4" ht="17.649999999999999" x14ac:dyDescent="0.5">
      <c r="D712" s="3" t="s">
        <v>47</v>
      </c>
    </row>
    <row r="713" spans="4:4" ht="17.649999999999999" x14ac:dyDescent="0.5">
      <c r="D713" s="3" t="s">
        <v>80</v>
      </c>
    </row>
    <row r="714" spans="4:4" ht="17.649999999999999" x14ac:dyDescent="0.5">
      <c r="D714" s="3" t="s">
        <v>51</v>
      </c>
    </row>
    <row r="715" spans="4:4" ht="17.649999999999999" x14ac:dyDescent="0.5">
      <c r="D715" s="3" t="s">
        <v>125</v>
      </c>
    </row>
    <row r="716" spans="4:4" ht="17.649999999999999" x14ac:dyDescent="0.5">
      <c r="D716" s="3" t="s">
        <v>84</v>
      </c>
    </row>
    <row r="717" spans="4:4" ht="17.649999999999999" x14ac:dyDescent="0.5">
      <c r="D717" s="3" t="s">
        <v>72</v>
      </c>
    </row>
    <row r="718" spans="4:4" ht="17.649999999999999" x14ac:dyDescent="0.5">
      <c r="D718" s="3" t="s">
        <v>113</v>
      </c>
    </row>
    <row r="719" spans="4:4" ht="17.649999999999999" x14ac:dyDescent="0.5">
      <c r="D719" s="3" t="s">
        <v>52</v>
      </c>
    </row>
    <row r="720" spans="4:4" ht="17.649999999999999" x14ac:dyDescent="0.5">
      <c r="D720" s="3" t="s">
        <v>108</v>
      </c>
    </row>
    <row r="721" spans="4:4" ht="17.649999999999999" x14ac:dyDescent="0.5">
      <c r="D721" s="3" t="s">
        <v>88</v>
      </c>
    </row>
    <row r="722" spans="4:4" ht="17.649999999999999" x14ac:dyDescent="0.5">
      <c r="D722" s="3" t="s">
        <v>64</v>
      </c>
    </row>
    <row r="723" spans="4:4" ht="17.649999999999999" x14ac:dyDescent="0.5">
      <c r="D723" s="3" t="s">
        <v>91</v>
      </c>
    </row>
    <row r="724" spans="4:4" ht="17.649999999999999" x14ac:dyDescent="0.5">
      <c r="D724" s="3" t="s">
        <v>110</v>
      </c>
    </row>
    <row r="725" spans="4:4" ht="17.649999999999999" x14ac:dyDescent="0.5">
      <c r="D725" s="3" t="s">
        <v>104</v>
      </c>
    </row>
    <row r="726" spans="4:4" ht="17.649999999999999" x14ac:dyDescent="0.5">
      <c r="D726" s="3" t="s">
        <v>61</v>
      </c>
    </row>
    <row r="727" spans="4:4" ht="17.649999999999999" x14ac:dyDescent="0.5">
      <c r="D727" s="3" t="s">
        <v>126</v>
      </c>
    </row>
    <row r="728" spans="4:4" ht="17.649999999999999" x14ac:dyDescent="0.5">
      <c r="D728" s="3" t="s">
        <v>53</v>
      </c>
    </row>
    <row r="729" spans="4:4" ht="17.649999999999999" x14ac:dyDescent="0.5">
      <c r="D729" s="3" t="s">
        <v>103</v>
      </c>
    </row>
    <row r="730" spans="4:4" ht="17.649999999999999" x14ac:dyDescent="0.5">
      <c r="D730" s="3" t="s">
        <v>44</v>
      </c>
    </row>
    <row r="731" spans="4:4" ht="17.649999999999999" x14ac:dyDescent="0.5">
      <c r="D731" s="3" t="s">
        <v>80</v>
      </c>
    </row>
    <row r="732" spans="4:4" ht="17.649999999999999" x14ac:dyDescent="0.5">
      <c r="D732" s="3" t="s">
        <v>61</v>
      </c>
    </row>
    <row r="733" spans="4:4" ht="17.649999999999999" x14ac:dyDescent="0.5">
      <c r="D733" s="3" t="s">
        <v>64</v>
      </c>
    </row>
    <row r="734" spans="4:4" ht="17.649999999999999" x14ac:dyDescent="0.5">
      <c r="D734" s="3" t="s">
        <v>115</v>
      </c>
    </row>
    <row r="735" spans="4:4" ht="17.649999999999999" x14ac:dyDescent="0.5">
      <c r="D735" s="3" t="s">
        <v>98</v>
      </c>
    </row>
    <row r="736" spans="4:4" ht="17.649999999999999" x14ac:dyDescent="0.5">
      <c r="D736" s="3" t="s">
        <v>87</v>
      </c>
    </row>
    <row r="737" spans="4:4" ht="17.649999999999999" x14ac:dyDescent="0.5">
      <c r="D737" s="3" t="s">
        <v>103</v>
      </c>
    </row>
    <row r="738" spans="4:4" ht="17.649999999999999" x14ac:dyDescent="0.5">
      <c r="D738" s="3" t="s">
        <v>112</v>
      </c>
    </row>
    <row r="739" spans="4:4" ht="17.649999999999999" x14ac:dyDescent="0.5">
      <c r="D739" s="3" t="s">
        <v>105</v>
      </c>
    </row>
    <row r="740" spans="4:4" ht="17.649999999999999" x14ac:dyDescent="0.5">
      <c r="D740" s="3" t="s">
        <v>128</v>
      </c>
    </row>
    <row r="741" spans="4:4" ht="17.649999999999999" x14ac:dyDescent="0.5">
      <c r="D741" s="3" t="s">
        <v>115</v>
      </c>
    </row>
    <row r="742" spans="4:4" ht="17.649999999999999" x14ac:dyDescent="0.5">
      <c r="D742" s="3" t="s">
        <v>132</v>
      </c>
    </row>
    <row r="743" spans="4:4" ht="17.649999999999999" x14ac:dyDescent="0.5">
      <c r="D743" s="3" t="s">
        <v>77</v>
      </c>
    </row>
    <row r="744" spans="4:4" ht="17.649999999999999" x14ac:dyDescent="0.5">
      <c r="D744" s="3" t="s">
        <v>117</v>
      </c>
    </row>
    <row r="745" spans="4:4" ht="17.649999999999999" x14ac:dyDescent="0.5">
      <c r="D745" s="3" t="s">
        <v>42</v>
      </c>
    </row>
    <row r="746" spans="4:4" ht="17.649999999999999" x14ac:dyDescent="0.5">
      <c r="D746" s="3" t="s">
        <v>86</v>
      </c>
    </row>
    <row r="747" spans="4:4" ht="17.649999999999999" x14ac:dyDescent="0.5">
      <c r="D747" s="3" t="s">
        <v>66</v>
      </c>
    </row>
    <row r="748" spans="4:4" ht="17.649999999999999" x14ac:dyDescent="0.5">
      <c r="D748" s="3" t="s">
        <v>68</v>
      </c>
    </row>
    <row r="749" spans="4:4" ht="17.649999999999999" x14ac:dyDescent="0.5">
      <c r="D749" s="3" t="s">
        <v>95</v>
      </c>
    </row>
    <row r="750" spans="4:4" ht="17.649999999999999" x14ac:dyDescent="0.5">
      <c r="D750" s="3" t="s">
        <v>49</v>
      </c>
    </row>
    <row r="751" spans="4:4" ht="17.649999999999999" x14ac:dyDescent="0.5">
      <c r="D751" s="3" t="s">
        <v>64</v>
      </c>
    </row>
    <row r="752" spans="4:4" ht="17.649999999999999" x14ac:dyDescent="0.5">
      <c r="D752" s="3" t="s">
        <v>116</v>
      </c>
    </row>
    <row r="753" spans="4:4" ht="17.649999999999999" x14ac:dyDescent="0.5">
      <c r="D753" s="3" t="s">
        <v>92</v>
      </c>
    </row>
    <row r="754" spans="4:4" ht="17.649999999999999" x14ac:dyDescent="0.5">
      <c r="D754" s="3" t="s">
        <v>43</v>
      </c>
    </row>
    <row r="755" spans="4:4" ht="17.649999999999999" x14ac:dyDescent="0.5">
      <c r="D755" s="3" t="s">
        <v>90</v>
      </c>
    </row>
    <row r="756" spans="4:4" ht="17.649999999999999" x14ac:dyDescent="0.5">
      <c r="D756" s="3" t="s">
        <v>48</v>
      </c>
    </row>
    <row r="757" spans="4:4" ht="17.649999999999999" x14ac:dyDescent="0.5">
      <c r="D757" s="3" t="s">
        <v>112</v>
      </c>
    </row>
    <row r="758" spans="4:4" ht="17.649999999999999" x14ac:dyDescent="0.5">
      <c r="D758" s="3" t="s">
        <v>124</v>
      </c>
    </row>
    <row r="759" spans="4:4" ht="17.649999999999999" x14ac:dyDescent="0.5">
      <c r="D759" s="3" t="s">
        <v>85</v>
      </c>
    </row>
    <row r="760" spans="4:4" ht="17.649999999999999" x14ac:dyDescent="0.5">
      <c r="D760" s="3" t="s">
        <v>105</v>
      </c>
    </row>
    <row r="761" spans="4:4" ht="17.649999999999999" x14ac:dyDescent="0.5">
      <c r="D761" s="3" t="s">
        <v>72</v>
      </c>
    </row>
    <row r="762" spans="4:4" ht="17.649999999999999" x14ac:dyDescent="0.5">
      <c r="D762" s="3" t="s">
        <v>50</v>
      </c>
    </row>
    <row r="763" spans="4:4" ht="17.649999999999999" x14ac:dyDescent="0.5">
      <c r="D763" s="3" t="s">
        <v>68</v>
      </c>
    </row>
    <row r="764" spans="4:4" ht="17.649999999999999" x14ac:dyDescent="0.5">
      <c r="D764" s="3" t="s">
        <v>97</v>
      </c>
    </row>
    <row r="765" spans="4:4" ht="17.649999999999999" x14ac:dyDescent="0.5">
      <c r="D765" s="3" t="s">
        <v>87</v>
      </c>
    </row>
    <row r="766" spans="4:4" ht="17.649999999999999" x14ac:dyDescent="0.5">
      <c r="D766" s="3" t="s">
        <v>75</v>
      </c>
    </row>
    <row r="767" spans="4:4" ht="17.649999999999999" x14ac:dyDescent="0.5">
      <c r="D767" s="3" t="s">
        <v>54</v>
      </c>
    </row>
    <row r="768" spans="4:4" ht="17.649999999999999" x14ac:dyDescent="0.5">
      <c r="D768" s="3" t="s">
        <v>72</v>
      </c>
    </row>
    <row r="769" spans="4:4" ht="17.649999999999999" x14ac:dyDescent="0.5">
      <c r="D769" s="3" t="s">
        <v>65</v>
      </c>
    </row>
    <row r="770" spans="4:4" ht="17.649999999999999" x14ac:dyDescent="0.5">
      <c r="D770" s="3" t="s">
        <v>64</v>
      </c>
    </row>
    <row r="771" spans="4:4" ht="17.649999999999999" x14ac:dyDescent="0.5">
      <c r="D771" s="3" t="s">
        <v>46</v>
      </c>
    </row>
    <row r="772" spans="4:4" ht="17.649999999999999" x14ac:dyDescent="0.5">
      <c r="D772" s="3" t="s">
        <v>49</v>
      </c>
    </row>
    <row r="773" spans="4:4" ht="17.649999999999999" x14ac:dyDescent="0.5">
      <c r="D773" s="3" t="s">
        <v>64</v>
      </c>
    </row>
    <row r="774" spans="4:4" ht="17.649999999999999" x14ac:dyDescent="0.5">
      <c r="D774" s="3" t="s">
        <v>100</v>
      </c>
    </row>
    <row r="775" spans="4:4" ht="17.649999999999999" x14ac:dyDescent="0.5">
      <c r="D775" s="3" t="s">
        <v>47</v>
      </c>
    </row>
    <row r="776" spans="4:4" ht="17.649999999999999" x14ac:dyDescent="0.5">
      <c r="D776" s="3" t="s">
        <v>116</v>
      </c>
    </row>
    <row r="777" spans="4:4" ht="17.649999999999999" x14ac:dyDescent="0.5">
      <c r="D777" s="3" t="s">
        <v>130</v>
      </c>
    </row>
    <row r="778" spans="4:4" ht="17.649999999999999" x14ac:dyDescent="0.5">
      <c r="D778" s="3" t="s">
        <v>69</v>
      </c>
    </row>
    <row r="779" spans="4:4" ht="17.649999999999999" x14ac:dyDescent="0.5">
      <c r="D779" s="3" t="s">
        <v>84</v>
      </c>
    </row>
    <row r="780" spans="4:4" ht="17.649999999999999" x14ac:dyDescent="0.5">
      <c r="D780" s="3" t="s">
        <v>46</v>
      </c>
    </row>
    <row r="781" spans="4:4" ht="17.649999999999999" x14ac:dyDescent="0.5">
      <c r="D781" s="3" t="s">
        <v>44</v>
      </c>
    </row>
    <row r="782" spans="4:4" ht="17.649999999999999" x14ac:dyDescent="0.5">
      <c r="D782" s="3" t="s">
        <v>53</v>
      </c>
    </row>
    <row r="783" spans="4:4" ht="17.649999999999999" x14ac:dyDescent="0.5">
      <c r="D783" s="3" t="s">
        <v>45</v>
      </c>
    </row>
    <row r="784" spans="4:4" ht="17.649999999999999" x14ac:dyDescent="0.5">
      <c r="D784" s="3" t="s">
        <v>61</v>
      </c>
    </row>
    <row r="785" spans="4:4" ht="17.649999999999999" x14ac:dyDescent="0.5">
      <c r="D785" s="3" t="s">
        <v>69</v>
      </c>
    </row>
    <row r="786" spans="4:4" ht="17.649999999999999" x14ac:dyDescent="0.5">
      <c r="D786" s="3" t="s">
        <v>98</v>
      </c>
    </row>
    <row r="787" spans="4:4" ht="17.649999999999999" x14ac:dyDescent="0.5">
      <c r="D787" s="3" t="s">
        <v>76</v>
      </c>
    </row>
    <row r="788" spans="4:4" ht="17.649999999999999" x14ac:dyDescent="0.5">
      <c r="D788" s="3" t="s">
        <v>51</v>
      </c>
    </row>
    <row r="789" spans="4:4" ht="17.649999999999999" x14ac:dyDescent="0.5">
      <c r="D789" s="3" t="s">
        <v>79</v>
      </c>
    </row>
    <row r="790" spans="4:4" ht="17.649999999999999" x14ac:dyDescent="0.5">
      <c r="D790" s="3" t="s">
        <v>56</v>
      </c>
    </row>
    <row r="791" spans="4:4" ht="17.649999999999999" x14ac:dyDescent="0.5">
      <c r="D791" s="3" t="s">
        <v>53</v>
      </c>
    </row>
    <row r="792" spans="4:4" ht="17.649999999999999" x14ac:dyDescent="0.5">
      <c r="D792" s="3" t="s">
        <v>68</v>
      </c>
    </row>
    <row r="793" spans="4:4" ht="17.649999999999999" x14ac:dyDescent="0.5">
      <c r="D793" s="3" t="s">
        <v>43</v>
      </c>
    </row>
    <row r="794" spans="4:4" ht="17.649999999999999" x14ac:dyDescent="0.5">
      <c r="D794" s="3" t="s">
        <v>107</v>
      </c>
    </row>
    <row r="795" spans="4:4" ht="17.649999999999999" x14ac:dyDescent="0.5">
      <c r="D795" s="3" t="s">
        <v>78</v>
      </c>
    </row>
    <row r="796" spans="4:4" ht="17.649999999999999" x14ac:dyDescent="0.5">
      <c r="D796" s="3" t="s">
        <v>105</v>
      </c>
    </row>
    <row r="797" spans="4:4" ht="17.649999999999999" x14ac:dyDescent="0.5">
      <c r="D797" s="3" t="s">
        <v>67</v>
      </c>
    </row>
    <row r="798" spans="4:4" ht="17.649999999999999" x14ac:dyDescent="0.5">
      <c r="D798" s="3" t="s">
        <v>81</v>
      </c>
    </row>
    <row r="799" spans="4:4" ht="17.649999999999999" x14ac:dyDescent="0.5">
      <c r="D799" s="3" t="s">
        <v>98</v>
      </c>
    </row>
    <row r="800" spans="4:4" ht="17.649999999999999" x14ac:dyDescent="0.5">
      <c r="D800" s="3" t="s">
        <v>106</v>
      </c>
    </row>
    <row r="801" spans="4:4" ht="17.649999999999999" x14ac:dyDescent="0.5">
      <c r="D801" s="3" t="s">
        <v>92</v>
      </c>
    </row>
    <row r="802" spans="4:4" ht="17.649999999999999" x14ac:dyDescent="0.5">
      <c r="D802" s="3" t="s">
        <v>135</v>
      </c>
    </row>
    <row r="803" spans="4:4" ht="17.649999999999999" x14ac:dyDescent="0.5">
      <c r="D803" s="3" t="s">
        <v>105</v>
      </c>
    </row>
    <row r="804" spans="4:4" ht="17.649999999999999" x14ac:dyDescent="0.5">
      <c r="D804" s="3" t="s">
        <v>50</v>
      </c>
    </row>
    <row r="805" spans="4:4" ht="17.649999999999999" x14ac:dyDescent="0.5">
      <c r="D805" s="3" t="s">
        <v>105</v>
      </c>
    </row>
    <row r="806" spans="4:4" ht="17.649999999999999" x14ac:dyDescent="0.5">
      <c r="D806" s="3" t="s">
        <v>64</v>
      </c>
    </row>
    <row r="807" spans="4:4" ht="17.649999999999999" x14ac:dyDescent="0.5">
      <c r="D807" s="3" t="s">
        <v>101</v>
      </c>
    </row>
    <row r="808" spans="4:4" ht="17.649999999999999" x14ac:dyDescent="0.5">
      <c r="D808" s="3" t="s">
        <v>61</v>
      </c>
    </row>
    <row r="809" spans="4:4" ht="17.649999999999999" x14ac:dyDescent="0.5">
      <c r="D809" s="3" t="s">
        <v>59</v>
      </c>
    </row>
    <row r="810" spans="4:4" ht="17.649999999999999" x14ac:dyDescent="0.5">
      <c r="D810" s="3" t="s">
        <v>74</v>
      </c>
    </row>
    <row r="811" spans="4:4" ht="17.649999999999999" x14ac:dyDescent="0.5">
      <c r="D811" s="3" t="s">
        <v>135</v>
      </c>
    </row>
    <row r="812" spans="4:4" ht="17.649999999999999" x14ac:dyDescent="0.5">
      <c r="D812" s="3" t="s">
        <v>66</v>
      </c>
    </row>
    <row r="813" spans="4:4" ht="17.649999999999999" x14ac:dyDescent="0.5">
      <c r="D813" s="3" t="s">
        <v>67</v>
      </c>
    </row>
    <row r="814" spans="4:4" ht="17.649999999999999" x14ac:dyDescent="0.5">
      <c r="D814" s="3" t="s">
        <v>87</v>
      </c>
    </row>
    <row r="815" spans="4:4" ht="17.649999999999999" x14ac:dyDescent="0.5">
      <c r="D815" s="3" t="s">
        <v>60</v>
      </c>
    </row>
    <row r="816" spans="4:4" ht="17.649999999999999" x14ac:dyDescent="0.5">
      <c r="D816" s="3" t="s">
        <v>107</v>
      </c>
    </row>
    <row r="817" spans="4:4" ht="17.649999999999999" x14ac:dyDescent="0.5">
      <c r="D817" s="3" t="s">
        <v>44</v>
      </c>
    </row>
    <row r="818" spans="4:4" ht="17.649999999999999" x14ac:dyDescent="0.5">
      <c r="D818" s="3" t="s">
        <v>117</v>
      </c>
    </row>
    <row r="819" spans="4:4" ht="17.649999999999999" x14ac:dyDescent="0.5">
      <c r="D819" s="3" t="s">
        <v>53</v>
      </c>
    </row>
    <row r="820" spans="4:4" ht="17.649999999999999" x14ac:dyDescent="0.5">
      <c r="D820" s="3" t="s">
        <v>98</v>
      </c>
    </row>
    <row r="821" spans="4:4" ht="17.649999999999999" x14ac:dyDescent="0.5">
      <c r="D821" s="3" t="s">
        <v>79</v>
      </c>
    </row>
    <row r="822" spans="4:4" ht="17.649999999999999" x14ac:dyDescent="0.5">
      <c r="D822" s="3" t="s">
        <v>91</v>
      </c>
    </row>
    <row r="823" spans="4:4" ht="17.649999999999999" x14ac:dyDescent="0.5">
      <c r="D823" s="3" t="s">
        <v>47</v>
      </c>
    </row>
    <row r="824" spans="4:4" ht="17.649999999999999" x14ac:dyDescent="0.5">
      <c r="D824" s="3" t="s">
        <v>53</v>
      </c>
    </row>
    <row r="825" spans="4:4" ht="17.649999999999999" x14ac:dyDescent="0.5">
      <c r="D825" s="3" t="s">
        <v>72</v>
      </c>
    </row>
    <row r="826" spans="4:4" ht="17.649999999999999" x14ac:dyDescent="0.5">
      <c r="D826" s="3" t="s">
        <v>59</v>
      </c>
    </row>
    <row r="827" spans="4:4" ht="17.649999999999999" x14ac:dyDescent="0.5">
      <c r="D827" s="3" t="s">
        <v>44</v>
      </c>
    </row>
    <row r="828" spans="4:4" ht="17.649999999999999" x14ac:dyDescent="0.5">
      <c r="D828" s="3" t="s">
        <v>103</v>
      </c>
    </row>
    <row r="829" spans="4:4" ht="17.649999999999999" x14ac:dyDescent="0.5">
      <c r="D829" s="3" t="s">
        <v>69</v>
      </c>
    </row>
    <row r="830" spans="4:4" ht="17.649999999999999" x14ac:dyDescent="0.5">
      <c r="D830" s="3" t="s">
        <v>130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49</v>
      </c>
    </row>
    <row r="833" spans="4:4" ht="17.649999999999999" x14ac:dyDescent="0.5">
      <c r="D833" s="3" t="s">
        <v>68</v>
      </c>
    </row>
    <row r="834" spans="4:4" ht="17.649999999999999" x14ac:dyDescent="0.5">
      <c r="D834" s="3" t="s">
        <v>133</v>
      </c>
    </row>
    <row r="835" spans="4:4" ht="17.649999999999999" x14ac:dyDescent="0.5">
      <c r="D835" s="3" t="s">
        <v>101</v>
      </c>
    </row>
    <row r="836" spans="4:4" ht="17.649999999999999" x14ac:dyDescent="0.5">
      <c r="D836" s="3" t="s">
        <v>94</v>
      </c>
    </row>
    <row r="837" spans="4:4" ht="17.649999999999999" x14ac:dyDescent="0.5">
      <c r="D837" s="3" t="s">
        <v>57</v>
      </c>
    </row>
    <row r="838" spans="4:4" ht="17.649999999999999" x14ac:dyDescent="0.5">
      <c r="D838" s="3" t="s">
        <v>77</v>
      </c>
    </row>
    <row r="839" spans="4:4" ht="17.649999999999999" x14ac:dyDescent="0.5">
      <c r="D839" s="3" t="s">
        <v>113</v>
      </c>
    </row>
    <row r="840" spans="4:4" ht="17.649999999999999" x14ac:dyDescent="0.5">
      <c r="D840" s="3" t="s">
        <v>50</v>
      </c>
    </row>
    <row r="841" spans="4:4" ht="17.649999999999999" x14ac:dyDescent="0.5">
      <c r="D841" s="3" t="s">
        <v>63</v>
      </c>
    </row>
    <row r="842" spans="4:4" ht="17.649999999999999" x14ac:dyDescent="0.5">
      <c r="D842" s="3" t="s">
        <v>127</v>
      </c>
    </row>
    <row r="843" spans="4:4" ht="17.649999999999999" x14ac:dyDescent="0.5">
      <c r="D843" s="3" t="s">
        <v>70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75</v>
      </c>
    </row>
    <row r="846" spans="4:4" ht="17.649999999999999" x14ac:dyDescent="0.5">
      <c r="D846" s="3" t="s">
        <v>49</v>
      </c>
    </row>
    <row r="847" spans="4:4" ht="17.649999999999999" x14ac:dyDescent="0.5">
      <c r="D847" s="3" t="s">
        <v>47</v>
      </c>
    </row>
    <row r="848" spans="4:4" ht="17.649999999999999" x14ac:dyDescent="0.5">
      <c r="D848" s="3" t="s">
        <v>88</v>
      </c>
    </row>
    <row r="849" spans="4:4" ht="17.649999999999999" x14ac:dyDescent="0.5">
      <c r="D849" s="3" t="s">
        <v>112</v>
      </c>
    </row>
    <row r="850" spans="4:4" ht="17.649999999999999" x14ac:dyDescent="0.5">
      <c r="D850" s="3" t="s">
        <v>85</v>
      </c>
    </row>
    <row r="851" spans="4:4" ht="17.649999999999999" x14ac:dyDescent="0.5">
      <c r="D851" s="3" t="s">
        <v>106</v>
      </c>
    </row>
    <row r="852" spans="4:4" ht="17.649999999999999" x14ac:dyDescent="0.5">
      <c r="D852" s="3" t="s">
        <v>83</v>
      </c>
    </row>
    <row r="853" spans="4:4" ht="17.649999999999999" x14ac:dyDescent="0.5">
      <c r="D853" s="3" t="s">
        <v>65</v>
      </c>
    </row>
    <row r="854" spans="4:4" ht="17.649999999999999" x14ac:dyDescent="0.5">
      <c r="D854" s="3" t="s">
        <v>54</v>
      </c>
    </row>
    <row r="855" spans="4:4" ht="17.649999999999999" x14ac:dyDescent="0.5">
      <c r="D855" s="3" t="s">
        <v>64</v>
      </c>
    </row>
    <row r="856" spans="4:4" ht="17.649999999999999" x14ac:dyDescent="0.5">
      <c r="D856" s="3" t="s">
        <v>86</v>
      </c>
    </row>
    <row r="857" spans="4:4" ht="17.649999999999999" x14ac:dyDescent="0.5">
      <c r="D857" s="3" t="s">
        <v>87</v>
      </c>
    </row>
    <row r="858" spans="4:4" ht="17.649999999999999" x14ac:dyDescent="0.5">
      <c r="D858" s="3" t="s">
        <v>50</v>
      </c>
    </row>
    <row r="859" spans="4:4" ht="17.649999999999999" x14ac:dyDescent="0.5">
      <c r="D859" s="3" t="s">
        <v>54</v>
      </c>
    </row>
    <row r="860" spans="4:4" ht="17.649999999999999" x14ac:dyDescent="0.5">
      <c r="D860" s="3" t="s">
        <v>103</v>
      </c>
    </row>
    <row r="861" spans="4:4" ht="17.649999999999999" x14ac:dyDescent="0.5">
      <c r="D861" s="3" t="s">
        <v>52</v>
      </c>
    </row>
    <row r="862" spans="4:4" ht="17.649999999999999" x14ac:dyDescent="0.5">
      <c r="D862" s="3" t="s">
        <v>48</v>
      </c>
    </row>
    <row r="863" spans="4:4" ht="17.649999999999999" x14ac:dyDescent="0.5">
      <c r="D863" s="3" t="s">
        <v>66</v>
      </c>
    </row>
    <row r="864" spans="4:4" ht="17.649999999999999" x14ac:dyDescent="0.5">
      <c r="D864" s="3" t="s">
        <v>104</v>
      </c>
    </row>
    <row r="865" spans="4:4" ht="17.649999999999999" x14ac:dyDescent="0.5">
      <c r="D865" s="3" t="s">
        <v>77</v>
      </c>
    </row>
    <row r="866" spans="4:4" ht="17.649999999999999" x14ac:dyDescent="0.5">
      <c r="D866" s="3" t="s">
        <v>86</v>
      </c>
    </row>
    <row r="867" spans="4:4" ht="17.649999999999999" x14ac:dyDescent="0.5">
      <c r="D867" s="3" t="s">
        <v>65</v>
      </c>
    </row>
    <row r="868" spans="4:4" ht="17.649999999999999" x14ac:dyDescent="0.5">
      <c r="D868" s="3" t="s">
        <v>69</v>
      </c>
    </row>
    <row r="869" spans="4:4" ht="17.649999999999999" x14ac:dyDescent="0.5">
      <c r="D869" s="3" t="s">
        <v>54</v>
      </c>
    </row>
    <row r="870" spans="4:4" ht="17.649999999999999" x14ac:dyDescent="0.5">
      <c r="D870" s="3" t="s">
        <v>90</v>
      </c>
    </row>
    <row r="871" spans="4:4" ht="17.649999999999999" x14ac:dyDescent="0.5">
      <c r="D871" s="3" t="s">
        <v>119</v>
      </c>
    </row>
    <row r="872" spans="4:4" ht="17.649999999999999" x14ac:dyDescent="0.5">
      <c r="D872" s="3" t="s">
        <v>55</v>
      </c>
    </row>
    <row r="873" spans="4:4" ht="17.649999999999999" x14ac:dyDescent="0.5">
      <c r="D873" s="3" t="s">
        <v>98</v>
      </c>
    </row>
    <row r="874" spans="4:4" ht="17.649999999999999" x14ac:dyDescent="0.5">
      <c r="D874" s="3" t="s">
        <v>61</v>
      </c>
    </row>
    <row r="875" spans="4:4" ht="17.649999999999999" x14ac:dyDescent="0.5">
      <c r="D875" s="3" t="s">
        <v>78</v>
      </c>
    </row>
    <row r="876" spans="4:4" ht="17.649999999999999" x14ac:dyDescent="0.5">
      <c r="D876" s="3" t="s">
        <v>83</v>
      </c>
    </row>
    <row r="877" spans="4:4" ht="17.649999999999999" x14ac:dyDescent="0.5">
      <c r="D877" s="3" t="s">
        <v>91</v>
      </c>
    </row>
    <row r="878" spans="4:4" ht="17.649999999999999" x14ac:dyDescent="0.5">
      <c r="D878" s="3" t="s">
        <v>135</v>
      </c>
    </row>
    <row r="879" spans="4:4" ht="17.649999999999999" x14ac:dyDescent="0.5">
      <c r="D879" s="3" t="s">
        <v>103</v>
      </c>
    </row>
    <row r="880" spans="4:4" ht="17.649999999999999" x14ac:dyDescent="0.5">
      <c r="D880" s="3" t="s">
        <v>59</v>
      </c>
    </row>
    <row r="881" spans="4:4" ht="17.649999999999999" x14ac:dyDescent="0.5">
      <c r="D881" s="3" t="s">
        <v>48</v>
      </c>
    </row>
    <row r="882" spans="4:4" ht="17.649999999999999" x14ac:dyDescent="0.5">
      <c r="D882" s="3" t="s">
        <v>66</v>
      </c>
    </row>
    <row r="883" spans="4:4" ht="17.649999999999999" x14ac:dyDescent="0.5">
      <c r="D883" s="3" t="s">
        <v>102</v>
      </c>
    </row>
    <row r="884" spans="4:4" ht="17.649999999999999" x14ac:dyDescent="0.5">
      <c r="D884" s="3" t="s">
        <v>117</v>
      </c>
    </row>
    <row r="885" spans="4:4" ht="17.649999999999999" x14ac:dyDescent="0.5">
      <c r="D885" s="3" t="s">
        <v>49</v>
      </c>
    </row>
    <row r="886" spans="4:4" ht="17.649999999999999" x14ac:dyDescent="0.5">
      <c r="D886" s="3" t="s">
        <v>119</v>
      </c>
    </row>
    <row r="887" spans="4:4" ht="17.649999999999999" x14ac:dyDescent="0.5">
      <c r="D887" s="3" t="s">
        <v>60</v>
      </c>
    </row>
    <row r="888" spans="4:4" ht="17.649999999999999" x14ac:dyDescent="0.5">
      <c r="D888" s="3" t="s">
        <v>71</v>
      </c>
    </row>
    <row r="889" spans="4:4" ht="17.649999999999999" x14ac:dyDescent="0.5">
      <c r="D889" s="3" t="s">
        <v>135</v>
      </c>
    </row>
    <row r="890" spans="4:4" ht="17.649999999999999" x14ac:dyDescent="0.5">
      <c r="D890" s="3" t="s">
        <v>66</v>
      </c>
    </row>
    <row r="891" spans="4:4" ht="17.649999999999999" x14ac:dyDescent="0.5">
      <c r="D891" s="3" t="s">
        <v>112</v>
      </c>
    </row>
    <row r="892" spans="4:4" ht="17.649999999999999" x14ac:dyDescent="0.5">
      <c r="D892" s="3" t="s">
        <v>94</v>
      </c>
    </row>
    <row r="893" spans="4:4" ht="17.649999999999999" x14ac:dyDescent="0.5">
      <c r="D893" s="3" t="s">
        <v>129</v>
      </c>
    </row>
    <row r="894" spans="4:4" ht="17.649999999999999" x14ac:dyDescent="0.5">
      <c r="D894" s="3" t="s">
        <v>44</v>
      </c>
    </row>
    <row r="895" spans="4:4" ht="17.649999999999999" x14ac:dyDescent="0.5">
      <c r="D895" s="3" t="s">
        <v>64</v>
      </c>
    </row>
    <row r="896" spans="4:4" ht="17.649999999999999" x14ac:dyDescent="0.5">
      <c r="D896" s="3" t="s">
        <v>74</v>
      </c>
    </row>
    <row r="897" spans="4:4" ht="17.649999999999999" x14ac:dyDescent="0.5">
      <c r="D897" s="3" t="s">
        <v>86</v>
      </c>
    </row>
    <row r="898" spans="4:4" ht="17.649999999999999" x14ac:dyDescent="0.5">
      <c r="D898" s="3" t="s">
        <v>83</v>
      </c>
    </row>
    <row r="899" spans="4:4" ht="17.649999999999999" x14ac:dyDescent="0.5">
      <c r="D899" s="3" t="s">
        <v>70</v>
      </c>
    </row>
    <row r="900" spans="4:4" ht="17.649999999999999" x14ac:dyDescent="0.5">
      <c r="D900" s="3" t="s">
        <v>90</v>
      </c>
    </row>
    <row r="901" spans="4:4" ht="17.649999999999999" x14ac:dyDescent="0.5">
      <c r="D901" s="3" t="s">
        <v>118</v>
      </c>
    </row>
    <row r="902" spans="4:4" ht="17.649999999999999" x14ac:dyDescent="0.5">
      <c r="D902" s="3" t="s">
        <v>80</v>
      </c>
    </row>
    <row r="903" spans="4:4" ht="17.649999999999999" x14ac:dyDescent="0.5">
      <c r="D903" s="3" t="s">
        <v>101</v>
      </c>
    </row>
    <row r="904" spans="4:4" ht="17.649999999999999" x14ac:dyDescent="0.5">
      <c r="D904" s="3" t="s">
        <v>61</v>
      </c>
    </row>
    <row r="905" spans="4:4" ht="17.649999999999999" x14ac:dyDescent="0.5">
      <c r="D905" s="3" t="s">
        <v>47</v>
      </c>
    </row>
    <row r="906" spans="4:4" ht="17.649999999999999" x14ac:dyDescent="0.5">
      <c r="D906" s="3" t="s">
        <v>84</v>
      </c>
    </row>
    <row r="907" spans="4:4" ht="17.649999999999999" x14ac:dyDescent="0.5">
      <c r="D907" s="3" t="s">
        <v>65</v>
      </c>
    </row>
    <row r="908" spans="4:4" ht="17.649999999999999" x14ac:dyDescent="0.5">
      <c r="D908" s="3" t="s">
        <v>85</v>
      </c>
    </row>
    <row r="909" spans="4:4" ht="17.649999999999999" x14ac:dyDescent="0.5">
      <c r="D909" s="3" t="s">
        <v>114</v>
      </c>
    </row>
    <row r="910" spans="4:4" ht="17.649999999999999" x14ac:dyDescent="0.5">
      <c r="D910" s="3" t="s">
        <v>81</v>
      </c>
    </row>
    <row r="911" spans="4:4" ht="17.649999999999999" x14ac:dyDescent="0.5">
      <c r="D911" s="3" t="s">
        <v>112</v>
      </c>
    </row>
    <row r="912" spans="4:4" ht="17.649999999999999" x14ac:dyDescent="0.5">
      <c r="D912" s="3" t="s">
        <v>69</v>
      </c>
    </row>
    <row r="913" spans="4:4" ht="17.649999999999999" x14ac:dyDescent="0.5">
      <c r="D913" s="3" t="s">
        <v>44</v>
      </c>
    </row>
    <row r="914" spans="4:4" ht="17.649999999999999" x14ac:dyDescent="0.5">
      <c r="D914" s="3" t="s">
        <v>110</v>
      </c>
    </row>
    <row r="915" spans="4:4" ht="17.649999999999999" x14ac:dyDescent="0.5">
      <c r="D915" s="3" t="s">
        <v>45</v>
      </c>
    </row>
    <row r="916" spans="4:4" ht="17.649999999999999" x14ac:dyDescent="0.5">
      <c r="D916" s="3" t="s">
        <v>80</v>
      </c>
    </row>
    <row r="917" spans="4:4" ht="17.649999999999999" x14ac:dyDescent="0.5">
      <c r="D917" s="3" t="s">
        <v>53</v>
      </c>
    </row>
    <row r="918" spans="4:4" ht="17.649999999999999" x14ac:dyDescent="0.5">
      <c r="D918" s="3" t="s">
        <v>64</v>
      </c>
    </row>
    <row r="919" spans="4:4" ht="17.649999999999999" x14ac:dyDescent="0.5">
      <c r="D919" s="3" t="s">
        <v>113</v>
      </c>
    </row>
    <row r="920" spans="4:4" ht="17.649999999999999" x14ac:dyDescent="0.5">
      <c r="D920" s="3" t="s">
        <v>41</v>
      </c>
    </row>
    <row r="921" spans="4:4" ht="17.649999999999999" x14ac:dyDescent="0.5">
      <c r="D921" s="3" t="s">
        <v>47</v>
      </c>
    </row>
    <row r="922" spans="4:4" ht="17.649999999999999" x14ac:dyDescent="0.5">
      <c r="D922" s="3" t="s">
        <v>115</v>
      </c>
    </row>
    <row r="923" spans="4:4" ht="17.649999999999999" x14ac:dyDescent="0.5">
      <c r="D923" s="3" t="s">
        <v>77</v>
      </c>
    </row>
    <row r="924" spans="4:4" ht="17.649999999999999" x14ac:dyDescent="0.5">
      <c r="D924" s="3" t="s">
        <v>117</v>
      </c>
    </row>
    <row r="925" spans="4:4" ht="17.649999999999999" x14ac:dyDescent="0.5">
      <c r="D925" s="3" t="s">
        <v>59</v>
      </c>
    </row>
    <row r="926" spans="4:4" ht="17.649999999999999" x14ac:dyDescent="0.5">
      <c r="D926" s="3" t="s">
        <v>88</v>
      </c>
    </row>
    <row r="927" spans="4:4" ht="17.649999999999999" x14ac:dyDescent="0.5">
      <c r="D927" s="3" t="s">
        <v>69</v>
      </c>
    </row>
    <row r="928" spans="4:4" ht="17.649999999999999" x14ac:dyDescent="0.5">
      <c r="D928" s="3" t="s">
        <v>53</v>
      </c>
    </row>
    <row r="929" spans="4:4" ht="17.649999999999999" x14ac:dyDescent="0.5">
      <c r="D929" s="3" t="s">
        <v>59</v>
      </c>
    </row>
    <row r="930" spans="4:4" ht="17.649999999999999" x14ac:dyDescent="0.5">
      <c r="D930" s="3" t="s">
        <v>73</v>
      </c>
    </row>
    <row r="931" spans="4:4" ht="17.649999999999999" x14ac:dyDescent="0.5">
      <c r="D931" s="3" t="s">
        <v>87</v>
      </c>
    </row>
    <row r="932" spans="4:4" ht="17.649999999999999" x14ac:dyDescent="0.5">
      <c r="D932" s="3" t="s">
        <v>64</v>
      </c>
    </row>
    <row r="933" spans="4:4" ht="17.649999999999999" x14ac:dyDescent="0.5">
      <c r="D933" s="3" t="s">
        <v>55</v>
      </c>
    </row>
    <row r="934" spans="4:4" ht="17.649999999999999" x14ac:dyDescent="0.5">
      <c r="D934" s="3" t="s">
        <v>90</v>
      </c>
    </row>
    <row r="935" spans="4:4" ht="17.649999999999999" x14ac:dyDescent="0.5">
      <c r="D935" s="3" t="s">
        <v>61</v>
      </c>
    </row>
    <row r="936" spans="4:4" ht="17.649999999999999" x14ac:dyDescent="0.5">
      <c r="D936" s="3" t="s">
        <v>119</v>
      </c>
    </row>
    <row r="937" spans="4:4" ht="17.649999999999999" x14ac:dyDescent="0.5">
      <c r="D937" s="3" t="s">
        <v>74</v>
      </c>
    </row>
    <row r="938" spans="4:4" ht="17.649999999999999" x14ac:dyDescent="0.5">
      <c r="D938" s="3" t="s">
        <v>71</v>
      </c>
    </row>
    <row r="939" spans="4:4" ht="17.649999999999999" x14ac:dyDescent="0.5">
      <c r="D939" s="3" t="s">
        <v>67</v>
      </c>
    </row>
    <row r="940" spans="4:4" ht="17.649999999999999" x14ac:dyDescent="0.5">
      <c r="D940" s="3" t="s">
        <v>85</v>
      </c>
    </row>
    <row r="941" spans="4:4" ht="17.649999999999999" x14ac:dyDescent="0.5">
      <c r="D941" s="3" t="s">
        <v>65</v>
      </c>
    </row>
    <row r="942" spans="4:4" ht="17.649999999999999" x14ac:dyDescent="0.5">
      <c r="D942" s="3" t="s">
        <v>77</v>
      </c>
    </row>
    <row r="943" spans="4:4" ht="17.649999999999999" x14ac:dyDescent="0.5">
      <c r="D943" s="3" t="s">
        <v>55</v>
      </c>
    </row>
    <row r="944" spans="4:4" ht="17.649999999999999" x14ac:dyDescent="0.5">
      <c r="D944" s="3" t="s">
        <v>64</v>
      </c>
    </row>
    <row r="945" spans="4:4" ht="17.649999999999999" x14ac:dyDescent="0.5">
      <c r="D945" s="3" t="s">
        <v>85</v>
      </c>
    </row>
    <row r="946" spans="4:4" ht="17.649999999999999" x14ac:dyDescent="0.5">
      <c r="D946" s="3" t="s">
        <v>83</v>
      </c>
    </row>
    <row r="947" spans="4:4" ht="17.649999999999999" x14ac:dyDescent="0.5">
      <c r="D947" s="3" t="s">
        <v>84</v>
      </c>
    </row>
    <row r="948" spans="4:4" ht="17.649999999999999" x14ac:dyDescent="0.5">
      <c r="D948" s="3" t="s">
        <v>102</v>
      </c>
    </row>
    <row r="949" spans="4:4" ht="17.649999999999999" x14ac:dyDescent="0.5">
      <c r="D949" s="3" t="s">
        <v>106</v>
      </c>
    </row>
    <row r="950" spans="4:4" ht="17.649999999999999" x14ac:dyDescent="0.5">
      <c r="D950" s="3" t="s">
        <v>63</v>
      </c>
    </row>
    <row r="951" spans="4:4" ht="17.649999999999999" x14ac:dyDescent="0.5">
      <c r="D951" s="3" t="s">
        <v>59</v>
      </c>
    </row>
    <row r="952" spans="4:4" ht="17.649999999999999" x14ac:dyDescent="0.5">
      <c r="D952" s="3" t="s">
        <v>61</v>
      </c>
    </row>
    <row r="953" spans="4:4" ht="17.649999999999999" x14ac:dyDescent="0.5">
      <c r="D953" s="3" t="s">
        <v>74</v>
      </c>
    </row>
    <row r="954" spans="4:4" ht="17.649999999999999" x14ac:dyDescent="0.5">
      <c r="D954" s="3" t="s">
        <v>68</v>
      </c>
    </row>
    <row r="955" spans="4:4" ht="17.649999999999999" x14ac:dyDescent="0.5">
      <c r="D955" s="3" t="s">
        <v>123</v>
      </c>
    </row>
    <row r="956" spans="4:4" ht="17.649999999999999" x14ac:dyDescent="0.5">
      <c r="D956" s="3" t="s">
        <v>82</v>
      </c>
    </row>
    <row r="957" spans="4:4" ht="17.649999999999999" x14ac:dyDescent="0.5">
      <c r="D957" s="3" t="s">
        <v>74</v>
      </c>
    </row>
    <row r="958" spans="4:4" ht="17.649999999999999" x14ac:dyDescent="0.5">
      <c r="D958" s="3" t="s">
        <v>91</v>
      </c>
    </row>
    <row r="959" spans="4:4" ht="17.649999999999999" x14ac:dyDescent="0.5">
      <c r="D959" s="3" t="s">
        <v>76</v>
      </c>
    </row>
    <row r="960" spans="4:4" ht="17.649999999999999" x14ac:dyDescent="0.5">
      <c r="D960" s="3" t="s">
        <v>52</v>
      </c>
    </row>
    <row r="961" spans="4:4" ht="17.649999999999999" x14ac:dyDescent="0.5">
      <c r="D961" s="3" t="s">
        <v>98</v>
      </c>
    </row>
    <row r="962" spans="4:4" ht="17.649999999999999" x14ac:dyDescent="0.5">
      <c r="D962" s="3" t="s">
        <v>76</v>
      </c>
    </row>
    <row r="963" spans="4:4" ht="17.649999999999999" x14ac:dyDescent="0.5">
      <c r="D963" s="3" t="s">
        <v>105</v>
      </c>
    </row>
    <row r="964" spans="4:4" ht="17.649999999999999" x14ac:dyDescent="0.5">
      <c r="D964" s="3" t="s">
        <v>117</v>
      </c>
    </row>
    <row r="965" spans="4:4" ht="17.649999999999999" x14ac:dyDescent="0.5">
      <c r="D965" s="3" t="s">
        <v>46</v>
      </c>
    </row>
    <row r="966" spans="4:4" ht="17.649999999999999" x14ac:dyDescent="0.5">
      <c r="D966" s="3" t="s">
        <v>45</v>
      </c>
    </row>
    <row r="967" spans="4:4" ht="17.649999999999999" x14ac:dyDescent="0.5">
      <c r="D967" s="3" t="s">
        <v>94</v>
      </c>
    </row>
    <row r="968" spans="4:4" ht="17.649999999999999" x14ac:dyDescent="0.5">
      <c r="D968" s="3" t="s">
        <v>44</v>
      </c>
    </row>
    <row r="969" spans="4:4" ht="17.649999999999999" x14ac:dyDescent="0.5">
      <c r="D969" s="3" t="s">
        <v>55</v>
      </c>
    </row>
    <row r="970" spans="4:4" ht="17.649999999999999" x14ac:dyDescent="0.5">
      <c r="D970" s="3" t="s">
        <v>126</v>
      </c>
    </row>
    <row r="971" spans="4:4" ht="17.649999999999999" x14ac:dyDescent="0.5">
      <c r="D971" s="3" t="s">
        <v>56</v>
      </c>
    </row>
    <row r="972" spans="4:4" ht="17.649999999999999" x14ac:dyDescent="0.5">
      <c r="D972" s="3" t="s">
        <v>129</v>
      </c>
    </row>
    <row r="973" spans="4:4" ht="17.649999999999999" x14ac:dyDescent="0.5">
      <c r="D973" s="3" t="s">
        <v>87</v>
      </c>
    </row>
    <row r="974" spans="4:4" ht="17.649999999999999" x14ac:dyDescent="0.5">
      <c r="D974" s="3" t="s">
        <v>82</v>
      </c>
    </row>
    <row r="975" spans="4:4" ht="17.649999999999999" x14ac:dyDescent="0.5">
      <c r="D975" s="3" t="s">
        <v>63</v>
      </c>
    </row>
    <row r="976" spans="4:4" ht="17.649999999999999" x14ac:dyDescent="0.5">
      <c r="D976" s="3" t="s">
        <v>55</v>
      </c>
    </row>
    <row r="977" spans="4:4" ht="17.649999999999999" x14ac:dyDescent="0.5">
      <c r="D977" s="3" t="s">
        <v>54</v>
      </c>
    </row>
    <row r="978" spans="4:4" ht="17.649999999999999" x14ac:dyDescent="0.5">
      <c r="D978" s="3" t="s">
        <v>94</v>
      </c>
    </row>
    <row r="979" spans="4:4" ht="17.649999999999999" x14ac:dyDescent="0.5">
      <c r="D979" s="3" t="s">
        <v>95</v>
      </c>
    </row>
    <row r="980" spans="4:4" ht="17.649999999999999" x14ac:dyDescent="0.5">
      <c r="D980" s="3" t="s">
        <v>90</v>
      </c>
    </row>
    <row r="981" spans="4:4" ht="17.649999999999999" x14ac:dyDescent="0.5">
      <c r="D981" s="3" t="s">
        <v>45</v>
      </c>
    </row>
    <row r="982" spans="4:4" ht="17.649999999999999" x14ac:dyDescent="0.5">
      <c r="D982" s="3" t="s">
        <v>73</v>
      </c>
    </row>
    <row r="983" spans="4:4" ht="17.649999999999999" x14ac:dyDescent="0.5">
      <c r="D983" s="3" t="s">
        <v>77</v>
      </c>
    </row>
    <row r="984" spans="4:4" ht="17.649999999999999" x14ac:dyDescent="0.5">
      <c r="D984" s="3" t="s">
        <v>78</v>
      </c>
    </row>
    <row r="985" spans="4:4" ht="17.649999999999999" x14ac:dyDescent="0.5">
      <c r="D985" s="3" t="s">
        <v>56</v>
      </c>
    </row>
    <row r="986" spans="4:4" ht="17.649999999999999" x14ac:dyDescent="0.5">
      <c r="D986" s="3" t="s">
        <v>41</v>
      </c>
    </row>
    <row r="987" spans="4:4" ht="17.649999999999999" x14ac:dyDescent="0.5">
      <c r="D987" s="3" t="s">
        <v>91</v>
      </c>
    </row>
    <row r="988" spans="4:4" ht="17.649999999999999" x14ac:dyDescent="0.5">
      <c r="D988" s="3" t="s">
        <v>77</v>
      </c>
    </row>
    <row r="989" spans="4:4" ht="17.649999999999999" x14ac:dyDescent="0.5">
      <c r="D989" s="3" t="s">
        <v>67</v>
      </c>
    </row>
    <row r="990" spans="4:4" ht="17.649999999999999" x14ac:dyDescent="0.5">
      <c r="D990" s="3" t="s">
        <v>48</v>
      </c>
    </row>
    <row r="991" spans="4:4" ht="17.649999999999999" x14ac:dyDescent="0.5">
      <c r="D991" s="3" t="s">
        <v>62</v>
      </c>
    </row>
    <row r="992" spans="4:4" ht="17.649999999999999" x14ac:dyDescent="0.5">
      <c r="D992" s="3" t="s">
        <v>67</v>
      </c>
    </row>
    <row r="993" spans="4:4" ht="17.649999999999999" x14ac:dyDescent="0.5">
      <c r="D993" s="3" t="s">
        <v>53</v>
      </c>
    </row>
    <row r="994" spans="4:4" ht="17.649999999999999" x14ac:dyDescent="0.5">
      <c r="D994" s="3" t="s">
        <v>136</v>
      </c>
    </row>
    <row r="995" spans="4:4" ht="17.649999999999999" x14ac:dyDescent="0.5">
      <c r="D995" s="3" t="s">
        <v>127</v>
      </c>
    </row>
    <row r="996" spans="4:4" ht="17.649999999999999" x14ac:dyDescent="0.5">
      <c r="D996" s="3" t="s">
        <v>112</v>
      </c>
    </row>
    <row r="997" spans="4:4" ht="17.649999999999999" x14ac:dyDescent="0.5">
      <c r="D997" s="3" t="s">
        <v>48</v>
      </c>
    </row>
    <row r="998" spans="4:4" ht="17.649999999999999" x14ac:dyDescent="0.5">
      <c r="D998" s="3" t="s">
        <v>77</v>
      </c>
    </row>
    <row r="999" spans="4:4" ht="17.649999999999999" x14ac:dyDescent="0.5">
      <c r="D999" s="3" t="s">
        <v>69</v>
      </c>
    </row>
    <row r="1000" spans="4:4" ht="17.649999999999999" x14ac:dyDescent="0.5">
      <c r="D1000" s="3" t="s">
        <v>46</v>
      </c>
    </row>
    <row r="1001" spans="4:4" ht="17.649999999999999" x14ac:dyDescent="0.5">
      <c r="D1001" s="3" t="s">
        <v>111</v>
      </c>
    </row>
    <row r="1002" spans="4:4" ht="17.649999999999999" x14ac:dyDescent="0.5">
      <c r="D1002" s="3" t="s">
        <v>70</v>
      </c>
    </row>
    <row r="1003" spans="4:4" ht="17.649999999999999" x14ac:dyDescent="0.5">
      <c r="D1003" s="3" t="s">
        <v>105</v>
      </c>
    </row>
    <row r="1004" spans="4:4" ht="17.649999999999999" x14ac:dyDescent="0.5">
      <c r="D1004" s="3" t="s">
        <v>100</v>
      </c>
    </row>
    <row r="1005" spans="4:4" ht="17.649999999999999" x14ac:dyDescent="0.5">
      <c r="D1005" s="3" t="s">
        <v>50</v>
      </c>
    </row>
    <row r="1006" spans="4:4" ht="17.649999999999999" x14ac:dyDescent="0.5">
      <c r="D1006" s="3" t="s">
        <v>80</v>
      </c>
    </row>
    <row r="1007" spans="4:4" ht="17.649999999999999" x14ac:dyDescent="0.5">
      <c r="D1007" s="3" t="s">
        <v>83</v>
      </c>
    </row>
    <row r="1008" spans="4:4" ht="17.649999999999999" x14ac:dyDescent="0.5">
      <c r="D1008" s="3" t="s">
        <v>56</v>
      </c>
    </row>
    <row r="1009" spans="4:4" ht="17.649999999999999" x14ac:dyDescent="0.5">
      <c r="D1009" s="3" t="s">
        <v>94</v>
      </c>
    </row>
    <row r="1010" spans="4:4" ht="17.649999999999999" x14ac:dyDescent="0.5">
      <c r="D1010" s="3" t="s">
        <v>78</v>
      </c>
    </row>
    <row r="1011" spans="4:4" ht="17.649999999999999" x14ac:dyDescent="0.5">
      <c r="D1011" s="3" t="s">
        <v>61</v>
      </c>
    </row>
    <row r="1012" spans="4:4" ht="17.649999999999999" x14ac:dyDescent="0.5">
      <c r="D1012" s="3" t="s">
        <v>52</v>
      </c>
    </row>
    <row r="1013" spans="4:4" ht="17.649999999999999" x14ac:dyDescent="0.5">
      <c r="D1013" s="3" t="s">
        <v>126</v>
      </c>
    </row>
    <row r="1014" spans="4:4" ht="17.649999999999999" x14ac:dyDescent="0.5">
      <c r="D1014" s="3" t="s">
        <v>47</v>
      </c>
    </row>
    <row r="1015" spans="4:4" ht="17.649999999999999" x14ac:dyDescent="0.5">
      <c r="D1015" s="3" t="s">
        <v>115</v>
      </c>
    </row>
    <row r="1016" spans="4:4" ht="17.649999999999999" x14ac:dyDescent="0.5">
      <c r="D1016" s="3" t="s">
        <v>57</v>
      </c>
    </row>
    <row r="1017" spans="4:4" ht="17.649999999999999" x14ac:dyDescent="0.5">
      <c r="D1017" s="3" t="s">
        <v>100</v>
      </c>
    </row>
    <row r="1018" spans="4:4" ht="17.649999999999999" x14ac:dyDescent="0.5">
      <c r="D1018" s="3" t="s">
        <v>54</v>
      </c>
    </row>
    <row r="1019" spans="4:4" ht="17.649999999999999" x14ac:dyDescent="0.5">
      <c r="D1019" s="3" t="s">
        <v>78</v>
      </c>
    </row>
    <row r="1020" spans="4:4" ht="17.649999999999999" x14ac:dyDescent="0.5">
      <c r="D1020" s="3" t="s">
        <v>52</v>
      </c>
    </row>
    <row r="1021" spans="4:4" ht="17.649999999999999" x14ac:dyDescent="0.5">
      <c r="D1021" s="3" t="s">
        <v>92</v>
      </c>
    </row>
    <row r="1022" spans="4:4" ht="17.649999999999999" x14ac:dyDescent="0.5">
      <c r="D1022" s="3" t="s">
        <v>64</v>
      </c>
    </row>
    <row r="1023" spans="4:4" ht="17.649999999999999" x14ac:dyDescent="0.5">
      <c r="D1023" s="3" t="s">
        <v>80</v>
      </c>
    </row>
    <row r="1024" spans="4:4" ht="17.649999999999999" x14ac:dyDescent="0.5">
      <c r="D1024" s="3" t="s">
        <v>104</v>
      </c>
    </row>
    <row r="1025" spans="4:4" ht="17.649999999999999" x14ac:dyDescent="0.5">
      <c r="D1025" s="3" t="s">
        <v>56</v>
      </c>
    </row>
    <row r="1026" spans="4:4" ht="17.649999999999999" x14ac:dyDescent="0.5">
      <c r="D1026" s="3" t="s">
        <v>106</v>
      </c>
    </row>
    <row r="1027" spans="4:4" ht="17.649999999999999" x14ac:dyDescent="0.5">
      <c r="D1027" s="3" t="s">
        <v>51</v>
      </c>
    </row>
    <row r="1028" spans="4:4" ht="17.649999999999999" x14ac:dyDescent="0.5">
      <c r="D1028" s="3" t="s">
        <v>55</v>
      </c>
    </row>
    <row r="1029" spans="4:4" ht="17.649999999999999" x14ac:dyDescent="0.5">
      <c r="D1029" s="3" t="s">
        <v>93</v>
      </c>
    </row>
    <row r="1030" spans="4:4" ht="17.649999999999999" x14ac:dyDescent="0.5">
      <c r="D1030" s="3" t="s">
        <v>41</v>
      </c>
    </row>
    <row r="1031" spans="4:4" ht="17.649999999999999" x14ac:dyDescent="0.5">
      <c r="D1031" s="3" t="s">
        <v>77</v>
      </c>
    </row>
    <row r="1032" spans="4:4" ht="17.649999999999999" x14ac:dyDescent="0.5">
      <c r="D1032" s="3" t="s">
        <v>81</v>
      </c>
    </row>
    <row r="1033" spans="4:4" ht="17.649999999999999" x14ac:dyDescent="0.5">
      <c r="D1033" s="3" t="s">
        <v>114</v>
      </c>
    </row>
    <row r="1034" spans="4:4" ht="17.649999999999999" x14ac:dyDescent="0.5">
      <c r="D1034" s="3" t="s">
        <v>48</v>
      </c>
    </row>
    <row r="1035" spans="4:4" ht="17.649999999999999" x14ac:dyDescent="0.5">
      <c r="D1035" s="3" t="s">
        <v>61</v>
      </c>
    </row>
    <row r="1036" spans="4:4" ht="17.649999999999999" x14ac:dyDescent="0.5">
      <c r="D1036" s="3" t="s">
        <v>57</v>
      </c>
    </row>
    <row r="1037" spans="4:4" ht="17.649999999999999" x14ac:dyDescent="0.5">
      <c r="D1037" s="3" t="s">
        <v>80</v>
      </c>
    </row>
    <row r="1038" spans="4:4" ht="17.649999999999999" x14ac:dyDescent="0.5">
      <c r="D1038" s="3" t="s">
        <v>42</v>
      </c>
    </row>
    <row r="1039" spans="4:4" ht="17.649999999999999" x14ac:dyDescent="0.5">
      <c r="D1039" s="3" t="s">
        <v>82</v>
      </c>
    </row>
    <row r="1040" spans="4:4" ht="17.649999999999999" x14ac:dyDescent="0.5">
      <c r="D1040" s="3" t="s">
        <v>117</v>
      </c>
    </row>
    <row r="1041" spans="4:4" ht="17.649999999999999" x14ac:dyDescent="0.5">
      <c r="D1041" s="3" t="s">
        <v>93</v>
      </c>
    </row>
    <row r="1042" spans="4:4" ht="17.649999999999999" x14ac:dyDescent="0.5">
      <c r="D1042" s="3" t="s">
        <v>75</v>
      </c>
    </row>
    <row r="1043" spans="4:4" ht="17.649999999999999" x14ac:dyDescent="0.5">
      <c r="D1043" s="3" t="s">
        <v>100</v>
      </c>
    </row>
    <row r="1044" spans="4:4" ht="17.649999999999999" x14ac:dyDescent="0.5">
      <c r="D1044" s="3" t="s">
        <v>103</v>
      </c>
    </row>
    <row r="1045" spans="4:4" ht="17.649999999999999" x14ac:dyDescent="0.5">
      <c r="D1045" s="3" t="s">
        <v>91</v>
      </c>
    </row>
    <row r="1046" spans="4:4" ht="17.649999999999999" x14ac:dyDescent="0.5">
      <c r="D1046" s="3" t="s">
        <v>104</v>
      </c>
    </row>
    <row r="1047" spans="4:4" ht="17.649999999999999" x14ac:dyDescent="0.5">
      <c r="D1047" s="3" t="s">
        <v>63</v>
      </c>
    </row>
    <row r="1048" spans="4:4" ht="17.649999999999999" x14ac:dyDescent="0.5">
      <c r="D1048" s="3" t="s">
        <v>87</v>
      </c>
    </row>
    <row r="1049" spans="4:4" ht="17.649999999999999" x14ac:dyDescent="0.5">
      <c r="D1049" s="3" t="s">
        <v>101</v>
      </c>
    </row>
    <row r="1050" spans="4:4" ht="17.649999999999999" x14ac:dyDescent="0.5">
      <c r="D1050" s="3" t="s">
        <v>88</v>
      </c>
    </row>
    <row r="1051" spans="4:4" ht="17.649999999999999" x14ac:dyDescent="0.5">
      <c r="D1051" s="3" t="s">
        <v>47</v>
      </c>
    </row>
    <row r="1052" spans="4:4" ht="17.649999999999999" x14ac:dyDescent="0.5">
      <c r="D1052" s="3" t="s">
        <v>74</v>
      </c>
    </row>
    <row r="1053" spans="4:4" ht="17.649999999999999" x14ac:dyDescent="0.5">
      <c r="D1053" s="3" t="s">
        <v>46</v>
      </c>
    </row>
    <row r="1054" spans="4:4" ht="17.649999999999999" x14ac:dyDescent="0.5">
      <c r="D1054" s="3" t="s">
        <v>55</v>
      </c>
    </row>
    <row r="1055" spans="4:4" ht="17.649999999999999" x14ac:dyDescent="0.5">
      <c r="D1055" s="3" t="s">
        <v>56</v>
      </c>
    </row>
    <row r="1056" spans="4:4" ht="17.649999999999999" x14ac:dyDescent="0.5">
      <c r="D1056" s="3" t="s">
        <v>91</v>
      </c>
    </row>
    <row r="1057" spans="4:4" ht="17.649999999999999" x14ac:dyDescent="0.5">
      <c r="D1057" s="3" t="s">
        <v>122</v>
      </c>
    </row>
    <row r="1058" spans="4:4" ht="17.649999999999999" x14ac:dyDescent="0.5">
      <c r="D1058" s="3" t="s">
        <v>94</v>
      </c>
    </row>
    <row r="1059" spans="4:4" ht="17.649999999999999" x14ac:dyDescent="0.5">
      <c r="D1059" s="3" t="s">
        <v>126</v>
      </c>
    </row>
    <row r="1060" spans="4:4" ht="17.649999999999999" x14ac:dyDescent="0.5">
      <c r="D1060" s="3" t="s">
        <v>98</v>
      </c>
    </row>
    <row r="1061" spans="4:4" ht="17.649999999999999" x14ac:dyDescent="0.5">
      <c r="D1061" s="3" t="s">
        <v>117</v>
      </c>
    </row>
    <row r="1062" spans="4:4" ht="17.649999999999999" x14ac:dyDescent="0.5">
      <c r="D1062" s="3" t="s">
        <v>108</v>
      </c>
    </row>
    <row r="1063" spans="4:4" ht="17.649999999999999" x14ac:dyDescent="0.5">
      <c r="D1063" s="3" t="s">
        <v>103</v>
      </c>
    </row>
    <row r="1064" spans="4:4" ht="17.649999999999999" x14ac:dyDescent="0.5">
      <c r="D1064" s="3" t="s">
        <v>51</v>
      </c>
    </row>
    <row r="1065" spans="4:4" ht="17.649999999999999" x14ac:dyDescent="0.5">
      <c r="D1065" s="3" t="s">
        <v>118</v>
      </c>
    </row>
    <row r="1066" spans="4:4" ht="17.649999999999999" x14ac:dyDescent="0.5">
      <c r="D1066" s="3" t="s">
        <v>77</v>
      </c>
    </row>
    <row r="1067" spans="4:4" ht="17.649999999999999" x14ac:dyDescent="0.5">
      <c r="D1067" s="3" t="s">
        <v>73</v>
      </c>
    </row>
    <row r="1068" spans="4:4" ht="17.649999999999999" x14ac:dyDescent="0.5">
      <c r="D1068" s="3" t="s">
        <v>85</v>
      </c>
    </row>
    <row r="1069" spans="4:4" ht="17.649999999999999" x14ac:dyDescent="0.5">
      <c r="D1069" s="3" t="s">
        <v>115</v>
      </c>
    </row>
    <row r="1070" spans="4:4" ht="17.649999999999999" x14ac:dyDescent="0.5">
      <c r="D1070" s="3" t="s">
        <v>74</v>
      </c>
    </row>
    <row r="1071" spans="4:4" ht="17.649999999999999" x14ac:dyDescent="0.5">
      <c r="D1071" s="3" t="s">
        <v>67</v>
      </c>
    </row>
    <row r="1072" spans="4:4" ht="17.649999999999999" x14ac:dyDescent="0.5">
      <c r="D1072" s="3" t="s">
        <v>83</v>
      </c>
    </row>
    <row r="1073" spans="4:4" ht="17.649999999999999" x14ac:dyDescent="0.5">
      <c r="D1073" s="3" t="s">
        <v>69</v>
      </c>
    </row>
    <row r="1074" spans="4:4" ht="17.649999999999999" x14ac:dyDescent="0.5">
      <c r="D1074" s="3" t="s">
        <v>107</v>
      </c>
    </row>
    <row r="1075" spans="4:4" ht="17.649999999999999" x14ac:dyDescent="0.5">
      <c r="D1075" s="3" t="s">
        <v>81</v>
      </c>
    </row>
    <row r="1076" spans="4:4" ht="17.649999999999999" x14ac:dyDescent="0.5">
      <c r="D1076" s="3" t="s">
        <v>104</v>
      </c>
    </row>
    <row r="1077" spans="4:4" ht="17.649999999999999" x14ac:dyDescent="0.5">
      <c r="D1077" s="3" t="s">
        <v>96</v>
      </c>
    </row>
    <row r="1078" spans="4:4" ht="17.649999999999999" x14ac:dyDescent="0.5">
      <c r="D1078" s="3" t="s">
        <v>95</v>
      </c>
    </row>
    <row r="1079" spans="4:4" ht="17.649999999999999" x14ac:dyDescent="0.5">
      <c r="D1079" s="3" t="s">
        <v>63</v>
      </c>
    </row>
    <row r="1080" spans="4:4" ht="17.649999999999999" x14ac:dyDescent="0.5">
      <c r="D1080" s="3" t="s">
        <v>73</v>
      </c>
    </row>
    <row r="1081" spans="4:4" ht="17.649999999999999" x14ac:dyDescent="0.5">
      <c r="D1081" s="3" t="s">
        <v>62</v>
      </c>
    </row>
    <row r="1082" spans="4:4" ht="17.649999999999999" x14ac:dyDescent="0.5">
      <c r="D1082" s="3" t="s">
        <v>68</v>
      </c>
    </row>
    <row r="1083" spans="4:4" ht="17.649999999999999" x14ac:dyDescent="0.5">
      <c r="D1083" s="3" t="s">
        <v>131</v>
      </c>
    </row>
    <row r="1084" spans="4:4" ht="17.649999999999999" x14ac:dyDescent="0.5">
      <c r="D1084" s="3" t="s">
        <v>81</v>
      </c>
    </row>
    <row r="1085" spans="4:4" ht="17.649999999999999" x14ac:dyDescent="0.5">
      <c r="D1085" s="3" t="s">
        <v>68</v>
      </c>
    </row>
    <row r="1086" spans="4:4" ht="17.649999999999999" x14ac:dyDescent="0.5">
      <c r="D1086" s="3" t="s">
        <v>43</v>
      </c>
    </row>
    <row r="1087" spans="4:4" ht="17.649999999999999" x14ac:dyDescent="0.5">
      <c r="D1087" s="3" t="s">
        <v>132</v>
      </c>
    </row>
    <row r="1088" spans="4:4" ht="17.649999999999999" x14ac:dyDescent="0.5">
      <c r="D1088" s="3" t="s">
        <v>94</v>
      </c>
    </row>
    <row r="1089" spans="4:4" ht="17.649999999999999" x14ac:dyDescent="0.5">
      <c r="D1089" s="3" t="s">
        <v>99</v>
      </c>
    </row>
    <row r="1090" spans="4:4" ht="17.649999999999999" x14ac:dyDescent="0.5">
      <c r="D1090" s="3" t="s">
        <v>56</v>
      </c>
    </row>
    <row r="1091" spans="4:4" ht="17.649999999999999" x14ac:dyDescent="0.5">
      <c r="D1091" s="3" t="s">
        <v>41</v>
      </c>
    </row>
    <row r="1092" spans="4:4" ht="17.649999999999999" x14ac:dyDescent="0.5">
      <c r="D1092" s="3" t="s">
        <v>98</v>
      </c>
    </row>
    <row r="1093" spans="4:4" ht="17.649999999999999" x14ac:dyDescent="0.5">
      <c r="D1093" s="3" t="s">
        <v>67</v>
      </c>
    </row>
    <row r="1094" spans="4:4" ht="17.649999999999999" x14ac:dyDescent="0.5">
      <c r="D1094" s="3" t="s">
        <v>44</v>
      </c>
    </row>
    <row r="1095" spans="4:4" ht="17.649999999999999" x14ac:dyDescent="0.5">
      <c r="D1095" s="3" t="s">
        <v>81</v>
      </c>
    </row>
    <row r="1096" spans="4:4" ht="17.649999999999999" x14ac:dyDescent="0.5">
      <c r="D1096" s="3" t="s">
        <v>83</v>
      </c>
    </row>
    <row r="1097" spans="4:4" ht="17.649999999999999" x14ac:dyDescent="0.5">
      <c r="D1097" s="3" t="s">
        <v>59</v>
      </c>
    </row>
    <row r="1098" spans="4:4" ht="17.649999999999999" x14ac:dyDescent="0.5">
      <c r="D1098" s="3" t="s">
        <v>107</v>
      </c>
    </row>
    <row r="1099" spans="4:4" ht="17.649999999999999" x14ac:dyDescent="0.5">
      <c r="D1099" s="3" t="s">
        <v>96</v>
      </c>
    </row>
    <row r="1100" spans="4:4" ht="17.649999999999999" x14ac:dyDescent="0.5">
      <c r="D1100" s="3" t="s">
        <v>107</v>
      </c>
    </row>
    <row r="1101" spans="4:4" ht="17.649999999999999" x14ac:dyDescent="0.5">
      <c r="D1101" s="3" t="s">
        <v>110</v>
      </c>
    </row>
    <row r="1102" spans="4:4" ht="17.649999999999999" x14ac:dyDescent="0.5">
      <c r="D1102" s="3" t="s">
        <v>94</v>
      </c>
    </row>
    <row r="1103" spans="4:4" ht="17.649999999999999" x14ac:dyDescent="0.5">
      <c r="D1103" s="3" t="s">
        <v>57</v>
      </c>
    </row>
    <row r="1104" spans="4:4" ht="17.649999999999999" x14ac:dyDescent="0.5">
      <c r="D1104" s="3" t="s">
        <v>56</v>
      </c>
    </row>
    <row r="1105" spans="4:4" ht="17.649999999999999" x14ac:dyDescent="0.5">
      <c r="D1105" s="3" t="s">
        <v>114</v>
      </c>
    </row>
    <row r="1106" spans="4:4" ht="17.649999999999999" x14ac:dyDescent="0.5">
      <c r="D1106" s="3" t="s">
        <v>47</v>
      </c>
    </row>
    <row r="1107" spans="4:4" ht="17.649999999999999" x14ac:dyDescent="0.5">
      <c r="D1107" s="3" t="s">
        <v>83</v>
      </c>
    </row>
    <row r="1108" spans="4:4" ht="17.649999999999999" x14ac:dyDescent="0.5">
      <c r="D1108" s="3" t="s">
        <v>67</v>
      </c>
    </row>
    <row r="1109" spans="4:4" ht="17.649999999999999" x14ac:dyDescent="0.5">
      <c r="D1109" s="3" t="s">
        <v>47</v>
      </c>
    </row>
    <row r="1110" spans="4:4" ht="17.649999999999999" x14ac:dyDescent="0.5">
      <c r="D1110" s="3" t="s">
        <v>75</v>
      </c>
    </row>
    <row r="1111" spans="4:4" ht="17.649999999999999" x14ac:dyDescent="0.5">
      <c r="D1111" s="3" t="s">
        <v>87</v>
      </c>
    </row>
    <row r="1112" spans="4:4" ht="17.649999999999999" x14ac:dyDescent="0.5">
      <c r="D1112" s="3" t="s">
        <v>55</v>
      </c>
    </row>
    <row r="1113" spans="4:4" ht="17.649999999999999" x14ac:dyDescent="0.5">
      <c r="D1113" s="3" t="s">
        <v>76</v>
      </c>
    </row>
    <row r="1114" spans="4:4" ht="17.649999999999999" x14ac:dyDescent="0.5">
      <c r="D1114" s="3" t="s">
        <v>77</v>
      </c>
    </row>
    <row r="1115" spans="4:4" ht="17.649999999999999" x14ac:dyDescent="0.5">
      <c r="D1115" s="3" t="s">
        <v>113</v>
      </c>
    </row>
    <row r="1116" spans="4:4" ht="17.649999999999999" x14ac:dyDescent="0.5">
      <c r="D1116" s="3" t="s">
        <v>66</v>
      </c>
    </row>
    <row r="1117" spans="4:4" ht="17.649999999999999" x14ac:dyDescent="0.5">
      <c r="D1117" s="3" t="s">
        <v>94</v>
      </c>
    </row>
    <row r="1118" spans="4:4" ht="17.649999999999999" x14ac:dyDescent="0.5">
      <c r="D1118" s="3" t="s">
        <v>87</v>
      </c>
    </row>
    <row r="1119" spans="4:4" ht="17.649999999999999" x14ac:dyDescent="0.5">
      <c r="D1119" s="3" t="s">
        <v>96</v>
      </c>
    </row>
    <row r="1120" spans="4:4" ht="17.649999999999999" x14ac:dyDescent="0.5">
      <c r="D1120" s="3" t="s">
        <v>52</v>
      </c>
    </row>
    <row r="1121" spans="4:4" ht="17.649999999999999" x14ac:dyDescent="0.5">
      <c r="D1121" s="3" t="s">
        <v>65</v>
      </c>
    </row>
    <row r="1122" spans="4:4" ht="17.649999999999999" x14ac:dyDescent="0.5">
      <c r="D1122" s="3" t="s">
        <v>74</v>
      </c>
    </row>
    <row r="1123" spans="4:4" ht="17.649999999999999" x14ac:dyDescent="0.5">
      <c r="D1123" s="3" t="s">
        <v>135</v>
      </c>
    </row>
    <row r="1124" spans="4:4" ht="17.649999999999999" x14ac:dyDescent="0.5">
      <c r="D1124" s="3" t="s">
        <v>55</v>
      </c>
    </row>
    <row r="1125" spans="4:4" ht="17.649999999999999" x14ac:dyDescent="0.5">
      <c r="D1125" s="3" t="s">
        <v>103</v>
      </c>
    </row>
    <row r="1126" spans="4:4" ht="17.649999999999999" x14ac:dyDescent="0.5">
      <c r="D1126" s="3" t="s">
        <v>64</v>
      </c>
    </row>
    <row r="1127" spans="4:4" ht="17.649999999999999" x14ac:dyDescent="0.5">
      <c r="D1127" s="3" t="s">
        <v>92</v>
      </c>
    </row>
    <row r="1128" spans="4:4" ht="17.649999999999999" x14ac:dyDescent="0.5">
      <c r="D1128" s="3" t="s">
        <v>52</v>
      </c>
    </row>
    <row r="1129" spans="4:4" ht="17.649999999999999" x14ac:dyDescent="0.5">
      <c r="D1129" s="3" t="s">
        <v>112</v>
      </c>
    </row>
    <row r="1130" spans="4:4" ht="17.649999999999999" x14ac:dyDescent="0.5">
      <c r="D1130" s="3" t="s">
        <v>68</v>
      </c>
    </row>
    <row r="1131" spans="4:4" ht="17.649999999999999" x14ac:dyDescent="0.5">
      <c r="D1131" s="3" t="s">
        <v>133</v>
      </c>
    </row>
    <row r="1132" spans="4:4" ht="17.649999999999999" x14ac:dyDescent="0.5">
      <c r="D1132" s="3" t="s">
        <v>84</v>
      </c>
    </row>
    <row r="1133" spans="4:4" ht="17.649999999999999" x14ac:dyDescent="0.5">
      <c r="D1133" s="3" t="s">
        <v>115</v>
      </c>
    </row>
    <row r="1134" spans="4:4" ht="17.649999999999999" x14ac:dyDescent="0.5">
      <c r="D1134" s="3" t="s">
        <v>59</v>
      </c>
    </row>
    <row r="1135" spans="4:4" ht="17.649999999999999" x14ac:dyDescent="0.5">
      <c r="D1135" s="3" t="s">
        <v>117</v>
      </c>
    </row>
    <row r="1136" spans="4:4" ht="17.649999999999999" x14ac:dyDescent="0.5">
      <c r="D1136" s="3" t="s">
        <v>43</v>
      </c>
    </row>
    <row r="1137" spans="4:4" ht="17.649999999999999" x14ac:dyDescent="0.5">
      <c r="D1137" s="3" t="s">
        <v>65</v>
      </c>
    </row>
    <row r="1138" spans="4:4" ht="17.649999999999999" x14ac:dyDescent="0.5">
      <c r="D1138" s="3" t="s">
        <v>105</v>
      </c>
    </row>
    <row r="1139" spans="4:4" ht="17.649999999999999" x14ac:dyDescent="0.5">
      <c r="D1139" s="3" t="s">
        <v>117</v>
      </c>
    </row>
    <row r="1140" spans="4:4" ht="17.649999999999999" x14ac:dyDescent="0.5">
      <c r="D1140" s="3" t="s">
        <v>105</v>
      </c>
    </row>
    <row r="1141" spans="4:4" ht="17.649999999999999" x14ac:dyDescent="0.5">
      <c r="D1141" s="3" t="s">
        <v>90</v>
      </c>
    </row>
    <row r="1142" spans="4:4" ht="17.649999999999999" x14ac:dyDescent="0.5">
      <c r="D1142" s="3" t="s">
        <v>109</v>
      </c>
    </row>
    <row r="1143" spans="4:4" ht="17.649999999999999" x14ac:dyDescent="0.5">
      <c r="D1143" s="3" t="s">
        <v>80</v>
      </c>
    </row>
    <row r="1144" spans="4:4" ht="17.649999999999999" x14ac:dyDescent="0.5">
      <c r="D1144" s="3" t="s">
        <v>53</v>
      </c>
    </row>
    <row r="1145" spans="4:4" ht="17.649999999999999" x14ac:dyDescent="0.5">
      <c r="D1145" s="3" t="s">
        <v>41</v>
      </c>
    </row>
    <row r="1146" spans="4:4" ht="17.649999999999999" x14ac:dyDescent="0.5">
      <c r="D1146" s="3" t="s">
        <v>105</v>
      </c>
    </row>
    <row r="1147" spans="4:4" ht="17.649999999999999" x14ac:dyDescent="0.5">
      <c r="D1147" s="3" t="s">
        <v>49</v>
      </c>
    </row>
    <row r="1148" spans="4:4" ht="17.649999999999999" x14ac:dyDescent="0.5">
      <c r="D1148" s="3" t="s">
        <v>80</v>
      </c>
    </row>
    <row r="1149" spans="4:4" ht="17.649999999999999" x14ac:dyDescent="0.5">
      <c r="D1149" s="3" t="s">
        <v>86</v>
      </c>
    </row>
    <row r="1150" spans="4:4" ht="17.649999999999999" x14ac:dyDescent="0.5">
      <c r="D1150" s="3" t="s">
        <v>114</v>
      </c>
    </row>
    <row r="1151" spans="4:4" ht="17.649999999999999" x14ac:dyDescent="0.5">
      <c r="D1151" s="3" t="s">
        <v>120</v>
      </c>
    </row>
    <row r="1152" spans="4:4" ht="17.649999999999999" x14ac:dyDescent="0.5">
      <c r="D1152" s="3" t="s">
        <v>69</v>
      </c>
    </row>
    <row r="1153" spans="4:4" ht="17.649999999999999" x14ac:dyDescent="0.5">
      <c r="D1153" s="3" t="s">
        <v>114</v>
      </c>
    </row>
    <row r="1154" spans="4:4" ht="17.649999999999999" x14ac:dyDescent="0.5">
      <c r="D1154" s="3" t="s">
        <v>54</v>
      </c>
    </row>
    <row r="1155" spans="4:4" ht="17.649999999999999" x14ac:dyDescent="0.5">
      <c r="D1155" s="3" t="s">
        <v>51</v>
      </c>
    </row>
    <row r="1156" spans="4:4" ht="17.649999999999999" x14ac:dyDescent="0.5">
      <c r="D1156" s="3" t="s">
        <v>46</v>
      </c>
    </row>
    <row r="1157" spans="4:4" ht="17.649999999999999" x14ac:dyDescent="0.5">
      <c r="D1157" s="3" t="s">
        <v>52</v>
      </c>
    </row>
    <row r="1158" spans="4:4" ht="17.649999999999999" x14ac:dyDescent="0.5">
      <c r="D1158" s="3" t="s">
        <v>78</v>
      </c>
    </row>
    <row r="1159" spans="4:4" ht="17.649999999999999" x14ac:dyDescent="0.5">
      <c r="D1159" s="3" t="s">
        <v>84</v>
      </c>
    </row>
    <row r="1160" spans="4:4" ht="17.649999999999999" x14ac:dyDescent="0.5">
      <c r="D1160" s="3" t="s">
        <v>96</v>
      </c>
    </row>
    <row r="1161" spans="4:4" ht="17.649999999999999" x14ac:dyDescent="0.5">
      <c r="D1161" s="3" t="s">
        <v>52</v>
      </c>
    </row>
    <row r="1162" spans="4:4" ht="17.649999999999999" x14ac:dyDescent="0.5">
      <c r="D1162" s="3" t="s">
        <v>105</v>
      </c>
    </row>
    <row r="1163" spans="4:4" ht="17.649999999999999" x14ac:dyDescent="0.5">
      <c r="D1163" s="3" t="s">
        <v>69</v>
      </c>
    </row>
    <row r="1164" spans="4:4" ht="17.649999999999999" x14ac:dyDescent="0.5">
      <c r="D1164" s="3" t="s">
        <v>134</v>
      </c>
    </row>
    <row r="1165" spans="4:4" ht="17.649999999999999" x14ac:dyDescent="0.5">
      <c r="D1165" s="3" t="s">
        <v>91</v>
      </c>
    </row>
    <row r="1166" spans="4:4" ht="17.649999999999999" x14ac:dyDescent="0.5">
      <c r="D1166" s="3" t="s">
        <v>122</v>
      </c>
    </row>
    <row r="1167" spans="4:4" ht="17.649999999999999" x14ac:dyDescent="0.5">
      <c r="D1167" s="3" t="s">
        <v>75</v>
      </c>
    </row>
    <row r="1168" spans="4:4" ht="17.649999999999999" x14ac:dyDescent="0.5">
      <c r="D1168" s="3" t="s">
        <v>104</v>
      </c>
    </row>
    <row r="1169" spans="4:4" ht="17.649999999999999" x14ac:dyDescent="0.5">
      <c r="D1169" s="3" t="s">
        <v>60</v>
      </c>
    </row>
    <row r="1170" spans="4:4" ht="17.649999999999999" x14ac:dyDescent="0.5">
      <c r="D1170" s="3" t="s">
        <v>43</v>
      </c>
    </row>
    <row r="1171" spans="4:4" ht="17.649999999999999" x14ac:dyDescent="0.5">
      <c r="D1171" s="3" t="s">
        <v>61</v>
      </c>
    </row>
    <row r="1172" spans="4:4" ht="17.649999999999999" x14ac:dyDescent="0.5">
      <c r="D1172" s="3" t="s">
        <v>116</v>
      </c>
    </row>
    <row r="1173" spans="4:4" ht="17.649999999999999" x14ac:dyDescent="0.5">
      <c r="D1173" s="3" t="s">
        <v>51</v>
      </c>
    </row>
    <row r="1174" spans="4:4" ht="17.649999999999999" x14ac:dyDescent="0.5">
      <c r="D1174" s="3" t="s">
        <v>49</v>
      </c>
    </row>
    <row r="1175" spans="4:4" ht="17.649999999999999" x14ac:dyDescent="0.5">
      <c r="D1175" s="3" t="s">
        <v>65</v>
      </c>
    </row>
    <row r="1176" spans="4:4" ht="17.649999999999999" x14ac:dyDescent="0.5">
      <c r="D1176" s="3" t="s">
        <v>97</v>
      </c>
    </row>
    <row r="1177" spans="4:4" ht="17.649999999999999" x14ac:dyDescent="0.5">
      <c r="D1177" s="3" t="s">
        <v>59</v>
      </c>
    </row>
    <row r="1178" spans="4:4" ht="17.649999999999999" x14ac:dyDescent="0.5">
      <c r="D1178" s="3" t="s">
        <v>127</v>
      </c>
    </row>
    <row r="1179" spans="4:4" ht="17.649999999999999" x14ac:dyDescent="0.5">
      <c r="D1179" s="3" t="s">
        <v>60</v>
      </c>
    </row>
    <row r="1180" spans="4:4" ht="17.649999999999999" x14ac:dyDescent="0.5">
      <c r="D1180" s="3" t="s">
        <v>75</v>
      </c>
    </row>
    <row r="1181" spans="4:4" ht="17.649999999999999" x14ac:dyDescent="0.5">
      <c r="D1181" s="3" t="s">
        <v>117</v>
      </c>
    </row>
    <row r="1182" spans="4:4" ht="17.649999999999999" x14ac:dyDescent="0.5">
      <c r="D1182" s="3" t="s">
        <v>115</v>
      </c>
    </row>
    <row r="1183" spans="4:4" ht="17.649999999999999" x14ac:dyDescent="0.5">
      <c r="D1183" s="3" t="s">
        <v>65</v>
      </c>
    </row>
    <row r="1184" spans="4:4" ht="17.649999999999999" x14ac:dyDescent="0.5">
      <c r="D1184" s="3" t="s">
        <v>126</v>
      </c>
    </row>
    <row r="1185" spans="4:4" ht="17.649999999999999" x14ac:dyDescent="0.5">
      <c r="D1185" s="3" t="s">
        <v>81</v>
      </c>
    </row>
    <row r="1186" spans="4:4" ht="17.649999999999999" x14ac:dyDescent="0.5">
      <c r="D1186" s="3" t="s">
        <v>63</v>
      </c>
    </row>
    <row r="1187" spans="4:4" ht="17.649999999999999" x14ac:dyDescent="0.5">
      <c r="D1187" s="3" t="s">
        <v>75</v>
      </c>
    </row>
    <row r="1188" spans="4:4" ht="17.649999999999999" x14ac:dyDescent="0.5">
      <c r="D1188" s="3" t="s">
        <v>61</v>
      </c>
    </row>
    <row r="1189" spans="4:4" ht="17.649999999999999" x14ac:dyDescent="0.5">
      <c r="D1189" s="3" t="s">
        <v>99</v>
      </c>
    </row>
    <row r="1190" spans="4:4" ht="17.649999999999999" x14ac:dyDescent="0.5">
      <c r="D1190" s="3" t="s">
        <v>94</v>
      </c>
    </row>
    <row r="1191" spans="4:4" ht="17.649999999999999" x14ac:dyDescent="0.5">
      <c r="D1191" s="3" t="s">
        <v>51</v>
      </c>
    </row>
    <row r="1192" spans="4:4" ht="17.649999999999999" x14ac:dyDescent="0.5">
      <c r="D1192" s="3" t="s">
        <v>120</v>
      </c>
    </row>
    <row r="1193" spans="4:4" ht="17.649999999999999" x14ac:dyDescent="0.5">
      <c r="D1193" s="3" t="s">
        <v>85</v>
      </c>
    </row>
    <row r="1194" spans="4:4" ht="17.649999999999999" x14ac:dyDescent="0.5">
      <c r="D1194" s="3" t="s">
        <v>67</v>
      </c>
    </row>
    <row r="1195" spans="4:4" ht="17.649999999999999" x14ac:dyDescent="0.5">
      <c r="D1195" s="3" t="s">
        <v>47</v>
      </c>
    </row>
    <row r="1196" spans="4:4" ht="17.649999999999999" x14ac:dyDescent="0.5">
      <c r="D1196" s="3" t="s">
        <v>112</v>
      </c>
    </row>
    <row r="1197" spans="4:4" ht="17.649999999999999" x14ac:dyDescent="0.5">
      <c r="D1197" s="3" t="s">
        <v>68</v>
      </c>
    </row>
    <row r="1198" spans="4:4" ht="17.649999999999999" x14ac:dyDescent="0.5">
      <c r="D1198" s="3" t="s">
        <v>75</v>
      </c>
    </row>
    <row r="1199" spans="4:4" ht="17.649999999999999" x14ac:dyDescent="0.5">
      <c r="D1199" s="3" t="s">
        <v>43</v>
      </c>
    </row>
    <row r="1200" spans="4:4" ht="17.649999999999999" x14ac:dyDescent="0.5">
      <c r="D1200" s="3" t="s">
        <v>51</v>
      </c>
    </row>
    <row r="1201" spans="4:4" ht="17.649999999999999" x14ac:dyDescent="0.5">
      <c r="D1201" s="3" t="s">
        <v>75</v>
      </c>
    </row>
    <row r="1202" spans="4:4" ht="17.649999999999999" x14ac:dyDescent="0.5">
      <c r="D1202" s="3" t="s">
        <v>80</v>
      </c>
    </row>
    <row r="1203" spans="4:4" ht="17.649999999999999" x14ac:dyDescent="0.5">
      <c r="D1203" s="3" t="s">
        <v>55</v>
      </c>
    </row>
    <row r="1204" spans="4:4" ht="17.649999999999999" x14ac:dyDescent="0.5">
      <c r="D1204" s="3" t="s">
        <v>65</v>
      </c>
    </row>
    <row r="1205" spans="4:4" ht="17.649999999999999" x14ac:dyDescent="0.5">
      <c r="D1205" s="3" t="s">
        <v>115</v>
      </c>
    </row>
    <row r="1206" spans="4:4" ht="17.649999999999999" x14ac:dyDescent="0.5">
      <c r="D1206" s="3" t="s">
        <v>118</v>
      </c>
    </row>
    <row r="1207" spans="4:4" ht="17.649999999999999" x14ac:dyDescent="0.5">
      <c r="D1207" s="3" t="s">
        <v>75</v>
      </c>
    </row>
    <row r="1208" spans="4:4" ht="17.649999999999999" x14ac:dyDescent="0.5">
      <c r="D1208" s="3" t="s">
        <v>90</v>
      </c>
    </row>
    <row r="1209" spans="4:4" ht="17.649999999999999" x14ac:dyDescent="0.5">
      <c r="D1209" s="3" t="s">
        <v>64</v>
      </c>
    </row>
    <row r="1210" spans="4:4" ht="17.649999999999999" x14ac:dyDescent="0.5">
      <c r="D1210" s="3" t="s">
        <v>57</v>
      </c>
    </row>
    <row r="1211" spans="4:4" ht="17.649999999999999" x14ac:dyDescent="0.5">
      <c r="D1211" s="3" t="s">
        <v>101</v>
      </c>
    </row>
    <row r="1212" spans="4:4" ht="17.649999999999999" x14ac:dyDescent="0.5">
      <c r="D1212" s="3" t="s">
        <v>74</v>
      </c>
    </row>
    <row r="1213" spans="4:4" ht="17.649999999999999" x14ac:dyDescent="0.5">
      <c r="D1213" s="3" t="s">
        <v>68</v>
      </c>
    </row>
    <row r="1214" spans="4:4" ht="17.649999999999999" x14ac:dyDescent="0.5">
      <c r="D1214" s="3" t="s">
        <v>65</v>
      </c>
    </row>
    <row r="1215" spans="4:4" ht="17.649999999999999" x14ac:dyDescent="0.5">
      <c r="D1215" s="3" t="s">
        <v>126</v>
      </c>
    </row>
    <row r="1216" spans="4:4" ht="17.649999999999999" x14ac:dyDescent="0.5">
      <c r="D1216" s="3" t="s">
        <v>80</v>
      </c>
    </row>
    <row r="1217" spans="4:4" ht="17.649999999999999" x14ac:dyDescent="0.5">
      <c r="D1217" s="3" t="s">
        <v>75</v>
      </c>
    </row>
    <row r="1218" spans="4:4" ht="17.649999999999999" x14ac:dyDescent="0.5">
      <c r="D1218" s="3" t="s">
        <v>83</v>
      </c>
    </row>
    <row r="1219" spans="4:4" ht="17.649999999999999" x14ac:dyDescent="0.5">
      <c r="D1219" s="3" t="s">
        <v>64</v>
      </c>
    </row>
    <row r="1220" spans="4:4" ht="17.649999999999999" x14ac:dyDescent="0.5">
      <c r="D1220" s="3" t="s">
        <v>41</v>
      </c>
    </row>
    <row r="1221" spans="4:4" ht="17.649999999999999" x14ac:dyDescent="0.5">
      <c r="D1221" s="3" t="s">
        <v>61</v>
      </c>
    </row>
    <row r="1222" spans="4:4" ht="17.649999999999999" x14ac:dyDescent="0.5">
      <c r="D1222" s="3" t="s">
        <v>97</v>
      </c>
    </row>
    <row r="1223" spans="4:4" ht="17.649999999999999" x14ac:dyDescent="0.5">
      <c r="D1223" s="3" t="s">
        <v>96</v>
      </c>
    </row>
    <row r="1224" spans="4:4" ht="17.649999999999999" x14ac:dyDescent="0.5">
      <c r="D1224" s="3" t="s">
        <v>51</v>
      </c>
    </row>
    <row r="1225" spans="4:4" ht="17.649999999999999" x14ac:dyDescent="0.5">
      <c r="D1225" s="3" t="s">
        <v>86</v>
      </c>
    </row>
    <row r="1226" spans="4:4" ht="17.649999999999999" x14ac:dyDescent="0.5">
      <c r="D1226" s="3" t="s">
        <v>131</v>
      </c>
    </row>
    <row r="1227" spans="4:4" ht="17.649999999999999" x14ac:dyDescent="0.5">
      <c r="D1227" s="3" t="s">
        <v>89</v>
      </c>
    </row>
    <row r="1228" spans="4:4" ht="17.649999999999999" x14ac:dyDescent="0.5">
      <c r="D1228" s="3" t="s">
        <v>82</v>
      </c>
    </row>
    <row r="1229" spans="4:4" ht="17.649999999999999" x14ac:dyDescent="0.5">
      <c r="D1229" s="3" t="s">
        <v>98</v>
      </c>
    </row>
    <row r="1230" spans="4:4" ht="17.649999999999999" x14ac:dyDescent="0.5">
      <c r="D1230" s="3" t="s">
        <v>52</v>
      </c>
    </row>
    <row r="1231" spans="4:4" ht="17.649999999999999" x14ac:dyDescent="0.5">
      <c r="D1231" s="3" t="s">
        <v>73</v>
      </c>
    </row>
    <row r="1232" spans="4:4" ht="17.649999999999999" x14ac:dyDescent="0.5">
      <c r="D1232" s="3" t="s">
        <v>57</v>
      </c>
    </row>
    <row r="1233" spans="4:4" ht="17.649999999999999" x14ac:dyDescent="0.5">
      <c r="D1233" s="3" t="s">
        <v>53</v>
      </c>
    </row>
    <row r="1234" spans="4:4" ht="17.649999999999999" x14ac:dyDescent="0.5">
      <c r="D1234" s="3" t="s">
        <v>47</v>
      </c>
    </row>
    <row r="1235" spans="4:4" ht="17.649999999999999" x14ac:dyDescent="0.5">
      <c r="D1235" s="3" t="s">
        <v>81</v>
      </c>
    </row>
    <row r="1236" spans="4:4" ht="17.649999999999999" x14ac:dyDescent="0.5">
      <c r="D1236" s="3" t="s">
        <v>53</v>
      </c>
    </row>
    <row r="1237" spans="4:4" ht="17.649999999999999" x14ac:dyDescent="0.5">
      <c r="D1237" s="3" t="s">
        <v>92</v>
      </c>
    </row>
    <row r="1238" spans="4:4" ht="17.649999999999999" x14ac:dyDescent="0.5">
      <c r="D1238" s="3" t="s">
        <v>50</v>
      </c>
    </row>
    <row r="1239" spans="4:4" ht="17.649999999999999" x14ac:dyDescent="0.5">
      <c r="D1239" s="3" t="s">
        <v>125</v>
      </c>
    </row>
    <row r="1240" spans="4:4" ht="17.649999999999999" x14ac:dyDescent="0.5">
      <c r="D1240" s="3" t="s">
        <v>100</v>
      </c>
    </row>
    <row r="1241" spans="4:4" ht="17.649999999999999" x14ac:dyDescent="0.5">
      <c r="D1241" s="3" t="s">
        <v>94</v>
      </c>
    </row>
    <row r="1242" spans="4:4" ht="17.649999999999999" x14ac:dyDescent="0.5">
      <c r="D1242" s="3" t="s">
        <v>111</v>
      </c>
    </row>
    <row r="1243" spans="4:4" ht="17.649999999999999" x14ac:dyDescent="0.5">
      <c r="D1243" s="3" t="s">
        <v>120</v>
      </c>
    </row>
    <row r="1244" spans="4:4" ht="17.649999999999999" x14ac:dyDescent="0.5">
      <c r="D1244" s="3" t="s">
        <v>118</v>
      </c>
    </row>
    <row r="1245" spans="4:4" ht="17.649999999999999" x14ac:dyDescent="0.5">
      <c r="D1245" s="3" t="s">
        <v>47</v>
      </c>
    </row>
    <row r="1246" spans="4:4" ht="17.649999999999999" x14ac:dyDescent="0.5">
      <c r="D1246" s="3" t="s">
        <v>110</v>
      </c>
    </row>
    <row r="1247" spans="4:4" ht="17.649999999999999" x14ac:dyDescent="0.5">
      <c r="D1247" s="3" t="s">
        <v>101</v>
      </c>
    </row>
    <row r="1248" spans="4:4" ht="17.649999999999999" x14ac:dyDescent="0.5">
      <c r="D1248" s="3" t="s">
        <v>46</v>
      </c>
    </row>
    <row r="1249" spans="4:4" ht="17.649999999999999" x14ac:dyDescent="0.5">
      <c r="D1249" s="3" t="s">
        <v>42</v>
      </c>
    </row>
    <row r="1250" spans="4:4" ht="17.649999999999999" x14ac:dyDescent="0.5">
      <c r="D1250" s="3" t="s">
        <v>84</v>
      </c>
    </row>
    <row r="1251" spans="4:4" ht="17.649999999999999" x14ac:dyDescent="0.5">
      <c r="D1251" s="3" t="s">
        <v>57</v>
      </c>
    </row>
    <row r="1252" spans="4:4" ht="17.649999999999999" x14ac:dyDescent="0.5">
      <c r="D1252" s="3" t="s">
        <v>58</v>
      </c>
    </row>
    <row r="1253" spans="4:4" ht="17.649999999999999" x14ac:dyDescent="0.5">
      <c r="D1253" s="3" t="s">
        <v>74</v>
      </c>
    </row>
    <row r="1254" spans="4:4" ht="17.649999999999999" x14ac:dyDescent="0.5">
      <c r="D1254" s="3" t="s">
        <v>100</v>
      </c>
    </row>
    <row r="1255" spans="4:4" ht="17.649999999999999" x14ac:dyDescent="0.5">
      <c r="D1255" s="3" t="s">
        <v>94</v>
      </c>
    </row>
    <row r="1256" spans="4:4" ht="17.649999999999999" x14ac:dyDescent="0.5">
      <c r="D1256" s="3" t="s">
        <v>96</v>
      </c>
    </row>
    <row r="1257" spans="4:4" ht="17.649999999999999" x14ac:dyDescent="0.5">
      <c r="D1257" s="3" t="s">
        <v>52</v>
      </c>
    </row>
    <row r="1258" spans="4:4" ht="17.649999999999999" x14ac:dyDescent="0.5">
      <c r="D1258" s="3" t="s">
        <v>92</v>
      </c>
    </row>
    <row r="1259" spans="4:4" ht="17.649999999999999" x14ac:dyDescent="0.5">
      <c r="D1259" s="3" t="s">
        <v>78</v>
      </c>
    </row>
    <row r="1260" spans="4:4" ht="17.649999999999999" x14ac:dyDescent="0.5">
      <c r="D1260" s="3" t="s">
        <v>89</v>
      </c>
    </row>
    <row r="1261" spans="4:4" ht="17.649999999999999" x14ac:dyDescent="0.5">
      <c r="D1261" s="3" t="s">
        <v>118</v>
      </c>
    </row>
    <row r="1262" spans="4:4" ht="17.649999999999999" x14ac:dyDescent="0.5">
      <c r="D1262" s="3" t="s">
        <v>119</v>
      </c>
    </row>
    <row r="1263" spans="4:4" ht="17.649999999999999" x14ac:dyDescent="0.5">
      <c r="D1263" s="3" t="s">
        <v>46</v>
      </c>
    </row>
    <row r="1264" spans="4:4" ht="17.649999999999999" x14ac:dyDescent="0.5">
      <c r="D1264" s="3" t="s">
        <v>74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132</v>
      </c>
    </row>
    <row r="1267" spans="4:4" ht="17.649999999999999" x14ac:dyDescent="0.5">
      <c r="D1267" s="3" t="s">
        <v>108</v>
      </c>
    </row>
    <row r="1268" spans="4:4" ht="17.649999999999999" x14ac:dyDescent="0.5">
      <c r="D1268" s="3" t="s">
        <v>115</v>
      </c>
    </row>
    <row r="1269" spans="4:4" ht="17.649999999999999" x14ac:dyDescent="0.5">
      <c r="D1269" s="3" t="s">
        <v>85</v>
      </c>
    </row>
    <row r="1270" spans="4:4" ht="17.649999999999999" x14ac:dyDescent="0.5">
      <c r="D1270" s="3" t="s">
        <v>83</v>
      </c>
    </row>
    <row r="1271" spans="4:4" ht="17.649999999999999" x14ac:dyDescent="0.5">
      <c r="D1271" s="3" t="s">
        <v>41</v>
      </c>
    </row>
    <row r="1272" spans="4:4" ht="17.649999999999999" x14ac:dyDescent="0.5">
      <c r="D1272" s="3" t="s">
        <v>49</v>
      </c>
    </row>
    <row r="1273" spans="4:4" ht="17.649999999999999" x14ac:dyDescent="0.5">
      <c r="D1273" s="3" t="s">
        <v>125</v>
      </c>
    </row>
    <row r="1274" spans="4:4" ht="17.649999999999999" x14ac:dyDescent="0.5">
      <c r="D1274" s="3" t="s">
        <v>94</v>
      </c>
    </row>
    <row r="1275" spans="4:4" ht="17.649999999999999" x14ac:dyDescent="0.5">
      <c r="D1275" s="3" t="s">
        <v>85</v>
      </c>
    </row>
    <row r="1276" spans="4:4" ht="17.649999999999999" x14ac:dyDescent="0.5">
      <c r="D1276" s="3" t="s">
        <v>91</v>
      </c>
    </row>
    <row r="1277" spans="4:4" ht="17.649999999999999" x14ac:dyDescent="0.5">
      <c r="D1277" s="3" t="s">
        <v>50</v>
      </c>
    </row>
    <row r="1278" spans="4:4" ht="17.649999999999999" x14ac:dyDescent="0.5">
      <c r="D1278" s="3" t="s">
        <v>65</v>
      </c>
    </row>
    <row r="1279" spans="4:4" ht="17.649999999999999" x14ac:dyDescent="0.5">
      <c r="D1279" s="3" t="s">
        <v>66</v>
      </c>
    </row>
    <row r="1280" spans="4:4" ht="17.649999999999999" x14ac:dyDescent="0.5">
      <c r="D1280" s="3" t="s">
        <v>73</v>
      </c>
    </row>
    <row r="1281" spans="4:4" ht="17.649999999999999" x14ac:dyDescent="0.5">
      <c r="D1281" s="3" t="s">
        <v>129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104</v>
      </c>
    </row>
    <row r="1284" spans="4:4" ht="17.649999999999999" x14ac:dyDescent="0.5">
      <c r="D1284" s="3" t="s">
        <v>49</v>
      </c>
    </row>
    <row r="1285" spans="4:4" ht="17.649999999999999" x14ac:dyDescent="0.5">
      <c r="D1285" s="3" t="s">
        <v>83</v>
      </c>
    </row>
    <row r="1286" spans="4:4" ht="17.649999999999999" x14ac:dyDescent="0.5">
      <c r="D1286" s="3" t="s">
        <v>64</v>
      </c>
    </row>
    <row r="1287" spans="4:4" ht="17.649999999999999" x14ac:dyDescent="0.5">
      <c r="D1287" s="3" t="s">
        <v>132</v>
      </c>
    </row>
    <row r="1288" spans="4:4" ht="17.649999999999999" x14ac:dyDescent="0.5">
      <c r="D1288" s="3" t="s">
        <v>94</v>
      </c>
    </row>
    <row r="1289" spans="4:4" ht="17.649999999999999" x14ac:dyDescent="0.5">
      <c r="D1289" s="3" t="s">
        <v>103</v>
      </c>
    </row>
    <row r="1290" spans="4:4" ht="17.649999999999999" x14ac:dyDescent="0.5">
      <c r="D1290" s="3" t="s">
        <v>134</v>
      </c>
    </row>
    <row r="1291" spans="4:4" ht="17.649999999999999" x14ac:dyDescent="0.5">
      <c r="D1291" s="3" t="s">
        <v>111</v>
      </c>
    </row>
    <row r="1292" spans="4:4" ht="17.649999999999999" x14ac:dyDescent="0.5">
      <c r="D1292" s="3" t="s">
        <v>136</v>
      </c>
    </row>
    <row r="1293" spans="4:4" ht="17.649999999999999" x14ac:dyDescent="0.5">
      <c r="D1293" s="3" t="s">
        <v>134</v>
      </c>
    </row>
    <row r="1294" spans="4:4" ht="17.649999999999999" x14ac:dyDescent="0.5">
      <c r="D1294" s="3" t="s">
        <v>50</v>
      </c>
    </row>
    <row r="1295" spans="4:4" ht="17.649999999999999" x14ac:dyDescent="0.5">
      <c r="D1295" s="3" t="s">
        <v>123</v>
      </c>
    </row>
    <row r="1296" spans="4:4" ht="17.649999999999999" x14ac:dyDescent="0.5">
      <c r="D1296" s="3" t="s">
        <v>51</v>
      </c>
    </row>
    <row r="1297" spans="4:4" ht="17.649999999999999" x14ac:dyDescent="0.5">
      <c r="D1297" s="3" t="s">
        <v>47</v>
      </c>
    </row>
    <row r="1298" spans="4:4" ht="17.649999999999999" x14ac:dyDescent="0.5">
      <c r="D1298" s="3" t="s">
        <v>56</v>
      </c>
    </row>
    <row r="1299" spans="4:4" ht="17.649999999999999" x14ac:dyDescent="0.5">
      <c r="D1299" s="3" t="s">
        <v>81</v>
      </c>
    </row>
    <row r="1300" spans="4:4" ht="17.649999999999999" x14ac:dyDescent="0.5">
      <c r="D1300" s="3" t="s">
        <v>48</v>
      </c>
    </row>
    <row r="1301" spans="4:4" ht="17.649999999999999" x14ac:dyDescent="0.5">
      <c r="D1301" s="3" t="s">
        <v>116</v>
      </c>
    </row>
    <row r="1302" spans="4:4" ht="17.649999999999999" x14ac:dyDescent="0.5">
      <c r="D1302" s="3" t="s">
        <v>83</v>
      </c>
    </row>
    <row r="1303" spans="4:4" ht="17.649999999999999" x14ac:dyDescent="0.5">
      <c r="D1303" s="3" t="s">
        <v>43</v>
      </c>
    </row>
    <row r="1304" spans="4:4" ht="17.649999999999999" x14ac:dyDescent="0.5">
      <c r="D1304" s="3" t="s">
        <v>55</v>
      </c>
    </row>
    <row r="1305" spans="4:4" ht="17.649999999999999" x14ac:dyDescent="0.5">
      <c r="D1305" s="3" t="s">
        <v>71</v>
      </c>
    </row>
    <row r="1306" spans="4:4" ht="17.649999999999999" x14ac:dyDescent="0.5">
      <c r="D1306" s="3" t="s">
        <v>94</v>
      </c>
    </row>
    <row r="1307" spans="4:4" ht="17.649999999999999" x14ac:dyDescent="0.5">
      <c r="D1307" s="3" t="s">
        <v>120</v>
      </c>
    </row>
    <row r="1308" spans="4:4" ht="17.649999999999999" x14ac:dyDescent="0.5">
      <c r="D1308" s="3" t="s">
        <v>112</v>
      </c>
    </row>
    <row r="1309" spans="4:4" ht="17.649999999999999" x14ac:dyDescent="0.5">
      <c r="D1309" s="3" t="s">
        <v>43</v>
      </c>
    </row>
    <row r="1310" spans="4:4" ht="17.649999999999999" x14ac:dyDescent="0.5">
      <c r="D1310" s="3" t="s">
        <v>96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69</v>
      </c>
    </row>
    <row r="1313" spans="4:4" ht="17.649999999999999" x14ac:dyDescent="0.5">
      <c r="D1313" s="3" t="s">
        <v>52</v>
      </c>
    </row>
    <row r="1314" spans="4:4" ht="17.649999999999999" x14ac:dyDescent="0.5">
      <c r="D1314" s="3" t="s">
        <v>61</v>
      </c>
    </row>
    <row r="1315" spans="4:4" ht="17.649999999999999" x14ac:dyDescent="0.5">
      <c r="D1315" s="3" t="s">
        <v>116</v>
      </c>
    </row>
    <row r="1316" spans="4:4" ht="17.649999999999999" x14ac:dyDescent="0.5">
      <c r="D1316" s="3" t="s">
        <v>66</v>
      </c>
    </row>
    <row r="1317" spans="4:4" ht="17.649999999999999" x14ac:dyDescent="0.5">
      <c r="D1317" s="3" t="s">
        <v>78</v>
      </c>
    </row>
    <row r="1318" spans="4:4" ht="17.649999999999999" x14ac:dyDescent="0.5">
      <c r="D1318" s="3" t="s">
        <v>83</v>
      </c>
    </row>
    <row r="1319" spans="4:4" ht="17.649999999999999" x14ac:dyDescent="0.5">
      <c r="D1319" s="3" t="s">
        <v>94</v>
      </c>
    </row>
    <row r="1320" spans="4:4" ht="17.649999999999999" x14ac:dyDescent="0.5">
      <c r="D1320" s="3" t="s">
        <v>91</v>
      </c>
    </row>
    <row r="1321" spans="4:4" ht="17.649999999999999" x14ac:dyDescent="0.5">
      <c r="D1321" s="3" t="s">
        <v>49</v>
      </c>
    </row>
    <row r="1322" spans="4:4" ht="17.649999999999999" x14ac:dyDescent="0.5">
      <c r="D1322" s="3" t="s">
        <v>119</v>
      </c>
    </row>
    <row r="1323" spans="4:4" ht="17.649999999999999" x14ac:dyDescent="0.5">
      <c r="D1323" s="3" t="s">
        <v>87</v>
      </c>
    </row>
    <row r="1324" spans="4:4" ht="17.649999999999999" x14ac:dyDescent="0.5">
      <c r="D1324" s="3" t="s">
        <v>98</v>
      </c>
    </row>
    <row r="1325" spans="4:4" ht="17.649999999999999" x14ac:dyDescent="0.5">
      <c r="D1325" s="3" t="s">
        <v>50</v>
      </c>
    </row>
    <row r="1326" spans="4:4" ht="17.649999999999999" x14ac:dyDescent="0.5">
      <c r="D1326" s="3" t="s">
        <v>135</v>
      </c>
    </row>
    <row r="1327" spans="4:4" ht="17.649999999999999" x14ac:dyDescent="0.5">
      <c r="D1327" s="3" t="s">
        <v>134</v>
      </c>
    </row>
    <row r="1328" spans="4:4" ht="17.649999999999999" x14ac:dyDescent="0.5">
      <c r="D1328" s="3" t="s">
        <v>103</v>
      </c>
    </row>
    <row r="1329" spans="4:4" ht="17.649999999999999" x14ac:dyDescent="0.5">
      <c r="D1329" s="3" t="s">
        <v>60</v>
      </c>
    </row>
    <row r="1330" spans="4:4" ht="17.649999999999999" x14ac:dyDescent="0.5">
      <c r="D1330" s="3" t="s">
        <v>126</v>
      </c>
    </row>
    <row r="1331" spans="4:4" ht="17.649999999999999" x14ac:dyDescent="0.5">
      <c r="D1331" s="3" t="s">
        <v>41</v>
      </c>
    </row>
    <row r="1332" spans="4:4" ht="17.649999999999999" x14ac:dyDescent="0.5">
      <c r="D1332" s="3" t="s">
        <v>47</v>
      </c>
    </row>
    <row r="1333" spans="4:4" ht="17.649999999999999" x14ac:dyDescent="0.5">
      <c r="D1333" s="3" t="s">
        <v>58</v>
      </c>
    </row>
    <row r="1334" spans="4:4" ht="17.649999999999999" x14ac:dyDescent="0.5">
      <c r="D1334" s="3" t="s">
        <v>86</v>
      </c>
    </row>
    <row r="1335" spans="4:4" ht="17.649999999999999" x14ac:dyDescent="0.5">
      <c r="D1335" s="3" t="s">
        <v>46</v>
      </c>
    </row>
    <row r="1336" spans="4:4" ht="17.649999999999999" x14ac:dyDescent="0.5">
      <c r="D1336" s="3" t="s">
        <v>47</v>
      </c>
    </row>
    <row r="1337" spans="4:4" ht="17.649999999999999" x14ac:dyDescent="0.5">
      <c r="D1337" s="3" t="s">
        <v>111</v>
      </c>
    </row>
    <row r="1338" spans="4:4" ht="17.649999999999999" x14ac:dyDescent="0.5">
      <c r="D1338" s="3" t="s">
        <v>57</v>
      </c>
    </row>
    <row r="1339" spans="4:4" ht="17.649999999999999" x14ac:dyDescent="0.5">
      <c r="D1339" s="3" t="s">
        <v>55</v>
      </c>
    </row>
    <row r="1340" spans="4:4" ht="17.649999999999999" x14ac:dyDescent="0.5">
      <c r="D1340" s="3" t="s">
        <v>77</v>
      </c>
    </row>
    <row r="1341" spans="4:4" ht="17.649999999999999" x14ac:dyDescent="0.5">
      <c r="D1341" s="3" t="s">
        <v>78</v>
      </c>
    </row>
    <row r="1342" spans="4:4" ht="17.649999999999999" x14ac:dyDescent="0.5">
      <c r="D1342" s="3" t="s">
        <v>115</v>
      </c>
    </row>
    <row r="1343" spans="4:4" ht="17.649999999999999" x14ac:dyDescent="0.5">
      <c r="D1343" s="3" t="s">
        <v>74</v>
      </c>
    </row>
    <row r="1344" spans="4:4" ht="17.649999999999999" x14ac:dyDescent="0.5">
      <c r="D1344" s="3" t="s">
        <v>43</v>
      </c>
    </row>
    <row r="1345" spans="4:4" ht="17.649999999999999" x14ac:dyDescent="0.5">
      <c r="D1345" s="3" t="s">
        <v>86</v>
      </c>
    </row>
    <row r="1346" spans="4:4" ht="17.649999999999999" x14ac:dyDescent="0.5">
      <c r="D1346" s="3" t="s">
        <v>98</v>
      </c>
    </row>
    <row r="1347" spans="4:4" ht="17.649999999999999" x14ac:dyDescent="0.5">
      <c r="D1347" s="3" t="s">
        <v>76</v>
      </c>
    </row>
    <row r="1348" spans="4:4" ht="17.649999999999999" x14ac:dyDescent="0.5">
      <c r="D1348" s="3" t="s">
        <v>55</v>
      </c>
    </row>
    <row r="1349" spans="4:4" ht="17.649999999999999" x14ac:dyDescent="0.5">
      <c r="D1349" s="3" t="s">
        <v>77</v>
      </c>
    </row>
    <row r="1350" spans="4:4" ht="17.649999999999999" x14ac:dyDescent="0.5">
      <c r="D1350" s="3" t="s">
        <v>84</v>
      </c>
    </row>
    <row r="1351" spans="4:4" ht="17.649999999999999" x14ac:dyDescent="0.5">
      <c r="D1351" s="3" t="s">
        <v>78</v>
      </c>
    </row>
    <row r="1352" spans="4:4" ht="17.649999999999999" x14ac:dyDescent="0.5">
      <c r="D1352" s="3" t="s">
        <v>65</v>
      </c>
    </row>
    <row r="1353" spans="4:4" ht="17.649999999999999" x14ac:dyDescent="0.5">
      <c r="D1353" s="3" t="s">
        <v>94</v>
      </c>
    </row>
    <row r="1354" spans="4:4" ht="17.649999999999999" x14ac:dyDescent="0.5">
      <c r="D1354" s="3" t="s">
        <v>85</v>
      </c>
    </row>
    <row r="1355" spans="4:4" ht="17.649999999999999" x14ac:dyDescent="0.5">
      <c r="D1355" s="3" t="s">
        <v>41</v>
      </c>
    </row>
    <row r="1356" spans="4:4" ht="17.649999999999999" x14ac:dyDescent="0.5">
      <c r="D1356" s="3" t="s">
        <v>47</v>
      </c>
    </row>
    <row r="1357" spans="4:4" ht="17.649999999999999" x14ac:dyDescent="0.5">
      <c r="D1357" s="3" t="s">
        <v>59</v>
      </c>
    </row>
    <row r="1358" spans="4:4" ht="17.649999999999999" x14ac:dyDescent="0.5">
      <c r="D1358" s="3" t="s">
        <v>123</v>
      </c>
    </row>
    <row r="1359" spans="4:4" ht="17.649999999999999" x14ac:dyDescent="0.5">
      <c r="D1359" s="3" t="s">
        <v>78</v>
      </c>
    </row>
    <row r="1360" spans="4:4" ht="17.649999999999999" x14ac:dyDescent="0.5">
      <c r="D1360" s="3" t="s">
        <v>115</v>
      </c>
    </row>
    <row r="1361" spans="4:4" ht="17.649999999999999" x14ac:dyDescent="0.5">
      <c r="D1361" s="3" t="s">
        <v>125</v>
      </c>
    </row>
    <row r="1362" spans="4:4" ht="17.649999999999999" x14ac:dyDescent="0.5">
      <c r="D1362" s="3" t="s">
        <v>53</v>
      </c>
    </row>
    <row r="1363" spans="4:4" ht="17.649999999999999" x14ac:dyDescent="0.5">
      <c r="D1363" s="3" t="s">
        <v>112</v>
      </c>
    </row>
    <row r="1364" spans="4:4" ht="17.649999999999999" x14ac:dyDescent="0.5">
      <c r="D1364" s="3" t="s">
        <v>66</v>
      </c>
    </row>
    <row r="1365" spans="4:4" ht="17.649999999999999" x14ac:dyDescent="0.5">
      <c r="D1365" s="3" t="s">
        <v>45</v>
      </c>
    </row>
    <row r="1366" spans="4:4" ht="17.649999999999999" x14ac:dyDescent="0.5">
      <c r="D1366" s="3" t="s">
        <v>68</v>
      </c>
    </row>
    <row r="1367" spans="4:4" ht="17.649999999999999" x14ac:dyDescent="0.5">
      <c r="D1367" s="3" t="s">
        <v>99</v>
      </c>
    </row>
    <row r="1368" spans="4:4" ht="17.649999999999999" x14ac:dyDescent="0.5">
      <c r="D1368" s="3" t="s">
        <v>56</v>
      </c>
    </row>
    <row r="1369" spans="4:4" ht="17.649999999999999" x14ac:dyDescent="0.5">
      <c r="D1369" s="3" t="s">
        <v>102</v>
      </c>
    </row>
    <row r="1370" spans="4:4" ht="17.649999999999999" x14ac:dyDescent="0.5">
      <c r="D1370" s="3" t="s">
        <v>43</v>
      </c>
    </row>
    <row r="1371" spans="4:4" ht="17.649999999999999" x14ac:dyDescent="0.5">
      <c r="D1371" s="3" t="s">
        <v>100</v>
      </c>
    </row>
    <row r="1372" spans="4:4" ht="17.649999999999999" x14ac:dyDescent="0.5">
      <c r="D1372" s="3" t="s">
        <v>90</v>
      </c>
    </row>
    <row r="1373" spans="4:4" ht="17.649999999999999" x14ac:dyDescent="0.5">
      <c r="D1373" s="3" t="s">
        <v>43</v>
      </c>
    </row>
    <row r="1374" spans="4:4" ht="17.649999999999999" x14ac:dyDescent="0.5">
      <c r="D1374" s="3" t="s">
        <v>53</v>
      </c>
    </row>
    <row r="1375" spans="4:4" ht="17.649999999999999" x14ac:dyDescent="0.5">
      <c r="D1375" s="3" t="s">
        <v>41</v>
      </c>
    </row>
    <row r="1376" spans="4:4" ht="17.649999999999999" x14ac:dyDescent="0.5">
      <c r="D1376" s="3" t="s">
        <v>105</v>
      </c>
    </row>
    <row r="1377" spans="4:4" ht="17.649999999999999" x14ac:dyDescent="0.5">
      <c r="D1377" s="3" t="s">
        <v>50</v>
      </c>
    </row>
    <row r="1378" spans="4:4" ht="17.649999999999999" x14ac:dyDescent="0.5">
      <c r="D1378" s="3" t="s">
        <v>74</v>
      </c>
    </row>
    <row r="1379" spans="4:4" ht="17.649999999999999" x14ac:dyDescent="0.5">
      <c r="D1379" s="3" t="s">
        <v>57</v>
      </c>
    </row>
    <row r="1380" spans="4:4" ht="17.649999999999999" x14ac:dyDescent="0.5">
      <c r="D1380" s="3" t="s">
        <v>78</v>
      </c>
    </row>
    <row r="1381" spans="4:4" ht="17.649999999999999" x14ac:dyDescent="0.5">
      <c r="D1381" s="3" t="s">
        <v>99</v>
      </c>
    </row>
    <row r="1382" spans="4:4" ht="17.649999999999999" x14ac:dyDescent="0.5">
      <c r="D1382" s="3" t="s">
        <v>125</v>
      </c>
    </row>
    <row r="1383" spans="4:4" ht="17.649999999999999" x14ac:dyDescent="0.5">
      <c r="D1383" s="3" t="s">
        <v>55</v>
      </c>
    </row>
    <row r="1384" spans="4:4" ht="17.649999999999999" x14ac:dyDescent="0.5">
      <c r="D1384" s="3" t="s">
        <v>116</v>
      </c>
    </row>
    <row r="1385" spans="4:4" ht="17.649999999999999" x14ac:dyDescent="0.5">
      <c r="D1385" s="3" t="s">
        <v>49</v>
      </c>
    </row>
    <row r="1386" spans="4:4" ht="17.649999999999999" x14ac:dyDescent="0.5">
      <c r="D1386" s="3" t="s">
        <v>82</v>
      </c>
    </row>
    <row r="1387" spans="4:4" ht="17.649999999999999" x14ac:dyDescent="0.5">
      <c r="D1387" s="3" t="s">
        <v>46</v>
      </c>
    </row>
    <row r="1388" spans="4:4" ht="17.649999999999999" x14ac:dyDescent="0.5">
      <c r="D1388" s="3" t="s">
        <v>133</v>
      </c>
    </row>
    <row r="1389" spans="4:4" ht="17.649999999999999" x14ac:dyDescent="0.5">
      <c r="D1389" s="3" t="s">
        <v>115</v>
      </c>
    </row>
    <row r="1390" spans="4:4" ht="17.649999999999999" x14ac:dyDescent="0.5">
      <c r="D1390" s="3" t="s">
        <v>133</v>
      </c>
    </row>
    <row r="1391" spans="4:4" ht="17.649999999999999" x14ac:dyDescent="0.5">
      <c r="D1391" s="3" t="s">
        <v>75</v>
      </c>
    </row>
    <row r="1392" spans="4:4" ht="17.649999999999999" x14ac:dyDescent="0.5">
      <c r="D1392" s="3" t="s">
        <v>55</v>
      </c>
    </row>
    <row r="1393" spans="4:4" ht="17.649999999999999" x14ac:dyDescent="0.5">
      <c r="D1393" s="3" t="s">
        <v>125</v>
      </c>
    </row>
    <row r="1394" spans="4:4" ht="17.649999999999999" x14ac:dyDescent="0.5">
      <c r="D1394" s="3" t="s">
        <v>84</v>
      </c>
    </row>
    <row r="1395" spans="4:4" ht="17.649999999999999" x14ac:dyDescent="0.5">
      <c r="D1395" s="3" t="s">
        <v>58</v>
      </c>
    </row>
    <row r="1396" spans="4:4" ht="17.649999999999999" x14ac:dyDescent="0.5">
      <c r="D1396" s="3" t="s">
        <v>53</v>
      </c>
    </row>
    <row r="1397" spans="4:4" ht="17.649999999999999" x14ac:dyDescent="0.5">
      <c r="D1397" s="3" t="s">
        <v>111</v>
      </c>
    </row>
    <row r="1398" spans="4:4" ht="17.649999999999999" x14ac:dyDescent="0.5">
      <c r="D1398" s="3" t="s">
        <v>92</v>
      </c>
    </row>
    <row r="1399" spans="4:4" ht="17.649999999999999" x14ac:dyDescent="0.5">
      <c r="D1399" s="3" t="s">
        <v>50</v>
      </c>
    </row>
    <row r="1400" spans="4:4" ht="17.649999999999999" x14ac:dyDescent="0.5">
      <c r="D1400" s="3" t="s">
        <v>81</v>
      </c>
    </row>
    <row r="1401" spans="4:4" ht="17.649999999999999" x14ac:dyDescent="0.5">
      <c r="D1401" s="3" t="s">
        <v>77</v>
      </c>
    </row>
    <row r="1402" spans="4:4" ht="17.649999999999999" x14ac:dyDescent="0.5">
      <c r="D1402" s="3" t="s">
        <v>122</v>
      </c>
    </row>
    <row r="1403" spans="4:4" ht="17.649999999999999" x14ac:dyDescent="0.5">
      <c r="D1403" s="3" t="s">
        <v>131</v>
      </c>
    </row>
    <row r="1404" spans="4:4" ht="17.649999999999999" x14ac:dyDescent="0.5">
      <c r="D1404" s="3" t="s">
        <v>58</v>
      </c>
    </row>
    <row r="1405" spans="4:4" ht="17.649999999999999" x14ac:dyDescent="0.5">
      <c r="D1405" s="3" t="s">
        <v>71</v>
      </c>
    </row>
    <row r="1406" spans="4:4" ht="17.649999999999999" x14ac:dyDescent="0.5">
      <c r="D1406" s="3" t="s">
        <v>69</v>
      </c>
    </row>
    <row r="1407" spans="4:4" ht="17.649999999999999" x14ac:dyDescent="0.5">
      <c r="D1407" s="3" t="s">
        <v>90</v>
      </c>
    </row>
    <row r="1408" spans="4:4" ht="17.649999999999999" x14ac:dyDescent="0.5">
      <c r="D1408" s="3" t="s">
        <v>51</v>
      </c>
    </row>
    <row r="1409" spans="4:4" ht="17.649999999999999" x14ac:dyDescent="0.5">
      <c r="D1409" s="3" t="s">
        <v>49</v>
      </c>
    </row>
    <row r="1410" spans="4:4" ht="17.649999999999999" x14ac:dyDescent="0.5">
      <c r="D1410" s="3" t="s">
        <v>85</v>
      </c>
    </row>
    <row r="1411" spans="4:4" ht="17.649999999999999" x14ac:dyDescent="0.5">
      <c r="D1411" s="3" t="s">
        <v>67</v>
      </c>
    </row>
    <row r="1412" spans="4:4" ht="17.649999999999999" x14ac:dyDescent="0.5">
      <c r="D1412" s="3" t="s">
        <v>98</v>
      </c>
    </row>
    <row r="1413" spans="4:4" ht="17.649999999999999" x14ac:dyDescent="0.5">
      <c r="D1413" s="3" t="s">
        <v>76</v>
      </c>
    </row>
    <row r="1414" spans="4:4" ht="17.649999999999999" x14ac:dyDescent="0.5">
      <c r="D1414" s="3" t="s">
        <v>87</v>
      </c>
    </row>
    <row r="1415" spans="4:4" ht="17.649999999999999" x14ac:dyDescent="0.5">
      <c r="D1415" s="3" t="s">
        <v>112</v>
      </c>
    </row>
    <row r="1416" spans="4:4" ht="17.649999999999999" x14ac:dyDescent="0.5">
      <c r="D1416" s="3" t="s">
        <v>85</v>
      </c>
    </row>
    <row r="1417" spans="4:4" ht="17.649999999999999" x14ac:dyDescent="0.5">
      <c r="D1417" s="3" t="s">
        <v>51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43</v>
      </c>
    </row>
    <row r="1420" spans="4:4" ht="17.649999999999999" x14ac:dyDescent="0.5">
      <c r="D1420" s="3" t="s">
        <v>96</v>
      </c>
    </row>
    <row r="1421" spans="4:4" ht="17.649999999999999" x14ac:dyDescent="0.5">
      <c r="D1421" s="3" t="s">
        <v>80</v>
      </c>
    </row>
    <row r="1422" spans="4:4" ht="17.649999999999999" x14ac:dyDescent="0.5">
      <c r="D1422" s="3" t="s">
        <v>47</v>
      </c>
    </row>
    <row r="1423" spans="4:4" ht="17.649999999999999" x14ac:dyDescent="0.5">
      <c r="D1423" s="3" t="s">
        <v>67</v>
      </c>
    </row>
    <row r="1424" spans="4:4" ht="17.649999999999999" x14ac:dyDescent="0.5">
      <c r="D1424" s="3" t="s">
        <v>115</v>
      </c>
    </row>
    <row r="1425" spans="4:4" ht="17.649999999999999" x14ac:dyDescent="0.5">
      <c r="D1425" s="3" t="s">
        <v>56</v>
      </c>
    </row>
    <row r="1426" spans="4:4" ht="17.649999999999999" x14ac:dyDescent="0.5">
      <c r="D1426" s="3" t="s">
        <v>91</v>
      </c>
    </row>
    <row r="1427" spans="4:4" ht="17.649999999999999" x14ac:dyDescent="0.5">
      <c r="D1427" s="3" t="s">
        <v>96</v>
      </c>
    </row>
    <row r="1428" spans="4:4" ht="17.649999999999999" x14ac:dyDescent="0.5">
      <c r="D1428" s="3" t="s">
        <v>55</v>
      </c>
    </row>
    <row r="1429" spans="4:4" ht="17.649999999999999" x14ac:dyDescent="0.5">
      <c r="D1429" s="3" t="s">
        <v>129</v>
      </c>
    </row>
    <row r="1430" spans="4:4" ht="17.649999999999999" x14ac:dyDescent="0.5">
      <c r="D1430" s="3" t="s">
        <v>101</v>
      </c>
    </row>
    <row r="1431" spans="4:4" ht="17.649999999999999" x14ac:dyDescent="0.5">
      <c r="D1431" s="3" t="s">
        <v>98</v>
      </c>
    </row>
    <row r="1432" spans="4:4" ht="17.649999999999999" x14ac:dyDescent="0.5">
      <c r="D1432" s="3" t="s">
        <v>87</v>
      </c>
    </row>
    <row r="1433" spans="4:4" ht="17.649999999999999" x14ac:dyDescent="0.5">
      <c r="D1433" s="3" t="s">
        <v>68</v>
      </c>
    </row>
    <row r="1434" spans="4:4" ht="17.649999999999999" x14ac:dyDescent="0.5">
      <c r="D1434" s="3" t="s">
        <v>85</v>
      </c>
    </row>
    <row r="1435" spans="4:4" ht="17.649999999999999" x14ac:dyDescent="0.5">
      <c r="D1435" s="3" t="s">
        <v>90</v>
      </c>
    </row>
    <row r="1436" spans="4:4" ht="17.649999999999999" x14ac:dyDescent="0.5">
      <c r="D1436" s="3" t="s">
        <v>98</v>
      </c>
    </row>
    <row r="1437" spans="4:4" ht="17.649999999999999" x14ac:dyDescent="0.5">
      <c r="D1437" s="3" t="s">
        <v>101</v>
      </c>
    </row>
    <row r="1438" spans="4:4" ht="17.649999999999999" x14ac:dyDescent="0.5">
      <c r="D1438" s="3" t="s">
        <v>57</v>
      </c>
    </row>
    <row r="1439" spans="4:4" ht="17.649999999999999" x14ac:dyDescent="0.5">
      <c r="D1439" s="3" t="s">
        <v>54</v>
      </c>
    </row>
    <row r="1440" spans="4:4" ht="17.649999999999999" x14ac:dyDescent="0.5">
      <c r="D1440" s="3" t="s">
        <v>130</v>
      </c>
    </row>
    <row r="1441" spans="4:4" ht="17.649999999999999" x14ac:dyDescent="0.5">
      <c r="D1441" s="3" t="s">
        <v>114</v>
      </c>
    </row>
    <row r="1442" spans="4:4" ht="17.649999999999999" x14ac:dyDescent="0.5">
      <c r="D1442" s="3" t="s">
        <v>57</v>
      </c>
    </row>
    <row r="1443" spans="4:4" ht="17.649999999999999" x14ac:dyDescent="0.5">
      <c r="D1443" s="3" t="s">
        <v>60</v>
      </c>
    </row>
    <row r="1444" spans="4:4" ht="17.649999999999999" x14ac:dyDescent="0.5">
      <c r="D1444" s="3" t="s">
        <v>91</v>
      </c>
    </row>
    <row r="1445" spans="4:4" ht="17.649999999999999" x14ac:dyDescent="0.5">
      <c r="D1445" s="3" t="s">
        <v>115</v>
      </c>
    </row>
    <row r="1446" spans="4:4" ht="17.649999999999999" x14ac:dyDescent="0.5">
      <c r="D1446" s="3" t="s">
        <v>92</v>
      </c>
    </row>
    <row r="1447" spans="4:4" ht="17.649999999999999" x14ac:dyDescent="0.5">
      <c r="D1447" s="3" t="s">
        <v>52</v>
      </c>
    </row>
    <row r="1448" spans="4:4" ht="17.649999999999999" x14ac:dyDescent="0.5">
      <c r="D1448" s="3" t="s">
        <v>80</v>
      </c>
    </row>
    <row r="1449" spans="4:4" ht="17.649999999999999" x14ac:dyDescent="0.5">
      <c r="D1449" s="3" t="s">
        <v>128</v>
      </c>
    </row>
    <row r="1450" spans="4:4" ht="17.649999999999999" x14ac:dyDescent="0.5">
      <c r="D1450" s="3" t="s">
        <v>74</v>
      </c>
    </row>
    <row r="1451" spans="4:4" ht="17.649999999999999" x14ac:dyDescent="0.5">
      <c r="D1451" s="3" t="s">
        <v>121</v>
      </c>
    </row>
    <row r="1452" spans="4:4" ht="17.649999999999999" x14ac:dyDescent="0.5">
      <c r="D1452" s="3" t="s">
        <v>94</v>
      </c>
    </row>
    <row r="1453" spans="4:4" ht="17.649999999999999" x14ac:dyDescent="0.5">
      <c r="D1453" s="3" t="s">
        <v>48</v>
      </c>
    </row>
    <row r="1454" spans="4:4" ht="17.649999999999999" x14ac:dyDescent="0.5">
      <c r="D1454" s="3" t="s">
        <v>52</v>
      </c>
    </row>
    <row r="1455" spans="4:4" ht="17.649999999999999" x14ac:dyDescent="0.5">
      <c r="D1455" s="3" t="s">
        <v>131</v>
      </c>
    </row>
    <row r="1456" spans="4:4" ht="17.649999999999999" x14ac:dyDescent="0.5">
      <c r="D1456" s="3" t="s">
        <v>54</v>
      </c>
    </row>
    <row r="1457" spans="4:4" ht="17.649999999999999" x14ac:dyDescent="0.5">
      <c r="D1457" s="3" t="s">
        <v>51</v>
      </c>
    </row>
    <row r="1458" spans="4:4" ht="17.649999999999999" x14ac:dyDescent="0.5">
      <c r="D1458" s="3" t="s">
        <v>107</v>
      </c>
    </row>
    <row r="1459" spans="4:4" ht="17.649999999999999" x14ac:dyDescent="0.5">
      <c r="D1459" s="3" t="s">
        <v>51</v>
      </c>
    </row>
    <row r="1460" spans="4:4" ht="17.649999999999999" x14ac:dyDescent="0.5">
      <c r="D1460" s="3" t="s">
        <v>44</v>
      </c>
    </row>
    <row r="1461" spans="4:4" ht="17.649999999999999" x14ac:dyDescent="0.5">
      <c r="D1461" s="3" t="s">
        <v>84</v>
      </c>
    </row>
    <row r="1462" spans="4:4" ht="17.649999999999999" x14ac:dyDescent="0.5">
      <c r="D1462" s="3" t="s">
        <v>94</v>
      </c>
    </row>
    <row r="1463" spans="4:4" ht="17.649999999999999" x14ac:dyDescent="0.5">
      <c r="D1463" s="3" t="s">
        <v>57</v>
      </c>
    </row>
    <row r="1464" spans="4:4" ht="17.649999999999999" x14ac:dyDescent="0.5">
      <c r="D1464" s="3" t="s">
        <v>116</v>
      </c>
    </row>
    <row r="1465" spans="4:4" ht="17.649999999999999" x14ac:dyDescent="0.5">
      <c r="D1465" s="3" t="s">
        <v>68</v>
      </c>
    </row>
    <row r="1466" spans="4:4" ht="17.649999999999999" x14ac:dyDescent="0.5">
      <c r="D1466" s="3" t="s">
        <v>136</v>
      </c>
    </row>
    <row r="1467" spans="4:4" ht="17.649999999999999" x14ac:dyDescent="0.5">
      <c r="D1467" s="3" t="s">
        <v>120</v>
      </c>
    </row>
    <row r="1468" spans="4:4" ht="17.649999999999999" x14ac:dyDescent="0.5">
      <c r="D1468" s="3" t="s">
        <v>83</v>
      </c>
    </row>
    <row r="1469" spans="4:4" ht="17.649999999999999" x14ac:dyDescent="0.5">
      <c r="D1469" s="3" t="s">
        <v>67</v>
      </c>
    </row>
    <row r="1470" spans="4:4" ht="17.649999999999999" x14ac:dyDescent="0.5">
      <c r="D1470" s="3" t="s">
        <v>131</v>
      </c>
    </row>
    <row r="1471" spans="4:4" ht="17.649999999999999" x14ac:dyDescent="0.5">
      <c r="D1471" s="3" t="s">
        <v>111</v>
      </c>
    </row>
    <row r="1472" spans="4:4" ht="17.649999999999999" x14ac:dyDescent="0.5">
      <c r="D1472" s="3" t="s">
        <v>97</v>
      </c>
    </row>
    <row r="1473" spans="4:4" ht="17.649999999999999" x14ac:dyDescent="0.5">
      <c r="D1473" s="3" t="s">
        <v>65</v>
      </c>
    </row>
    <row r="1474" spans="4:4" ht="17.649999999999999" x14ac:dyDescent="0.5">
      <c r="D1474" s="3" t="s">
        <v>124</v>
      </c>
    </row>
    <row r="1475" spans="4:4" ht="17.649999999999999" x14ac:dyDescent="0.5">
      <c r="D1475" s="3" t="s">
        <v>117</v>
      </c>
    </row>
    <row r="1476" spans="4:4" ht="17.649999999999999" x14ac:dyDescent="0.5">
      <c r="D1476" s="3" t="s">
        <v>107</v>
      </c>
    </row>
    <row r="1477" spans="4:4" ht="17.649999999999999" x14ac:dyDescent="0.5">
      <c r="D1477" s="3" t="s">
        <v>67</v>
      </c>
    </row>
    <row r="1478" spans="4:4" ht="17.649999999999999" x14ac:dyDescent="0.5">
      <c r="D1478" s="3" t="s">
        <v>107</v>
      </c>
    </row>
    <row r="1479" spans="4:4" ht="17.649999999999999" x14ac:dyDescent="0.5">
      <c r="D1479" s="3" t="s">
        <v>65</v>
      </c>
    </row>
    <row r="1480" spans="4:4" ht="17.649999999999999" x14ac:dyDescent="0.5">
      <c r="D1480" s="3" t="s">
        <v>74</v>
      </c>
    </row>
    <row r="1481" spans="4:4" ht="17.649999999999999" x14ac:dyDescent="0.5">
      <c r="D1481" s="3" t="s">
        <v>80</v>
      </c>
    </row>
    <row r="1482" spans="4:4" ht="17.649999999999999" x14ac:dyDescent="0.5">
      <c r="D1482" s="3" t="s">
        <v>94</v>
      </c>
    </row>
    <row r="1483" spans="4:4" ht="17.649999999999999" x14ac:dyDescent="0.5">
      <c r="D1483" s="3" t="s">
        <v>63</v>
      </c>
    </row>
    <row r="1484" spans="4:4" ht="17.649999999999999" x14ac:dyDescent="0.5">
      <c r="D1484" s="3" t="s">
        <v>87</v>
      </c>
    </row>
    <row r="1485" spans="4:4" ht="17.649999999999999" x14ac:dyDescent="0.5">
      <c r="D1485" s="3" t="s">
        <v>100</v>
      </c>
    </row>
    <row r="1486" spans="4:4" ht="17.649999999999999" x14ac:dyDescent="0.5">
      <c r="D1486" s="3" t="s">
        <v>103</v>
      </c>
    </row>
    <row r="1487" spans="4:4" ht="17.649999999999999" x14ac:dyDescent="0.5">
      <c r="D1487" s="3" t="s">
        <v>73</v>
      </c>
    </row>
    <row r="1488" spans="4:4" ht="17.649999999999999" x14ac:dyDescent="0.5">
      <c r="D1488" s="3" t="s">
        <v>44</v>
      </c>
    </row>
    <row r="1489" spans="4:4" ht="17.649999999999999" x14ac:dyDescent="0.5">
      <c r="D1489" s="3" t="s">
        <v>98</v>
      </c>
    </row>
    <row r="1490" spans="4:4" ht="17.649999999999999" x14ac:dyDescent="0.5">
      <c r="D1490" s="3" t="s">
        <v>48</v>
      </c>
    </row>
    <row r="1491" spans="4:4" ht="17.649999999999999" x14ac:dyDescent="0.5">
      <c r="D1491" s="3" t="s">
        <v>55</v>
      </c>
    </row>
    <row r="1492" spans="4:4" ht="17.649999999999999" x14ac:dyDescent="0.5">
      <c r="D1492" s="3" t="s">
        <v>93</v>
      </c>
    </row>
    <row r="1493" spans="4:4" ht="17.649999999999999" x14ac:dyDescent="0.5">
      <c r="D1493" s="3" t="s">
        <v>84</v>
      </c>
    </row>
    <row r="1494" spans="4:4" ht="17.649999999999999" x14ac:dyDescent="0.5">
      <c r="D1494" s="3" t="s">
        <v>87</v>
      </c>
    </row>
    <row r="1495" spans="4:4" ht="17.649999999999999" x14ac:dyDescent="0.5">
      <c r="D1495" s="3" t="s">
        <v>55</v>
      </c>
    </row>
    <row r="1496" spans="4:4" ht="17.649999999999999" x14ac:dyDescent="0.5">
      <c r="D1496" s="3" t="s">
        <v>128</v>
      </c>
    </row>
    <row r="1497" spans="4:4" ht="17.649999999999999" x14ac:dyDescent="0.5">
      <c r="D1497" s="3" t="s">
        <v>136</v>
      </c>
    </row>
    <row r="1498" spans="4:4" ht="17.649999999999999" x14ac:dyDescent="0.5">
      <c r="D1498" s="3" t="s">
        <v>67</v>
      </c>
    </row>
    <row r="1499" spans="4:4" ht="17.649999999999999" x14ac:dyDescent="0.5">
      <c r="D1499" s="3" t="s">
        <v>63</v>
      </c>
    </row>
    <row r="1500" spans="4:4" ht="17.649999999999999" x14ac:dyDescent="0.5">
      <c r="D1500" s="3" t="s">
        <v>131</v>
      </c>
    </row>
    <row r="1501" spans="4:4" ht="17.649999999999999" x14ac:dyDescent="0.5">
      <c r="D1501" s="3" t="s">
        <v>81</v>
      </c>
    </row>
    <row r="1502" spans="4:4" ht="17.649999999999999" x14ac:dyDescent="0.5">
      <c r="D1502" s="3" t="s">
        <v>51</v>
      </c>
    </row>
    <row r="1503" spans="4:4" ht="17.649999999999999" x14ac:dyDescent="0.5">
      <c r="D1503" s="3" t="s">
        <v>75</v>
      </c>
    </row>
    <row r="1504" spans="4:4" ht="17.649999999999999" x14ac:dyDescent="0.5">
      <c r="D1504" s="3" t="s">
        <v>74</v>
      </c>
    </row>
    <row r="1505" spans="4:4" ht="17.649999999999999" x14ac:dyDescent="0.5">
      <c r="D1505" s="3" t="s">
        <v>86</v>
      </c>
    </row>
    <row r="1506" spans="4:4" ht="17.649999999999999" x14ac:dyDescent="0.5">
      <c r="D1506" s="3" t="s">
        <v>44</v>
      </c>
    </row>
    <row r="1507" spans="4:4" ht="17.649999999999999" x14ac:dyDescent="0.5">
      <c r="D1507" s="3" t="s">
        <v>70</v>
      </c>
    </row>
    <row r="1508" spans="4:4" ht="17.649999999999999" x14ac:dyDescent="0.5">
      <c r="D1508" s="3" t="s">
        <v>98</v>
      </c>
    </row>
    <row r="1509" spans="4:4" ht="17.649999999999999" x14ac:dyDescent="0.5">
      <c r="D1509" s="3" t="s">
        <v>105</v>
      </c>
    </row>
    <row r="1510" spans="4:4" ht="17.649999999999999" x14ac:dyDescent="0.5">
      <c r="D1510" s="3" t="s">
        <v>61</v>
      </c>
    </row>
    <row r="1511" spans="4:4" ht="17.649999999999999" x14ac:dyDescent="0.5">
      <c r="D1511" s="3" t="s">
        <v>60</v>
      </c>
    </row>
    <row r="1512" spans="4:4" ht="17.649999999999999" x14ac:dyDescent="0.5">
      <c r="D1512" s="3" t="s">
        <v>72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57</v>
      </c>
    </row>
    <row r="1515" spans="4:4" ht="17.649999999999999" x14ac:dyDescent="0.5">
      <c r="D1515" s="3" t="s">
        <v>112</v>
      </c>
    </row>
    <row r="1516" spans="4:4" ht="17.649999999999999" x14ac:dyDescent="0.5">
      <c r="D1516" s="3" t="s">
        <v>78</v>
      </c>
    </row>
    <row r="1517" spans="4:4" ht="17.649999999999999" x14ac:dyDescent="0.5">
      <c r="D1517" s="3" t="s">
        <v>52</v>
      </c>
    </row>
    <row r="1518" spans="4:4" ht="17.649999999999999" x14ac:dyDescent="0.5">
      <c r="D1518" s="3" t="s">
        <v>73</v>
      </c>
    </row>
    <row r="1519" spans="4:4" ht="17.649999999999999" x14ac:dyDescent="0.5">
      <c r="D1519" s="3" t="s">
        <v>84</v>
      </c>
    </row>
    <row r="1520" spans="4:4" ht="17.649999999999999" x14ac:dyDescent="0.5">
      <c r="D1520" s="3" t="s">
        <v>58</v>
      </c>
    </row>
    <row r="1521" spans="4:4" ht="17.649999999999999" x14ac:dyDescent="0.5">
      <c r="D1521" s="3" t="s">
        <v>90</v>
      </c>
    </row>
    <row r="1522" spans="4:4" ht="17.649999999999999" x14ac:dyDescent="0.5">
      <c r="D1522" s="3" t="s">
        <v>91</v>
      </c>
    </row>
    <row r="1523" spans="4:4" ht="17.649999999999999" x14ac:dyDescent="0.5">
      <c r="D1523" s="3" t="s">
        <v>77</v>
      </c>
    </row>
    <row r="1524" spans="4:4" ht="17.649999999999999" x14ac:dyDescent="0.5">
      <c r="D1524" s="3" t="s">
        <v>73</v>
      </c>
    </row>
    <row r="1525" spans="4:4" ht="17.649999999999999" x14ac:dyDescent="0.5">
      <c r="D1525" s="3" t="s">
        <v>95</v>
      </c>
    </row>
    <row r="1526" spans="4:4" ht="17.649999999999999" x14ac:dyDescent="0.5">
      <c r="D1526" s="3" t="s">
        <v>63</v>
      </c>
    </row>
    <row r="1527" spans="4:4" ht="17.649999999999999" x14ac:dyDescent="0.5">
      <c r="D1527" s="3" t="s">
        <v>84</v>
      </c>
    </row>
    <row r="1528" spans="4:4" ht="17.649999999999999" x14ac:dyDescent="0.5">
      <c r="D1528" s="3" t="s">
        <v>129</v>
      </c>
    </row>
    <row r="1529" spans="4:4" ht="17.649999999999999" x14ac:dyDescent="0.5">
      <c r="D1529" s="3" t="s">
        <v>85</v>
      </c>
    </row>
    <row r="1530" spans="4:4" ht="17.649999999999999" x14ac:dyDescent="0.5">
      <c r="D1530" s="3" t="s">
        <v>86</v>
      </c>
    </row>
    <row r="1531" spans="4:4" ht="17.649999999999999" x14ac:dyDescent="0.5">
      <c r="D1531" s="3" t="s">
        <v>96</v>
      </c>
    </row>
    <row r="1532" spans="4:4" ht="17.649999999999999" x14ac:dyDescent="0.5">
      <c r="D1532" s="3" t="s">
        <v>118</v>
      </c>
    </row>
    <row r="1533" spans="4:4" ht="17.649999999999999" x14ac:dyDescent="0.5">
      <c r="D1533" s="3" t="s">
        <v>128</v>
      </c>
    </row>
    <row r="1534" spans="4:4" ht="17.649999999999999" x14ac:dyDescent="0.5">
      <c r="D1534" s="3" t="s">
        <v>83</v>
      </c>
    </row>
    <row r="1535" spans="4:4" ht="17.649999999999999" x14ac:dyDescent="0.5">
      <c r="D1535" s="3" t="s">
        <v>79</v>
      </c>
    </row>
    <row r="1536" spans="4:4" ht="17.649999999999999" x14ac:dyDescent="0.5">
      <c r="D1536" s="3" t="s">
        <v>69</v>
      </c>
    </row>
    <row r="1537" spans="4:4" ht="17.649999999999999" x14ac:dyDescent="0.5">
      <c r="D1537" s="3" t="s">
        <v>115</v>
      </c>
    </row>
    <row r="1538" spans="4:4" ht="17.649999999999999" x14ac:dyDescent="0.5">
      <c r="D1538" s="3" t="s">
        <v>46</v>
      </c>
    </row>
    <row r="1539" spans="4:4" ht="17.649999999999999" x14ac:dyDescent="0.5">
      <c r="D1539" s="3" t="s">
        <v>131</v>
      </c>
    </row>
    <row r="1540" spans="4:4" ht="17.649999999999999" x14ac:dyDescent="0.5">
      <c r="D1540" s="3" t="s">
        <v>92</v>
      </c>
    </row>
    <row r="1541" spans="4:4" ht="17.649999999999999" x14ac:dyDescent="0.5">
      <c r="D1541" s="3" t="s">
        <v>44</v>
      </c>
    </row>
    <row r="1542" spans="4:4" ht="17.649999999999999" x14ac:dyDescent="0.5">
      <c r="D1542" s="3" t="s">
        <v>74</v>
      </c>
    </row>
    <row r="1543" spans="4:4" ht="17.649999999999999" x14ac:dyDescent="0.5">
      <c r="D1543" s="3" t="s">
        <v>125</v>
      </c>
    </row>
    <row r="1544" spans="4:4" ht="17.649999999999999" x14ac:dyDescent="0.5">
      <c r="D1544" s="3" t="s">
        <v>90</v>
      </c>
    </row>
    <row r="1545" spans="4:4" ht="17.649999999999999" x14ac:dyDescent="0.5">
      <c r="D1545" s="3" t="s">
        <v>51</v>
      </c>
    </row>
    <row r="1546" spans="4:4" ht="17.649999999999999" x14ac:dyDescent="0.5">
      <c r="D1546" s="3" t="s">
        <v>59</v>
      </c>
    </row>
    <row r="1547" spans="4:4" ht="17.649999999999999" x14ac:dyDescent="0.5">
      <c r="D1547" s="3" t="s">
        <v>77</v>
      </c>
    </row>
    <row r="1548" spans="4:4" ht="17.649999999999999" x14ac:dyDescent="0.5">
      <c r="D1548" s="3" t="s">
        <v>92</v>
      </c>
    </row>
    <row r="1549" spans="4:4" ht="17.649999999999999" x14ac:dyDescent="0.5">
      <c r="D1549" s="3" t="s">
        <v>107</v>
      </c>
    </row>
    <row r="1550" spans="4:4" ht="17.649999999999999" x14ac:dyDescent="0.5">
      <c r="D1550" s="3" t="s">
        <v>98</v>
      </c>
    </row>
    <row r="1551" spans="4:4" ht="17.649999999999999" x14ac:dyDescent="0.5">
      <c r="D1551" s="3" t="s">
        <v>113</v>
      </c>
    </row>
    <row r="1552" spans="4:4" ht="17.649999999999999" x14ac:dyDescent="0.5">
      <c r="D1552" s="3" t="s">
        <v>107</v>
      </c>
    </row>
    <row r="1553" spans="4:4" ht="17.649999999999999" x14ac:dyDescent="0.5">
      <c r="D1553" s="3" t="s">
        <v>41</v>
      </c>
    </row>
    <row r="1554" spans="4:4" ht="17.649999999999999" x14ac:dyDescent="0.5">
      <c r="D1554" s="3" t="s">
        <v>114</v>
      </c>
    </row>
    <row r="1555" spans="4:4" ht="17.649999999999999" x14ac:dyDescent="0.5">
      <c r="D1555" s="3" t="s">
        <v>74</v>
      </c>
    </row>
    <row r="1556" spans="4:4" ht="17.649999999999999" x14ac:dyDescent="0.5">
      <c r="D1556" s="3" t="s">
        <v>123</v>
      </c>
    </row>
    <row r="1557" spans="4:4" ht="17.649999999999999" x14ac:dyDescent="0.5">
      <c r="D1557" s="3" t="s">
        <v>43</v>
      </c>
    </row>
    <row r="1558" spans="4:4" ht="17.649999999999999" x14ac:dyDescent="0.5">
      <c r="D1558" s="3" t="s">
        <v>98</v>
      </c>
    </row>
    <row r="1559" spans="4:4" ht="17.649999999999999" x14ac:dyDescent="0.5">
      <c r="D1559" s="3" t="s">
        <v>122</v>
      </c>
    </row>
    <row r="1560" spans="4:4" ht="17.649999999999999" x14ac:dyDescent="0.5">
      <c r="D1560" s="3" t="s">
        <v>92</v>
      </c>
    </row>
    <row r="1561" spans="4:4" ht="17.649999999999999" x14ac:dyDescent="0.5">
      <c r="D1561" s="3" t="s">
        <v>50</v>
      </c>
    </row>
    <row r="1562" spans="4:4" ht="17.649999999999999" x14ac:dyDescent="0.5">
      <c r="D1562" s="3" t="s">
        <v>126</v>
      </c>
    </row>
    <row r="1563" spans="4:4" ht="17.649999999999999" x14ac:dyDescent="0.5">
      <c r="D1563" s="3" t="s">
        <v>90</v>
      </c>
    </row>
    <row r="1564" spans="4:4" ht="17.649999999999999" x14ac:dyDescent="0.5">
      <c r="D1564" s="3" t="s">
        <v>105</v>
      </c>
    </row>
    <row r="1565" spans="4:4" ht="17.649999999999999" x14ac:dyDescent="0.5">
      <c r="D1565" s="3" t="s">
        <v>125</v>
      </c>
    </row>
    <row r="1566" spans="4:4" ht="17.649999999999999" x14ac:dyDescent="0.5">
      <c r="D1566" s="3" t="s">
        <v>55</v>
      </c>
    </row>
    <row r="1567" spans="4:4" ht="17.649999999999999" x14ac:dyDescent="0.5">
      <c r="D1567" s="3" t="s">
        <v>56</v>
      </c>
    </row>
    <row r="1568" spans="4:4" ht="17.649999999999999" x14ac:dyDescent="0.5">
      <c r="D1568" s="3" t="s">
        <v>130</v>
      </c>
    </row>
    <row r="1569" spans="4:4" ht="17.649999999999999" x14ac:dyDescent="0.5">
      <c r="D1569" s="3" t="s">
        <v>50</v>
      </c>
    </row>
    <row r="1570" spans="4:4" ht="17.649999999999999" x14ac:dyDescent="0.5">
      <c r="D1570" s="3" t="s">
        <v>81</v>
      </c>
    </row>
    <row r="1571" spans="4:4" ht="17.649999999999999" x14ac:dyDescent="0.5">
      <c r="D1571" s="3" t="s">
        <v>76</v>
      </c>
    </row>
    <row r="1572" spans="4:4" ht="17.649999999999999" x14ac:dyDescent="0.5">
      <c r="D1572" s="3" t="s">
        <v>96</v>
      </c>
    </row>
    <row r="1573" spans="4:4" ht="17.649999999999999" x14ac:dyDescent="0.5">
      <c r="D1573" s="3" t="s">
        <v>95</v>
      </c>
    </row>
    <row r="1574" spans="4:4" ht="17.649999999999999" x14ac:dyDescent="0.5">
      <c r="D1574" s="3" t="s">
        <v>65</v>
      </c>
    </row>
    <row r="1575" spans="4:4" ht="17.649999999999999" x14ac:dyDescent="0.5">
      <c r="D1575" s="3" t="s">
        <v>84</v>
      </c>
    </row>
    <row r="1576" spans="4:4" ht="17.649999999999999" x14ac:dyDescent="0.5">
      <c r="D1576" s="3" t="s">
        <v>43</v>
      </c>
    </row>
    <row r="1577" spans="4:4" ht="17.649999999999999" x14ac:dyDescent="0.5">
      <c r="D1577" s="3" t="s">
        <v>122</v>
      </c>
    </row>
    <row r="1578" spans="4:4" ht="17.649999999999999" x14ac:dyDescent="0.5">
      <c r="D1578" s="3" t="s">
        <v>73</v>
      </c>
    </row>
    <row r="1579" spans="4:4" ht="17.649999999999999" x14ac:dyDescent="0.5">
      <c r="D1579" s="3" t="s">
        <v>103</v>
      </c>
    </row>
    <row r="1580" spans="4:4" ht="17.649999999999999" x14ac:dyDescent="0.5">
      <c r="D1580" s="3" t="s">
        <v>94</v>
      </c>
    </row>
    <row r="1581" spans="4:4" ht="17.649999999999999" x14ac:dyDescent="0.5">
      <c r="D1581" s="3" t="s">
        <v>87</v>
      </c>
    </row>
    <row r="1582" spans="4:4" ht="17.649999999999999" x14ac:dyDescent="0.5">
      <c r="D1582" s="3" t="s">
        <v>73</v>
      </c>
    </row>
    <row r="1583" spans="4:4" ht="17.649999999999999" x14ac:dyDescent="0.5">
      <c r="D1583" s="3" t="s">
        <v>52</v>
      </c>
    </row>
    <row r="1584" spans="4:4" ht="17.649999999999999" x14ac:dyDescent="0.5">
      <c r="D1584" s="3" t="s">
        <v>105</v>
      </c>
    </row>
    <row r="1585" spans="4:4" ht="17.649999999999999" x14ac:dyDescent="0.5">
      <c r="D1585" s="3" t="s">
        <v>109</v>
      </c>
    </row>
    <row r="1586" spans="4:4" ht="17.649999999999999" x14ac:dyDescent="0.5">
      <c r="D1586" s="3" t="s">
        <v>47</v>
      </c>
    </row>
    <row r="1587" spans="4:4" ht="17.649999999999999" x14ac:dyDescent="0.5">
      <c r="D1587" s="3" t="s">
        <v>102</v>
      </c>
    </row>
    <row r="1588" spans="4:4" ht="17.649999999999999" x14ac:dyDescent="0.5">
      <c r="D1588" s="3" t="s">
        <v>80</v>
      </c>
    </row>
    <row r="1589" spans="4:4" ht="17.649999999999999" x14ac:dyDescent="0.5">
      <c r="D1589" s="3" t="s">
        <v>117</v>
      </c>
    </row>
    <row r="1590" spans="4:4" ht="17.649999999999999" x14ac:dyDescent="0.5">
      <c r="D1590" s="3" t="s">
        <v>108</v>
      </c>
    </row>
    <row r="1591" spans="4:4" ht="17.649999999999999" x14ac:dyDescent="0.5">
      <c r="D1591" s="3" t="s">
        <v>59</v>
      </c>
    </row>
    <row r="1592" spans="4:4" ht="17.649999999999999" x14ac:dyDescent="0.5">
      <c r="D1592" s="3" t="s">
        <v>41</v>
      </c>
    </row>
    <row r="1593" spans="4:4" ht="17.649999999999999" x14ac:dyDescent="0.5">
      <c r="D1593" s="3" t="s">
        <v>133</v>
      </c>
    </row>
    <row r="1594" spans="4:4" ht="17.649999999999999" x14ac:dyDescent="0.5">
      <c r="D1594" s="3" t="s">
        <v>90</v>
      </c>
    </row>
    <row r="1595" spans="4:4" ht="17.649999999999999" x14ac:dyDescent="0.5">
      <c r="D1595" s="3" t="s">
        <v>54</v>
      </c>
    </row>
    <row r="1596" spans="4:4" ht="17.649999999999999" x14ac:dyDescent="0.5">
      <c r="D1596" s="3" t="s">
        <v>81</v>
      </c>
    </row>
    <row r="1597" spans="4:4" ht="17.649999999999999" x14ac:dyDescent="0.5">
      <c r="D1597" s="3" t="s">
        <v>96</v>
      </c>
    </row>
    <row r="1598" spans="4:4" ht="17.649999999999999" x14ac:dyDescent="0.5">
      <c r="D1598" s="3" t="s">
        <v>46</v>
      </c>
    </row>
    <row r="1599" spans="4:4" ht="17.649999999999999" x14ac:dyDescent="0.5">
      <c r="D1599" s="3" t="s">
        <v>54</v>
      </c>
    </row>
    <row r="1600" spans="4:4" ht="17.649999999999999" x14ac:dyDescent="0.5">
      <c r="D1600" s="3" t="s">
        <v>96</v>
      </c>
    </row>
    <row r="1601" spans="4:4" ht="17.649999999999999" x14ac:dyDescent="0.5">
      <c r="D1601" s="3" t="s">
        <v>92</v>
      </c>
    </row>
    <row r="1602" spans="4:4" ht="17.649999999999999" x14ac:dyDescent="0.5">
      <c r="D1602" s="3" t="s">
        <v>123</v>
      </c>
    </row>
    <row r="1603" spans="4:4" ht="17.649999999999999" x14ac:dyDescent="0.5">
      <c r="D1603" s="3" t="s">
        <v>98</v>
      </c>
    </row>
    <row r="1604" spans="4:4" ht="17.649999999999999" x14ac:dyDescent="0.5">
      <c r="D1604" s="3" t="s">
        <v>57</v>
      </c>
    </row>
    <row r="1605" spans="4:4" ht="17.649999999999999" x14ac:dyDescent="0.5">
      <c r="D1605" s="3" t="s">
        <v>47</v>
      </c>
    </row>
    <row r="1606" spans="4:4" ht="17.649999999999999" x14ac:dyDescent="0.5">
      <c r="D1606" s="3" t="s">
        <v>41</v>
      </c>
    </row>
    <row r="1607" spans="4:4" ht="17.649999999999999" x14ac:dyDescent="0.5">
      <c r="D1607" s="3" t="s">
        <v>92</v>
      </c>
    </row>
    <row r="1608" spans="4:4" ht="17.649999999999999" x14ac:dyDescent="0.5">
      <c r="D1608" s="3" t="s">
        <v>117</v>
      </c>
    </row>
    <row r="1609" spans="4:4" ht="17.649999999999999" x14ac:dyDescent="0.5">
      <c r="D1609" s="3" t="s">
        <v>93</v>
      </c>
    </row>
    <row r="1610" spans="4:4" ht="17.649999999999999" x14ac:dyDescent="0.5">
      <c r="D1610" s="3" t="s">
        <v>69</v>
      </c>
    </row>
    <row r="1611" spans="4:4" ht="17.649999999999999" x14ac:dyDescent="0.5">
      <c r="D1611" s="3" t="s">
        <v>64</v>
      </c>
    </row>
    <row r="1612" spans="4:4" ht="17.649999999999999" x14ac:dyDescent="0.5">
      <c r="D1612" s="3" t="s">
        <v>50</v>
      </c>
    </row>
    <row r="1613" spans="4:4" ht="17.649999999999999" x14ac:dyDescent="0.5">
      <c r="D1613" s="3" t="s">
        <v>72</v>
      </c>
    </row>
    <row r="1614" spans="4:4" ht="17.649999999999999" x14ac:dyDescent="0.5">
      <c r="D1614" s="3" t="s">
        <v>47</v>
      </c>
    </row>
    <row r="1615" spans="4:4" ht="17.649999999999999" x14ac:dyDescent="0.5">
      <c r="D1615" s="3" t="s">
        <v>56</v>
      </c>
    </row>
    <row r="1616" spans="4:4" ht="17.649999999999999" x14ac:dyDescent="0.5">
      <c r="D1616" s="3" t="s">
        <v>76</v>
      </c>
    </row>
    <row r="1617" spans="4:4" ht="17.649999999999999" x14ac:dyDescent="0.5">
      <c r="D1617" s="3" t="s">
        <v>92</v>
      </c>
    </row>
    <row r="1618" spans="4:4" ht="17.649999999999999" x14ac:dyDescent="0.5">
      <c r="D1618" s="3" t="s">
        <v>59</v>
      </c>
    </row>
    <row r="1619" spans="4:4" ht="17.649999999999999" x14ac:dyDescent="0.5">
      <c r="D1619" s="3" t="s">
        <v>57</v>
      </c>
    </row>
    <row r="1620" spans="4:4" ht="17.649999999999999" x14ac:dyDescent="0.5">
      <c r="D1620" s="3" t="s">
        <v>108</v>
      </c>
    </row>
    <row r="1621" spans="4:4" ht="17.649999999999999" x14ac:dyDescent="0.5">
      <c r="D1621" s="3" t="s">
        <v>101</v>
      </c>
    </row>
    <row r="1622" spans="4:4" ht="17.649999999999999" x14ac:dyDescent="0.5">
      <c r="D1622" s="3" t="s">
        <v>77</v>
      </c>
    </row>
    <row r="1623" spans="4:4" ht="17.649999999999999" x14ac:dyDescent="0.5">
      <c r="D1623" s="3" t="s">
        <v>68</v>
      </c>
    </row>
    <row r="1624" spans="4:4" ht="17.649999999999999" x14ac:dyDescent="0.5">
      <c r="D1624" s="3" t="s">
        <v>53</v>
      </c>
    </row>
    <row r="1625" spans="4:4" ht="17.649999999999999" x14ac:dyDescent="0.5">
      <c r="D1625" s="3" t="s">
        <v>85</v>
      </c>
    </row>
    <row r="1626" spans="4:4" ht="17.649999999999999" x14ac:dyDescent="0.5">
      <c r="D1626" s="3" t="s">
        <v>95</v>
      </c>
    </row>
    <row r="1627" spans="4:4" ht="17.649999999999999" x14ac:dyDescent="0.5">
      <c r="D1627" s="3" t="s">
        <v>132</v>
      </c>
    </row>
    <row r="1628" spans="4:4" ht="17.649999999999999" x14ac:dyDescent="0.5">
      <c r="D1628" s="3" t="s">
        <v>68</v>
      </c>
    </row>
    <row r="1629" spans="4:4" ht="17.649999999999999" x14ac:dyDescent="0.5">
      <c r="D1629" s="3" t="s">
        <v>64</v>
      </c>
    </row>
    <row r="1630" spans="4:4" ht="17.649999999999999" x14ac:dyDescent="0.5">
      <c r="D1630" s="3" t="s">
        <v>78</v>
      </c>
    </row>
    <row r="1631" spans="4:4" ht="17.649999999999999" x14ac:dyDescent="0.5">
      <c r="D1631" s="3" t="s">
        <v>75</v>
      </c>
    </row>
    <row r="1632" spans="4:4" ht="17.649999999999999" x14ac:dyDescent="0.5">
      <c r="D1632" s="3" t="s">
        <v>69</v>
      </c>
    </row>
    <row r="1633" spans="4:4" ht="17.649999999999999" x14ac:dyDescent="0.5">
      <c r="D1633" s="3" t="s">
        <v>90</v>
      </c>
    </row>
    <row r="1634" spans="4:4" ht="17.649999999999999" x14ac:dyDescent="0.5">
      <c r="D1634" s="3" t="s">
        <v>91</v>
      </c>
    </row>
    <row r="1635" spans="4:4" ht="17.649999999999999" x14ac:dyDescent="0.5">
      <c r="D1635" s="3" t="s">
        <v>80</v>
      </c>
    </row>
    <row r="1636" spans="4:4" ht="17.649999999999999" x14ac:dyDescent="0.5">
      <c r="D1636" s="3" t="s">
        <v>134</v>
      </c>
    </row>
    <row r="1637" spans="4:4" ht="17.649999999999999" x14ac:dyDescent="0.5">
      <c r="D1637" s="3" t="s">
        <v>50</v>
      </c>
    </row>
    <row r="1638" spans="4:4" ht="17.649999999999999" x14ac:dyDescent="0.5">
      <c r="D1638" s="3" t="s">
        <v>73</v>
      </c>
    </row>
    <row r="1639" spans="4:4" ht="17.649999999999999" x14ac:dyDescent="0.5">
      <c r="D1639" s="3" t="s">
        <v>87</v>
      </c>
    </row>
    <row r="1640" spans="4:4" ht="17.649999999999999" x14ac:dyDescent="0.5">
      <c r="D1640" s="3" t="s">
        <v>112</v>
      </c>
    </row>
    <row r="1641" spans="4:4" ht="17.649999999999999" x14ac:dyDescent="0.5">
      <c r="D1641" s="3" t="s">
        <v>65</v>
      </c>
    </row>
    <row r="1642" spans="4:4" ht="17.649999999999999" x14ac:dyDescent="0.5">
      <c r="D1642" s="3" t="s">
        <v>62</v>
      </c>
    </row>
    <row r="1643" spans="4:4" ht="17.649999999999999" x14ac:dyDescent="0.5">
      <c r="D1643" s="3" t="s">
        <v>127</v>
      </c>
    </row>
    <row r="1644" spans="4:4" ht="17.649999999999999" x14ac:dyDescent="0.5">
      <c r="D1644" s="3" t="s">
        <v>80</v>
      </c>
    </row>
    <row r="1645" spans="4:4" ht="17.649999999999999" x14ac:dyDescent="0.5">
      <c r="D1645" s="3" t="s">
        <v>101</v>
      </c>
    </row>
    <row r="1646" spans="4:4" ht="17.649999999999999" x14ac:dyDescent="0.5">
      <c r="D1646" s="3" t="s">
        <v>44</v>
      </c>
    </row>
    <row r="1647" spans="4:4" ht="17.649999999999999" x14ac:dyDescent="0.5">
      <c r="D1647" s="3" t="s">
        <v>56</v>
      </c>
    </row>
    <row r="1648" spans="4:4" ht="17.649999999999999" x14ac:dyDescent="0.5">
      <c r="D1648" s="3" t="s">
        <v>75</v>
      </c>
    </row>
    <row r="1649" spans="4:4" ht="17.649999999999999" x14ac:dyDescent="0.5">
      <c r="D1649" s="3" t="s">
        <v>106</v>
      </c>
    </row>
    <row r="1650" spans="4:4" ht="17.649999999999999" x14ac:dyDescent="0.5">
      <c r="D1650" s="3" t="s">
        <v>54</v>
      </c>
    </row>
    <row r="1651" spans="4:4" ht="17.649999999999999" x14ac:dyDescent="0.5">
      <c r="D1651" s="3" t="s">
        <v>51</v>
      </c>
    </row>
    <row r="1652" spans="4:4" ht="17.649999999999999" x14ac:dyDescent="0.5">
      <c r="D1652" s="3" t="s">
        <v>113</v>
      </c>
    </row>
    <row r="1653" spans="4:4" ht="17.649999999999999" x14ac:dyDescent="0.5">
      <c r="D1653" s="3" t="s">
        <v>65</v>
      </c>
    </row>
    <row r="1654" spans="4:4" ht="17.649999999999999" x14ac:dyDescent="0.5">
      <c r="D1654" s="3" t="s">
        <v>69</v>
      </c>
    </row>
    <row r="1655" spans="4:4" ht="17.649999999999999" x14ac:dyDescent="0.5">
      <c r="D1655" s="3" t="s">
        <v>50</v>
      </c>
    </row>
    <row r="1656" spans="4:4" ht="17.649999999999999" x14ac:dyDescent="0.5">
      <c r="D1656" s="3" t="s">
        <v>43</v>
      </c>
    </row>
    <row r="1657" spans="4:4" ht="17.649999999999999" x14ac:dyDescent="0.5">
      <c r="D1657" s="3" t="s">
        <v>52</v>
      </c>
    </row>
    <row r="1658" spans="4:4" ht="17.649999999999999" x14ac:dyDescent="0.5">
      <c r="D1658" s="3" t="s">
        <v>112</v>
      </c>
    </row>
    <row r="1659" spans="4:4" ht="17.649999999999999" x14ac:dyDescent="0.5">
      <c r="D1659" s="3" t="s">
        <v>84</v>
      </c>
    </row>
    <row r="1660" spans="4:4" ht="17.649999999999999" x14ac:dyDescent="0.5">
      <c r="D1660" s="3" t="s">
        <v>92</v>
      </c>
    </row>
    <row r="1661" spans="4:4" ht="17.649999999999999" x14ac:dyDescent="0.5">
      <c r="D1661" s="3" t="s">
        <v>45</v>
      </c>
    </row>
    <row r="1662" spans="4:4" ht="17.649999999999999" x14ac:dyDescent="0.5">
      <c r="D1662" s="3" t="s">
        <v>56</v>
      </c>
    </row>
    <row r="1663" spans="4:4" ht="17.649999999999999" x14ac:dyDescent="0.5">
      <c r="D1663" s="3" t="s">
        <v>80</v>
      </c>
    </row>
    <row r="1664" spans="4:4" ht="17.649999999999999" x14ac:dyDescent="0.5">
      <c r="D1664" s="3" t="s">
        <v>55</v>
      </c>
    </row>
    <row r="1665" spans="4:4" ht="17.649999999999999" x14ac:dyDescent="0.5">
      <c r="D1665" s="3" t="s">
        <v>110</v>
      </c>
    </row>
    <row r="1666" spans="4:4" ht="17.649999999999999" x14ac:dyDescent="0.5">
      <c r="D1666" s="3" t="s">
        <v>49</v>
      </c>
    </row>
    <row r="1667" spans="4:4" ht="17.649999999999999" x14ac:dyDescent="0.5">
      <c r="D1667" s="3" t="s">
        <v>71</v>
      </c>
    </row>
    <row r="1668" spans="4:4" ht="17.649999999999999" x14ac:dyDescent="0.5">
      <c r="D1668" s="3" t="s">
        <v>90</v>
      </c>
    </row>
    <row r="1669" spans="4:4" ht="17.649999999999999" x14ac:dyDescent="0.5">
      <c r="D1669" s="3" t="s">
        <v>64</v>
      </c>
    </row>
    <row r="1670" spans="4:4" ht="17.649999999999999" x14ac:dyDescent="0.5">
      <c r="D1670" s="3" t="s">
        <v>68</v>
      </c>
    </row>
    <row r="1671" spans="4:4" ht="17.649999999999999" x14ac:dyDescent="0.5">
      <c r="D1671" s="3" t="s">
        <v>75</v>
      </c>
    </row>
    <row r="1672" spans="4:4" ht="17.649999999999999" x14ac:dyDescent="0.5">
      <c r="D1672" s="3" t="s">
        <v>114</v>
      </c>
    </row>
    <row r="1673" spans="4:4" ht="17.649999999999999" x14ac:dyDescent="0.5">
      <c r="D1673" s="3" t="s">
        <v>109</v>
      </c>
    </row>
    <row r="1674" spans="4:4" ht="17.649999999999999" x14ac:dyDescent="0.5">
      <c r="D1674" s="3" t="s">
        <v>129</v>
      </c>
    </row>
    <row r="1675" spans="4:4" ht="17.649999999999999" x14ac:dyDescent="0.5">
      <c r="D1675" s="3" t="s">
        <v>109</v>
      </c>
    </row>
    <row r="1676" spans="4:4" ht="17.649999999999999" x14ac:dyDescent="0.5">
      <c r="D1676" s="3" t="s">
        <v>51</v>
      </c>
    </row>
    <row r="1677" spans="4:4" ht="17.649999999999999" x14ac:dyDescent="0.5">
      <c r="D1677" s="3" t="s">
        <v>98</v>
      </c>
    </row>
    <row r="1678" spans="4:4" ht="17.649999999999999" x14ac:dyDescent="0.5">
      <c r="D1678" s="3" t="s">
        <v>87</v>
      </c>
    </row>
    <row r="1679" spans="4:4" ht="17.649999999999999" x14ac:dyDescent="0.5">
      <c r="D1679" s="3" t="s">
        <v>53</v>
      </c>
    </row>
    <row r="1680" spans="4:4" ht="17.649999999999999" x14ac:dyDescent="0.5">
      <c r="D1680" s="3" t="s">
        <v>87</v>
      </c>
    </row>
    <row r="1681" spans="4:4" ht="17.649999999999999" x14ac:dyDescent="0.5">
      <c r="D1681" s="3" t="s">
        <v>55</v>
      </c>
    </row>
    <row r="1682" spans="4:4" ht="17.649999999999999" x14ac:dyDescent="0.5">
      <c r="D1682" s="3" t="s">
        <v>64</v>
      </c>
    </row>
    <row r="1683" spans="4:4" ht="17.649999999999999" x14ac:dyDescent="0.5">
      <c r="D1683" s="3" t="s">
        <v>50</v>
      </c>
    </row>
    <row r="1684" spans="4:4" ht="17.649999999999999" x14ac:dyDescent="0.5">
      <c r="D1684" s="3" t="s">
        <v>63</v>
      </c>
    </row>
    <row r="1685" spans="4:4" ht="17.649999999999999" x14ac:dyDescent="0.5">
      <c r="D1685" s="3" t="s">
        <v>62</v>
      </c>
    </row>
    <row r="1686" spans="4:4" ht="17.649999999999999" x14ac:dyDescent="0.5">
      <c r="D1686" s="3" t="s">
        <v>81</v>
      </c>
    </row>
    <row r="1687" spans="4:4" ht="17.649999999999999" x14ac:dyDescent="0.5">
      <c r="D1687" s="3" t="s">
        <v>96</v>
      </c>
    </row>
    <row r="1688" spans="4:4" ht="17.649999999999999" x14ac:dyDescent="0.5">
      <c r="D1688" s="3" t="s">
        <v>129</v>
      </c>
    </row>
    <row r="1689" spans="4:4" ht="17.649999999999999" x14ac:dyDescent="0.5">
      <c r="D1689" s="3" t="s">
        <v>56</v>
      </c>
    </row>
    <row r="1690" spans="4:4" ht="17.649999999999999" x14ac:dyDescent="0.5">
      <c r="D1690" s="3" t="s">
        <v>132</v>
      </c>
    </row>
    <row r="1691" spans="4:4" ht="17.649999999999999" x14ac:dyDescent="0.5">
      <c r="D1691" s="3" t="s">
        <v>94</v>
      </c>
    </row>
    <row r="1692" spans="4:4" ht="17.649999999999999" x14ac:dyDescent="0.5">
      <c r="D1692" s="3" t="s">
        <v>78</v>
      </c>
    </row>
    <row r="1693" spans="4:4" ht="17.649999999999999" x14ac:dyDescent="0.5">
      <c r="D1693" s="3" t="s">
        <v>79</v>
      </c>
    </row>
    <row r="1694" spans="4:4" ht="17.649999999999999" x14ac:dyDescent="0.5">
      <c r="D1694" s="3" t="s">
        <v>85</v>
      </c>
    </row>
    <row r="1695" spans="4:4" ht="17.649999999999999" x14ac:dyDescent="0.5">
      <c r="D1695" s="3" t="s">
        <v>104</v>
      </c>
    </row>
    <row r="1696" spans="4:4" ht="17.649999999999999" x14ac:dyDescent="0.5">
      <c r="D1696" s="3" t="s">
        <v>45</v>
      </c>
    </row>
    <row r="1697" spans="4:4" ht="17.649999999999999" x14ac:dyDescent="0.5">
      <c r="D1697" s="3" t="s">
        <v>49</v>
      </c>
    </row>
    <row r="1698" spans="4:4" ht="17.649999999999999" x14ac:dyDescent="0.5">
      <c r="D1698" s="3" t="s">
        <v>50</v>
      </c>
    </row>
    <row r="1699" spans="4:4" ht="17.649999999999999" x14ac:dyDescent="0.5">
      <c r="D1699" s="3" t="s">
        <v>106</v>
      </c>
    </row>
    <row r="1700" spans="4:4" ht="17.649999999999999" x14ac:dyDescent="0.5">
      <c r="D1700" s="3" t="s">
        <v>105</v>
      </c>
    </row>
    <row r="1701" spans="4:4" ht="17.649999999999999" x14ac:dyDescent="0.5">
      <c r="D1701" s="3" t="s">
        <v>75</v>
      </c>
    </row>
    <row r="1702" spans="4:4" ht="17.649999999999999" x14ac:dyDescent="0.5">
      <c r="D1702" s="3" t="s">
        <v>60</v>
      </c>
    </row>
    <row r="1703" spans="4:4" ht="17.649999999999999" x14ac:dyDescent="0.5">
      <c r="D1703" s="3" t="s">
        <v>94</v>
      </c>
    </row>
    <row r="1704" spans="4:4" ht="17.649999999999999" x14ac:dyDescent="0.5">
      <c r="D1704" s="3" t="s">
        <v>78</v>
      </c>
    </row>
    <row r="1705" spans="4:4" ht="17.649999999999999" x14ac:dyDescent="0.5">
      <c r="D1705" s="3" t="s">
        <v>84</v>
      </c>
    </row>
    <row r="1706" spans="4:4" ht="17.649999999999999" x14ac:dyDescent="0.5">
      <c r="D1706" s="3" t="s">
        <v>78</v>
      </c>
    </row>
    <row r="1707" spans="4:4" ht="17.649999999999999" x14ac:dyDescent="0.5">
      <c r="D1707" s="3" t="s">
        <v>41</v>
      </c>
    </row>
    <row r="1708" spans="4:4" ht="17.649999999999999" x14ac:dyDescent="0.5">
      <c r="D1708" s="3" t="s">
        <v>125</v>
      </c>
    </row>
    <row r="1709" spans="4:4" ht="17.649999999999999" x14ac:dyDescent="0.5">
      <c r="D1709" s="3" t="s">
        <v>43</v>
      </c>
    </row>
    <row r="1710" spans="4:4" ht="17.649999999999999" x14ac:dyDescent="0.5">
      <c r="D1710" s="3" t="s">
        <v>73</v>
      </c>
    </row>
    <row r="1711" spans="4:4" ht="17.649999999999999" x14ac:dyDescent="0.5">
      <c r="D1711" s="3" t="s">
        <v>91</v>
      </c>
    </row>
    <row r="1712" spans="4:4" ht="17.649999999999999" x14ac:dyDescent="0.5">
      <c r="D1712" s="3" t="s">
        <v>51</v>
      </c>
    </row>
    <row r="1713" spans="4:4" ht="17.649999999999999" x14ac:dyDescent="0.5">
      <c r="D1713" s="3" t="s">
        <v>65</v>
      </c>
    </row>
    <row r="1714" spans="4:4" ht="17.649999999999999" x14ac:dyDescent="0.5">
      <c r="D1714" s="3" t="s">
        <v>47</v>
      </c>
    </row>
    <row r="1715" spans="4:4" ht="17.649999999999999" x14ac:dyDescent="0.5">
      <c r="D1715" s="3" t="s">
        <v>97</v>
      </c>
    </row>
    <row r="1716" spans="4:4" ht="17.649999999999999" x14ac:dyDescent="0.5">
      <c r="D1716" s="3" t="s">
        <v>87</v>
      </c>
    </row>
    <row r="1717" spans="4:4" ht="17.649999999999999" x14ac:dyDescent="0.5">
      <c r="D1717" s="3" t="s">
        <v>50</v>
      </c>
    </row>
    <row r="1718" spans="4:4" ht="17.649999999999999" x14ac:dyDescent="0.5">
      <c r="D1718" s="3" t="s">
        <v>64</v>
      </c>
    </row>
    <row r="1719" spans="4:4" ht="17.649999999999999" x14ac:dyDescent="0.5">
      <c r="D1719" s="3" t="s">
        <v>61</v>
      </c>
    </row>
    <row r="1720" spans="4:4" ht="17.649999999999999" x14ac:dyDescent="0.5">
      <c r="D1720" s="3" t="s">
        <v>83</v>
      </c>
    </row>
    <row r="1721" spans="4:4" ht="17.649999999999999" x14ac:dyDescent="0.5">
      <c r="D1721" s="3" t="s">
        <v>56</v>
      </c>
    </row>
    <row r="1722" spans="4:4" ht="17.649999999999999" x14ac:dyDescent="0.5">
      <c r="D1722" s="3" t="s">
        <v>112</v>
      </c>
    </row>
    <row r="1723" spans="4:4" ht="17.649999999999999" x14ac:dyDescent="0.5">
      <c r="D1723" s="3" t="s">
        <v>64</v>
      </c>
    </row>
    <row r="1724" spans="4:4" ht="17.649999999999999" x14ac:dyDescent="0.5">
      <c r="D1724" s="3" t="s">
        <v>65</v>
      </c>
    </row>
    <row r="1725" spans="4:4" ht="17.649999999999999" x14ac:dyDescent="0.5">
      <c r="D1725" s="3" t="s">
        <v>71</v>
      </c>
    </row>
    <row r="1726" spans="4:4" ht="17.649999999999999" x14ac:dyDescent="0.5">
      <c r="D1726" s="3" t="s">
        <v>51</v>
      </c>
    </row>
    <row r="1727" spans="4:4" ht="17.649999999999999" x14ac:dyDescent="0.5">
      <c r="D1727" s="3" t="s">
        <v>47</v>
      </c>
    </row>
    <row r="1728" spans="4:4" ht="17.649999999999999" x14ac:dyDescent="0.5">
      <c r="D1728" s="3" t="s">
        <v>48</v>
      </c>
    </row>
    <row r="1729" spans="4:4" ht="17.649999999999999" x14ac:dyDescent="0.5">
      <c r="D1729" s="3" t="s">
        <v>83</v>
      </c>
    </row>
    <row r="1730" spans="4:4" ht="17.649999999999999" x14ac:dyDescent="0.5">
      <c r="D1730" s="3" t="s">
        <v>103</v>
      </c>
    </row>
    <row r="1731" spans="4:4" ht="17.649999999999999" x14ac:dyDescent="0.5">
      <c r="D1731" s="3" t="s">
        <v>87</v>
      </c>
    </row>
    <row r="1732" spans="4:4" ht="17.649999999999999" x14ac:dyDescent="0.5">
      <c r="D1732" s="3" t="s">
        <v>63</v>
      </c>
    </row>
    <row r="1733" spans="4:4" ht="17.649999999999999" x14ac:dyDescent="0.5">
      <c r="D1733" s="3" t="s">
        <v>126</v>
      </c>
    </row>
    <row r="1734" spans="4:4" ht="17.649999999999999" x14ac:dyDescent="0.5">
      <c r="D1734" s="3" t="s">
        <v>43</v>
      </c>
    </row>
    <row r="1735" spans="4:4" ht="17.649999999999999" x14ac:dyDescent="0.5">
      <c r="D1735" s="3" t="s">
        <v>55</v>
      </c>
    </row>
    <row r="1736" spans="4:4" ht="17.649999999999999" x14ac:dyDescent="0.5">
      <c r="D1736" s="3" t="s">
        <v>73</v>
      </c>
    </row>
    <row r="1737" spans="4:4" ht="17.649999999999999" x14ac:dyDescent="0.5">
      <c r="D1737" s="3" t="s">
        <v>112</v>
      </c>
    </row>
    <row r="1738" spans="4:4" ht="17.649999999999999" x14ac:dyDescent="0.5">
      <c r="D1738" s="3" t="s">
        <v>101</v>
      </c>
    </row>
    <row r="1739" spans="4:4" ht="17.649999999999999" x14ac:dyDescent="0.5">
      <c r="D1739" s="3" t="s">
        <v>95</v>
      </c>
    </row>
    <row r="1740" spans="4:4" ht="17.649999999999999" x14ac:dyDescent="0.5">
      <c r="D1740" s="3" t="s">
        <v>81</v>
      </c>
    </row>
    <row r="1741" spans="4:4" ht="17.649999999999999" x14ac:dyDescent="0.5">
      <c r="D1741" s="3" t="s">
        <v>131</v>
      </c>
    </row>
    <row r="1742" spans="4:4" ht="17.649999999999999" x14ac:dyDescent="0.5">
      <c r="D1742" s="3" t="s">
        <v>133</v>
      </c>
    </row>
    <row r="1743" spans="4:4" ht="17.649999999999999" x14ac:dyDescent="0.5">
      <c r="D1743" s="3" t="s">
        <v>107</v>
      </c>
    </row>
    <row r="1744" spans="4:4" ht="17.649999999999999" x14ac:dyDescent="0.5">
      <c r="D1744" s="3" t="s">
        <v>60</v>
      </c>
    </row>
    <row r="1745" spans="4:4" ht="17.649999999999999" x14ac:dyDescent="0.5">
      <c r="D1745" s="3" t="s">
        <v>112</v>
      </c>
    </row>
    <row r="1746" spans="4:4" ht="17.649999999999999" x14ac:dyDescent="0.5">
      <c r="D1746" s="3" t="s">
        <v>87</v>
      </c>
    </row>
    <row r="1747" spans="4:4" ht="17.649999999999999" x14ac:dyDescent="0.5">
      <c r="D1747" s="3" t="s">
        <v>114</v>
      </c>
    </row>
    <row r="1748" spans="4:4" ht="17.649999999999999" x14ac:dyDescent="0.5">
      <c r="D1748" s="3" t="s">
        <v>117</v>
      </c>
    </row>
    <row r="1749" spans="4:4" ht="17.649999999999999" x14ac:dyDescent="0.5">
      <c r="D1749" s="3" t="s">
        <v>42</v>
      </c>
    </row>
    <row r="1750" spans="4:4" ht="17.649999999999999" x14ac:dyDescent="0.5">
      <c r="D1750" s="3" t="s">
        <v>113</v>
      </c>
    </row>
    <row r="1751" spans="4:4" ht="17.649999999999999" x14ac:dyDescent="0.5">
      <c r="D1751" s="3" t="s">
        <v>73</v>
      </c>
    </row>
    <row r="1752" spans="4:4" ht="17.649999999999999" x14ac:dyDescent="0.5">
      <c r="D1752" s="3" t="s">
        <v>126</v>
      </c>
    </row>
    <row r="1753" spans="4:4" ht="17.649999999999999" x14ac:dyDescent="0.5">
      <c r="D1753" s="3" t="s">
        <v>46</v>
      </c>
    </row>
    <row r="1754" spans="4:4" ht="17.649999999999999" x14ac:dyDescent="0.5">
      <c r="D1754" s="3" t="s">
        <v>84</v>
      </c>
    </row>
    <row r="1755" spans="4:4" ht="17.649999999999999" x14ac:dyDescent="0.5">
      <c r="D1755" s="3" t="s">
        <v>83</v>
      </c>
    </row>
    <row r="1756" spans="4:4" ht="17.649999999999999" x14ac:dyDescent="0.5">
      <c r="D1756" s="3" t="s">
        <v>87</v>
      </c>
    </row>
    <row r="1757" spans="4:4" ht="17.649999999999999" x14ac:dyDescent="0.5">
      <c r="D1757" s="3" t="s">
        <v>45</v>
      </c>
    </row>
    <row r="1758" spans="4:4" ht="17.649999999999999" x14ac:dyDescent="0.5">
      <c r="D1758" s="3" t="s">
        <v>116</v>
      </c>
    </row>
    <row r="1759" spans="4:4" ht="17.649999999999999" x14ac:dyDescent="0.5">
      <c r="D1759" s="3" t="s">
        <v>42</v>
      </c>
    </row>
    <row r="1760" spans="4:4" ht="17.649999999999999" x14ac:dyDescent="0.5">
      <c r="D1760" s="3" t="s">
        <v>69</v>
      </c>
    </row>
    <row r="1761" spans="4:4" ht="17.649999999999999" x14ac:dyDescent="0.5">
      <c r="D1761" s="3" t="s">
        <v>67</v>
      </c>
    </row>
    <row r="1762" spans="4:4" ht="17.649999999999999" x14ac:dyDescent="0.5">
      <c r="D1762" s="3" t="s">
        <v>82</v>
      </c>
    </row>
    <row r="1763" spans="4:4" ht="17.649999999999999" x14ac:dyDescent="0.5">
      <c r="D1763" s="3" t="s">
        <v>111</v>
      </c>
    </row>
    <row r="1764" spans="4:4" ht="17.649999999999999" x14ac:dyDescent="0.5">
      <c r="D1764" s="3" t="s">
        <v>53</v>
      </c>
    </row>
    <row r="1765" spans="4:4" ht="17.649999999999999" x14ac:dyDescent="0.5">
      <c r="D1765" s="3" t="s">
        <v>80</v>
      </c>
    </row>
    <row r="1766" spans="4:4" ht="17.649999999999999" x14ac:dyDescent="0.5">
      <c r="D1766" s="3" t="s">
        <v>43</v>
      </c>
    </row>
    <row r="1767" spans="4:4" ht="17.649999999999999" x14ac:dyDescent="0.5">
      <c r="D1767" s="3" t="s">
        <v>55</v>
      </c>
    </row>
    <row r="1768" spans="4:4" ht="17.649999999999999" x14ac:dyDescent="0.5">
      <c r="D1768" s="3" t="s">
        <v>107</v>
      </c>
    </row>
    <row r="1769" spans="4:4" ht="17.649999999999999" x14ac:dyDescent="0.5">
      <c r="D1769" s="3" t="s">
        <v>113</v>
      </c>
    </row>
    <row r="1770" spans="4:4" ht="17.649999999999999" x14ac:dyDescent="0.5">
      <c r="D1770" s="3" t="s">
        <v>61</v>
      </c>
    </row>
    <row r="1771" spans="4:4" ht="17.649999999999999" x14ac:dyDescent="0.5">
      <c r="D1771" s="3" t="s">
        <v>107</v>
      </c>
    </row>
    <row r="1772" spans="4:4" ht="17.649999999999999" x14ac:dyDescent="0.5">
      <c r="D1772" s="3" t="s">
        <v>75</v>
      </c>
    </row>
    <row r="1773" spans="4:4" ht="17.649999999999999" x14ac:dyDescent="0.5">
      <c r="D1773" s="3" t="s">
        <v>63</v>
      </c>
    </row>
    <row r="1774" spans="4:4" ht="17.649999999999999" x14ac:dyDescent="0.5">
      <c r="D1774" s="3" t="s">
        <v>68</v>
      </c>
    </row>
    <row r="1775" spans="4:4" ht="17.649999999999999" x14ac:dyDescent="0.5">
      <c r="D1775" s="3" t="s">
        <v>69</v>
      </c>
    </row>
    <row r="1776" spans="4:4" ht="17.649999999999999" x14ac:dyDescent="0.5">
      <c r="D1776" s="3" t="s">
        <v>54</v>
      </c>
    </row>
    <row r="1777" spans="4:4" ht="17.649999999999999" x14ac:dyDescent="0.5">
      <c r="D1777" s="3" t="s">
        <v>117</v>
      </c>
    </row>
    <row r="1778" spans="4:4" ht="17.649999999999999" x14ac:dyDescent="0.5">
      <c r="D1778" s="3" t="s">
        <v>105</v>
      </c>
    </row>
    <row r="1779" spans="4:4" ht="17.649999999999999" x14ac:dyDescent="0.5">
      <c r="D1779" s="3" t="s">
        <v>44</v>
      </c>
    </row>
    <row r="1780" spans="4:4" ht="17.649999999999999" x14ac:dyDescent="0.5">
      <c r="D1780" s="3" t="s">
        <v>53</v>
      </c>
    </row>
    <row r="1781" spans="4:4" ht="17.649999999999999" x14ac:dyDescent="0.5">
      <c r="D1781" s="3" t="s">
        <v>81</v>
      </c>
    </row>
    <row r="1782" spans="4:4" ht="17.649999999999999" x14ac:dyDescent="0.5">
      <c r="D1782" s="3" t="s">
        <v>90</v>
      </c>
    </row>
    <row r="1783" spans="4:4" ht="17.649999999999999" x14ac:dyDescent="0.5">
      <c r="D1783" s="3" t="s">
        <v>80</v>
      </c>
    </row>
    <row r="1784" spans="4:4" ht="17.649999999999999" x14ac:dyDescent="0.5">
      <c r="D1784" s="3" t="s">
        <v>53</v>
      </c>
    </row>
    <row r="1785" spans="4:4" ht="17.649999999999999" x14ac:dyDescent="0.5">
      <c r="D1785" s="3" t="s">
        <v>78</v>
      </c>
    </row>
    <row r="1786" spans="4:4" ht="17.649999999999999" x14ac:dyDescent="0.5">
      <c r="D1786" s="3" t="s">
        <v>70</v>
      </c>
    </row>
    <row r="1787" spans="4:4" ht="17.649999999999999" x14ac:dyDescent="0.5">
      <c r="D1787" s="3" t="s">
        <v>81</v>
      </c>
    </row>
    <row r="1788" spans="4:4" ht="17.649999999999999" x14ac:dyDescent="0.5">
      <c r="D1788" s="3" t="s">
        <v>91</v>
      </c>
    </row>
    <row r="1789" spans="4:4" ht="17.649999999999999" x14ac:dyDescent="0.5">
      <c r="D1789" s="3" t="s">
        <v>44</v>
      </c>
    </row>
    <row r="1790" spans="4:4" ht="17.649999999999999" x14ac:dyDescent="0.5">
      <c r="D1790" s="3" t="s">
        <v>64</v>
      </c>
    </row>
    <row r="1791" spans="4:4" ht="17.649999999999999" x14ac:dyDescent="0.5">
      <c r="D1791" s="3" t="s">
        <v>63</v>
      </c>
    </row>
    <row r="1792" spans="4:4" ht="17.649999999999999" x14ac:dyDescent="0.5">
      <c r="D1792" s="3" t="s">
        <v>41</v>
      </c>
    </row>
    <row r="1793" spans="4:4" ht="17.649999999999999" x14ac:dyDescent="0.5">
      <c r="D1793" s="3" t="s">
        <v>118</v>
      </c>
    </row>
    <row r="1794" spans="4:4" ht="17.649999999999999" x14ac:dyDescent="0.5">
      <c r="D1794" s="3" t="s">
        <v>85</v>
      </c>
    </row>
    <row r="1795" spans="4:4" ht="17.649999999999999" x14ac:dyDescent="0.5">
      <c r="D1795" s="3" t="s">
        <v>41</v>
      </c>
    </row>
    <row r="1796" spans="4:4" ht="17.649999999999999" x14ac:dyDescent="0.5">
      <c r="D1796" s="3" t="s">
        <v>113</v>
      </c>
    </row>
    <row r="1797" spans="4:4" ht="17.649999999999999" x14ac:dyDescent="0.5">
      <c r="D1797" s="3" t="s">
        <v>74</v>
      </c>
    </row>
    <row r="1798" spans="4:4" ht="17.649999999999999" x14ac:dyDescent="0.5">
      <c r="D1798" s="3" t="s">
        <v>65</v>
      </c>
    </row>
    <row r="1799" spans="4:4" ht="17.649999999999999" x14ac:dyDescent="0.5">
      <c r="D1799" s="3" t="s">
        <v>66</v>
      </c>
    </row>
    <row r="1800" spans="4:4" ht="17.649999999999999" x14ac:dyDescent="0.5">
      <c r="D1800" s="3" t="s">
        <v>107</v>
      </c>
    </row>
    <row r="1801" spans="4:4" ht="17.649999999999999" x14ac:dyDescent="0.5">
      <c r="D1801" s="3" t="s">
        <v>134</v>
      </c>
    </row>
    <row r="1802" spans="4:4" ht="17.649999999999999" x14ac:dyDescent="0.5">
      <c r="D1802" s="3" t="s">
        <v>75</v>
      </c>
    </row>
    <row r="1803" spans="4:4" ht="17.649999999999999" x14ac:dyDescent="0.5">
      <c r="D1803" s="3" t="s">
        <v>46</v>
      </c>
    </row>
    <row r="1804" spans="4:4" ht="17.649999999999999" x14ac:dyDescent="0.5">
      <c r="D1804" s="3" t="s">
        <v>51</v>
      </c>
    </row>
    <row r="1805" spans="4:4" ht="17.649999999999999" x14ac:dyDescent="0.5">
      <c r="D1805" s="3" t="s">
        <v>68</v>
      </c>
    </row>
    <row r="1806" spans="4:4" ht="17.649999999999999" x14ac:dyDescent="0.5">
      <c r="D1806" s="3" t="s">
        <v>107</v>
      </c>
    </row>
    <row r="1807" spans="4:4" ht="17.649999999999999" x14ac:dyDescent="0.5">
      <c r="D1807" s="3" t="s">
        <v>131</v>
      </c>
    </row>
    <row r="1808" spans="4:4" ht="17.649999999999999" x14ac:dyDescent="0.5">
      <c r="D1808" s="3" t="s">
        <v>74</v>
      </c>
    </row>
    <row r="1809" spans="4:4" ht="17.649999999999999" x14ac:dyDescent="0.5">
      <c r="D1809" s="3" t="s">
        <v>104</v>
      </c>
    </row>
    <row r="1810" spans="4:4" ht="17.649999999999999" x14ac:dyDescent="0.5">
      <c r="D1810" s="3" t="s">
        <v>55</v>
      </c>
    </row>
    <row r="1811" spans="4:4" ht="17.649999999999999" x14ac:dyDescent="0.5">
      <c r="D1811" s="3" t="s">
        <v>43</v>
      </c>
    </row>
    <row r="1812" spans="4:4" ht="17.649999999999999" x14ac:dyDescent="0.5">
      <c r="D1812" s="3" t="s">
        <v>75</v>
      </c>
    </row>
    <row r="1813" spans="4:4" ht="17.649999999999999" x14ac:dyDescent="0.5">
      <c r="D1813" s="3" t="s">
        <v>41</v>
      </c>
    </row>
    <row r="1814" spans="4:4" ht="17.649999999999999" x14ac:dyDescent="0.5">
      <c r="D1814" s="3" t="s">
        <v>66</v>
      </c>
    </row>
    <row r="1815" spans="4:4" ht="17.649999999999999" x14ac:dyDescent="0.5">
      <c r="D1815" s="3" t="s">
        <v>65</v>
      </c>
    </row>
    <row r="1816" spans="4:4" ht="17.649999999999999" x14ac:dyDescent="0.5">
      <c r="D1816" s="3" t="s">
        <v>107</v>
      </c>
    </row>
    <row r="1817" spans="4:4" ht="17.649999999999999" x14ac:dyDescent="0.5">
      <c r="D1817" s="3" t="s">
        <v>48</v>
      </c>
    </row>
    <row r="1818" spans="4:4" ht="17.649999999999999" x14ac:dyDescent="0.5">
      <c r="D1818" s="3" t="s">
        <v>64</v>
      </c>
    </row>
    <row r="1819" spans="4:4" ht="17.649999999999999" x14ac:dyDescent="0.5">
      <c r="D1819" s="3" t="s">
        <v>61</v>
      </c>
    </row>
    <row r="1820" spans="4:4" ht="17.649999999999999" x14ac:dyDescent="0.5">
      <c r="D1820" s="3" t="s">
        <v>84</v>
      </c>
    </row>
    <row r="1821" spans="4:4" ht="17.649999999999999" x14ac:dyDescent="0.5">
      <c r="D1821" s="3" t="s">
        <v>67</v>
      </c>
    </row>
    <row r="1822" spans="4:4" ht="17.649999999999999" x14ac:dyDescent="0.5">
      <c r="D1822" s="3" t="s">
        <v>94</v>
      </c>
    </row>
    <row r="1823" spans="4:4" ht="17.649999999999999" x14ac:dyDescent="0.5">
      <c r="D1823" s="3" t="s">
        <v>91</v>
      </c>
    </row>
    <row r="1824" spans="4:4" ht="17.649999999999999" x14ac:dyDescent="0.5">
      <c r="D1824" s="3" t="s">
        <v>105</v>
      </c>
    </row>
    <row r="1825" spans="4:4" ht="17.649999999999999" x14ac:dyDescent="0.5">
      <c r="D1825" s="3" t="s">
        <v>80</v>
      </c>
    </row>
    <row r="1826" spans="4:4" ht="17.649999999999999" x14ac:dyDescent="0.5">
      <c r="D1826" s="3" t="s">
        <v>82</v>
      </c>
    </row>
    <row r="1827" spans="4:4" ht="17.649999999999999" x14ac:dyDescent="0.5">
      <c r="D1827" s="3" t="s">
        <v>67</v>
      </c>
    </row>
    <row r="1828" spans="4:4" ht="17.649999999999999" x14ac:dyDescent="0.5">
      <c r="D1828" s="3" t="s">
        <v>80</v>
      </c>
    </row>
    <row r="1829" spans="4:4" ht="17.649999999999999" x14ac:dyDescent="0.5">
      <c r="D1829" s="3" t="s">
        <v>83</v>
      </c>
    </row>
    <row r="1830" spans="4:4" ht="17.649999999999999" x14ac:dyDescent="0.5">
      <c r="D1830" s="3" t="s">
        <v>112</v>
      </c>
    </row>
    <row r="1831" spans="4:4" ht="17.649999999999999" x14ac:dyDescent="0.5">
      <c r="D1831" s="3" t="s">
        <v>49</v>
      </c>
    </row>
    <row r="1832" spans="4:4" ht="17.649999999999999" x14ac:dyDescent="0.5">
      <c r="D1832" s="3" t="s">
        <v>47</v>
      </c>
    </row>
    <row r="1833" spans="4:4" ht="17.649999999999999" x14ac:dyDescent="0.5">
      <c r="D1833" s="3" t="s">
        <v>67</v>
      </c>
    </row>
    <row r="1834" spans="4:4" ht="17.649999999999999" x14ac:dyDescent="0.5">
      <c r="D1834" s="3" t="s">
        <v>105</v>
      </c>
    </row>
    <row r="1835" spans="4:4" ht="17.649999999999999" x14ac:dyDescent="0.5">
      <c r="D1835" s="3" t="s">
        <v>67</v>
      </c>
    </row>
    <row r="1836" spans="4:4" ht="17.649999999999999" x14ac:dyDescent="0.5">
      <c r="D1836" s="3" t="s">
        <v>56</v>
      </c>
    </row>
    <row r="1837" spans="4:4" ht="17.649999999999999" x14ac:dyDescent="0.5">
      <c r="D1837" s="3" t="s">
        <v>121</v>
      </c>
    </row>
    <row r="1838" spans="4:4" ht="17.649999999999999" x14ac:dyDescent="0.5">
      <c r="D1838" s="3" t="s">
        <v>76</v>
      </c>
    </row>
    <row r="1839" spans="4:4" ht="17.649999999999999" x14ac:dyDescent="0.5">
      <c r="D1839" s="3" t="s">
        <v>47</v>
      </c>
    </row>
    <row r="1840" spans="4:4" ht="17.649999999999999" x14ac:dyDescent="0.5">
      <c r="D1840" s="3" t="s">
        <v>117</v>
      </c>
    </row>
    <row r="1841" spans="4:4" ht="17.649999999999999" x14ac:dyDescent="0.5">
      <c r="D1841" s="3" t="s">
        <v>127</v>
      </c>
    </row>
    <row r="1842" spans="4:4" ht="17.649999999999999" x14ac:dyDescent="0.5">
      <c r="D1842" s="3" t="s">
        <v>63</v>
      </c>
    </row>
    <row r="1843" spans="4:4" ht="17.649999999999999" x14ac:dyDescent="0.5">
      <c r="D1843" s="3" t="s">
        <v>64</v>
      </c>
    </row>
    <row r="1844" spans="4:4" ht="17.649999999999999" x14ac:dyDescent="0.5">
      <c r="D1844" s="3" t="s">
        <v>59</v>
      </c>
    </row>
    <row r="1845" spans="4:4" ht="17.649999999999999" x14ac:dyDescent="0.5">
      <c r="D1845" s="3" t="s">
        <v>67</v>
      </c>
    </row>
    <row r="1846" spans="4:4" ht="17.649999999999999" x14ac:dyDescent="0.5">
      <c r="D1846" s="3" t="s">
        <v>63</v>
      </c>
    </row>
    <row r="1847" spans="4:4" ht="17.649999999999999" x14ac:dyDescent="0.5">
      <c r="D1847" s="3" t="s">
        <v>68</v>
      </c>
    </row>
    <row r="1848" spans="4:4" ht="17.649999999999999" x14ac:dyDescent="0.5">
      <c r="D1848" s="3" t="s">
        <v>133</v>
      </c>
    </row>
    <row r="1849" spans="4:4" ht="17.649999999999999" x14ac:dyDescent="0.5">
      <c r="D1849" s="3" t="s">
        <v>75</v>
      </c>
    </row>
    <row r="1850" spans="4:4" ht="17.649999999999999" x14ac:dyDescent="0.5">
      <c r="D1850" s="3" t="s">
        <v>65</v>
      </c>
    </row>
    <row r="1851" spans="4:4" ht="17.649999999999999" x14ac:dyDescent="0.5">
      <c r="D1851" s="3" t="s">
        <v>136</v>
      </c>
    </row>
    <row r="1852" spans="4:4" ht="17.649999999999999" x14ac:dyDescent="0.5">
      <c r="D1852" s="3" t="s">
        <v>77</v>
      </c>
    </row>
    <row r="1853" spans="4:4" ht="17.649999999999999" x14ac:dyDescent="0.5">
      <c r="D1853" s="3" t="s">
        <v>73</v>
      </c>
    </row>
    <row r="1854" spans="4:4" ht="17.649999999999999" x14ac:dyDescent="0.5">
      <c r="D1854" s="3" t="s">
        <v>73</v>
      </c>
    </row>
    <row r="1855" spans="4:4" ht="17.649999999999999" x14ac:dyDescent="0.5">
      <c r="D1855" s="3" t="s">
        <v>106</v>
      </c>
    </row>
    <row r="1856" spans="4:4" ht="17.649999999999999" x14ac:dyDescent="0.5">
      <c r="D1856" s="3" t="s">
        <v>120</v>
      </c>
    </row>
    <row r="1857" spans="4:4" ht="17.649999999999999" x14ac:dyDescent="0.5">
      <c r="D1857" s="3" t="s">
        <v>62</v>
      </c>
    </row>
    <row r="1858" spans="4:4" ht="17.649999999999999" x14ac:dyDescent="0.5">
      <c r="D1858" s="3" t="s">
        <v>48</v>
      </c>
    </row>
    <row r="1859" spans="4:4" ht="17.649999999999999" x14ac:dyDescent="0.5">
      <c r="D1859" s="3" t="s">
        <v>46</v>
      </c>
    </row>
    <row r="1860" spans="4:4" ht="17.649999999999999" x14ac:dyDescent="0.5">
      <c r="D1860" s="3" t="s">
        <v>103</v>
      </c>
    </row>
    <row r="1861" spans="4:4" ht="17.649999999999999" x14ac:dyDescent="0.5">
      <c r="D1861" s="3" t="s">
        <v>97</v>
      </c>
    </row>
    <row r="1862" spans="4:4" ht="17.649999999999999" x14ac:dyDescent="0.5">
      <c r="D1862" s="3" t="s">
        <v>52</v>
      </c>
    </row>
    <row r="1863" spans="4:4" ht="17.649999999999999" x14ac:dyDescent="0.5">
      <c r="D1863" s="3" t="s">
        <v>49</v>
      </c>
    </row>
    <row r="1864" spans="4:4" ht="17.649999999999999" x14ac:dyDescent="0.5">
      <c r="D1864" s="3" t="s">
        <v>117</v>
      </c>
    </row>
    <row r="1865" spans="4:4" ht="17.649999999999999" x14ac:dyDescent="0.5">
      <c r="D1865" s="3" t="s">
        <v>134</v>
      </c>
    </row>
    <row r="1866" spans="4:4" ht="17.649999999999999" x14ac:dyDescent="0.5">
      <c r="D1866" s="3" t="s">
        <v>58</v>
      </c>
    </row>
    <row r="1867" spans="4:4" ht="17.649999999999999" x14ac:dyDescent="0.5">
      <c r="D1867" s="3" t="s">
        <v>56</v>
      </c>
    </row>
    <row r="1868" spans="4:4" ht="17.649999999999999" x14ac:dyDescent="0.5">
      <c r="D1868" s="3" t="s">
        <v>101</v>
      </c>
    </row>
    <row r="1869" spans="4:4" ht="17.649999999999999" x14ac:dyDescent="0.5">
      <c r="D1869" s="3" t="s">
        <v>49</v>
      </c>
    </row>
    <row r="1870" spans="4:4" ht="17.649999999999999" x14ac:dyDescent="0.5">
      <c r="D1870" s="3" t="s">
        <v>50</v>
      </c>
    </row>
    <row r="1871" spans="4:4" ht="17.649999999999999" x14ac:dyDescent="0.5">
      <c r="D1871" s="3" t="s">
        <v>126</v>
      </c>
    </row>
    <row r="1872" spans="4:4" ht="17.649999999999999" x14ac:dyDescent="0.5">
      <c r="D1872" s="3" t="s">
        <v>61</v>
      </c>
    </row>
    <row r="1873" spans="4:4" ht="17.649999999999999" x14ac:dyDescent="0.5">
      <c r="D1873" s="3" t="s">
        <v>49</v>
      </c>
    </row>
    <row r="1874" spans="4:4" ht="17.649999999999999" x14ac:dyDescent="0.5">
      <c r="D1874" s="3" t="s">
        <v>59</v>
      </c>
    </row>
    <row r="1875" spans="4:4" ht="17.649999999999999" x14ac:dyDescent="0.5">
      <c r="D1875" s="3" t="s">
        <v>48</v>
      </c>
    </row>
    <row r="1876" spans="4:4" ht="17.649999999999999" x14ac:dyDescent="0.5">
      <c r="D1876" s="3" t="s">
        <v>117</v>
      </c>
    </row>
    <row r="1877" spans="4:4" ht="17.649999999999999" x14ac:dyDescent="0.5">
      <c r="D1877" s="3" t="s">
        <v>111</v>
      </c>
    </row>
    <row r="1878" spans="4:4" ht="17.649999999999999" x14ac:dyDescent="0.5">
      <c r="D1878" s="3" t="s">
        <v>67</v>
      </c>
    </row>
    <row r="1879" spans="4:4" ht="17.649999999999999" x14ac:dyDescent="0.5">
      <c r="D1879" s="3" t="s">
        <v>43</v>
      </c>
    </row>
    <row r="1880" spans="4:4" ht="17.649999999999999" x14ac:dyDescent="0.5">
      <c r="D1880" s="3" t="s">
        <v>115</v>
      </c>
    </row>
    <row r="1881" spans="4:4" ht="17.649999999999999" x14ac:dyDescent="0.5">
      <c r="D1881" s="3" t="s">
        <v>69</v>
      </c>
    </row>
    <row r="1882" spans="4:4" ht="17.649999999999999" x14ac:dyDescent="0.5">
      <c r="D1882" s="3" t="s">
        <v>94</v>
      </c>
    </row>
    <row r="1883" spans="4:4" ht="17.649999999999999" x14ac:dyDescent="0.5">
      <c r="D1883" s="3" t="s">
        <v>129</v>
      </c>
    </row>
    <row r="1884" spans="4:4" ht="17.649999999999999" x14ac:dyDescent="0.5">
      <c r="D1884" s="3" t="s">
        <v>109</v>
      </c>
    </row>
    <row r="1885" spans="4:4" ht="17.649999999999999" x14ac:dyDescent="0.5">
      <c r="D1885" s="3" t="s">
        <v>66</v>
      </c>
    </row>
    <row r="1886" spans="4:4" ht="17.649999999999999" x14ac:dyDescent="0.5">
      <c r="D1886" s="3" t="s">
        <v>41</v>
      </c>
    </row>
    <row r="1887" spans="4:4" ht="17.649999999999999" x14ac:dyDescent="0.5">
      <c r="D1887" s="3" t="s">
        <v>84</v>
      </c>
    </row>
    <row r="1888" spans="4:4" ht="17.649999999999999" x14ac:dyDescent="0.5">
      <c r="D1888" s="3" t="s">
        <v>103</v>
      </c>
    </row>
    <row r="1889" spans="4:4" ht="17.649999999999999" x14ac:dyDescent="0.5">
      <c r="D1889" s="3" t="s">
        <v>116</v>
      </c>
    </row>
    <row r="1890" spans="4:4" ht="17.649999999999999" x14ac:dyDescent="0.5">
      <c r="D1890" s="3" t="s">
        <v>64</v>
      </c>
    </row>
    <row r="1891" spans="4:4" ht="17.649999999999999" x14ac:dyDescent="0.5">
      <c r="D1891" s="3" t="s">
        <v>122</v>
      </c>
    </row>
    <row r="1892" spans="4:4" ht="17.649999999999999" x14ac:dyDescent="0.5">
      <c r="D1892" s="3" t="s">
        <v>53</v>
      </c>
    </row>
    <row r="1893" spans="4:4" ht="17.649999999999999" x14ac:dyDescent="0.5">
      <c r="D1893" s="3" t="s">
        <v>54</v>
      </c>
    </row>
    <row r="1894" spans="4:4" ht="17.649999999999999" x14ac:dyDescent="0.5">
      <c r="D1894" s="3" t="s">
        <v>112</v>
      </c>
    </row>
    <row r="1895" spans="4:4" ht="17.649999999999999" x14ac:dyDescent="0.5">
      <c r="D1895" s="3" t="s">
        <v>84</v>
      </c>
    </row>
    <row r="1896" spans="4:4" ht="17.649999999999999" x14ac:dyDescent="0.5">
      <c r="D1896" s="3" t="s">
        <v>70</v>
      </c>
    </row>
    <row r="1897" spans="4:4" ht="17.649999999999999" x14ac:dyDescent="0.5">
      <c r="D1897" s="3" t="s">
        <v>41</v>
      </c>
    </row>
    <row r="1898" spans="4:4" ht="17.649999999999999" x14ac:dyDescent="0.5">
      <c r="D1898" s="3" t="s">
        <v>98</v>
      </c>
    </row>
    <row r="1899" spans="4:4" ht="17.649999999999999" x14ac:dyDescent="0.5">
      <c r="D1899" s="3" t="s">
        <v>101</v>
      </c>
    </row>
    <row r="1900" spans="4:4" ht="17.649999999999999" x14ac:dyDescent="0.5">
      <c r="D1900" s="3" t="s">
        <v>70</v>
      </c>
    </row>
    <row r="1901" spans="4:4" ht="17.649999999999999" x14ac:dyDescent="0.5">
      <c r="D1901" s="3" t="s">
        <v>41</v>
      </c>
    </row>
    <row r="1902" spans="4:4" ht="17.649999999999999" x14ac:dyDescent="0.5">
      <c r="D1902" s="3" t="s">
        <v>66</v>
      </c>
    </row>
    <row r="1903" spans="4:4" ht="17.649999999999999" x14ac:dyDescent="0.5">
      <c r="D1903" s="3" t="s">
        <v>55</v>
      </c>
    </row>
    <row r="1904" spans="4:4" ht="17.649999999999999" x14ac:dyDescent="0.5">
      <c r="D1904" s="3" t="s">
        <v>85</v>
      </c>
    </row>
    <row r="1905" spans="4:4" ht="17.649999999999999" x14ac:dyDescent="0.5">
      <c r="D1905" s="3" t="s">
        <v>78</v>
      </c>
    </row>
    <row r="1906" spans="4:4" ht="17.649999999999999" x14ac:dyDescent="0.5">
      <c r="D1906" s="3" t="s">
        <v>90</v>
      </c>
    </row>
    <row r="1907" spans="4:4" ht="17.649999999999999" x14ac:dyDescent="0.5">
      <c r="D1907" s="3" t="s">
        <v>105</v>
      </c>
    </row>
    <row r="1908" spans="4:4" ht="17.649999999999999" x14ac:dyDescent="0.5">
      <c r="D1908" s="3" t="s">
        <v>81</v>
      </c>
    </row>
    <row r="1909" spans="4:4" ht="17.649999999999999" x14ac:dyDescent="0.5">
      <c r="D1909" s="3" t="s">
        <v>114</v>
      </c>
    </row>
    <row r="1910" spans="4:4" ht="17.649999999999999" x14ac:dyDescent="0.5">
      <c r="D1910" s="3" t="s">
        <v>75</v>
      </c>
    </row>
    <row r="1911" spans="4:4" ht="17.649999999999999" x14ac:dyDescent="0.5">
      <c r="D1911" s="3" t="s">
        <v>47</v>
      </c>
    </row>
    <row r="1912" spans="4:4" ht="17.649999999999999" x14ac:dyDescent="0.5">
      <c r="D1912" s="3" t="s">
        <v>78</v>
      </c>
    </row>
    <row r="1913" spans="4:4" ht="17.649999999999999" x14ac:dyDescent="0.5">
      <c r="D1913" s="3" t="s">
        <v>60</v>
      </c>
    </row>
    <row r="1914" spans="4:4" ht="17.649999999999999" x14ac:dyDescent="0.5">
      <c r="D1914" s="3" t="s">
        <v>50</v>
      </c>
    </row>
    <row r="1915" spans="4:4" ht="17.649999999999999" x14ac:dyDescent="0.5">
      <c r="D1915" s="3" t="s">
        <v>89</v>
      </c>
    </row>
    <row r="1916" spans="4:4" ht="17.649999999999999" x14ac:dyDescent="0.5">
      <c r="D1916" s="3" t="s">
        <v>106</v>
      </c>
    </row>
    <row r="1917" spans="4:4" ht="17.649999999999999" x14ac:dyDescent="0.5">
      <c r="D1917" s="3" t="s">
        <v>119</v>
      </c>
    </row>
    <row r="1918" spans="4:4" ht="17.649999999999999" x14ac:dyDescent="0.5">
      <c r="D1918" s="3" t="s">
        <v>81</v>
      </c>
    </row>
    <row r="1919" spans="4:4" ht="17.649999999999999" x14ac:dyDescent="0.5">
      <c r="D1919" s="3" t="s">
        <v>115</v>
      </c>
    </row>
    <row r="1920" spans="4:4" ht="17.649999999999999" x14ac:dyDescent="0.5">
      <c r="D1920" s="3" t="s">
        <v>84</v>
      </c>
    </row>
    <row r="1921" spans="4:4" ht="17.649999999999999" x14ac:dyDescent="0.5">
      <c r="D1921" s="3" t="s">
        <v>48</v>
      </c>
    </row>
    <row r="1922" spans="4:4" ht="17.649999999999999" x14ac:dyDescent="0.5">
      <c r="D1922" s="3" t="s">
        <v>50</v>
      </c>
    </row>
    <row r="1923" spans="4:4" ht="17.649999999999999" x14ac:dyDescent="0.5">
      <c r="D1923" s="3" t="s">
        <v>120</v>
      </c>
    </row>
    <row r="1924" spans="4:4" ht="17.649999999999999" x14ac:dyDescent="0.5">
      <c r="D1924" s="3" t="s">
        <v>67</v>
      </c>
    </row>
    <row r="1925" spans="4:4" ht="17.649999999999999" x14ac:dyDescent="0.5">
      <c r="D1925" s="3" t="s">
        <v>80</v>
      </c>
    </row>
    <row r="1926" spans="4:4" ht="17.649999999999999" x14ac:dyDescent="0.5">
      <c r="D1926" s="3" t="s">
        <v>59</v>
      </c>
    </row>
    <row r="1927" spans="4:4" ht="17.649999999999999" x14ac:dyDescent="0.5">
      <c r="D1927" s="3" t="s">
        <v>88</v>
      </c>
    </row>
    <row r="1928" spans="4:4" ht="17.649999999999999" x14ac:dyDescent="0.5">
      <c r="D1928" s="3" t="s">
        <v>98</v>
      </c>
    </row>
    <row r="1929" spans="4:4" ht="17.649999999999999" x14ac:dyDescent="0.5">
      <c r="D1929" s="3" t="s">
        <v>63</v>
      </c>
    </row>
    <row r="1930" spans="4:4" ht="17.649999999999999" x14ac:dyDescent="0.5">
      <c r="D1930" s="3" t="s">
        <v>59</v>
      </c>
    </row>
    <row r="1931" spans="4:4" ht="17.649999999999999" x14ac:dyDescent="0.5">
      <c r="D1931" s="3" t="s">
        <v>47</v>
      </c>
    </row>
    <row r="1932" spans="4:4" ht="17.649999999999999" x14ac:dyDescent="0.5">
      <c r="D1932" s="3" t="s">
        <v>102</v>
      </c>
    </row>
    <row r="1933" spans="4:4" ht="17.649999999999999" x14ac:dyDescent="0.5">
      <c r="D1933" s="3" t="s">
        <v>67</v>
      </c>
    </row>
    <row r="1934" spans="4:4" ht="17.649999999999999" x14ac:dyDescent="0.5">
      <c r="D1934" s="3" t="s">
        <v>94</v>
      </c>
    </row>
    <row r="1935" spans="4:4" ht="17.649999999999999" x14ac:dyDescent="0.5">
      <c r="D1935" s="3" t="s">
        <v>47</v>
      </c>
    </row>
    <row r="1936" spans="4:4" ht="17.649999999999999" x14ac:dyDescent="0.5">
      <c r="D1936" s="3" t="s">
        <v>48</v>
      </c>
    </row>
    <row r="1937" spans="4:4" ht="17.649999999999999" x14ac:dyDescent="0.5">
      <c r="D1937" s="3" t="s">
        <v>105</v>
      </c>
    </row>
    <row r="1938" spans="4:4" ht="17.649999999999999" x14ac:dyDescent="0.5">
      <c r="D1938" s="3" t="s">
        <v>49</v>
      </c>
    </row>
    <row r="1939" spans="4:4" ht="17.649999999999999" x14ac:dyDescent="0.5">
      <c r="D1939" s="3" t="s">
        <v>87</v>
      </c>
    </row>
    <row r="1940" spans="4:4" ht="17.649999999999999" x14ac:dyDescent="0.5">
      <c r="D1940" s="3" t="s">
        <v>67</v>
      </c>
    </row>
    <row r="1941" spans="4:4" ht="17.649999999999999" x14ac:dyDescent="0.5">
      <c r="D1941" s="3" t="s">
        <v>117</v>
      </c>
    </row>
    <row r="1942" spans="4:4" ht="17.649999999999999" x14ac:dyDescent="0.5">
      <c r="D1942" s="3" t="s">
        <v>72</v>
      </c>
    </row>
    <row r="1943" spans="4:4" ht="17.649999999999999" x14ac:dyDescent="0.5">
      <c r="D1943" s="3" t="s">
        <v>52</v>
      </c>
    </row>
    <row r="1944" spans="4:4" ht="17.649999999999999" x14ac:dyDescent="0.5">
      <c r="D1944" s="3" t="s">
        <v>119</v>
      </c>
    </row>
    <row r="1945" spans="4:4" ht="17.649999999999999" x14ac:dyDescent="0.5">
      <c r="D1945" s="3" t="s">
        <v>105</v>
      </c>
    </row>
    <row r="1946" spans="4:4" ht="17.649999999999999" x14ac:dyDescent="0.5">
      <c r="D1946" s="3" t="s">
        <v>102</v>
      </c>
    </row>
    <row r="1947" spans="4:4" ht="17.649999999999999" x14ac:dyDescent="0.5">
      <c r="D1947" s="3" t="s">
        <v>92</v>
      </c>
    </row>
    <row r="1948" spans="4:4" ht="17.649999999999999" x14ac:dyDescent="0.5">
      <c r="D1948" s="3" t="s">
        <v>64</v>
      </c>
    </row>
    <row r="1949" spans="4:4" ht="17.649999999999999" x14ac:dyDescent="0.5">
      <c r="D1949" s="3" t="s">
        <v>48</v>
      </c>
    </row>
    <row r="1950" spans="4:4" ht="17.649999999999999" x14ac:dyDescent="0.5">
      <c r="D1950" s="3" t="s">
        <v>85</v>
      </c>
    </row>
    <row r="1951" spans="4:4" ht="17.649999999999999" x14ac:dyDescent="0.5">
      <c r="D1951" s="3" t="s">
        <v>76</v>
      </c>
    </row>
    <row r="1952" spans="4:4" ht="17.649999999999999" x14ac:dyDescent="0.5">
      <c r="D1952" s="3" t="s">
        <v>90</v>
      </c>
    </row>
    <row r="1953" spans="4:4" ht="17.649999999999999" x14ac:dyDescent="0.5">
      <c r="D1953" s="3" t="s">
        <v>107</v>
      </c>
    </row>
    <row r="1954" spans="4:4" ht="17.649999999999999" x14ac:dyDescent="0.5">
      <c r="D1954" s="3" t="s">
        <v>115</v>
      </c>
    </row>
    <row r="1955" spans="4:4" ht="17.649999999999999" x14ac:dyDescent="0.5">
      <c r="D1955" s="3" t="s">
        <v>56</v>
      </c>
    </row>
    <row r="1956" spans="4:4" ht="17.649999999999999" x14ac:dyDescent="0.5">
      <c r="D1956" s="3" t="s">
        <v>78</v>
      </c>
    </row>
    <row r="1957" spans="4:4" ht="17.649999999999999" x14ac:dyDescent="0.5">
      <c r="D1957" s="3" t="s">
        <v>67</v>
      </c>
    </row>
    <row r="1958" spans="4:4" ht="17.649999999999999" x14ac:dyDescent="0.5">
      <c r="D1958" s="3" t="s">
        <v>125</v>
      </c>
    </row>
    <row r="1959" spans="4:4" ht="17.649999999999999" x14ac:dyDescent="0.5">
      <c r="D1959" s="3" t="s">
        <v>87</v>
      </c>
    </row>
    <row r="1960" spans="4:4" ht="17.649999999999999" x14ac:dyDescent="0.5">
      <c r="D1960" s="3" t="s">
        <v>83</v>
      </c>
    </row>
    <row r="1961" spans="4:4" ht="17.649999999999999" x14ac:dyDescent="0.5">
      <c r="D1961" s="3" t="s">
        <v>66</v>
      </c>
    </row>
    <row r="1962" spans="4:4" ht="17.649999999999999" x14ac:dyDescent="0.5">
      <c r="D1962" s="3" t="s">
        <v>98</v>
      </c>
    </row>
    <row r="1963" spans="4:4" ht="17.649999999999999" x14ac:dyDescent="0.5">
      <c r="D1963" s="3" t="s">
        <v>96</v>
      </c>
    </row>
    <row r="1964" spans="4:4" ht="17.649999999999999" x14ac:dyDescent="0.5">
      <c r="D1964" s="3" t="s">
        <v>51</v>
      </c>
    </row>
    <row r="1965" spans="4:4" ht="17.649999999999999" x14ac:dyDescent="0.5">
      <c r="D1965" s="3" t="s">
        <v>42</v>
      </c>
    </row>
    <row r="1966" spans="4:4" ht="17.649999999999999" x14ac:dyDescent="0.5">
      <c r="D1966" s="3" t="s">
        <v>69</v>
      </c>
    </row>
    <row r="1967" spans="4:4" ht="17.649999999999999" x14ac:dyDescent="0.5">
      <c r="D1967" s="3" t="s">
        <v>96</v>
      </c>
    </row>
    <row r="1968" spans="4:4" ht="17.649999999999999" x14ac:dyDescent="0.5">
      <c r="D1968" s="3" t="s">
        <v>52</v>
      </c>
    </row>
    <row r="1969" spans="4:4" ht="17.649999999999999" x14ac:dyDescent="0.5">
      <c r="D1969" s="3" t="s">
        <v>67</v>
      </c>
    </row>
    <row r="1970" spans="4:4" ht="17.649999999999999" x14ac:dyDescent="0.5">
      <c r="D1970" s="3" t="s">
        <v>98</v>
      </c>
    </row>
    <row r="1971" spans="4:4" ht="17.649999999999999" x14ac:dyDescent="0.5">
      <c r="D1971" s="3" t="s">
        <v>65</v>
      </c>
    </row>
    <row r="1972" spans="4:4" ht="17.649999999999999" x14ac:dyDescent="0.5">
      <c r="D1972" s="3" t="s">
        <v>96</v>
      </c>
    </row>
    <row r="1973" spans="4:4" ht="17.649999999999999" x14ac:dyDescent="0.5">
      <c r="D1973" s="3" t="s">
        <v>98</v>
      </c>
    </row>
    <row r="1974" spans="4:4" ht="17.649999999999999" x14ac:dyDescent="0.5">
      <c r="D1974" s="3" t="s">
        <v>43</v>
      </c>
    </row>
    <row r="1975" spans="4:4" ht="17.649999999999999" x14ac:dyDescent="0.5">
      <c r="D1975" s="3" t="s">
        <v>87</v>
      </c>
    </row>
    <row r="1976" spans="4:4" ht="17.649999999999999" x14ac:dyDescent="0.5">
      <c r="D1976" s="3" t="s">
        <v>108</v>
      </c>
    </row>
    <row r="1977" spans="4:4" ht="17.649999999999999" x14ac:dyDescent="0.5">
      <c r="D1977" s="3" t="s">
        <v>107</v>
      </c>
    </row>
    <row r="1978" spans="4:4" ht="17.649999999999999" x14ac:dyDescent="0.5">
      <c r="D1978" s="3" t="s">
        <v>78</v>
      </c>
    </row>
    <row r="1979" spans="4:4" ht="17.649999999999999" x14ac:dyDescent="0.5">
      <c r="D1979" s="3" t="s">
        <v>41</v>
      </c>
    </row>
    <row r="1980" spans="4:4" ht="17.649999999999999" x14ac:dyDescent="0.5">
      <c r="D1980" s="3" t="s">
        <v>81</v>
      </c>
    </row>
    <row r="1981" spans="4:4" ht="17.649999999999999" x14ac:dyDescent="0.5">
      <c r="D1981" s="3" t="s">
        <v>90</v>
      </c>
    </row>
    <row r="1982" spans="4:4" ht="17.649999999999999" x14ac:dyDescent="0.5">
      <c r="D1982" s="3" t="s">
        <v>101</v>
      </c>
    </row>
    <row r="1983" spans="4:4" ht="17.649999999999999" x14ac:dyDescent="0.5">
      <c r="D1983" s="3" t="s">
        <v>59</v>
      </c>
    </row>
    <row r="1984" spans="4:4" ht="17.649999999999999" x14ac:dyDescent="0.5">
      <c r="D1984" s="3" t="s">
        <v>64</v>
      </c>
    </row>
    <row r="1985" spans="4:4" ht="17.649999999999999" x14ac:dyDescent="0.5">
      <c r="D1985" s="3" t="s">
        <v>65</v>
      </c>
    </row>
    <row r="1986" spans="4:4" ht="17.649999999999999" x14ac:dyDescent="0.5">
      <c r="D1986" s="3" t="s">
        <v>75</v>
      </c>
    </row>
    <row r="1987" spans="4:4" ht="17.649999999999999" x14ac:dyDescent="0.5">
      <c r="D1987" s="3" t="s">
        <v>83</v>
      </c>
    </row>
    <row r="1988" spans="4:4" ht="17.649999999999999" x14ac:dyDescent="0.5">
      <c r="D1988" s="3" t="s">
        <v>85</v>
      </c>
    </row>
    <row r="1989" spans="4:4" ht="17.649999999999999" x14ac:dyDescent="0.5">
      <c r="D1989" s="3" t="s">
        <v>96</v>
      </c>
    </row>
    <row r="1990" spans="4:4" ht="17.649999999999999" x14ac:dyDescent="0.5">
      <c r="D1990" s="3" t="s">
        <v>52</v>
      </c>
    </row>
    <row r="1991" spans="4:4" ht="17.649999999999999" x14ac:dyDescent="0.5">
      <c r="D1991" s="3" t="s">
        <v>65</v>
      </c>
    </row>
    <row r="1992" spans="4:4" ht="17.649999999999999" x14ac:dyDescent="0.5">
      <c r="D1992" s="3" t="s">
        <v>84</v>
      </c>
    </row>
    <row r="1993" spans="4:4" ht="17.649999999999999" x14ac:dyDescent="0.5">
      <c r="D1993" s="3" t="s">
        <v>108</v>
      </c>
    </row>
    <row r="1994" spans="4:4" ht="17.649999999999999" x14ac:dyDescent="0.5">
      <c r="D1994" s="3" t="s">
        <v>83</v>
      </c>
    </row>
    <row r="1995" spans="4:4" ht="17.649999999999999" x14ac:dyDescent="0.5">
      <c r="D1995" s="3" t="s">
        <v>85</v>
      </c>
    </row>
    <row r="1996" spans="4:4" ht="17.649999999999999" x14ac:dyDescent="0.5">
      <c r="D1996" s="3" t="s">
        <v>48</v>
      </c>
    </row>
    <row r="1997" spans="4:4" ht="17.649999999999999" x14ac:dyDescent="0.5">
      <c r="D1997" s="3" t="s">
        <v>56</v>
      </c>
    </row>
    <row r="1998" spans="4:4" ht="17.649999999999999" x14ac:dyDescent="0.5">
      <c r="D1998" s="3" t="s">
        <v>87</v>
      </c>
    </row>
    <row r="1999" spans="4:4" ht="17.649999999999999" x14ac:dyDescent="0.5">
      <c r="D1999" s="3" t="s">
        <v>110</v>
      </c>
    </row>
    <row r="2000" spans="4:4" ht="17.649999999999999" x14ac:dyDescent="0.5">
      <c r="D2000" s="3" t="s">
        <v>73</v>
      </c>
    </row>
    <row r="2001" spans="4:4" ht="17.649999999999999" x14ac:dyDescent="0.5">
      <c r="D2001" s="3" t="s">
        <v>50</v>
      </c>
    </row>
    <row r="2002" spans="4:4" ht="17.649999999999999" x14ac:dyDescent="0.5">
      <c r="D2002" s="3" t="s">
        <v>47</v>
      </c>
    </row>
    <row r="2003" spans="4:4" ht="17.649999999999999" x14ac:dyDescent="0.5">
      <c r="D2003" s="3" t="s">
        <v>120</v>
      </c>
    </row>
    <row r="2004" spans="4:4" ht="17.649999999999999" x14ac:dyDescent="0.5">
      <c r="D2004" s="3" t="s">
        <v>52</v>
      </c>
    </row>
    <row r="2005" spans="4:4" ht="17.649999999999999" x14ac:dyDescent="0.5">
      <c r="D2005" s="3" t="s">
        <v>83</v>
      </c>
    </row>
    <row r="2006" spans="4:4" ht="17.649999999999999" x14ac:dyDescent="0.5">
      <c r="D2006" s="3" t="s">
        <v>117</v>
      </c>
    </row>
    <row r="2007" spans="4:4" ht="17.649999999999999" x14ac:dyDescent="0.5">
      <c r="D2007" s="3" t="s">
        <v>119</v>
      </c>
    </row>
    <row r="2008" spans="4:4" ht="17.649999999999999" x14ac:dyDescent="0.5">
      <c r="D2008" s="3" t="s">
        <v>50</v>
      </c>
    </row>
    <row r="2009" spans="4:4" ht="17.649999999999999" x14ac:dyDescent="0.5">
      <c r="D2009" s="3" t="s">
        <v>54</v>
      </c>
    </row>
    <row r="2010" spans="4:4" ht="17.649999999999999" x14ac:dyDescent="0.5">
      <c r="D2010" s="3" t="s">
        <v>63</v>
      </c>
    </row>
    <row r="2011" spans="4:4" ht="17.649999999999999" x14ac:dyDescent="0.5">
      <c r="D2011" s="3" t="s">
        <v>85</v>
      </c>
    </row>
    <row r="2012" spans="4:4" ht="17.649999999999999" x14ac:dyDescent="0.5">
      <c r="D2012" s="3" t="s">
        <v>112</v>
      </c>
    </row>
    <row r="2013" spans="4:4" ht="17.649999999999999" x14ac:dyDescent="0.5">
      <c r="D2013" s="3" t="s">
        <v>70</v>
      </c>
    </row>
    <row r="2014" spans="4:4" ht="17.649999999999999" x14ac:dyDescent="0.5">
      <c r="D2014" s="3" t="s">
        <v>41</v>
      </c>
    </row>
    <row r="2015" spans="4:4" ht="17.649999999999999" x14ac:dyDescent="0.5">
      <c r="D2015" s="3" t="s">
        <v>81</v>
      </c>
    </row>
    <row r="2016" spans="4:4" ht="17.649999999999999" x14ac:dyDescent="0.5">
      <c r="D2016" s="3" t="s">
        <v>90</v>
      </c>
    </row>
    <row r="2017" spans="4:4" ht="17.649999999999999" x14ac:dyDescent="0.5">
      <c r="D2017" s="3" t="s">
        <v>69</v>
      </c>
    </row>
    <row r="2018" spans="4:4" ht="17.649999999999999" x14ac:dyDescent="0.5">
      <c r="D2018" s="3" t="s">
        <v>64</v>
      </c>
    </row>
    <row r="2019" spans="4:4" ht="17.649999999999999" x14ac:dyDescent="0.5">
      <c r="D2019" s="3" t="s">
        <v>84</v>
      </c>
    </row>
    <row r="2020" spans="4:4" ht="17.649999999999999" x14ac:dyDescent="0.5">
      <c r="D2020" s="3" t="s">
        <v>60</v>
      </c>
    </row>
    <row r="2021" spans="4:4" ht="17.649999999999999" x14ac:dyDescent="0.5">
      <c r="D2021" s="3" t="s">
        <v>63</v>
      </c>
    </row>
    <row r="2022" spans="4:4" ht="17.649999999999999" x14ac:dyDescent="0.5">
      <c r="D2022" s="3" t="s">
        <v>61</v>
      </c>
    </row>
    <row r="2023" spans="4:4" ht="17.649999999999999" x14ac:dyDescent="0.5">
      <c r="D2023" s="3" t="s">
        <v>79</v>
      </c>
    </row>
    <row r="2024" spans="4:4" ht="17.649999999999999" x14ac:dyDescent="0.5">
      <c r="D2024" s="3" t="s">
        <v>51</v>
      </c>
    </row>
    <row r="2025" spans="4:4" ht="17.649999999999999" x14ac:dyDescent="0.5">
      <c r="D2025" s="3" t="s">
        <v>107</v>
      </c>
    </row>
    <row r="2026" spans="4:4" ht="17.649999999999999" x14ac:dyDescent="0.5">
      <c r="D2026" s="3" t="s">
        <v>92</v>
      </c>
    </row>
    <row r="2027" spans="4:4" ht="17.649999999999999" x14ac:dyDescent="0.5">
      <c r="D2027" s="3" t="s">
        <v>81</v>
      </c>
    </row>
    <row r="2028" spans="4:4" ht="17.649999999999999" x14ac:dyDescent="0.5">
      <c r="D2028" s="3" t="s">
        <v>70</v>
      </c>
    </row>
    <row r="2029" spans="4:4" ht="17.649999999999999" x14ac:dyDescent="0.5">
      <c r="D2029" s="3" t="s">
        <v>48</v>
      </c>
    </row>
    <row r="2030" spans="4:4" ht="17.649999999999999" x14ac:dyDescent="0.5">
      <c r="D2030" s="3" t="s">
        <v>91</v>
      </c>
    </row>
    <row r="2031" spans="4:4" ht="17.649999999999999" x14ac:dyDescent="0.5">
      <c r="D2031" s="3" t="s">
        <v>112</v>
      </c>
    </row>
    <row r="2032" spans="4:4" ht="17.649999999999999" x14ac:dyDescent="0.5">
      <c r="D2032" s="3" t="s">
        <v>98</v>
      </c>
    </row>
    <row r="2033" spans="4:4" ht="17.649999999999999" x14ac:dyDescent="0.5">
      <c r="D2033" s="3" t="s">
        <v>115</v>
      </c>
    </row>
    <row r="2034" spans="4:4" ht="17.649999999999999" x14ac:dyDescent="0.5">
      <c r="D2034" s="3" t="s">
        <v>70</v>
      </c>
    </row>
    <row r="2035" spans="4:4" ht="17.649999999999999" x14ac:dyDescent="0.5">
      <c r="D2035" s="3" t="s">
        <v>43</v>
      </c>
    </row>
    <row r="2036" spans="4:4" ht="17.649999999999999" x14ac:dyDescent="0.5">
      <c r="D2036" s="3" t="s">
        <v>58</v>
      </c>
    </row>
    <row r="2037" spans="4:4" ht="17.649999999999999" x14ac:dyDescent="0.5">
      <c r="D2037" s="3" t="s">
        <v>117</v>
      </c>
    </row>
    <row r="2038" spans="4:4" ht="17.649999999999999" x14ac:dyDescent="0.5">
      <c r="D2038" s="3" t="s">
        <v>51</v>
      </c>
    </row>
    <row r="2039" spans="4:4" ht="17.649999999999999" x14ac:dyDescent="0.5">
      <c r="D2039" s="3" t="s">
        <v>94</v>
      </c>
    </row>
    <row r="2040" spans="4:4" ht="17.649999999999999" x14ac:dyDescent="0.5">
      <c r="D2040" s="3" t="s">
        <v>119</v>
      </c>
    </row>
    <row r="2041" spans="4:4" ht="17.649999999999999" x14ac:dyDescent="0.5">
      <c r="D2041" s="3" t="s">
        <v>70</v>
      </c>
    </row>
    <row r="2042" spans="4:4" ht="17.649999999999999" x14ac:dyDescent="0.5">
      <c r="D2042" s="3" t="s">
        <v>115</v>
      </c>
    </row>
    <row r="2043" spans="4:4" ht="17.649999999999999" x14ac:dyDescent="0.5">
      <c r="D2043" s="3" t="s">
        <v>67</v>
      </c>
    </row>
    <row r="2044" spans="4:4" ht="17.649999999999999" x14ac:dyDescent="0.5">
      <c r="D2044" s="3" t="s">
        <v>81</v>
      </c>
    </row>
    <row r="2045" spans="4:4" ht="17.649999999999999" x14ac:dyDescent="0.5">
      <c r="D2045" s="3" t="s">
        <v>51</v>
      </c>
    </row>
    <row r="2046" spans="4:4" ht="17.649999999999999" x14ac:dyDescent="0.5">
      <c r="D2046" s="3" t="s">
        <v>80</v>
      </c>
    </row>
    <row r="2047" spans="4:4" ht="17.649999999999999" x14ac:dyDescent="0.5">
      <c r="D2047" s="3" t="s">
        <v>124</v>
      </c>
    </row>
    <row r="2048" spans="4:4" ht="17.649999999999999" x14ac:dyDescent="0.5">
      <c r="D2048" s="3" t="s">
        <v>103</v>
      </c>
    </row>
    <row r="2049" spans="4:4" ht="17.649999999999999" x14ac:dyDescent="0.5">
      <c r="D2049" s="3" t="s">
        <v>63</v>
      </c>
    </row>
    <row r="2050" spans="4:4" ht="17.649999999999999" x14ac:dyDescent="0.5">
      <c r="D2050" s="3" t="s">
        <v>92</v>
      </c>
    </row>
    <row r="2051" spans="4:4" ht="17.649999999999999" x14ac:dyDescent="0.5">
      <c r="D2051" s="3" t="s">
        <v>80</v>
      </c>
    </row>
    <row r="2052" spans="4:4" ht="17.649999999999999" x14ac:dyDescent="0.5">
      <c r="D2052" s="3" t="s">
        <v>89</v>
      </c>
    </row>
    <row r="2053" spans="4:4" ht="17.649999999999999" x14ac:dyDescent="0.5">
      <c r="D2053" s="3" t="s">
        <v>132</v>
      </c>
    </row>
    <row r="2054" spans="4:4" ht="17.649999999999999" x14ac:dyDescent="0.5">
      <c r="D2054" s="3" t="s">
        <v>77</v>
      </c>
    </row>
    <row r="2055" spans="4:4" ht="17.649999999999999" x14ac:dyDescent="0.5">
      <c r="D2055" s="3" t="s">
        <v>101</v>
      </c>
    </row>
    <row r="2056" spans="4:4" ht="17.649999999999999" x14ac:dyDescent="0.5">
      <c r="D2056" s="3" t="s">
        <v>69</v>
      </c>
    </row>
    <row r="2057" spans="4:4" ht="17.649999999999999" x14ac:dyDescent="0.5">
      <c r="D2057" s="3" t="s">
        <v>83</v>
      </c>
    </row>
    <row r="2058" spans="4:4" ht="17.649999999999999" x14ac:dyDescent="0.5">
      <c r="D2058" s="3" t="s">
        <v>54</v>
      </c>
    </row>
    <row r="2059" spans="4:4" ht="17.649999999999999" x14ac:dyDescent="0.5">
      <c r="D2059" s="3" t="s">
        <v>82</v>
      </c>
    </row>
    <row r="2060" spans="4:4" ht="17.649999999999999" x14ac:dyDescent="0.5">
      <c r="D2060" s="3" t="s">
        <v>50</v>
      </c>
    </row>
    <row r="2061" spans="4:4" ht="17.649999999999999" x14ac:dyDescent="0.5">
      <c r="D2061" s="3" t="s">
        <v>118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1:AE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25" ht="25.15" x14ac:dyDescent="0.7">
      <c r="D1" s="1" t="s">
        <v>144</v>
      </c>
      <c r="S1" s="1" t="s">
        <v>144</v>
      </c>
    </row>
    <row r="2" spans="4:25" x14ac:dyDescent="0.5">
      <c r="D2" s="2" t="s">
        <v>8</v>
      </c>
      <c r="E2" s="2" t="s">
        <v>9</v>
      </c>
      <c r="F2" s="2" t="s">
        <v>10</v>
      </c>
      <c r="S2" s="2" t="s">
        <v>8</v>
      </c>
      <c r="T2" s="2" t="s">
        <v>9</v>
      </c>
      <c r="U2" s="2" t="s">
        <v>10</v>
      </c>
    </row>
    <row r="3" spans="4:25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  <c r="S3" s="2" t="s">
        <v>11</v>
      </c>
      <c r="T3" s="2" t="s">
        <v>12</v>
      </c>
      <c r="U3" s="2" t="s">
        <v>13</v>
      </c>
      <c r="V3" s="2" t="s">
        <v>14</v>
      </c>
      <c r="W3" s="2" t="s">
        <v>15</v>
      </c>
      <c r="X3" s="2" t="s">
        <v>16</v>
      </c>
      <c r="Y3" s="2" t="s">
        <v>17</v>
      </c>
    </row>
    <row r="4" spans="4:25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0</v>
      </c>
      <c r="J4" s="2">
        <v>1</v>
      </c>
      <c r="S4" s="2">
        <v>0</v>
      </c>
      <c r="T4" s="2">
        <v>1</v>
      </c>
      <c r="U4" s="2">
        <v>0</v>
      </c>
      <c r="V4" s="2">
        <v>1</v>
      </c>
      <c r="W4" s="2">
        <v>0</v>
      </c>
      <c r="X4" s="2">
        <v>0</v>
      </c>
      <c r="Y4" s="2">
        <v>1</v>
      </c>
    </row>
    <row r="5" spans="4:25" ht="17.649999999999999" x14ac:dyDescent="0.5">
      <c r="D5" s="3"/>
      <c r="S5" s="3"/>
    </row>
    <row r="6" spans="4:25" ht="17.649999999999999" x14ac:dyDescent="0.5">
      <c r="D6" s="3" t="s">
        <v>18</v>
      </c>
      <c r="S6" s="3" t="s">
        <v>18</v>
      </c>
    </row>
    <row r="7" spans="4:25" ht="17.649999999999999" x14ac:dyDescent="0.5">
      <c r="D7" s="3" t="s">
        <v>19</v>
      </c>
      <c r="S7" s="3" t="s">
        <v>19</v>
      </c>
    </row>
    <row r="8" spans="4:25" ht="17.649999999999999" x14ac:dyDescent="0.5">
      <c r="D8" s="3" t="s">
        <v>20</v>
      </c>
      <c r="S8" s="3" t="s">
        <v>20</v>
      </c>
    </row>
    <row r="10" spans="4:25" ht="25.15" x14ac:dyDescent="0.7">
      <c r="D10" s="1" t="s">
        <v>21</v>
      </c>
      <c r="S10" s="1" t="s">
        <v>21</v>
      </c>
    </row>
    <row r="11" spans="4:25" x14ac:dyDescent="0.5">
      <c r="D11" s="2" t="s">
        <v>8</v>
      </c>
      <c r="E11" s="2" t="s">
        <v>9</v>
      </c>
      <c r="F11" s="2" t="s">
        <v>10</v>
      </c>
      <c r="S11" s="2" t="s">
        <v>8</v>
      </c>
      <c r="T11" s="2" t="s">
        <v>9</v>
      </c>
      <c r="U11" s="2" t="s">
        <v>10</v>
      </c>
    </row>
    <row r="12" spans="4:25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  <c r="S12" s="2" t="s">
        <v>11</v>
      </c>
      <c r="T12" s="2" t="s">
        <v>12</v>
      </c>
      <c r="U12" s="2" t="s">
        <v>13</v>
      </c>
      <c r="V12" s="2" t="s">
        <v>14</v>
      </c>
      <c r="W12" s="2" t="s">
        <v>15</v>
      </c>
      <c r="X12" s="2" t="s">
        <v>16</v>
      </c>
      <c r="Y12" s="2" t="s">
        <v>17</v>
      </c>
    </row>
    <row r="13" spans="4:25" x14ac:dyDescent="0.5">
      <c r="D13" s="2">
        <v>499</v>
      </c>
      <c r="E13" s="2">
        <v>501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  <c r="S13" s="2">
        <v>500</v>
      </c>
      <c r="T13" s="2">
        <v>500</v>
      </c>
      <c r="U13" s="2">
        <v>333</v>
      </c>
      <c r="V13" s="2">
        <v>333</v>
      </c>
      <c r="W13" s="2">
        <v>334</v>
      </c>
      <c r="X13" s="2">
        <v>501</v>
      </c>
      <c r="Y13" s="2">
        <v>499</v>
      </c>
    </row>
    <row r="14" spans="4:25" ht="17.649999999999999" x14ac:dyDescent="0.5">
      <c r="D14" s="3"/>
      <c r="S14" s="3"/>
    </row>
    <row r="15" spans="4:25" x14ac:dyDescent="0.5">
      <c r="D15" s="2" t="s">
        <v>22</v>
      </c>
      <c r="S15" s="2" t="s">
        <v>22</v>
      </c>
    </row>
    <row r="16" spans="4:25" x14ac:dyDescent="0.5">
      <c r="D16" s="2">
        <v>1000</v>
      </c>
      <c r="S16" s="2">
        <v>1000</v>
      </c>
    </row>
    <row r="17" spans="4:31" ht="17.649999999999999" x14ac:dyDescent="0.5">
      <c r="D17" s="3"/>
      <c r="S17" s="3"/>
    </row>
    <row r="18" spans="4:31" ht="17.649999999999999" x14ac:dyDescent="0.5">
      <c r="D18" s="3"/>
      <c r="S18" s="3"/>
    </row>
    <row r="20" spans="4:31" ht="25.15" x14ac:dyDescent="0.7">
      <c r="D20" s="1" t="s">
        <v>23</v>
      </c>
      <c r="S20" s="1" t="s">
        <v>23</v>
      </c>
    </row>
    <row r="21" spans="4:31" x14ac:dyDescent="0.5">
      <c r="D21" s="2" t="s">
        <v>8</v>
      </c>
      <c r="E21" s="2" t="s">
        <v>9</v>
      </c>
      <c r="F21" s="2" t="s">
        <v>10</v>
      </c>
      <c r="S21" s="2" t="s">
        <v>8</v>
      </c>
      <c r="T21" s="2" t="s">
        <v>9</v>
      </c>
      <c r="U21" s="2" t="s">
        <v>10</v>
      </c>
    </row>
    <row r="22" spans="4:31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  <c r="S22" s="2" t="s">
        <v>11</v>
      </c>
      <c r="T22" s="2" t="s">
        <v>12</v>
      </c>
      <c r="U22" s="2" t="s">
        <v>13</v>
      </c>
      <c r="V22" s="2" t="s">
        <v>14</v>
      </c>
      <c r="W22" s="2" t="s">
        <v>15</v>
      </c>
      <c r="X22" s="2" t="s">
        <v>16</v>
      </c>
      <c r="Y22" s="2" t="s">
        <v>17</v>
      </c>
    </row>
    <row r="23" spans="4:31" x14ac:dyDescent="0.5">
      <c r="D23" s="2">
        <v>501</v>
      </c>
      <c r="E23" s="2">
        <v>499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  <c r="S23" s="2">
        <v>500</v>
      </c>
      <c r="T23" s="2">
        <v>500</v>
      </c>
      <c r="U23" s="2">
        <v>331</v>
      </c>
      <c r="V23" s="2">
        <v>335</v>
      </c>
      <c r="W23" s="2">
        <v>334</v>
      </c>
      <c r="X23" s="2">
        <v>501</v>
      </c>
      <c r="Y23" s="2">
        <v>499</v>
      </c>
    </row>
    <row r="24" spans="4:31" ht="17.649999999999999" x14ac:dyDescent="0.5">
      <c r="D24" s="3"/>
      <c r="S24" s="3"/>
    </row>
    <row r="25" spans="4:31" x14ac:dyDescent="0.5">
      <c r="D25" s="2" t="s">
        <v>22</v>
      </c>
      <c r="S25" s="2" t="s">
        <v>22</v>
      </c>
    </row>
    <row r="26" spans="4:31" x14ac:dyDescent="0.5">
      <c r="D26" s="2">
        <v>1000</v>
      </c>
      <c r="S26" s="2">
        <v>1000</v>
      </c>
    </row>
    <row r="27" spans="4:31" ht="17.649999999999999" x14ac:dyDescent="0.5">
      <c r="D27" s="3" t="s">
        <v>24</v>
      </c>
      <c r="S27" s="3" t="s">
        <v>24</v>
      </c>
    </row>
    <row r="28" spans="4:31" x14ac:dyDescent="0.5">
      <c r="D28" s="2" t="s">
        <v>25</v>
      </c>
      <c r="S28" s="2" t="s">
        <v>25</v>
      </c>
    </row>
    <row r="29" spans="4:31" x14ac:dyDescent="0.5">
      <c r="D29" s="2"/>
      <c r="E29" s="2" t="s">
        <v>26</v>
      </c>
      <c r="S29" s="2"/>
      <c r="T29" s="2" t="s">
        <v>26</v>
      </c>
    </row>
    <row r="30" spans="4:31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  <c r="S30" s="2" t="s">
        <v>27</v>
      </c>
      <c r="T30" s="2">
        <v>1</v>
      </c>
      <c r="U30" s="2">
        <v>2</v>
      </c>
      <c r="V30" s="2">
        <v>3</v>
      </c>
      <c r="W30" s="2">
        <v>4</v>
      </c>
      <c r="X30" s="2">
        <v>5</v>
      </c>
      <c r="Y30" s="2">
        <v>6</v>
      </c>
      <c r="Z30" s="2">
        <v>7</v>
      </c>
      <c r="AA30" s="2">
        <v>8</v>
      </c>
      <c r="AB30" s="2">
        <v>9</v>
      </c>
      <c r="AC30" s="2">
        <v>10</v>
      </c>
      <c r="AD30" s="2">
        <v>11</v>
      </c>
      <c r="AE30" s="2">
        <v>12</v>
      </c>
    </row>
    <row r="31" spans="4:31" x14ac:dyDescent="0.5">
      <c r="D31" s="2">
        <v>1</v>
      </c>
      <c r="E31" s="2">
        <v>34</v>
      </c>
      <c r="F31" s="2">
        <v>37</v>
      </c>
      <c r="G31" s="2">
        <v>46</v>
      </c>
      <c r="H31" s="2">
        <v>41</v>
      </c>
      <c r="I31" s="2">
        <v>43</v>
      </c>
      <c r="J31" s="2">
        <v>46</v>
      </c>
      <c r="K31" s="2">
        <v>48</v>
      </c>
      <c r="L31" s="2">
        <v>46</v>
      </c>
      <c r="M31" s="2">
        <v>48</v>
      </c>
      <c r="N31" s="2">
        <v>39</v>
      </c>
      <c r="O31" s="2">
        <v>34</v>
      </c>
      <c r="P31" s="2">
        <v>40</v>
      </c>
      <c r="S31" s="2">
        <v>1</v>
      </c>
      <c r="T31" s="2">
        <v>42</v>
      </c>
      <c r="U31" s="2">
        <v>42</v>
      </c>
      <c r="V31" s="2">
        <v>41</v>
      </c>
      <c r="W31" s="2">
        <v>49</v>
      </c>
      <c r="X31" s="2">
        <v>34</v>
      </c>
      <c r="Y31" s="2">
        <v>42</v>
      </c>
      <c r="Z31" s="2">
        <v>40</v>
      </c>
      <c r="AA31" s="2">
        <v>42</v>
      </c>
      <c r="AB31" s="2">
        <v>42</v>
      </c>
      <c r="AC31" s="2">
        <v>42</v>
      </c>
      <c r="AD31" s="2">
        <v>43</v>
      </c>
      <c r="AE31" s="2">
        <v>40</v>
      </c>
    </row>
    <row r="32" spans="4:31" x14ac:dyDescent="0.5">
      <c r="D32" s="2">
        <v>2</v>
      </c>
      <c r="E32" s="2">
        <v>44</v>
      </c>
      <c r="F32" s="2">
        <v>47</v>
      </c>
      <c r="G32" s="2">
        <v>42</v>
      </c>
      <c r="H32" s="2">
        <v>39</v>
      </c>
      <c r="I32" s="2">
        <v>35</v>
      </c>
      <c r="J32" s="2">
        <v>45</v>
      </c>
      <c r="K32" s="2">
        <v>40</v>
      </c>
      <c r="L32" s="2">
        <v>36</v>
      </c>
      <c r="M32" s="2">
        <v>39</v>
      </c>
      <c r="N32" s="2">
        <v>40</v>
      </c>
      <c r="O32" s="2">
        <v>48</v>
      </c>
      <c r="P32" s="2">
        <v>43</v>
      </c>
      <c r="S32" s="2">
        <v>2</v>
      </c>
      <c r="T32" s="2">
        <v>41</v>
      </c>
      <c r="U32" s="2">
        <v>41</v>
      </c>
      <c r="V32" s="2">
        <v>42</v>
      </c>
      <c r="W32" s="2">
        <v>39</v>
      </c>
      <c r="X32" s="2">
        <v>46</v>
      </c>
      <c r="Y32" s="2">
        <v>41</v>
      </c>
      <c r="Z32" s="2">
        <v>44</v>
      </c>
      <c r="AA32" s="2">
        <v>41</v>
      </c>
      <c r="AB32" s="2">
        <v>43</v>
      </c>
      <c r="AC32" s="2">
        <v>35</v>
      </c>
      <c r="AD32" s="2">
        <v>43</v>
      </c>
      <c r="AE32" s="2">
        <v>45</v>
      </c>
    </row>
    <row r="33" spans="4:31" ht="17.649999999999999" x14ac:dyDescent="0.5">
      <c r="D33" s="3"/>
      <c r="S33" s="3"/>
    </row>
    <row r="34" spans="4:31" x14ac:dyDescent="0.5">
      <c r="D34" s="2" t="s">
        <v>28</v>
      </c>
      <c r="S34" s="2" t="s">
        <v>28</v>
      </c>
    </row>
    <row r="35" spans="4:31" x14ac:dyDescent="0.5">
      <c r="D35" s="2"/>
      <c r="E35" s="2" t="s">
        <v>26</v>
      </c>
      <c r="S35" s="2"/>
      <c r="T35" s="2" t="s">
        <v>26</v>
      </c>
    </row>
    <row r="36" spans="4:31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  <c r="S36" s="2" t="s">
        <v>27</v>
      </c>
      <c r="T36" s="2">
        <v>1</v>
      </c>
      <c r="U36" s="2">
        <v>2</v>
      </c>
      <c r="V36" s="2">
        <v>3</v>
      </c>
      <c r="W36" s="2">
        <v>4</v>
      </c>
      <c r="X36" s="2">
        <v>5</v>
      </c>
      <c r="Y36" s="2">
        <v>6</v>
      </c>
      <c r="Z36" s="2">
        <v>7</v>
      </c>
      <c r="AA36" s="2">
        <v>8</v>
      </c>
      <c r="AB36" s="2">
        <v>9</v>
      </c>
      <c r="AC36" s="2">
        <v>10</v>
      </c>
      <c r="AD36" s="2">
        <v>11</v>
      </c>
      <c r="AE36" s="2">
        <v>12</v>
      </c>
    </row>
    <row r="37" spans="4:31" x14ac:dyDescent="0.5">
      <c r="D37" s="2">
        <v>1</v>
      </c>
      <c r="E37" s="2">
        <v>49</v>
      </c>
      <c r="F37" s="2">
        <v>46</v>
      </c>
      <c r="G37" s="2">
        <v>38</v>
      </c>
      <c r="H37" s="2">
        <v>42</v>
      </c>
      <c r="I37" s="2">
        <v>41</v>
      </c>
      <c r="J37" s="2">
        <v>37</v>
      </c>
      <c r="K37" s="2">
        <v>35</v>
      </c>
      <c r="L37" s="2">
        <v>37</v>
      </c>
      <c r="M37" s="2">
        <v>36</v>
      </c>
      <c r="N37" s="2">
        <v>44</v>
      </c>
      <c r="O37" s="2">
        <v>49</v>
      </c>
      <c r="P37" s="2">
        <v>44</v>
      </c>
      <c r="S37" s="2">
        <v>1</v>
      </c>
      <c r="T37" s="2">
        <v>41</v>
      </c>
      <c r="U37" s="2">
        <v>41</v>
      </c>
      <c r="V37" s="2">
        <v>43</v>
      </c>
      <c r="W37" s="2">
        <v>34</v>
      </c>
      <c r="X37" s="2">
        <v>50</v>
      </c>
      <c r="Y37" s="2">
        <v>41</v>
      </c>
      <c r="Z37" s="2">
        <v>43</v>
      </c>
      <c r="AA37" s="2">
        <v>41</v>
      </c>
      <c r="AB37" s="2">
        <v>42</v>
      </c>
      <c r="AC37" s="2">
        <v>41</v>
      </c>
      <c r="AD37" s="2">
        <v>40</v>
      </c>
      <c r="AE37" s="2">
        <v>44</v>
      </c>
    </row>
    <row r="38" spans="4:31" x14ac:dyDescent="0.5">
      <c r="D38" s="2">
        <v>2</v>
      </c>
      <c r="E38" s="2">
        <v>39</v>
      </c>
      <c r="F38" s="2">
        <v>36</v>
      </c>
      <c r="G38" s="2">
        <v>42</v>
      </c>
      <c r="H38" s="2">
        <v>44</v>
      </c>
      <c r="I38" s="2">
        <v>49</v>
      </c>
      <c r="J38" s="2">
        <v>38</v>
      </c>
      <c r="K38" s="2">
        <v>43</v>
      </c>
      <c r="L38" s="2">
        <v>47</v>
      </c>
      <c r="M38" s="2">
        <v>45</v>
      </c>
      <c r="N38" s="2">
        <v>43</v>
      </c>
      <c r="O38" s="2">
        <v>35</v>
      </c>
      <c r="P38" s="2">
        <v>41</v>
      </c>
      <c r="S38" s="2">
        <v>2</v>
      </c>
      <c r="T38" s="2">
        <v>42</v>
      </c>
      <c r="U38" s="2">
        <v>42</v>
      </c>
      <c r="V38" s="2">
        <v>42</v>
      </c>
      <c r="W38" s="2">
        <v>44</v>
      </c>
      <c r="X38" s="2">
        <v>38</v>
      </c>
      <c r="Y38" s="2">
        <v>42</v>
      </c>
      <c r="Z38" s="2">
        <v>39</v>
      </c>
      <c r="AA38" s="2">
        <v>42</v>
      </c>
      <c r="AB38" s="2">
        <v>41</v>
      </c>
      <c r="AC38" s="2">
        <v>48</v>
      </c>
      <c r="AD38" s="2">
        <v>40</v>
      </c>
      <c r="AE38" s="2">
        <v>39</v>
      </c>
    </row>
    <row r="39" spans="4:31" ht="17.649999999999999" x14ac:dyDescent="0.5">
      <c r="D39" s="3" t="s">
        <v>137</v>
      </c>
      <c r="E39">
        <f t="shared" ref="E39:P39" si="0">E31-E37</f>
        <v>-15</v>
      </c>
      <c r="F39">
        <f t="shared" si="0"/>
        <v>-9</v>
      </c>
      <c r="G39">
        <f t="shared" si="0"/>
        <v>8</v>
      </c>
      <c r="H39">
        <f t="shared" si="0"/>
        <v>-1</v>
      </c>
      <c r="I39">
        <f t="shared" si="0"/>
        <v>2</v>
      </c>
      <c r="J39">
        <f t="shared" si="0"/>
        <v>9</v>
      </c>
      <c r="K39">
        <f t="shared" si="0"/>
        <v>13</v>
      </c>
      <c r="L39">
        <f t="shared" si="0"/>
        <v>9</v>
      </c>
      <c r="M39">
        <f t="shared" si="0"/>
        <v>12</v>
      </c>
      <c r="N39">
        <f t="shared" si="0"/>
        <v>-5</v>
      </c>
      <c r="O39">
        <f t="shared" si="0"/>
        <v>-15</v>
      </c>
      <c r="P39">
        <f t="shared" si="0"/>
        <v>-4</v>
      </c>
      <c r="S39" s="3"/>
    </row>
    <row r="40" spans="4:31" ht="17.649999999999999" x14ac:dyDescent="0.5">
      <c r="D40" s="3" t="s">
        <v>138</v>
      </c>
      <c r="E40">
        <f t="shared" ref="E40:P40" si="1">E32-E38</f>
        <v>5</v>
      </c>
      <c r="F40">
        <f t="shared" si="1"/>
        <v>11</v>
      </c>
      <c r="G40">
        <f t="shared" si="1"/>
        <v>0</v>
      </c>
      <c r="H40">
        <f t="shared" si="1"/>
        <v>-5</v>
      </c>
      <c r="I40">
        <f t="shared" si="1"/>
        <v>-14</v>
      </c>
      <c r="J40">
        <f t="shared" si="1"/>
        <v>7</v>
      </c>
      <c r="K40">
        <f t="shared" si="1"/>
        <v>-3</v>
      </c>
      <c r="L40">
        <f t="shared" si="1"/>
        <v>-11</v>
      </c>
      <c r="M40">
        <f t="shared" si="1"/>
        <v>-6</v>
      </c>
      <c r="N40">
        <f t="shared" si="1"/>
        <v>-3</v>
      </c>
      <c r="O40">
        <f t="shared" si="1"/>
        <v>13</v>
      </c>
      <c r="P40">
        <f t="shared" si="1"/>
        <v>2</v>
      </c>
      <c r="S40" s="3"/>
    </row>
    <row r="41" spans="4:31" x14ac:dyDescent="0.5">
      <c r="D41" s="2" t="s">
        <v>29</v>
      </c>
      <c r="S41" s="2" t="s">
        <v>29</v>
      </c>
    </row>
    <row r="42" spans="4:31" x14ac:dyDescent="0.5">
      <c r="D42" s="2"/>
      <c r="E42" s="2" t="s">
        <v>26</v>
      </c>
      <c r="S42" s="2"/>
      <c r="T42" s="2" t="s">
        <v>26</v>
      </c>
    </row>
    <row r="43" spans="4:31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  <c r="S43" s="2" t="s">
        <v>27</v>
      </c>
      <c r="T43" s="2">
        <v>1</v>
      </c>
      <c r="U43" s="2">
        <v>2</v>
      </c>
      <c r="V43" s="2">
        <v>3</v>
      </c>
      <c r="W43" s="2">
        <v>4</v>
      </c>
      <c r="X43" s="2">
        <v>5</v>
      </c>
      <c r="Y43" s="2">
        <v>6</v>
      </c>
      <c r="Z43" s="2">
        <v>7</v>
      </c>
      <c r="AA43" s="2">
        <v>8</v>
      </c>
      <c r="AB43" s="2">
        <v>9</v>
      </c>
      <c r="AC43" s="2">
        <v>10</v>
      </c>
      <c r="AD43" s="2">
        <v>11</v>
      </c>
      <c r="AE43" s="2">
        <v>12</v>
      </c>
    </row>
    <row r="44" spans="4:31" x14ac:dyDescent="0.5">
      <c r="D44" s="2" t="s">
        <v>25</v>
      </c>
      <c r="E44" s="2">
        <v>78</v>
      </c>
      <c r="F44" s="2">
        <v>84</v>
      </c>
      <c r="G44" s="2">
        <v>88</v>
      </c>
      <c r="H44" s="2">
        <v>80</v>
      </c>
      <c r="I44" s="2">
        <v>78</v>
      </c>
      <c r="J44" s="2">
        <v>91</v>
      </c>
      <c r="K44" s="2">
        <v>88</v>
      </c>
      <c r="L44" s="2">
        <v>82</v>
      </c>
      <c r="M44" s="2">
        <v>87</v>
      </c>
      <c r="N44" s="2">
        <v>79</v>
      </c>
      <c r="O44" s="2">
        <v>82</v>
      </c>
      <c r="P44" s="2">
        <v>83</v>
      </c>
      <c r="S44" s="2" t="s">
        <v>25</v>
      </c>
      <c r="T44" s="2">
        <v>83</v>
      </c>
      <c r="U44" s="2">
        <v>83</v>
      </c>
      <c r="V44" s="2">
        <v>83</v>
      </c>
      <c r="W44" s="2">
        <v>88</v>
      </c>
      <c r="X44" s="2">
        <v>80</v>
      </c>
      <c r="Y44" s="2">
        <v>83</v>
      </c>
      <c r="Z44" s="2">
        <v>84</v>
      </c>
      <c r="AA44" s="2">
        <v>83</v>
      </c>
      <c r="AB44" s="2">
        <v>85</v>
      </c>
      <c r="AC44" s="2">
        <v>77</v>
      </c>
      <c r="AD44" s="2">
        <v>86</v>
      </c>
      <c r="AE44" s="2">
        <v>85</v>
      </c>
    </row>
    <row r="45" spans="4:31" x14ac:dyDescent="0.5">
      <c r="D45" s="2" t="s">
        <v>28</v>
      </c>
      <c r="E45" s="2">
        <v>88</v>
      </c>
      <c r="F45" s="2">
        <v>82</v>
      </c>
      <c r="G45" s="2">
        <v>80</v>
      </c>
      <c r="H45" s="2">
        <v>86</v>
      </c>
      <c r="I45" s="2">
        <v>90</v>
      </c>
      <c r="J45" s="2">
        <v>75</v>
      </c>
      <c r="K45" s="2">
        <v>78</v>
      </c>
      <c r="L45" s="2">
        <v>84</v>
      </c>
      <c r="M45" s="2">
        <v>81</v>
      </c>
      <c r="N45" s="2">
        <v>87</v>
      </c>
      <c r="O45" s="2">
        <v>84</v>
      </c>
      <c r="P45" s="2">
        <v>85</v>
      </c>
      <c r="S45" s="2" t="s">
        <v>28</v>
      </c>
      <c r="T45" s="2">
        <v>83</v>
      </c>
      <c r="U45" s="2">
        <v>83</v>
      </c>
      <c r="V45" s="2">
        <v>85</v>
      </c>
      <c r="W45" s="2">
        <v>78</v>
      </c>
      <c r="X45" s="2">
        <v>88</v>
      </c>
      <c r="Y45" s="2">
        <v>83</v>
      </c>
      <c r="Z45" s="2">
        <v>82</v>
      </c>
      <c r="AA45" s="2">
        <v>83</v>
      </c>
      <c r="AB45" s="2">
        <v>83</v>
      </c>
      <c r="AC45" s="2">
        <v>89</v>
      </c>
      <c r="AD45" s="2">
        <v>80</v>
      </c>
      <c r="AE45" s="2">
        <v>83</v>
      </c>
    </row>
    <row r="46" spans="4:31" x14ac:dyDescent="0.5">
      <c r="D46" s="2" t="s">
        <v>30</v>
      </c>
      <c r="E46" s="2">
        <v>-10</v>
      </c>
      <c r="F46" s="2">
        <v>2</v>
      </c>
      <c r="G46" s="2">
        <v>8</v>
      </c>
      <c r="H46" s="2">
        <v>-6</v>
      </c>
      <c r="I46" s="2">
        <v>-12</v>
      </c>
      <c r="J46" s="2">
        <v>16</v>
      </c>
      <c r="K46" s="2">
        <v>10</v>
      </c>
      <c r="L46" s="2">
        <v>-2</v>
      </c>
      <c r="M46" s="2">
        <v>6</v>
      </c>
      <c r="N46" s="2">
        <v>-8</v>
      </c>
      <c r="O46" s="2">
        <v>-2</v>
      </c>
      <c r="P46" s="2">
        <v>-2</v>
      </c>
      <c r="S46" s="2" t="s">
        <v>30</v>
      </c>
      <c r="T46" s="2">
        <v>0</v>
      </c>
      <c r="U46" s="2">
        <v>0</v>
      </c>
      <c r="V46" s="2">
        <v>-2</v>
      </c>
      <c r="W46" s="2">
        <v>10</v>
      </c>
      <c r="X46" s="2">
        <v>-8</v>
      </c>
      <c r="Y46" s="2">
        <v>0</v>
      </c>
      <c r="Z46" s="2">
        <v>2</v>
      </c>
      <c r="AA46" s="2">
        <v>0</v>
      </c>
      <c r="AB46" s="2">
        <v>2</v>
      </c>
      <c r="AC46" s="2">
        <v>-12</v>
      </c>
      <c r="AD46" s="2">
        <v>6</v>
      </c>
      <c r="AE46" s="2">
        <v>2</v>
      </c>
    </row>
    <row r="47" spans="4:31" ht="17.649999999999999" x14ac:dyDescent="0.5">
      <c r="D47" s="3"/>
      <c r="S47" s="3"/>
    </row>
    <row r="48" spans="4:31" x14ac:dyDescent="0.5">
      <c r="D48" s="2" t="s">
        <v>31</v>
      </c>
      <c r="S48" s="2" t="s">
        <v>31</v>
      </c>
    </row>
    <row r="49" spans="4:26" x14ac:dyDescent="0.5">
      <c r="D49" s="2"/>
      <c r="E49" s="2" t="s">
        <v>32</v>
      </c>
      <c r="S49" s="2"/>
      <c r="T49" s="2" t="s">
        <v>32</v>
      </c>
    </row>
    <row r="50" spans="4:26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  <c r="S50" s="2"/>
      <c r="T50" s="2" t="s">
        <v>11</v>
      </c>
      <c r="U50" s="2" t="s">
        <v>12</v>
      </c>
      <c r="V50" s="2" t="s">
        <v>33</v>
      </c>
      <c r="W50" s="2" t="s">
        <v>34</v>
      </c>
      <c r="X50" s="2" t="s">
        <v>35</v>
      </c>
      <c r="Y50" s="2" t="s">
        <v>16</v>
      </c>
      <c r="Z50" s="2" t="s">
        <v>17</v>
      </c>
    </row>
    <row r="51" spans="4:26" x14ac:dyDescent="0.5">
      <c r="D51" s="2" t="s">
        <v>25</v>
      </c>
      <c r="E51" s="2">
        <v>499</v>
      </c>
      <c r="F51" s="2">
        <v>501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  <c r="S51" s="2" t="s">
        <v>25</v>
      </c>
      <c r="T51" s="2">
        <v>500</v>
      </c>
      <c r="U51" s="2">
        <v>500</v>
      </c>
      <c r="V51" s="2">
        <v>333</v>
      </c>
      <c r="W51" s="2">
        <v>333</v>
      </c>
      <c r="X51" s="2">
        <v>334</v>
      </c>
      <c r="Y51" s="2">
        <v>501</v>
      </c>
      <c r="Z51" s="2">
        <v>499</v>
      </c>
    </row>
    <row r="52" spans="4:26" x14ac:dyDescent="0.5">
      <c r="D52" s="2" t="s">
        <v>28</v>
      </c>
      <c r="E52" s="2">
        <v>501</v>
      </c>
      <c r="F52" s="2">
        <v>499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  <c r="S52" s="2" t="s">
        <v>28</v>
      </c>
      <c r="T52" s="2">
        <v>500</v>
      </c>
      <c r="U52" s="2">
        <v>500</v>
      </c>
      <c r="V52" s="2">
        <v>331</v>
      </c>
      <c r="W52" s="2">
        <v>335</v>
      </c>
      <c r="X52" s="2">
        <v>334</v>
      </c>
      <c r="Y52" s="2">
        <v>501</v>
      </c>
      <c r="Z52" s="2">
        <v>499</v>
      </c>
    </row>
    <row r="53" spans="4:26" x14ac:dyDescent="0.5">
      <c r="D53" s="2" t="s">
        <v>30</v>
      </c>
      <c r="E53" s="2">
        <v>-2</v>
      </c>
      <c r="F53" s="2">
        <v>2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S53" s="2" t="s">
        <v>30</v>
      </c>
      <c r="T53" s="2">
        <v>0</v>
      </c>
      <c r="U53" s="2">
        <v>0</v>
      </c>
      <c r="V53" s="2">
        <v>2</v>
      </c>
      <c r="W53" s="2">
        <v>-2</v>
      </c>
      <c r="X53" s="2">
        <v>0</v>
      </c>
      <c r="Y53" s="2">
        <v>0</v>
      </c>
      <c r="Z53" s="2">
        <v>0</v>
      </c>
    </row>
    <row r="54" spans="4:26" ht="17.649999999999999" x14ac:dyDescent="0.5">
      <c r="D54" s="3"/>
      <c r="S54" s="3"/>
    </row>
    <row r="56" spans="4:26" x14ac:dyDescent="0.5">
      <c r="D56" s="2" t="s">
        <v>36</v>
      </c>
      <c r="E56" s="2">
        <v>10</v>
      </c>
      <c r="F56" s="2">
        <v>104</v>
      </c>
      <c r="G56" s="2">
        <v>457</v>
      </c>
      <c r="H56" s="2">
        <v>799</v>
      </c>
      <c r="I56" s="2">
        <v>529</v>
      </c>
      <c r="J56" s="2">
        <v>97</v>
      </c>
      <c r="K56" s="2">
        <v>4</v>
      </c>
      <c r="S56" s="2" t="s">
        <v>36</v>
      </c>
      <c r="T56" s="2">
        <v>1</v>
      </c>
      <c r="U56" s="2">
        <v>80</v>
      </c>
      <c r="V56" s="2">
        <v>478</v>
      </c>
      <c r="W56" s="2">
        <v>802</v>
      </c>
      <c r="X56" s="2">
        <v>519</v>
      </c>
      <c r="Y56" s="2">
        <v>118</v>
      </c>
      <c r="Z56" s="2">
        <v>2</v>
      </c>
    </row>
    <row r="57" spans="4:26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  <c r="S57" s="2" t="s">
        <v>37</v>
      </c>
      <c r="T57" s="2">
        <v>3</v>
      </c>
      <c r="U57" s="2">
        <v>2</v>
      </c>
      <c r="V57" s="2">
        <v>1</v>
      </c>
      <c r="W57" s="2">
        <v>0</v>
      </c>
      <c r="X57" s="2">
        <v>-1</v>
      </c>
      <c r="Y57" s="2">
        <v>-2</v>
      </c>
      <c r="Z57" s="2">
        <v>-3</v>
      </c>
    </row>
    <row r="59" spans="4:26" ht="25.15" x14ac:dyDescent="0.7">
      <c r="D59" s="1" t="s">
        <v>38</v>
      </c>
      <c r="S59" s="1" t="s">
        <v>38</v>
      </c>
    </row>
    <row r="60" spans="4:26" ht="17.649999999999999" x14ac:dyDescent="0.5">
      <c r="D60" s="3" t="s">
        <v>332</v>
      </c>
      <c r="S60" s="3" t="s">
        <v>142</v>
      </c>
    </row>
    <row r="61" spans="4:26" ht="17.649999999999999" x14ac:dyDescent="0.5">
      <c r="D61" s="3" t="s">
        <v>333</v>
      </c>
      <c r="S61" s="3" t="s">
        <v>145</v>
      </c>
    </row>
    <row r="62" spans="4:26" ht="17.649999999999999" x14ac:dyDescent="0.5">
      <c r="D62" s="3" t="s">
        <v>101</v>
      </c>
      <c r="S62" s="3" t="s">
        <v>91</v>
      </c>
    </row>
    <row r="63" spans="4:26" ht="17.649999999999999" x14ac:dyDescent="0.5">
      <c r="D63" s="3" t="s">
        <v>62</v>
      </c>
      <c r="S63" s="3" t="s">
        <v>44</v>
      </c>
    </row>
    <row r="64" spans="4:26" ht="17.649999999999999" x14ac:dyDescent="0.5">
      <c r="D64" s="3" t="s">
        <v>43</v>
      </c>
      <c r="S64" s="3" t="s">
        <v>43</v>
      </c>
    </row>
    <row r="65" spans="4:19" ht="17.649999999999999" x14ac:dyDescent="0.5">
      <c r="D65" s="3" t="s">
        <v>132</v>
      </c>
      <c r="S65" s="3" t="s">
        <v>80</v>
      </c>
    </row>
    <row r="66" spans="4:19" ht="17.649999999999999" x14ac:dyDescent="0.5">
      <c r="D66" s="3" t="s">
        <v>92</v>
      </c>
      <c r="S66" s="3" t="s">
        <v>92</v>
      </c>
    </row>
    <row r="67" spans="4:19" ht="17.649999999999999" x14ac:dyDescent="0.5">
      <c r="D67" s="3" t="s">
        <v>97</v>
      </c>
      <c r="S67" s="3" t="s">
        <v>52</v>
      </c>
    </row>
    <row r="68" spans="4:19" ht="17.649999999999999" x14ac:dyDescent="0.5">
      <c r="D68" s="3" t="s">
        <v>83</v>
      </c>
      <c r="S68" s="3" t="s">
        <v>100</v>
      </c>
    </row>
    <row r="69" spans="4:19" ht="17.649999999999999" x14ac:dyDescent="0.5">
      <c r="D69" s="3" t="s">
        <v>94</v>
      </c>
      <c r="S69" s="3" t="s">
        <v>82</v>
      </c>
    </row>
    <row r="70" spans="4:19" ht="17.649999999999999" x14ac:dyDescent="0.5">
      <c r="D70" s="3" t="s">
        <v>123</v>
      </c>
      <c r="S70" s="3" t="s">
        <v>123</v>
      </c>
    </row>
    <row r="71" spans="4:19" ht="17.649999999999999" x14ac:dyDescent="0.5">
      <c r="D71" s="3" t="s">
        <v>85</v>
      </c>
      <c r="S71" s="3" t="s">
        <v>41</v>
      </c>
    </row>
    <row r="72" spans="4:19" ht="17.649999999999999" x14ac:dyDescent="0.5">
      <c r="D72" s="3" t="s">
        <v>74</v>
      </c>
      <c r="S72" s="3" t="s">
        <v>115</v>
      </c>
    </row>
    <row r="73" spans="4:19" ht="17.649999999999999" x14ac:dyDescent="0.5">
      <c r="D73" s="3" t="s">
        <v>94</v>
      </c>
      <c r="S73" s="3" t="s">
        <v>54</v>
      </c>
    </row>
    <row r="74" spans="4:19" ht="17.649999999999999" x14ac:dyDescent="0.5">
      <c r="D74" s="3" t="s">
        <v>81</v>
      </c>
      <c r="S74" s="3" t="s">
        <v>81</v>
      </c>
    </row>
    <row r="75" spans="4:19" ht="17.649999999999999" x14ac:dyDescent="0.5">
      <c r="D75" s="3" t="s">
        <v>107</v>
      </c>
      <c r="S75" s="3" t="s">
        <v>88</v>
      </c>
    </row>
    <row r="76" spans="4:19" ht="17.649999999999999" x14ac:dyDescent="0.5">
      <c r="D76" s="3" t="s">
        <v>49</v>
      </c>
      <c r="S76" s="3" t="s">
        <v>86</v>
      </c>
    </row>
    <row r="77" spans="4:19" ht="17.649999999999999" x14ac:dyDescent="0.5">
      <c r="D77" s="3" t="s">
        <v>82</v>
      </c>
      <c r="S77" s="3" t="s">
        <v>54</v>
      </c>
    </row>
    <row r="78" spans="4:19" ht="17.649999999999999" x14ac:dyDescent="0.5">
      <c r="D78" s="3" t="s">
        <v>130</v>
      </c>
      <c r="S78" s="3" t="s">
        <v>130</v>
      </c>
    </row>
    <row r="79" spans="4:19" ht="17.649999999999999" x14ac:dyDescent="0.5">
      <c r="D79" s="3" t="s">
        <v>121</v>
      </c>
      <c r="S79" s="3" t="s">
        <v>70</v>
      </c>
    </row>
    <row r="80" spans="4:19" ht="17.649999999999999" x14ac:dyDescent="0.5">
      <c r="D80" s="3" t="s">
        <v>41</v>
      </c>
      <c r="S80" s="3" t="s">
        <v>85</v>
      </c>
    </row>
    <row r="81" spans="4:19" ht="17.649999999999999" x14ac:dyDescent="0.5">
      <c r="D81" s="3" t="s">
        <v>47</v>
      </c>
      <c r="S81" s="3" t="s">
        <v>44</v>
      </c>
    </row>
    <row r="82" spans="4:19" ht="17.649999999999999" x14ac:dyDescent="0.5">
      <c r="D82" s="3" t="s">
        <v>78</v>
      </c>
      <c r="S82" s="3" t="s">
        <v>78</v>
      </c>
    </row>
    <row r="83" spans="4:19" ht="17.649999999999999" x14ac:dyDescent="0.5">
      <c r="D83" s="3" t="s">
        <v>87</v>
      </c>
      <c r="S83" s="3" t="s">
        <v>87</v>
      </c>
    </row>
    <row r="84" spans="4:19" ht="17.649999999999999" x14ac:dyDescent="0.5">
      <c r="D84" s="3" t="s">
        <v>94</v>
      </c>
      <c r="S84" s="3" t="s">
        <v>94</v>
      </c>
    </row>
    <row r="85" spans="4:19" ht="17.649999999999999" x14ac:dyDescent="0.5">
      <c r="D85" s="3" t="s">
        <v>120</v>
      </c>
      <c r="S85" s="3" t="s">
        <v>54</v>
      </c>
    </row>
    <row r="86" spans="4:19" ht="17.649999999999999" x14ac:dyDescent="0.5">
      <c r="D86" s="3" t="s">
        <v>115</v>
      </c>
      <c r="S86" s="3" t="s">
        <v>115</v>
      </c>
    </row>
    <row r="87" spans="4:19" ht="17.649999999999999" x14ac:dyDescent="0.5">
      <c r="D87" s="3" t="s">
        <v>127</v>
      </c>
      <c r="S87" s="3" t="s">
        <v>90</v>
      </c>
    </row>
    <row r="88" spans="4:19" ht="17.649999999999999" x14ac:dyDescent="0.5">
      <c r="D88" s="3" t="s">
        <v>116</v>
      </c>
      <c r="S88" s="3" t="s">
        <v>87</v>
      </c>
    </row>
    <row r="89" spans="4:19" ht="17.649999999999999" x14ac:dyDescent="0.5">
      <c r="D89" s="3" t="s">
        <v>64</v>
      </c>
      <c r="S89" s="3" t="s">
        <v>127</v>
      </c>
    </row>
    <row r="90" spans="4:19" ht="17.649999999999999" x14ac:dyDescent="0.5">
      <c r="D90" s="3" t="s">
        <v>94</v>
      </c>
      <c r="S90" s="3" t="s">
        <v>94</v>
      </c>
    </row>
    <row r="91" spans="4:19" ht="17.649999999999999" x14ac:dyDescent="0.5">
      <c r="D91" s="3" t="s">
        <v>87</v>
      </c>
      <c r="S91" s="3" t="s">
        <v>63</v>
      </c>
    </row>
    <row r="92" spans="4:19" ht="17.649999999999999" x14ac:dyDescent="0.5">
      <c r="D92" s="3" t="s">
        <v>88</v>
      </c>
      <c r="S92" s="3" t="s">
        <v>126</v>
      </c>
    </row>
    <row r="93" spans="4:19" ht="17.649999999999999" x14ac:dyDescent="0.5">
      <c r="D93" s="3" t="s">
        <v>47</v>
      </c>
      <c r="S93" s="3" t="s">
        <v>44</v>
      </c>
    </row>
    <row r="94" spans="4:19" ht="17.649999999999999" x14ac:dyDescent="0.5">
      <c r="D94" s="3" t="s">
        <v>54</v>
      </c>
      <c r="S94" s="3" t="s">
        <v>120</v>
      </c>
    </row>
    <row r="95" spans="4:19" ht="17.649999999999999" x14ac:dyDescent="0.5">
      <c r="D95" s="3" t="s">
        <v>98</v>
      </c>
      <c r="S95" s="3" t="s">
        <v>98</v>
      </c>
    </row>
    <row r="96" spans="4:19" ht="17.649999999999999" x14ac:dyDescent="0.5">
      <c r="D96" s="3" t="s">
        <v>114</v>
      </c>
      <c r="S96" s="3" t="s">
        <v>105</v>
      </c>
    </row>
    <row r="97" spans="4:19" ht="17.649999999999999" x14ac:dyDescent="0.5">
      <c r="D97" s="3" t="s">
        <v>49</v>
      </c>
      <c r="S97" s="3" t="s">
        <v>86</v>
      </c>
    </row>
    <row r="98" spans="4:19" ht="17.649999999999999" x14ac:dyDescent="0.5">
      <c r="D98" s="3" t="s">
        <v>55</v>
      </c>
      <c r="S98" s="3" t="s">
        <v>55</v>
      </c>
    </row>
    <row r="99" spans="4:19" ht="17.649999999999999" x14ac:dyDescent="0.5">
      <c r="D99" s="3" t="s">
        <v>83</v>
      </c>
      <c r="S99" s="3" t="s">
        <v>56</v>
      </c>
    </row>
    <row r="100" spans="4:19" ht="17.649999999999999" x14ac:dyDescent="0.5">
      <c r="D100" s="3" t="s">
        <v>115</v>
      </c>
      <c r="S100" s="3" t="s">
        <v>74</v>
      </c>
    </row>
    <row r="101" spans="4:19" ht="17.649999999999999" x14ac:dyDescent="0.5">
      <c r="D101" s="3" t="s">
        <v>42</v>
      </c>
      <c r="S101" s="3" t="s">
        <v>91</v>
      </c>
    </row>
    <row r="102" spans="4:19" ht="17.649999999999999" x14ac:dyDescent="0.5">
      <c r="D102" s="3" t="s">
        <v>116</v>
      </c>
      <c r="S102" s="3" t="s">
        <v>116</v>
      </c>
    </row>
    <row r="103" spans="4:19" ht="17.649999999999999" x14ac:dyDescent="0.5">
      <c r="D103" s="3" t="s">
        <v>103</v>
      </c>
      <c r="S103" s="3" t="s">
        <v>112</v>
      </c>
    </row>
    <row r="104" spans="4:19" ht="17.649999999999999" x14ac:dyDescent="0.5">
      <c r="D104" s="3" t="s">
        <v>44</v>
      </c>
      <c r="S104" s="3" t="s">
        <v>62</v>
      </c>
    </row>
    <row r="105" spans="4:19" ht="17.649999999999999" x14ac:dyDescent="0.5">
      <c r="D105" s="3" t="s">
        <v>93</v>
      </c>
      <c r="S105" s="3" t="s">
        <v>55</v>
      </c>
    </row>
    <row r="106" spans="4:19" ht="17.649999999999999" x14ac:dyDescent="0.5">
      <c r="D106" s="3" t="s">
        <v>68</v>
      </c>
      <c r="S106" s="3" t="s">
        <v>75</v>
      </c>
    </row>
    <row r="107" spans="4:19" ht="17.649999999999999" x14ac:dyDescent="0.5">
      <c r="D107" s="3" t="s">
        <v>47</v>
      </c>
      <c r="S107" s="3" t="s">
        <v>47</v>
      </c>
    </row>
    <row r="108" spans="4:19" ht="17.649999999999999" x14ac:dyDescent="0.5">
      <c r="D108" s="3" t="s">
        <v>94</v>
      </c>
      <c r="S108" s="3" t="s">
        <v>82</v>
      </c>
    </row>
    <row r="109" spans="4:19" ht="17.649999999999999" x14ac:dyDescent="0.5">
      <c r="D109" s="3" t="s">
        <v>117</v>
      </c>
      <c r="S109" s="3" t="s">
        <v>105</v>
      </c>
    </row>
    <row r="110" spans="4:19" ht="17.649999999999999" x14ac:dyDescent="0.5">
      <c r="D110" s="3" t="s">
        <v>85</v>
      </c>
      <c r="S110" s="3" t="s">
        <v>134</v>
      </c>
    </row>
    <row r="111" spans="4:19" ht="17.649999999999999" x14ac:dyDescent="0.5">
      <c r="D111" s="3" t="s">
        <v>129</v>
      </c>
      <c r="S111" s="3" t="s">
        <v>50</v>
      </c>
    </row>
    <row r="112" spans="4:19" ht="17.649999999999999" x14ac:dyDescent="0.5">
      <c r="D112" s="3" t="s">
        <v>135</v>
      </c>
      <c r="S112" s="3" t="s">
        <v>44</v>
      </c>
    </row>
    <row r="113" spans="4:19" ht="17.649999999999999" x14ac:dyDescent="0.5">
      <c r="D113" s="3" t="s">
        <v>47</v>
      </c>
      <c r="S113" s="3" t="s">
        <v>62</v>
      </c>
    </row>
    <row r="114" spans="4:19" ht="17.649999999999999" x14ac:dyDescent="0.5">
      <c r="D114" s="3" t="s">
        <v>81</v>
      </c>
      <c r="S114" s="3" t="s">
        <v>81</v>
      </c>
    </row>
    <row r="115" spans="4:19" ht="17.649999999999999" x14ac:dyDescent="0.5">
      <c r="D115" s="3" t="s">
        <v>92</v>
      </c>
      <c r="S115" s="3" t="s">
        <v>92</v>
      </c>
    </row>
    <row r="116" spans="4:19" ht="17.649999999999999" x14ac:dyDescent="0.5">
      <c r="D116" s="3" t="s">
        <v>68</v>
      </c>
      <c r="S116" s="3" t="s">
        <v>58</v>
      </c>
    </row>
    <row r="117" spans="4:19" ht="17.649999999999999" x14ac:dyDescent="0.5">
      <c r="D117" s="3" t="s">
        <v>81</v>
      </c>
      <c r="S117" s="3" t="s">
        <v>81</v>
      </c>
    </row>
    <row r="118" spans="4:19" ht="17.649999999999999" x14ac:dyDescent="0.5">
      <c r="D118" s="3" t="s">
        <v>61</v>
      </c>
      <c r="S118" s="3" t="s">
        <v>80</v>
      </c>
    </row>
    <row r="119" spans="4:19" ht="17.649999999999999" x14ac:dyDescent="0.5">
      <c r="D119" s="3" t="s">
        <v>46</v>
      </c>
      <c r="S119" s="3" t="s">
        <v>46</v>
      </c>
    </row>
    <row r="120" spans="4:19" ht="17.649999999999999" x14ac:dyDescent="0.5">
      <c r="D120" s="3" t="s">
        <v>47</v>
      </c>
      <c r="S120" s="3" t="s">
        <v>47</v>
      </c>
    </row>
    <row r="121" spans="4:19" ht="17.649999999999999" x14ac:dyDescent="0.5">
      <c r="D121" s="3" t="s">
        <v>121</v>
      </c>
      <c r="S121" s="3" t="s">
        <v>112</v>
      </c>
    </row>
    <row r="122" spans="4:19" ht="17.649999999999999" x14ac:dyDescent="0.5">
      <c r="D122" s="3" t="s">
        <v>42</v>
      </c>
      <c r="S122" s="3" t="s">
        <v>91</v>
      </c>
    </row>
    <row r="123" spans="4:19" ht="17.649999999999999" x14ac:dyDescent="0.5">
      <c r="D123" s="3" t="s">
        <v>105</v>
      </c>
      <c r="S123" s="3" t="s">
        <v>105</v>
      </c>
    </row>
    <row r="124" spans="4:19" ht="17.649999999999999" x14ac:dyDescent="0.5">
      <c r="D124" s="3" t="s">
        <v>115</v>
      </c>
      <c r="S124" s="3" t="s">
        <v>72</v>
      </c>
    </row>
    <row r="125" spans="4:19" ht="17.649999999999999" x14ac:dyDescent="0.5">
      <c r="D125" s="3" t="s">
        <v>120</v>
      </c>
      <c r="S125" s="3" t="s">
        <v>54</v>
      </c>
    </row>
    <row r="126" spans="4:19" ht="17.649999999999999" x14ac:dyDescent="0.5">
      <c r="D126" s="3" t="s">
        <v>133</v>
      </c>
      <c r="S126" s="3" t="s">
        <v>68</v>
      </c>
    </row>
    <row r="127" spans="4:19" ht="17.649999999999999" x14ac:dyDescent="0.5">
      <c r="D127" s="3" t="s">
        <v>51</v>
      </c>
      <c r="S127" s="3" t="s">
        <v>51</v>
      </c>
    </row>
    <row r="128" spans="4:19" ht="17.649999999999999" x14ac:dyDescent="0.5">
      <c r="D128" s="3" t="s">
        <v>133</v>
      </c>
      <c r="S128" s="3" t="s">
        <v>133</v>
      </c>
    </row>
    <row r="129" spans="4:19" ht="17.649999999999999" x14ac:dyDescent="0.5">
      <c r="D129" s="3" t="s">
        <v>77</v>
      </c>
      <c r="S129" s="3" t="s">
        <v>113</v>
      </c>
    </row>
    <row r="130" spans="4:19" ht="17.649999999999999" x14ac:dyDescent="0.5">
      <c r="D130" s="3" t="s">
        <v>92</v>
      </c>
      <c r="S130" s="3" t="s">
        <v>92</v>
      </c>
    </row>
    <row r="131" spans="4:19" ht="17.649999999999999" x14ac:dyDescent="0.5">
      <c r="D131" s="3" t="s">
        <v>67</v>
      </c>
      <c r="S131" s="3" t="s">
        <v>107</v>
      </c>
    </row>
    <row r="132" spans="4:19" ht="17.649999999999999" x14ac:dyDescent="0.5">
      <c r="D132" s="3" t="s">
        <v>48</v>
      </c>
      <c r="S132" s="3" t="s">
        <v>98</v>
      </c>
    </row>
    <row r="133" spans="4:19" ht="17.649999999999999" x14ac:dyDescent="0.5">
      <c r="D133" s="3" t="s">
        <v>136</v>
      </c>
      <c r="S133" s="3" t="s">
        <v>56</v>
      </c>
    </row>
    <row r="134" spans="4:19" ht="17.649999999999999" x14ac:dyDescent="0.5">
      <c r="D134" s="3" t="s">
        <v>119</v>
      </c>
      <c r="S134" s="3" t="s">
        <v>113</v>
      </c>
    </row>
    <row r="135" spans="4:19" ht="17.649999999999999" x14ac:dyDescent="0.5">
      <c r="D135" s="3" t="s">
        <v>68</v>
      </c>
      <c r="S135" s="3" t="s">
        <v>68</v>
      </c>
    </row>
    <row r="136" spans="4:19" ht="17.649999999999999" x14ac:dyDescent="0.5">
      <c r="D136" s="3" t="s">
        <v>66</v>
      </c>
      <c r="S136" s="3" t="s">
        <v>66</v>
      </c>
    </row>
    <row r="137" spans="4:19" ht="17.649999999999999" x14ac:dyDescent="0.5">
      <c r="D137" s="3" t="s">
        <v>102</v>
      </c>
      <c r="S137" s="3" t="s">
        <v>102</v>
      </c>
    </row>
    <row r="138" spans="4:19" ht="17.649999999999999" x14ac:dyDescent="0.5">
      <c r="D138" s="3" t="s">
        <v>51</v>
      </c>
      <c r="S138" s="3" t="s">
        <v>51</v>
      </c>
    </row>
    <row r="139" spans="4:19" ht="17.649999999999999" x14ac:dyDescent="0.5">
      <c r="D139" s="3" t="s">
        <v>57</v>
      </c>
      <c r="S139" s="3" t="s">
        <v>57</v>
      </c>
    </row>
    <row r="140" spans="4:19" ht="17.649999999999999" x14ac:dyDescent="0.5">
      <c r="D140" s="3" t="s">
        <v>77</v>
      </c>
      <c r="S140" s="3" t="s">
        <v>77</v>
      </c>
    </row>
    <row r="141" spans="4:19" ht="17.649999999999999" x14ac:dyDescent="0.5">
      <c r="D141" s="3" t="s">
        <v>67</v>
      </c>
      <c r="S141" s="3" t="s">
        <v>67</v>
      </c>
    </row>
    <row r="142" spans="4:19" ht="17.649999999999999" x14ac:dyDescent="0.5">
      <c r="D142" s="3" t="s">
        <v>98</v>
      </c>
      <c r="S142" s="3" t="s">
        <v>98</v>
      </c>
    </row>
    <row r="143" spans="4:19" ht="17.649999999999999" x14ac:dyDescent="0.5">
      <c r="D143" s="3" t="s">
        <v>68</v>
      </c>
      <c r="S143" s="3" t="s">
        <v>68</v>
      </c>
    </row>
    <row r="144" spans="4:19" ht="17.649999999999999" x14ac:dyDescent="0.5">
      <c r="D144" s="3" t="s">
        <v>68</v>
      </c>
      <c r="S144" s="3" t="s">
        <v>68</v>
      </c>
    </row>
    <row r="145" spans="4:19" ht="17.649999999999999" x14ac:dyDescent="0.5">
      <c r="D145" s="3" t="s">
        <v>63</v>
      </c>
      <c r="S145" s="3" t="s">
        <v>63</v>
      </c>
    </row>
    <row r="146" spans="4:19" ht="17.649999999999999" x14ac:dyDescent="0.5">
      <c r="D146" s="3" t="s">
        <v>47</v>
      </c>
      <c r="S146" s="3" t="s">
        <v>47</v>
      </c>
    </row>
    <row r="147" spans="4:19" ht="17.649999999999999" x14ac:dyDescent="0.5">
      <c r="D147" s="3" t="s">
        <v>44</v>
      </c>
      <c r="S147" s="3" t="s">
        <v>44</v>
      </c>
    </row>
    <row r="148" spans="4:19" ht="17.649999999999999" x14ac:dyDescent="0.5">
      <c r="D148" s="3" t="s">
        <v>47</v>
      </c>
      <c r="S148" s="3" t="s">
        <v>47</v>
      </c>
    </row>
    <row r="149" spans="4:19" ht="17.649999999999999" x14ac:dyDescent="0.5">
      <c r="D149" s="3" t="s">
        <v>44</v>
      </c>
      <c r="S149" s="3" t="s">
        <v>44</v>
      </c>
    </row>
    <row r="150" spans="4:19" ht="17.649999999999999" x14ac:dyDescent="0.5">
      <c r="D150" s="3" t="s">
        <v>74</v>
      </c>
      <c r="S150" s="3" t="s">
        <v>74</v>
      </c>
    </row>
    <row r="151" spans="4:19" ht="17.649999999999999" x14ac:dyDescent="0.5">
      <c r="D151" s="3" t="s">
        <v>101</v>
      </c>
      <c r="S151" s="3" t="s">
        <v>101</v>
      </c>
    </row>
    <row r="152" spans="4:19" ht="17.649999999999999" x14ac:dyDescent="0.5">
      <c r="D152" s="3" t="s">
        <v>54</v>
      </c>
      <c r="S152" s="3" t="s">
        <v>54</v>
      </c>
    </row>
    <row r="153" spans="4:19" ht="17.649999999999999" x14ac:dyDescent="0.5">
      <c r="D153" s="3" t="s">
        <v>124</v>
      </c>
      <c r="S153" s="3" t="s">
        <v>124</v>
      </c>
    </row>
    <row r="154" spans="4:19" ht="17.649999999999999" x14ac:dyDescent="0.5">
      <c r="D154" s="3" t="s">
        <v>52</v>
      </c>
      <c r="S154" s="3" t="s">
        <v>52</v>
      </c>
    </row>
    <row r="155" spans="4:19" ht="17.649999999999999" x14ac:dyDescent="0.5">
      <c r="D155" s="3" t="s">
        <v>78</v>
      </c>
      <c r="S155" s="3" t="s">
        <v>78</v>
      </c>
    </row>
    <row r="156" spans="4:19" ht="17.649999999999999" x14ac:dyDescent="0.5">
      <c r="D156" s="3" t="s">
        <v>77</v>
      </c>
      <c r="S156" s="3" t="s">
        <v>77</v>
      </c>
    </row>
    <row r="157" spans="4:19" ht="17.649999999999999" x14ac:dyDescent="0.5">
      <c r="D157" s="3" t="s">
        <v>44</v>
      </c>
      <c r="S157" s="3" t="s">
        <v>44</v>
      </c>
    </row>
    <row r="158" spans="4:19" ht="17.649999999999999" x14ac:dyDescent="0.5">
      <c r="D158" s="3" t="s">
        <v>43</v>
      </c>
      <c r="S158" s="3" t="s">
        <v>43</v>
      </c>
    </row>
    <row r="159" spans="4:19" ht="17.649999999999999" x14ac:dyDescent="0.5">
      <c r="D159" s="3" t="s">
        <v>51</v>
      </c>
      <c r="S159" s="3" t="s">
        <v>51</v>
      </c>
    </row>
    <row r="160" spans="4:19" ht="17.649999999999999" x14ac:dyDescent="0.5">
      <c r="D160" s="3" t="s">
        <v>86</v>
      </c>
      <c r="S160" s="3" t="s">
        <v>86</v>
      </c>
    </row>
    <row r="161" spans="4:19" ht="17.649999999999999" x14ac:dyDescent="0.5">
      <c r="D161" s="3" t="s">
        <v>56</v>
      </c>
      <c r="S161" s="3" t="s">
        <v>56</v>
      </c>
    </row>
    <row r="162" spans="4:19" ht="17.649999999999999" x14ac:dyDescent="0.5">
      <c r="D162" s="3" t="s">
        <v>51</v>
      </c>
      <c r="S162" s="3" t="s">
        <v>51</v>
      </c>
    </row>
    <row r="163" spans="4:19" ht="17.649999999999999" x14ac:dyDescent="0.5">
      <c r="D163" s="3" t="s">
        <v>52</v>
      </c>
      <c r="S163" s="3" t="s">
        <v>52</v>
      </c>
    </row>
    <row r="164" spans="4:19" ht="17.649999999999999" x14ac:dyDescent="0.5">
      <c r="D164" s="3" t="s">
        <v>59</v>
      </c>
      <c r="S164" s="3" t="s">
        <v>59</v>
      </c>
    </row>
    <row r="165" spans="4:19" ht="17.649999999999999" x14ac:dyDescent="0.5">
      <c r="D165" s="3" t="s">
        <v>77</v>
      </c>
      <c r="S165" s="3" t="s">
        <v>77</v>
      </c>
    </row>
    <row r="166" spans="4:19" ht="17.649999999999999" x14ac:dyDescent="0.5">
      <c r="D166" s="3" t="s">
        <v>57</v>
      </c>
      <c r="S166" s="3" t="s">
        <v>53</v>
      </c>
    </row>
    <row r="167" spans="4:19" ht="17.649999999999999" x14ac:dyDescent="0.5">
      <c r="D167" s="3" t="s">
        <v>41</v>
      </c>
      <c r="S167" s="3" t="s">
        <v>41</v>
      </c>
    </row>
    <row r="168" spans="4:19" ht="17.649999999999999" x14ac:dyDescent="0.5">
      <c r="D168" s="3" t="s">
        <v>48</v>
      </c>
      <c r="S168" s="3" t="s">
        <v>48</v>
      </c>
    </row>
    <row r="169" spans="4:19" ht="17.649999999999999" x14ac:dyDescent="0.5">
      <c r="D169" s="3" t="s">
        <v>76</v>
      </c>
      <c r="S169" s="3" t="s">
        <v>43</v>
      </c>
    </row>
    <row r="170" spans="4:19" ht="17.649999999999999" x14ac:dyDescent="0.5">
      <c r="D170" s="3" t="s">
        <v>116</v>
      </c>
      <c r="S170" s="3" t="s">
        <v>63</v>
      </c>
    </row>
    <row r="171" spans="4:19" ht="17.649999999999999" x14ac:dyDescent="0.5">
      <c r="D171" s="3" t="s">
        <v>63</v>
      </c>
      <c r="S171" s="3" t="s">
        <v>87</v>
      </c>
    </row>
    <row r="172" spans="4:19" ht="17.649999999999999" x14ac:dyDescent="0.5">
      <c r="D172" s="3" t="s">
        <v>131</v>
      </c>
      <c r="S172" s="3" t="s">
        <v>115</v>
      </c>
    </row>
    <row r="173" spans="4:19" ht="17.649999999999999" x14ac:dyDescent="0.5">
      <c r="D173" s="3" t="s">
        <v>98</v>
      </c>
      <c r="S173" s="3" t="s">
        <v>98</v>
      </c>
    </row>
    <row r="174" spans="4:19" ht="17.649999999999999" x14ac:dyDescent="0.5">
      <c r="D174" s="3" t="s">
        <v>48</v>
      </c>
      <c r="S174" s="3" t="s">
        <v>98</v>
      </c>
    </row>
    <row r="175" spans="4:19" ht="17.649999999999999" x14ac:dyDescent="0.5">
      <c r="D175" s="3" t="s">
        <v>123</v>
      </c>
      <c r="S175" s="3" t="s">
        <v>78</v>
      </c>
    </row>
    <row r="176" spans="4:19" ht="17.649999999999999" x14ac:dyDescent="0.5">
      <c r="D176" s="3" t="s">
        <v>86</v>
      </c>
      <c r="S176" s="3" t="s">
        <v>49</v>
      </c>
    </row>
    <row r="177" spans="4:19" ht="17.649999999999999" x14ac:dyDescent="0.5">
      <c r="D177" s="3" t="s">
        <v>85</v>
      </c>
      <c r="S177" s="3" t="s">
        <v>85</v>
      </c>
    </row>
    <row r="178" spans="4:19" ht="17.649999999999999" x14ac:dyDescent="0.5">
      <c r="D178" s="3" t="s">
        <v>43</v>
      </c>
      <c r="S178" s="3" t="s">
        <v>76</v>
      </c>
    </row>
    <row r="179" spans="4:19" ht="17.649999999999999" x14ac:dyDescent="0.5">
      <c r="D179" s="3" t="s">
        <v>41</v>
      </c>
      <c r="S179" s="3" t="s">
        <v>41</v>
      </c>
    </row>
    <row r="180" spans="4:19" ht="17.649999999999999" x14ac:dyDescent="0.5">
      <c r="D180" s="3" t="s">
        <v>69</v>
      </c>
      <c r="S180" s="3" t="s">
        <v>69</v>
      </c>
    </row>
    <row r="181" spans="4:19" ht="17.649999999999999" x14ac:dyDescent="0.5">
      <c r="D181" s="3" t="s">
        <v>53</v>
      </c>
      <c r="S181" s="3" t="s">
        <v>57</v>
      </c>
    </row>
    <row r="182" spans="4:19" ht="17.649999999999999" x14ac:dyDescent="0.5">
      <c r="D182" s="3" t="s">
        <v>105</v>
      </c>
      <c r="S182" s="3" t="s">
        <v>114</v>
      </c>
    </row>
    <row r="183" spans="4:19" ht="17.649999999999999" x14ac:dyDescent="0.5">
      <c r="D183" s="3" t="s">
        <v>68</v>
      </c>
      <c r="S183" s="3" t="s">
        <v>58</v>
      </c>
    </row>
    <row r="184" spans="4:19" ht="17.649999999999999" x14ac:dyDescent="0.5">
      <c r="D184" s="3" t="s">
        <v>75</v>
      </c>
      <c r="S184" s="3" t="s">
        <v>75</v>
      </c>
    </row>
    <row r="185" spans="4:19" ht="17.649999999999999" x14ac:dyDescent="0.5">
      <c r="D185" s="3" t="s">
        <v>112</v>
      </c>
      <c r="S185" s="3" t="s">
        <v>112</v>
      </c>
    </row>
    <row r="186" spans="4:19" ht="17.649999999999999" x14ac:dyDescent="0.5">
      <c r="D186" s="3" t="s">
        <v>46</v>
      </c>
      <c r="S186" s="3" t="s">
        <v>46</v>
      </c>
    </row>
    <row r="187" spans="4:19" ht="17.649999999999999" x14ac:dyDescent="0.5">
      <c r="D187" s="3" t="s">
        <v>103</v>
      </c>
      <c r="S187" s="3" t="s">
        <v>70</v>
      </c>
    </row>
    <row r="188" spans="4:19" ht="17.649999999999999" x14ac:dyDescent="0.5">
      <c r="D188" s="3" t="s">
        <v>59</v>
      </c>
      <c r="S188" s="3" t="s">
        <v>129</v>
      </c>
    </row>
    <row r="189" spans="4:19" ht="17.649999999999999" x14ac:dyDescent="0.5">
      <c r="D189" s="3" t="s">
        <v>96</v>
      </c>
      <c r="S189" s="3" t="s">
        <v>96</v>
      </c>
    </row>
    <row r="190" spans="4:19" ht="17.649999999999999" x14ac:dyDescent="0.5">
      <c r="D190" s="3" t="s">
        <v>117</v>
      </c>
      <c r="S190" s="3" t="s">
        <v>105</v>
      </c>
    </row>
    <row r="191" spans="4:19" ht="17.649999999999999" x14ac:dyDescent="0.5">
      <c r="D191" s="3" t="s">
        <v>47</v>
      </c>
      <c r="S191" s="3" t="s">
        <v>44</v>
      </c>
    </row>
    <row r="192" spans="4:19" ht="17.649999999999999" x14ac:dyDescent="0.5">
      <c r="D192" s="3" t="s">
        <v>68</v>
      </c>
      <c r="S192" s="3" t="s">
        <v>75</v>
      </c>
    </row>
    <row r="193" spans="4:19" ht="17.649999999999999" x14ac:dyDescent="0.5">
      <c r="D193" s="3" t="s">
        <v>50</v>
      </c>
      <c r="S193" s="3" t="s">
        <v>50</v>
      </c>
    </row>
    <row r="194" spans="4:19" ht="17.649999999999999" x14ac:dyDescent="0.5">
      <c r="D194" s="3" t="s">
        <v>61</v>
      </c>
      <c r="S194" s="3" t="s">
        <v>80</v>
      </c>
    </row>
    <row r="195" spans="4:19" ht="17.649999999999999" x14ac:dyDescent="0.5">
      <c r="D195" s="3" t="s">
        <v>47</v>
      </c>
      <c r="S195" s="3" t="s">
        <v>47</v>
      </c>
    </row>
    <row r="196" spans="4:19" ht="17.649999999999999" x14ac:dyDescent="0.5">
      <c r="D196" s="3" t="s">
        <v>61</v>
      </c>
      <c r="S196" s="3" t="s">
        <v>132</v>
      </c>
    </row>
    <row r="197" spans="4:19" ht="17.649999999999999" x14ac:dyDescent="0.5">
      <c r="D197" s="3" t="s">
        <v>136</v>
      </c>
      <c r="S197" s="3" t="s">
        <v>83</v>
      </c>
    </row>
    <row r="198" spans="4:19" ht="17.649999999999999" x14ac:dyDescent="0.5">
      <c r="D198" s="3" t="s">
        <v>99</v>
      </c>
      <c r="S198" s="3" t="s">
        <v>46</v>
      </c>
    </row>
    <row r="199" spans="4:19" ht="17.649999999999999" x14ac:dyDescent="0.5">
      <c r="D199" s="3" t="s">
        <v>129</v>
      </c>
      <c r="S199" s="3" t="s">
        <v>129</v>
      </c>
    </row>
    <row r="200" spans="4:19" ht="17.649999999999999" x14ac:dyDescent="0.5">
      <c r="D200" s="3" t="s">
        <v>87</v>
      </c>
      <c r="S200" s="3" t="s">
        <v>87</v>
      </c>
    </row>
    <row r="201" spans="4:19" ht="17.649999999999999" x14ac:dyDescent="0.5">
      <c r="D201" s="3" t="s">
        <v>119</v>
      </c>
      <c r="S201" s="3" t="s">
        <v>113</v>
      </c>
    </row>
    <row r="202" spans="4:19" ht="17.649999999999999" x14ac:dyDescent="0.5">
      <c r="D202" s="3" t="s">
        <v>122</v>
      </c>
      <c r="S202" s="3" t="s">
        <v>52</v>
      </c>
    </row>
    <row r="203" spans="4:19" ht="17.649999999999999" x14ac:dyDescent="0.5">
      <c r="D203" s="3" t="s">
        <v>55</v>
      </c>
      <c r="S203" s="3" t="s">
        <v>55</v>
      </c>
    </row>
    <row r="204" spans="4:19" ht="17.649999999999999" x14ac:dyDescent="0.5">
      <c r="D204" s="3" t="s">
        <v>82</v>
      </c>
      <c r="S204" s="3" t="s">
        <v>94</v>
      </c>
    </row>
    <row r="205" spans="4:19" ht="17.649999999999999" x14ac:dyDescent="0.5">
      <c r="D205" s="3" t="s">
        <v>71</v>
      </c>
      <c r="S205" s="3" t="s">
        <v>85</v>
      </c>
    </row>
    <row r="206" spans="4:19" ht="17.649999999999999" x14ac:dyDescent="0.5">
      <c r="D206" s="3" t="s">
        <v>127</v>
      </c>
      <c r="S206" s="3" t="s">
        <v>64</v>
      </c>
    </row>
    <row r="207" spans="4:19" ht="17.649999999999999" x14ac:dyDescent="0.5">
      <c r="D207" s="3" t="s">
        <v>121</v>
      </c>
      <c r="S207" s="3" t="s">
        <v>112</v>
      </c>
    </row>
    <row r="208" spans="4:19" ht="17.649999999999999" x14ac:dyDescent="0.5">
      <c r="D208" s="3" t="s">
        <v>66</v>
      </c>
      <c r="S208" s="3" t="s">
        <v>55</v>
      </c>
    </row>
    <row r="209" spans="4:19" ht="17.649999999999999" x14ac:dyDescent="0.5">
      <c r="D209" s="3" t="s">
        <v>50</v>
      </c>
      <c r="S209" s="3" t="s">
        <v>129</v>
      </c>
    </row>
    <row r="210" spans="4:19" ht="17.649999999999999" x14ac:dyDescent="0.5">
      <c r="D210" s="3" t="s">
        <v>107</v>
      </c>
      <c r="S210" s="3" t="s">
        <v>107</v>
      </c>
    </row>
    <row r="211" spans="4:19" ht="17.649999999999999" x14ac:dyDescent="0.5">
      <c r="D211" s="3" t="s">
        <v>94</v>
      </c>
      <c r="S211" s="3" t="s">
        <v>82</v>
      </c>
    </row>
    <row r="212" spans="4:19" ht="17.649999999999999" x14ac:dyDescent="0.5">
      <c r="D212" s="3" t="s">
        <v>81</v>
      </c>
      <c r="S212" s="3" t="s">
        <v>78</v>
      </c>
    </row>
    <row r="213" spans="4:19" ht="17.649999999999999" x14ac:dyDescent="0.5">
      <c r="D213" s="3" t="s">
        <v>91</v>
      </c>
      <c r="S213" s="3" t="s">
        <v>91</v>
      </c>
    </row>
    <row r="214" spans="4:19" ht="17.649999999999999" x14ac:dyDescent="0.5">
      <c r="D214" s="3" t="s">
        <v>63</v>
      </c>
      <c r="S214" s="3" t="s">
        <v>87</v>
      </c>
    </row>
    <row r="215" spans="4:19" ht="17.649999999999999" x14ac:dyDescent="0.5">
      <c r="D215" s="3" t="s">
        <v>57</v>
      </c>
      <c r="S215" s="3" t="s">
        <v>53</v>
      </c>
    </row>
    <row r="216" spans="4:19" ht="17.649999999999999" x14ac:dyDescent="0.5">
      <c r="D216" s="3" t="s">
        <v>130</v>
      </c>
      <c r="S216" s="3" t="s">
        <v>90</v>
      </c>
    </row>
    <row r="217" spans="4:19" ht="17.649999999999999" x14ac:dyDescent="0.5">
      <c r="D217" s="3" t="s">
        <v>49</v>
      </c>
      <c r="S217" s="3" t="s">
        <v>49</v>
      </c>
    </row>
    <row r="218" spans="4:19" ht="17.649999999999999" x14ac:dyDescent="0.5">
      <c r="D218" s="3" t="s">
        <v>46</v>
      </c>
      <c r="S218" s="3" t="s">
        <v>46</v>
      </c>
    </row>
    <row r="219" spans="4:19" ht="17.649999999999999" x14ac:dyDescent="0.5">
      <c r="D219" s="3" t="s">
        <v>112</v>
      </c>
      <c r="S219" s="3" t="s">
        <v>103</v>
      </c>
    </row>
    <row r="220" spans="4:19" ht="17.649999999999999" x14ac:dyDescent="0.5">
      <c r="D220" s="3" t="s">
        <v>100</v>
      </c>
      <c r="S220" s="3" t="s">
        <v>56</v>
      </c>
    </row>
    <row r="221" spans="4:19" ht="17.649999999999999" x14ac:dyDescent="0.5">
      <c r="D221" s="3" t="s">
        <v>68</v>
      </c>
      <c r="S221" s="3" t="s">
        <v>68</v>
      </c>
    </row>
    <row r="222" spans="4:19" ht="17.649999999999999" x14ac:dyDescent="0.5">
      <c r="D222" s="3" t="s">
        <v>131</v>
      </c>
      <c r="S222" s="3" t="s">
        <v>115</v>
      </c>
    </row>
    <row r="223" spans="4:19" ht="17.649999999999999" x14ac:dyDescent="0.5">
      <c r="D223" s="3" t="s">
        <v>59</v>
      </c>
      <c r="S223" s="3" t="s">
        <v>50</v>
      </c>
    </row>
    <row r="224" spans="4:19" ht="17.649999999999999" x14ac:dyDescent="0.5">
      <c r="D224" s="3" t="s">
        <v>80</v>
      </c>
      <c r="S224" s="3" t="s">
        <v>111</v>
      </c>
    </row>
    <row r="225" spans="4:19" ht="17.649999999999999" x14ac:dyDescent="0.5">
      <c r="D225" s="3" t="s">
        <v>53</v>
      </c>
      <c r="S225" s="3" t="s">
        <v>57</v>
      </c>
    </row>
    <row r="226" spans="4:19" ht="17.649999999999999" x14ac:dyDescent="0.5">
      <c r="D226" s="3" t="s">
        <v>61</v>
      </c>
      <c r="S226" s="3" t="s">
        <v>61</v>
      </c>
    </row>
    <row r="227" spans="4:19" ht="17.649999999999999" x14ac:dyDescent="0.5">
      <c r="D227" s="3" t="s">
        <v>87</v>
      </c>
      <c r="S227" s="3" t="s">
        <v>87</v>
      </c>
    </row>
    <row r="228" spans="4:19" ht="17.649999999999999" x14ac:dyDescent="0.5">
      <c r="D228" s="3" t="s">
        <v>81</v>
      </c>
      <c r="S228" s="3" t="s">
        <v>78</v>
      </c>
    </row>
    <row r="229" spans="4:19" ht="17.649999999999999" x14ac:dyDescent="0.5">
      <c r="D229" s="3" t="s">
        <v>96</v>
      </c>
      <c r="S229" s="3" t="s">
        <v>96</v>
      </c>
    </row>
    <row r="230" spans="4:19" ht="17.649999999999999" x14ac:dyDescent="0.5">
      <c r="D230" s="3" t="s">
        <v>52</v>
      </c>
      <c r="S230" s="3" t="s">
        <v>97</v>
      </c>
    </row>
    <row r="231" spans="4:19" ht="17.649999999999999" x14ac:dyDescent="0.5">
      <c r="D231" s="3" t="s">
        <v>117</v>
      </c>
      <c r="S231" s="3" t="s">
        <v>105</v>
      </c>
    </row>
    <row r="232" spans="4:19" ht="17.649999999999999" x14ac:dyDescent="0.5">
      <c r="D232" s="3" t="s">
        <v>103</v>
      </c>
      <c r="S232" s="3" t="s">
        <v>112</v>
      </c>
    </row>
    <row r="233" spans="4:19" ht="17.649999999999999" x14ac:dyDescent="0.5">
      <c r="D233" s="3" t="s">
        <v>55</v>
      </c>
      <c r="S233" s="3" t="s">
        <v>66</v>
      </c>
    </row>
    <row r="234" spans="4:19" ht="17.649999999999999" x14ac:dyDescent="0.5">
      <c r="D234" s="3" t="s">
        <v>115</v>
      </c>
      <c r="S234" s="3" t="s">
        <v>74</v>
      </c>
    </row>
    <row r="235" spans="4:19" ht="17.649999999999999" x14ac:dyDescent="0.5">
      <c r="D235" s="3" t="s">
        <v>78</v>
      </c>
      <c r="S235" s="3" t="s">
        <v>78</v>
      </c>
    </row>
    <row r="236" spans="4:19" ht="17.649999999999999" x14ac:dyDescent="0.5">
      <c r="D236" s="3" t="s">
        <v>119</v>
      </c>
      <c r="S236" s="3" t="s">
        <v>119</v>
      </c>
    </row>
    <row r="237" spans="4:19" ht="17.649999999999999" x14ac:dyDescent="0.5">
      <c r="D237" s="3" t="s">
        <v>75</v>
      </c>
      <c r="S237" s="3" t="s">
        <v>68</v>
      </c>
    </row>
    <row r="238" spans="4:19" ht="17.649999999999999" x14ac:dyDescent="0.5">
      <c r="D238" s="3" t="s">
        <v>47</v>
      </c>
      <c r="S238" s="3" t="s">
        <v>44</v>
      </c>
    </row>
    <row r="239" spans="4:19" ht="17.649999999999999" x14ac:dyDescent="0.5">
      <c r="D239" s="3" t="s">
        <v>107</v>
      </c>
      <c r="S239" s="3" t="s">
        <v>107</v>
      </c>
    </row>
    <row r="240" spans="4:19" ht="17.649999999999999" x14ac:dyDescent="0.5">
      <c r="D240" s="3" t="s">
        <v>115</v>
      </c>
      <c r="S240" s="3" t="s">
        <v>74</v>
      </c>
    </row>
    <row r="241" spans="4:19" ht="17.649999999999999" x14ac:dyDescent="0.5">
      <c r="D241" s="3" t="s">
        <v>128</v>
      </c>
      <c r="S241" s="3" t="s">
        <v>84</v>
      </c>
    </row>
    <row r="242" spans="4:19" ht="17.649999999999999" x14ac:dyDescent="0.5">
      <c r="D242" s="3" t="s">
        <v>47</v>
      </c>
      <c r="S242" s="3" t="s">
        <v>44</v>
      </c>
    </row>
    <row r="243" spans="4:19" ht="17.649999999999999" x14ac:dyDescent="0.5">
      <c r="D243" s="3" t="s">
        <v>121</v>
      </c>
      <c r="S243" s="3" t="s">
        <v>103</v>
      </c>
    </row>
    <row r="244" spans="4:19" ht="17.649999999999999" x14ac:dyDescent="0.5">
      <c r="D244" s="3" t="s">
        <v>91</v>
      </c>
      <c r="S244" s="3" t="s">
        <v>101</v>
      </c>
    </row>
    <row r="245" spans="4:19" ht="17.649999999999999" x14ac:dyDescent="0.5">
      <c r="D245" s="3" t="s">
        <v>115</v>
      </c>
      <c r="S245" s="3" t="s">
        <v>74</v>
      </c>
    </row>
    <row r="246" spans="4:19" ht="17.649999999999999" x14ac:dyDescent="0.5">
      <c r="D246" s="3" t="s">
        <v>48</v>
      </c>
      <c r="S246" s="3" t="s">
        <v>48</v>
      </c>
    </row>
    <row r="247" spans="4:19" ht="17.649999999999999" x14ac:dyDescent="0.5">
      <c r="D247" s="3" t="s">
        <v>67</v>
      </c>
      <c r="S247" s="3" t="s">
        <v>88</v>
      </c>
    </row>
    <row r="248" spans="4:19" ht="17.649999999999999" x14ac:dyDescent="0.5">
      <c r="D248" s="3" t="s">
        <v>85</v>
      </c>
      <c r="S248" s="3" t="s">
        <v>85</v>
      </c>
    </row>
    <row r="249" spans="4:19" ht="17.649999999999999" x14ac:dyDescent="0.5">
      <c r="D249" s="3" t="s">
        <v>77</v>
      </c>
      <c r="S249" s="3" t="s">
        <v>77</v>
      </c>
    </row>
    <row r="250" spans="4:19" ht="17.649999999999999" x14ac:dyDescent="0.5">
      <c r="D250" s="3" t="s">
        <v>55</v>
      </c>
      <c r="S250" s="3" t="s">
        <v>55</v>
      </c>
    </row>
    <row r="251" spans="4:19" ht="17.649999999999999" x14ac:dyDescent="0.5">
      <c r="D251" s="3" t="s">
        <v>73</v>
      </c>
      <c r="S251" s="3" t="s">
        <v>73</v>
      </c>
    </row>
    <row r="252" spans="4:19" ht="17.649999999999999" x14ac:dyDescent="0.5">
      <c r="D252" s="3" t="s">
        <v>105</v>
      </c>
      <c r="S252" s="3" t="s">
        <v>105</v>
      </c>
    </row>
    <row r="253" spans="4:19" ht="17.649999999999999" x14ac:dyDescent="0.5">
      <c r="D253" s="3" t="s">
        <v>70</v>
      </c>
      <c r="S253" s="3" t="s">
        <v>112</v>
      </c>
    </row>
    <row r="254" spans="4:19" ht="17.649999999999999" x14ac:dyDescent="0.5">
      <c r="D254" s="3" t="s">
        <v>84</v>
      </c>
      <c r="S254" s="3" t="s">
        <v>92</v>
      </c>
    </row>
    <row r="255" spans="4:19" ht="17.649999999999999" x14ac:dyDescent="0.5">
      <c r="D255" s="3" t="s">
        <v>108</v>
      </c>
      <c r="S255" s="3" t="s">
        <v>93</v>
      </c>
    </row>
    <row r="256" spans="4:19" ht="17.649999999999999" x14ac:dyDescent="0.5">
      <c r="D256" s="3" t="s">
        <v>78</v>
      </c>
      <c r="S256" s="3" t="s">
        <v>78</v>
      </c>
    </row>
    <row r="257" spans="4:19" ht="17.649999999999999" x14ac:dyDescent="0.5">
      <c r="D257" s="3" t="s">
        <v>50</v>
      </c>
      <c r="S257" s="3" t="s">
        <v>50</v>
      </c>
    </row>
    <row r="258" spans="4:19" ht="17.649999999999999" x14ac:dyDescent="0.5">
      <c r="D258" s="3" t="s">
        <v>42</v>
      </c>
      <c r="S258" s="3" t="s">
        <v>42</v>
      </c>
    </row>
    <row r="259" spans="4:19" ht="17.649999999999999" x14ac:dyDescent="0.5">
      <c r="D259" s="3" t="s">
        <v>87</v>
      </c>
      <c r="S259" s="3" t="s">
        <v>87</v>
      </c>
    </row>
    <row r="260" spans="4:19" ht="17.649999999999999" x14ac:dyDescent="0.5">
      <c r="D260" s="3" t="s">
        <v>103</v>
      </c>
      <c r="S260" s="3" t="s">
        <v>103</v>
      </c>
    </row>
    <row r="261" spans="4:19" ht="17.649999999999999" x14ac:dyDescent="0.5">
      <c r="D261" s="3" t="s">
        <v>104</v>
      </c>
      <c r="S261" s="3" t="s">
        <v>104</v>
      </c>
    </row>
    <row r="262" spans="4:19" ht="17.649999999999999" x14ac:dyDescent="0.5">
      <c r="D262" s="3" t="s">
        <v>97</v>
      </c>
      <c r="S262" s="3" t="s">
        <v>97</v>
      </c>
    </row>
    <row r="263" spans="4:19" ht="17.649999999999999" x14ac:dyDescent="0.5">
      <c r="D263" s="3" t="s">
        <v>63</v>
      </c>
      <c r="S263" s="3" t="s">
        <v>63</v>
      </c>
    </row>
    <row r="264" spans="4:19" ht="17.649999999999999" x14ac:dyDescent="0.5">
      <c r="D264" s="3" t="s">
        <v>117</v>
      </c>
      <c r="S264" s="3" t="s">
        <v>117</v>
      </c>
    </row>
    <row r="265" spans="4:19" ht="17.649999999999999" x14ac:dyDescent="0.5">
      <c r="D265" s="3" t="s">
        <v>69</v>
      </c>
      <c r="S265" s="3" t="s">
        <v>69</v>
      </c>
    </row>
    <row r="266" spans="4:19" ht="17.649999999999999" x14ac:dyDescent="0.5">
      <c r="D266" s="3" t="s">
        <v>64</v>
      </c>
      <c r="S266" s="3" t="s">
        <v>64</v>
      </c>
    </row>
    <row r="267" spans="4:19" ht="17.649999999999999" x14ac:dyDescent="0.5">
      <c r="D267" s="3" t="s">
        <v>41</v>
      </c>
      <c r="S267" s="3" t="s">
        <v>41</v>
      </c>
    </row>
    <row r="268" spans="4:19" ht="17.649999999999999" x14ac:dyDescent="0.5">
      <c r="D268" s="3" t="s">
        <v>65</v>
      </c>
      <c r="S268" s="3" t="s">
        <v>65</v>
      </c>
    </row>
    <row r="269" spans="4:19" ht="17.649999999999999" x14ac:dyDescent="0.5">
      <c r="D269" s="3" t="s">
        <v>77</v>
      </c>
      <c r="S269" s="3" t="s">
        <v>77</v>
      </c>
    </row>
    <row r="270" spans="4:19" ht="17.649999999999999" x14ac:dyDescent="0.5">
      <c r="D270" s="3" t="s">
        <v>115</v>
      </c>
      <c r="S270" s="3" t="s">
        <v>115</v>
      </c>
    </row>
    <row r="271" spans="4:19" ht="17.649999999999999" x14ac:dyDescent="0.5">
      <c r="D271" s="3" t="s">
        <v>98</v>
      </c>
      <c r="S271" s="3" t="s">
        <v>48</v>
      </c>
    </row>
    <row r="272" spans="4:19" ht="17.649999999999999" x14ac:dyDescent="0.5">
      <c r="D272" s="3" t="s">
        <v>80</v>
      </c>
      <c r="S272" s="3" t="s">
        <v>80</v>
      </c>
    </row>
    <row r="273" spans="4:19" ht="17.649999999999999" x14ac:dyDescent="0.5">
      <c r="D273" s="3" t="s">
        <v>106</v>
      </c>
      <c r="S273" s="3" t="s">
        <v>124</v>
      </c>
    </row>
    <row r="274" spans="4:19" ht="17.649999999999999" x14ac:dyDescent="0.5">
      <c r="D274" s="3" t="s">
        <v>78</v>
      </c>
      <c r="S274" s="3" t="s">
        <v>78</v>
      </c>
    </row>
    <row r="275" spans="4:19" ht="17.649999999999999" x14ac:dyDescent="0.5">
      <c r="D275" s="3" t="s">
        <v>74</v>
      </c>
      <c r="S275" s="3" t="s">
        <v>74</v>
      </c>
    </row>
    <row r="276" spans="4:19" ht="17.649999999999999" x14ac:dyDescent="0.5">
      <c r="D276" s="3" t="s">
        <v>115</v>
      </c>
      <c r="S276" s="3" t="s">
        <v>115</v>
      </c>
    </row>
    <row r="277" spans="4:19" ht="17.649999999999999" x14ac:dyDescent="0.5">
      <c r="D277" s="3" t="s">
        <v>56</v>
      </c>
      <c r="S277" s="3" t="s">
        <v>56</v>
      </c>
    </row>
    <row r="278" spans="4:19" ht="17.649999999999999" x14ac:dyDescent="0.5">
      <c r="D278" s="3" t="s">
        <v>78</v>
      </c>
      <c r="S278" s="3" t="s">
        <v>78</v>
      </c>
    </row>
    <row r="279" spans="4:19" ht="17.649999999999999" x14ac:dyDescent="0.5">
      <c r="D279" s="3" t="s">
        <v>46</v>
      </c>
      <c r="S279" s="3" t="s">
        <v>49</v>
      </c>
    </row>
    <row r="280" spans="4:19" ht="17.649999999999999" x14ac:dyDescent="0.5">
      <c r="D280" s="3" t="s">
        <v>95</v>
      </c>
      <c r="S280" s="3" t="s">
        <v>43</v>
      </c>
    </row>
    <row r="281" spans="4:19" ht="17.649999999999999" x14ac:dyDescent="0.5">
      <c r="D281" s="3" t="s">
        <v>119</v>
      </c>
      <c r="S281" s="3" t="s">
        <v>65</v>
      </c>
    </row>
    <row r="282" spans="4:19" ht="17.649999999999999" x14ac:dyDescent="0.5">
      <c r="D282" s="3" t="s">
        <v>115</v>
      </c>
      <c r="S282" s="3" t="s">
        <v>115</v>
      </c>
    </row>
    <row r="283" spans="4:19" ht="17.649999999999999" x14ac:dyDescent="0.5">
      <c r="D283" s="3" t="s">
        <v>77</v>
      </c>
      <c r="S283" s="3" t="s">
        <v>119</v>
      </c>
    </row>
    <row r="284" spans="4:19" ht="17.649999999999999" x14ac:dyDescent="0.5">
      <c r="D284" s="3" t="s">
        <v>83</v>
      </c>
      <c r="S284" s="3" t="s">
        <v>83</v>
      </c>
    </row>
    <row r="285" spans="4:19" ht="17.649999999999999" x14ac:dyDescent="0.5">
      <c r="D285" s="3" t="s">
        <v>68</v>
      </c>
      <c r="S285" s="3" t="s">
        <v>75</v>
      </c>
    </row>
    <row r="286" spans="4:19" ht="17.649999999999999" x14ac:dyDescent="0.5">
      <c r="D286" s="3" t="s">
        <v>61</v>
      </c>
      <c r="S286" s="3" t="s">
        <v>61</v>
      </c>
    </row>
    <row r="287" spans="4:19" ht="17.649999999999999" x14ac:dyDescent="0.5">
      <c r="D287" s="3" t="s">
        <v>127</v>
      </c>
      <c r="S287" s="3" t="s">
        <v>90</v>
      </c>
    </row>
    <row r="288" spans="4:19" ht="17.649999999999999" x14ac:dyDescent="0.5">
      <c r="D288" s="3" t="s">
        <v>45</v>
      </c>
      <c r="S288" s="3" t="s">
        <v>45</v>
      </c>
    </row>
    <row r="289" spans="4:19" ht="17.649999999999999" x14ac:dyDescent="0.5">
      <c r="D289" s="3" t="s">
        <v>49</v>
      </c>
      <c r="S289" s="3" t="s">
        <v>46</v>
      </c>
    </row>
    <row r="290" spans="4:19" ht="17.649999999999999" x14ac:dyDescent="0.5">
      <c r="D290" s="3" t="s">
        <v>136</v>
      </c>
      <c r="S290" s="3" t="s">
        <v>136</v>
      </c>
    </row>
    <row r="291" spans="4:19" ht="17.649999999999999" x14ac:dyDescent="0.5">
      <c r="D291" s="3" t="s">
        <v>103</v>
      </c>
      <c r="S291" s="3" t="s">
        <v>112</v>
      </c>
    </row>
    <row r="292" spans="4:19" ht="17.649999999999999" x14ac:dyDescent="0.5">
      <c r="D292" s="3" t="s">
        <v>110</v>
      </c>
      <c r="S292" s="3" t="s">
        <v>123</v>
      </c>
    </row>
    <row r="293" spans="4:19" ht="17.649999999999999" x14ac:dyDescent="0.5">
      <c r="D293" s="3" t="s">
        <v>90</v>
      </c>
      <c r="S293" s="3" t="s">
        <v>64</v>
      </c>
    </row>
    <row r="294" spans="4:19" ht="17.649999999999999" x14ac:dyDescent="0.5">
      <c r="D294" s="3" t="s">
        <v>56</v>
      </c>
      <c r="S294" s="3" t="s">
        <v>83</v>
      </c>
    </row>
    <row r="295" spans="4:19" ht="17.649999999999999" x14ac:dyDescent="0.5">
      <c r="D295" s="3" t="s">
        <v>94</v>
      </c>
      <c r="S295" s="3" t="s">
        <v>54</v>
      </c>
    </row>
    <row r="296" spans="4:19" ht="17.649999999999999" x14ac:dyDescent="0.5">
      <c r="D296" s="3" t="s">
        <v>115</v>
      </c>
      <c r="S296" s="3" t="s">
        <v>74</v>
      </c>
    </row>
    <row r="297" spans="4:19" ht="17.649999999999999" x14ac:dyDescent="0.5">
      <c r="D297" s="3" t="s">
        <v>98</v>
      </c>
      <c r="S297" s="3" t="s">
        <v>48</v>
      </c>
    </row>
    <row r="298" spans="4:19" ht="17.649999999999999" x14ac:dyDescent="0.5">
      <c r="D298" s="3" t="s">
        <v>57</v>
      </c>
      <c r="S298" s="3" t="s">
        <v>53</v>
      </c>
    </row>
    <row r="299" spans="4:19" ht="17.649999999999999" x14ac:dyDescent="0.5">
      <c r="D299" s="3" t="s">
        <v>61</v>
      </c>
      <c r="S299" s="3" t="s">
        <v>80</v>
      </c>
    </row>
    <row r="300" spans="4:19" ht="17.649999999999999" x14ac:dyDescent="0.5">
      <c r="D300" s="3" t="s">
        <v>49</v>
      </c>
      <c r="S300" s="3" t="s">
        <v>46</v>
      </c>
    </row>
    <row r="301" spans="4:19" ht="17.649999999999999" x14ac:dyDescent="0.5">
      <c r="D301" s="3" t="s">
        <v>60</v>
      </c>
      <c r="S301" s="3" t="s">
        <v>89</v>
      </c>
    </row>
    <row r="302" spans="4:19" ht="17.649999999999999" x14ac:dyDescent="0.5">
      <c r="D302" s="3" t="s">
        <v>67</v>
      </c>
      <c r="S302" s="3" t="s">
        <v>107</v>
      </c>
    </row>
    <row r="303" spans="4:19" ht="17.649999999999999" x14ac:dyDescent="0.5">
      <c r="D303" s="3" t="s">
        <v>111</v>
      </c>
      <c r="S303" s="3" t="s">
        <v>132</v>
      </c>
    </row>
    <row r="304" spans="4:19" ht="17.649999999999999" x14ac:dyDescent="0.5">
      <c r="D304" s="3" t="s">
        <v>90</v>
      </c>
      <c r="S304" s="3" t="s">
        <v>64</v>
      </c>
    </row>
    <row r="305" spans="4:19" ht="17.649999999999999" x14ac:dyDescent="0.5">
      <c r="D305" s="3" t="s">
        <v>81</v>
      </c>
      <c r="S305" s="3" t="s">
        <v>78</v>
      </c>
    </row>
    <row r="306" spans="4:19" ht="17.649999999999999" x14ac:dyDescent="0.5">
      <c r="D306" s="3" t="s">
        <v>47</v>
      </c>
      <c r="S306" s="3" t="s">
        <v>47</v>
      </c>
    </row>
    <row r="307" spans="4:19" ht="17.649999999999999" x14ac:dyDescent="0.5">
      <c r="D307" s="3" t="s">
        <v>80</v>
      </c>
      <c r="S307" s="3" t="s">
        <v>61</v>
      </c>
    </row>
    <row r="308" spans="4:19" ht="17.649999999999999" x14ac:dyDescent="0.5">
      <c r="D308" s="3" t="s">
        <v>116</v>
      </c>
      <c r="S308" s="3" t="s">
        <v>87</v>
      </c>
    </row>
    <row r="309" spans="4:19" ht="17.649999999999999" x14ac:dyDescent="0.5">
      <c r="D309" s="3" t="s">
        <v>121</v>
      </c>
      <c r="S309" s="3" t="s">
        <v>121</v>
      </c>
    </row>
    <row r="310" spans="4:19" ht="17.649999999999999" x14ac:dyDescent="0.5">
      <c r="D310" s="3" t="s">
        <v>43</v>
      </c>
      <c r="S310" s="3" t="s">
        <v>96</v>
      </c>
    </row>
    <row r="311" spans="4:19" ht="17.649999999999999" x14ac:dyDescent="0.5">
      <c r="D311" s="3" t="s">
        <v>108</v>
      </c>
      <c r="S311" s="3" t="s">
        <v>93</v>
      </c>
    </row>
    <row r="312" spans="4:19" ht="17.649999999999999" x14ac:dyDescent="0.5">
      <c r="D312" s="3" t="s">
        <v>41</v>
      </c>
      <c r="S312" s="3" t="s">
        <v>85</v>
      </c>
    </row>
    <row r="313" spans="4:19" ht="17.649999999999999" x14ac:dyDescent="0.5">
      <c r="D313" s="3" t="s">
        <v>84</v>
      </c>
      <c r="S313" s="3" t="s">
        <v>92</v>
      </c>
    </row>
    <row r="314" spans="4:19" ht="17.649999999999999" x14ac:dyDescent="0.5">
      <c r="D314" s="3" t="s">
        <v>83</v>
      </c>
      <c r="S314" s="3" t="s">
        <v>56</v>
      </c>
    </row>
    <row r="315" spans="4:19" ht="17.649999999999999" x14ac:dyDescent="0.5">
      <c r="D315" s="3" t="s">
        <v>63</v>
      </c>
      <c r="S315" s="3" t="s">
        <v>87</v>
      </c>
    </row>
    <row r="316" spans="4:19" ht="17.649999999999999" x14ac:dyDescent="0.5">
      <c r="D316" s="3" t="s">
        <v>54</v>
      </c>
      <c r="S316" s="3" t="s">
        <v>94</v>
      </c>
    </row>
    <row r="317" spans="4:19" ht="17.649999999999999" x14ac:dyDescent="0.5">
      <c r="D317" s="3" t="s">
        <v>46</v>
      </c>
      <c r="S317" s="3" t="s">
        <v>49</v>
      </c>
    </row>
    <row r="318" spans="4:19" ht="17.649999999999999" x14ac:dyDescent="0.5">
      <c r="D318" s="3" t="s">
        <v>77</v>
      </c>
      <c r="S318" s="3" t="s">
        <v>65</v>
      </c>
    </row>
    <row r="319" spans="4:19" ht="17.649999999999999" x14ac:dyDescent="0.5">
      <c r="D319" s="3" t="s">
        <v>71</v>
      </c>
      <c r="S319" s="3" t="s">
        <v>134</v>
      </c>
    </row>
    <row r="320" spans="4:19" ht="17.649999999999999" x14ac:dyDescent="0.5">
      <c r="D320" s="3" t="s">
        <v>103</v>
      </c>
      <c r="S320" s="3" t="s">
        <v>112</v>
      </c>
    </row>
    <row r="321" spans="4:19" ht="17.649999999999999" x14ac:dyDescent="0.5">
      <c r="D321" s="3" t="s">
        <v>51</v>
      </c>
      <c r="S321" s="3" t="s">
        <v>52</v>
      </c>
    </row>
    <row r="322" spans="4:19" ht="17.649999999999999" x14ac:dyDescent="0.5">
      <c r="D322" s="3" t="s">
        <v>75</v>
      </c>
      <c r="S322" s="3" t="s">
        <v>68</v>
      </c>
    </row>
    <row r="323" spans="4:19" ht="17.649999999999999" x14ac:dyDescent="0.5">
      <c r="D323" s="3" t="s">
        <v>78</v>
      </c>
      <c r="S323" s="3" t="s">
        <v>81</v>
      </c>
    </row>
    <row r="324" spans="4:19" ht="17.649999999999999" x14ac:dyDescent="0.5">
      <c r="D324" s="3" t="s">
        <v>43</v>
      </c>
      <c r="S324" s="3" t="s">
        <v>96</v>
      </c>
    </row>
    <row r="325" spans="4:19" ht="17.649999999999999" x14ac:dyDescent="0.5">
      <c r="D325" s="3" t="s">
        <v>135</v>
      </c>
      <c r="S325" s="3" t="s">
        <v>62</v>
      </c>
    </row>
    <row r="326" spans="4:19" ht="17.649999999999999" x14ac:dyDescent="0.5">
      <c r="D326" s="3" t="s">
        <v>81</v>
      </c>
      <c r="S326" s="3" t="s">
        <v>78</v>
      </c>
    </row>
    <row r="327" spans="4:19" ht="17.649999999999999" x14ac:dyDescent="0.5">
      <c r="D327" s="3" t="s">
        <v>51</v>
      </c>
      <c r="S327" s="3" t="s">
        <v>52</v>
      </c>
    </row>
    <row r="328" spans="4:19" ht="17.649999999999999" x14ac:dyDescent="0.5">
      <c r="D328" s="3" t="s">
        <v>75</v>
      </c>
      <c r="S328" s="3" t="s">
        <v>68</v>
      </c>
    </row>
    <row r="329" spans="4:19" ht="17.649999999999999" x14ac:dyDescent="0.5">
      <c r="D329" s="3" t="s">
        <v>115</v>
      </c>
      <c r="S329" s="3" t="s">
        <v>115</v>
      </c>
    </row>
    <row r="330" spans="4:19" ht="17.649999999999999" x14ac:dyDescent="0.5">
      <c r="D330" s="3" t="s">
        <v>67</v>
      </c>
      <c r="S330" s="3" t="s">
        <v>107</v>
      </c>
    </row>
    <row r="331" spans="4:19" ht="17.649999999999999" x14ac:dyDescent="0.5">
      <c r="D331" s="3" t="s">
        <v>41</v>
      </c>
      <c r="S331" s="3" t="s">
        <v>85</v>
      </c>
    </row>
    <row r="332" spans="4:19" ht="17.649999999999999" x14ac:dyDescent="0.5">
      <c r="D332" s="3" t="s">
        <v>81</v>
      </c>
      <c r="S332" s="3" t="s">
        <v>78</v>
      </c>
    </row>
    <row r="333" spans="4:19" ht="17.649999999999999" x14ac:dyDescent="0.5">
      <c r="D333" s="3" t="s">
        <v>107</v>
      </c>
      <c r="S333" s="3" t="s">
        <v>107</v>
      </c>
    </row>
    <row r="334" spans="4:19" ht="17.649999999999999" x14ac:dyDescent="0.5">
      <c r="D334" s="3" t="s">
        <v>132</v>
      </c>
      <c r="S334" s="3" t="s">
        <v>132</v>
      </c>
    </row>
    <row r="335" spans="4:19" ht="17.649999999999999" x14ac:dyDescent="0.5">
      <c r="D335" s="3" t="s">
        <v>67</v>
      </c>
      <c r="S335" s="3" t="s">
        <v>107</v>
      </c>
    </row>
    <row r="336" spans="4:19" ht="17.649999999999999" x14ac:dyDescent="0.5">
      <c r="D336" s="3" t="s">
        <v>42</v>
      </c>
      <c r="S336" s="3" t="s">
        <v>42</v>
      </c>
    </row>
    <row r="337" spans="4:19" ht="17.649999999999999" x14ac:dyDescent="0.5">
      <c r="D337" s="3" t="s">
        <v>94</v>
      </c>
      <c r="S337" s="3" t="s">
        <v>54</v>
      </c>
    </row>
    <row r="338" spans="4:19" ht="17.649999999999999" x14ac:dyDescent="0.5">
      <c r="D338" s="3" t="s">
        <v>52</v>
      </c>
      <c r="S338" s="3" t="s">
        <v>51</v>
      </c>
    </row>
    <row r="339" spans="4:19" ht="17.649999999999999" x14ac:dyDescent="0.5">
      <c r="D339" s="3" t="s">
        <v>111</v>
      </c>
      <c r="S339" s="3" t="s">
        <v>132</v>
      </c>
    </row>
    <row r="340" spans="4:19" ht="17.649999999999999" x14ac:dyDescent="0.5">
      <c r="D340" s="3" t="s">
        <v>83</v>
      </c>
      <c r="S340" s="3" t="s">
        <v>56</v>
      </c>
    </row>
    <row r="341" spans="4:19" ht="17.649999999999999" x14ac:dyDescent="0.5">
      <c r="D341" s="3" t="s">
        <v>43</v>
      </c>
      <c r="S341" s="3" t="s">
        <v>96</v>
      </c>
    </row>
    <row r="342" spans="4:19" ht="17.649999999999999" x14ac:dyDescent="0.5">
      <c r="D342" s="3" t="s">
        <v>96</v>
      </c>
      <c r="S342" s="3" t="s">
        <v>43</v>
      </c>
    </row>
    <row r="343" spans="4:19" ht="17.649999999999999" x14ac:dyDescent="0.5">
      <c r="D343" s="3" t="s">
        <v>45</v>
      </c>
      <c r="S343" s="3" t="s">
        <v>114</v>
      </c>
    </row>
    <row r="344" spans="4:19" ht="17.649999999999999" x14ac:dyDescent="0.5">
      <c r="D344" s="3" t="s">
        <v>56</v>
      </c>
      <c r="S344" s="3" t="s">
        <v>83</v>
      </c>
    </row>
    <row r="345" spans="4:19" ht="17.649999999999999" x14ac:dyDescent="0.5">
      <c r="D345" s="3" t="s">
        <v>61</v>
      </c>
      <c r="S345" s="3" t="s">
        <v>80</v>
      </c>
    </row>
    <row r="346" spans="4:19" ht="17.649999999999999" x14ac:dyDescent="0.5">
      <c r="D346" s="3" t="s">
        <v>47</v>
      </c>
      <c r="S346" s="3" t="s">
        <v>44</v>
      </c>
    </row>
    <row r="347" spans="4:19" ht="17.649999999999999" x14ac:dyDescent="0.5">
      <c r="D347" s="3" t="s">
        <v>59</v>
      </c>
      <c r="S347" s="3" t="s">
        <v>59</v>
      </c>
    </row>
    <row r="348" spans="4:19" ht="17.649999999999999" x14ac:dyDescent="0.5">
      <c r="D348" s="3" t="s">
        <v>114</v>
      </c>
      <c r="S348" s="3" t="s">
        <v>114</v>
      </c>
    </row>
    <row r="349" spans="4:19" ht="17.649999999999999" x14ac:dyDescent="0.5">
      <c r="D349" s="3" t="s">
        <v>107</v>
      </c>
      <c r="S349" s="3" t="s">
        <v>67</v>
      </c>
    </row>
    <row r="350" spans="4:19" ht="17.649999999999999" x14ac:dyDescent="0.5">
      <c r="D350" s="3" t="s">
        <v>86</v>
      </c>
      <c r="S350" s="3" t="s">
        <v>99</v>
      </c>
    </row>
    <row r="351" spans="4:19" ht="17.649999999999999" x14ac:dyDescent="0.5">
      <c r="D351" s="3" t="s">
        <v>48</v>
      </c>
      <c r="S351" s="3" t="s">
        <v>98</v>
      </c>
    </row>
    <row r="352" spans="4:19" ht="17.649999999999999" x14ac:dyDescent="0.5">
      <c r="D352" s="3" t="s">
        <v>50</v>
      </c>
      <c r="S352" s="3" t="s">
        <v>50</v>
      </c>
    </row>
    <row r="353" spans="4:19" ht="17.649999999999999" x14ac:dyDescent="0.5">
      <c r="D353" s="3" t="s">
        <v>107</v>
      </c>
      <c r="S353" s="3" t="s">
        <v>107</v>
      </c>
    </row>
    <row r="354" spans="4:19" ht="17.649999999999999" x14ac:dyDescent="0.5">
      <c r="D354" s="3" t="s">
        <v>87</v>
      </c>
      <c r="S354" s="3" t="s">
        <v>87</v>
      </c>
    </row>
    <row r="355" spans="4:19" ht="17.649999999999999" x14ac:dyDescent="0.5">
      <c r="D355" s="3" t="s">
        <v>67</v>
      </c>
      <c r="S355" s="3" t="s">
        <v>67</v>
      </c>
    </row>
    <row r="356" spans="4:19" ht="17.649999999999999" x14ac:dyDescent="0.5">
      <c r="D356" s="3" t="s">
        <v>83</v>
      </c>
      <c r="S356" s="3" t="s">
        <v>83</v>
      </c>
    </row>
    <row r="357" spans="4:19" ht="17.649999999999999" x14ac:dyDescent="0.5">
      <c r="D357" s="3" t="s">
        <v>80</v>
      </c>
      <c r="S357" s="3" t="s">
        <v>80</v>
      </c>
    </row>
    <row r="358" spans="4:19" ht="17.649999999999999" x14ac:dyDescent="0.5">
      <c r="D358" s="3" t="s">
        <v>73</v>
      </c>
      <c r="S358" s="3" t="s">
        <v>69</v>
      </c>
    </row>
    <row r="359" spans="4:19" ht="17.649999999999999" x14ac:dyDescent="0.5">
      <c r="D359" s="3" t="s">
        <v>90</v>
      </c>
      <c r="S359" s="3" t="s">
        <v>90</v>
      </c>
    </row>
    <row r="360" spans="4:19" ht="17.649999999999999" x14ac:dyDescent="0.5">
      <c r="D360" s="3" t="s">
        <v>97</v>
      </c>
      <c r="S360" s="3" t="s">
        <v>51</v>
      </c>
    </row>
    <row r="361" spans="4:19" ht="17.649999999999999" x14ac:dyDescent="0.5">
      <c r="D361" s="3" t="s">
        <v>59</v>
      </c>
      <c r="S361" s="3" t="s">
        <v>50</v>
      </c>
    </row>
    <row r="362" spans="4:19" ht="17.649999999999999" x14ac:dyDescent="0.5">
      <c r="D362" s="3" t="s">
        <v>124</v>
      </c>
      <c r="S362" s="3" t="s">
        <v>124</v>
      </c>
    </row>
    <row r="363" spans="4:19" ht="17.649999999999999" x14ac:dyDescent="0.5">
      <c r="D363" s="3" t="s">
        <v>63</v>
      </c>
      <c r="S363" s="3" t="s">
        <v>87</v>
      </c>
    </row>
    <row r="364" spans="4:19" ht="17.649999999999999" x14ac:dyDescent="0.5">
      <c r="D364" s="3" t="s">
        <v>92</v>
      </c>
      <c r="S364" s="3" t="s">
        <v>84</v>
      </c>
    </row>
    <row r="365" spans="4:19" ht="17.649999999999999" x14ac:dyDescent="0.5">
      <c r="D365" s="3" t="s">
        <v>120</v>
      </c>
      <c r="S365" s="3" t="s">
        <v>82</v>
      </c>
    </row>
    <row r="366" spans="4:19" ht="17.649999999999999" x14ac:dyDescent="0.5">
      <c r="D366" s="3" t="s">
        <v>48</v>
      </c>
      <c r="S366" s="3" t="s">
        <v>98</v>
      </c>
    </row>
    <row r="367" spans="4:19" ht="17.649999999999999" x14ac:dyDescent="0.5">
      <c r="D367" s="3" t="s">
        <v>50</v>
      </c>
      <c r="S367" s="3" t="s">
        <v>59</v>
      </c>
    </row>
    <row r="368" spans="4:19" ht="17.649999999999999" x14ac:dyDescent="0.5">
      <c r="D368" s="3" t="s">
        <v>105</v>
      </c>
      <c r="S368" s="3" t="s">
        <v>117</v>
      </c>
    </row>
    <row r="369" spans="4:19" ht="17.649999999999999" x14ac:dyDescent="0.5">
      <c r="D369" s="3" t="s">
        <v>64</v>
      </c>
      <c r="S369" s="3" t="s">
        <v>90</v>
      </c>
    </row>
    <row r="370" spans="4:19" ht="17.649999999999999" x14ac:dyDescent="0.5">
      <c r="D370" s="3" t="s">
        <v>43</v>
      </c>
      <c r="S370" s="3" t="s">
        <v>96</v>
      </c>
    </row>
    <row r="371" spans="4:19" ht="17.649999999999999" x14ac:dyDescent="0.5">
      <c r="D371" s="3" t="s">
        <v>112</v>
      </c>
      <c r="S371" s="3" t="s">
        <v>103</v>
      </c>
    </row>
    <row r="372" spans="4:19" ht="17.649999999999999" x14ac:dyDescent="0.5">
      <c r="D372" s="3" t="s">
        <v>66</v>
      </c>
      <c r="S372" s="3" t="s">
        <v>55</v>
      </c>
    </row>
    <row r="373" spans="4:19" ht="17.649999999999999" x14ac:dyDescent="0.5">
      <c r="D373" s="3" t="s">
        <v>69</v>
      </c>
      <c r="S373" s="3" t="s">
        <v>73</v>
      </c>
    </row>
    <row r="374" spans="4:19" ht="17.649999999999999" x14ac:dyDescent="0.5">
      <c r="D374" s="3" t="s">
        <v>90</v>
      </c>
      <c r="S374" s="3" t="s">
        <v>64</v>
      </c>
    </row>
    <row r="375" spans="4:19" ht="17.649999999999999" x14ac:dyDescent="0.5">
      <c r="D375" s="3" t="s">
        <v>50</v>
      </c>
      <c r="S375" s="3" t="s">
        <v>59</v>
      </c>
    </row>
    <row r="376" spans="4:19" ht="17.649999999999999" x14ac:dyDescent="0.5">
      <c r="D376" s="3" t="s">
        <v>64</v>
      </c>
      <c r="S376" s="3" t="s">
        <v>90</v>
      </c>
    </row>
    <row r="377" spans="4:19" ht="17.649999999999999" x14ac:dyDescent="0.5">
      <c r="D377" s="3" t="s">
        <v>73</v>
      </c>
      <c r="S377" s="3" t="s">
        <v>69</v>
      </c>
    </row>
    <row r="378" spans="4:19" ht="17.649999999999999" x14ac:dyDescent="0.5">
      <c r="D378" s="3" t="s">
        <v>49</v>
      </c>
      <c r="S378" s="3" t="s">
        <v>46</v>
      </c>
    </row>
    <row r="379" spans="4:19" ht="17.649999999999999" x14ac:dyDescent="0.5">
      <c r="D379" s="3" t="s">
        <v>83</v>
      </c>
      <c r="S379" s="3" t="s">
        <v>56</v>
      </c>
    </row>
    <row r="380" spans="4:19" ht="17.649999999999999" x14ac:dyDescent="0.5">
      <c r="D380" s="3" t="s">
        <v>43</v>
      </c>
      <c r="S380" s="3" t="s">
        <v>96</v>
      </c>
    </row>
    <row r="381" spans="4:19" ht="17.649999999999999" x14ac:dyDescent="0.5">
      <c r="D381" s="3" t="s">
        <v>86</v>
      </c>
      <c r="S381" s="3" t="s">
        <v>99</v>
      </c>
    </row>
    <row r="382" spans="4:19" ht="17.649999999999999" x14ac:dyDescent="0.5">
      <c r="D382" s="3" t="s">
        <v>54</v>
      </c>
      <c r="S382" s="3" t="s">
        <v>94</v>
      </c>
    </row>
    <row r="383" spans="4:19" ht="17.649999999999999" x14ac:dyDescent="0.5">
      <c r="D383" s="3" t="s">
        <v>44</v>
      </c>
      <c r="S383" s="3" t="s">
        <v>47</v>
      </c>
    </row>
    <row r="384" spans="4:19" ht="17.649999999999999" x14ac:dyDescent="0.5">
      <c r="D384" s="3" t="s">
        <v>66</v>
      </c>
      <c r="S384" s="3" t="s">
        <v>55</v>
      </c>
    </row>
    <row r="385" spans="4:19" ht="17.649999999999999" x14ac:dyDescent="0.5">
      <c r="D385" s="3" t="s">
        <v>67</v>
      </c>
      <c r="S385" s="3" t="s">
        <v>107</v>
      </c>
    </row>
    <row r="386" spans="4:19" ht="17.649999999999999" x14ac:dyDescent="0.5">
      <c r="D386" s="3" t="s">
        <v>101</v>
      </c>
      <c r="S386" s="3" t="s">
        <v>91</v>
      </c>
    </row>
    <row r="387" spans="4:19" ht="17.649999999999999" x14ac:dyDescent="0.5">
      <c r="D387" s="3" t="s">
        <v>80</v>
      </c>
      <c r="S387" s="3" t="s">
        <v>61</v>
      </c>
    </row>
    <row r="388" spans="4:19" ht="17.649999999999999" x14ac:dyDescent="0.5">
      <c r="D388" s="3" t="s">
        <v>53</v>
      </c>
      <c r="S388" s="3" t="s">
        <v>53</v>
      </c>
    </row>
    <row r="389" spans="4:19" ht="17.649999999999999" x14ac:dyDescent="0.5">
      <c r="D389" s="3" t="s">
        <v>49</v>
      </c>
      <c r="S389" s="3" t="s">
        <v>49</v>
      </c>
    </row>
    <row r="390" spans="4:19" ht="17.649999999999999" x14ac:dyDescent="0.5">
      <c r="D390" s="3" t="s">
        <v>47</v>
      </c>
      <c r="S390" s="3" t="s">
        <v>44</v>
      </c>
    </row>
    <row r="391" spans="4:19" ht="17.649999999999999" x14ac:dyDescent="0.5">
      <c r="D391" s="3" t="s">
        <v>50</v>
      </c>
      <c r="S391" s="3" t="s">
        <v>59</v>
      </c>
    </row>
    <row r="392" spans="4:19" ht="17.649999999999999" x14ac:dyDescent="0.5">
      <c r="D392" s="3" t="s">
        <v>69</v>
      </c>
      <c r="S392" s="3" t="s">
        <v>73</v>
      </c>
    </row>
    <row r="393" spans="4:19" ht="17.649999999999999" x14ac:dyDescent="0.5">
      <c r="D393" s="3" t="s">
        <v>67</v>
      </c>
      <c r="S393" s="3" t="s">
        <v>107</v>
      </c>
    </row>
    <row r="394" spans="4:19" ht="17.649999999999999" x14ac:dyDescent="0.5">
      <c r="D394" s="3" t="s">
        <v>105</v>
      </c>
      <c r="S394" s="3" t="s">
        <v>117</v>
      </c>
    </row>
    <row r="395" spans="4:19" ht="17.649999999999999" x14ac:dyDescent="0.5">
      <c r="D395" s="3" t="s">
        <v>51</v>
      </c>
      <c r="S395" s="3" t="s">
        <v>97</v>
      </c>
    </row>
    <row r="396" spans="4:19" ht="17.649999999999999" x14ac:dyDescent="0.5">
      <c r="D396" s="3" t="s">
        <v>94</v>
      </c>
      <c r="S396" s="3" t="s">
        <v>54</v>
      </c>
    </row>
    <row r="397" spans="4:19" ht="17.649999999999999" x14ac:dyDescent="0.5">
      <c r="D397" s="3" t="s">
        <v>101</v>
      </c>
      <c r="S397" s="3" t="s">
        <v>101</v>
      </c>
    </row>
    <row r="398" spans="4:19" ht="17.649999999999999" x14ac:dyDescent="0.5">
      <c r="D398" s="3" t="s">
        <v>118</v>
      </c>
      <c r="S398" s="3" t="s">
        <v>57</v>
      </c>
    </row>
    <row r="399" spans="4:19" ht="17.649999999999999" x14ac:dyDescent="0.5">
      <c r="D399" s="3" t="s">
        <v>87</v>
      </c>
      <c r="S399" s="3" t="s">
        <v>63</v>
      </c>
    </row>
    <row r="400" spans="4:19" ht="17.649999999999999" x14ac:dyDescent="0.5">
      <c r="D400" s="3" t="s">
        <v>67</v>
      </c>
      <c r="S400" s="3" t="s">
        <v>67</v>
      </c>
    </row>
    <row r="401" spans="4:19" ht="17.649999999999999" x14ac:dyDescent="0.5">
      <c r="D401" s="3" t="s">
        <v>97</v>
      </c>
      <c r="S401" s="3" t="s">
        <v>52</v>
      </c>
    </row>
    <row r="402" spans="4:19" ht="17.649999999999999" x14ac:dyDescent="0.5">
      <c r="D402" s="3" t="s">
        <v>44</v>
      </c>
      <c r="S402" s="3" t="s">
        <v>47</v>
      </c>
    </row>
    <row r="403" spans="4:19" ht="17.649999999999999" x14ac:dyDescent="0.5">
      <c r="D403" s="3" t="s">
        <v>64</v>
      </c>
      <c r="S403" s="3" t="s">
        <v>90</v>
      </c>
    </row>
    <row r="404" spans="4:19" ht="17.649999999999999" x14ac:dyDescent="0.5">
      <c r="D404" s="3" t="s">
        <v>128</v>
      </c>
      <c r="S404" s="3" t="s">
        <v>84</v>
      </c>
    </row>
    <row r="405" spans="4:19" ht="17.649999999999999" x14ac:dyDescent="0.5">
      <c r="D405" s="3" t="s">
        <v>75</v>
      </c>
      <c r="S405" s="3" t="s">
        <v>75</v>
      </c>
    </row>
    <row r="406" spans="4:19" ht="17.649999999999999" x14ac:dyDescent="0.5">
      <c r="D406" s="3" t="s">
        <v>107</v>
      </c>
      <c r="S406" s="3" t="s">
        <v>67</v>
      </c>
    </row>
    <row r="407" spans="4:19" ht="17.649999999999999" x14ac:dyDescent="0.5">
      <c r="D407" s="3" t="s">
        <v>103</v>
      </c>
      <c r="S407" s="3" t="s">
        <v>112</v>
      </c>
    </row>
    <row r="408" spans="4:19" ht="17.649999999999999" x14ac:dyDescent="0.5">
      <c r="D408" s="3" t="s">
        <v>58</v>
      </c>
      <c r="S408" s="3" t="s">
        <v>58</v>
      </c>
    </row>
    <row r="409" spans="4:19" ht="17.649999999999999" x14ac:dyDescent="0.5">
      <c r="D409" s="3" t="s">
        <v>73</v>
      </c>
      <c r="S409" s="3" t="s">
        <v>73</v>
      </c>
    </row>
    <row r="410" spans="4:19" ht="17.649999999999999" x14ac:dyDescent="0.5">
      <c r="D410" s="3" t="s">
        <v>85</v>
      </c>
      <c r="S410" s="3" t="s">
        <v>71</v>
      </c>
    </row>
    <row r="411" spans="4:19" ht="17.649999999999999" x14ac:dyDescent="0.5">
      <c r="D411" s="3" t="s">
        <v>65</v>
      </c>
      <c r="S411" s="3" t="s">
        <v>77</v>
      </c>
    </row>
    <row r="412" spans="4:19" ht="17.649999999999999" x14ac:dyDescent="0.5">
      <c r="D412" s="3" t="s">
        <v>54</v>
      </c>
      <c r="S412" s="3" t="s">
        <v>54</v>
      </c>
    </row>
    <row r="413" spans="4:19" ht="17.649999999999999" x14ac:dyDescent="0.5">
      <c r="D413" s="3" t="s">
        <v>112</v>
      </c>
      <c r="S413" s="3" t="s">
        <v>103</v>
      </c>
    </row>
    <row r="414" spans="4:19" ht="17.649999999999999" x14ac:dyDescent="0.5">
      <c r="D414" s="3" t="s">
        <v>117</v>
      </c>
      <c r="S414" s="3" t="s">
        <v>117</v>
      </c>
    </row>
    <row r="415" spans="4:19" ht="17.649999999999999" x14ac:dyDescent="0.5">
      <c r="D415" s="3" t="s">
        <v>62</v>
      </c>
      <c r="S415" s="3" t="s">
        <v>47</v>
      </c>
    </row>
    <row r="416" spans="4:19" ht="17.649999999999999" x14ac:dyDescent="0.5">
      <c r="D416" s="3" t="s">
        <v>103</v>
      </c>
      <c r="S416" s="3" t="s">
        <v>112</v>
      </c>
    </row>
    <row r="417" spans="4:19" ht="17.649999999999999" x14ac:dyDescent="0.5">
      <c r="D417" s="3" t="s">
        <v>41</v>
      </c>
      <c r="S417" s="3" t="s">
        <v>134</v>
      </c>
    </row>
    <row r="418" spans="4:19" ht="17.649999999999999" x14ac:dyDescent="0.5">
      <c r="D418" s="3" t="s">
        <v>98</v>
      </c>
      <c r="S418" s="3" t="s">
        <v>98</v>
      </c>
    </row>
    <row r="419" spans="4:19" ht="17.649999999999999" x14ac:dyDescent="0.5">
      <c r="D419" s="3" t="s">
        <v>51</v>
      </c>
      <c r="S419" s="3" t="s">
        <v>122</v>
      </c>
    </row>
    <row r="420" spans="4:19" ht="17.649999999999999" x14ac:dyDescent="0.5">
      <c r="D420" s="3" t="s">
        <v>84</v>
      </c>
      <c r="S420" s="3" t="s">
        <v>84</v>
      </c>
    </row>
    <row r="421" spans="4:19" ht="17.649999999999999" x14ac:dyDescent="0.5">
      <c r="D421" s="3" t="s">
        <v>61</v>
      </c>
      <c r="S421" s="3" t="s">
        <v>132</v>
      </c>
    </row>
    <row r="422" spans="4:19" ht="17.649999999999999" x14ac:dyDescent="0.5">
      <c r="D422" s="3" t="s">
        <v>85</v>
      </c>
      <c r="S422" s="3" t="s">
        <v>41</v>
      </c>
    </row>
    <row r="423" spans="4:19" ht="17.649999999999999" x14ac:dyDescent="0.5">
      <c r="D423" s="3" t="s">
        <v>59</v>
      </c>
      <c r="S423" s="3" t="s">
        <v>129</v>
      </c>
    </row>
    <row r="424" spans="4:19" ht="17.649999999999999" x14ac:dyDescent="0.5">
      <c r="D424" s="3" t="s">
        <v>76</v>
      </c>
      <c r="S424" s="3" t="s">
        <v>43</v>
      </c>
    </row>
    <row r="425" spans="4:19" ht="17.649999999999999" x14ac:dyDescent="0.5">
      <c r="D425" s="3" t="s">
        <v>65</v>
      </c>
      <c r="S425" s="3" t="s">
        <v>113</v>
      </c>
    </row>
    <row r="426" spans="4:19" ht="17.649999999999999" x14ac:dyDescent="0.5">
      <c r="D426" s="3" t="s">
        <v>41</v>
      </c>
      <c r="S426" s="3" t="s">
        <v>71</v>
      </c>
    </row>
    <row r="427" spans="4:19" ht="17.649999999999999" x14ac:dyDescent="0.5">
      <c r="D427" s="3" t="s">
        <v>117</v>
      </c>
      <c r="S427" s="3" t="s">
        <v>105</v>
      </c>
    </row>
    <row r="428" spans="4:19" ht="17.649999999999999" x14ac:dyDescent="0.5">
      <c r="D428" s="3" t="s">
        <v>124</v>
      </c>
      <c r="S428" s="3" t="s">
        <v>106</v>
      </c>
    </row>
    <row r="429" spans="4:19" ht="17.649999999999999" x14ac:dyDescent="0.5">
      <c r="D429" s="3" t="s">
        <v>56</v>
      </c>
      <c r="S429" s="3" t="s">
        <v>83</v>
      </c>
    </row>
    <row r="430" spans="4:19" ht="17.649999999999999" x14ac:dyDescent="0.5">
      <c r="D430" s="3" t="s">
        <v>59</v>
      </c>
      <c r="S430" s="3" t="s">
        <v>102</v>
      </c>
    </row>
    <row r="431" spans="4:19" ht="17.649999999999999" x14ac:dyDescent="0.5">
      <c r="D431" s="3" t="s">
        <v>68</v>
      </c>
      <c r="S431" s="3" t="s">
        <v>133</v>
      </c>
    </row>
    <row r="432" spans="4:19" ht="17.649999999999999" x14ac:dyDescent="0.5">
      <c r="D432" s="3" t="s">
        <v>67</v>
      </c>
      <c r="S432" s="3" t="s">
        <v>126</v>
      </c>
    </row>
    <row r="433" spans="4:19" ht="17.649999999999999" x14ac:dyDescent="0.5">
      <c r="D433" s="3" t="s">
        <v>127</v>
      </c>
      <c r="S433" s="3" t="s">
        <v>130</v>
      </c>
    </row>
    <row r="434" spans="4:19" ht="17.649999999999999" x14ac:dyDescent="0.5">
      <c r="D434" s="3" t="s">
        <v>52</v>
      </c>
      <c r="S434" s="3" t="s">
        <v>52</v>
      </c>
    </row>
    <row r="435" spans="4:19" ht="17.649999999999999" x14ac:dyDescent="0.5">
      <c r="D435" s="3" t="s">
        <v>48</v>
      </c>
      <c r="S435" s="3" t="s">
        <v>48</v>
      </c>
    </row>
    <row r="436" spans="4:19" ht="17.649999999999999" x14ac:dyDescent="0.5">
      <c r="D436" s="3" t="s">
        <v>53</v>
      </c>
      <c r="S436" s="3" t="s">
        <v>53</v>
      </c>
    </row>
    <row r="437" spans="4:19" ht="17.649999999999999" x14ac:dyDescent="0.5">
      <c r="D437" s="3" t="s">
        <v>85</v>
      </c>
      <c r="S437" s="3" t="s">
        <v>85</v>
      </c>
    </row>
    <row r="438" spans="4:19" ht="17.649999999999999" x14ac:dyDescent="0.5">
      <c r="D438" s="3" t="s">
        <v>80</v>
      </c>
      <c r="S438" s="3" t="s">
        <v>61</v>
      </c>
    </row>
    <row r="439" spans="4:19" ht="17.649999999999999" x14ac:dyDescent="0.5">
      <c r="D439" s="3" t="s">
        <v>65</v>
      </c>
      <c r="S439" s="3" t="s">
        <v>119</v>
      </c>
    </row>
    <row r="440" spans="4:19" ht="17.649999999999999" x14ac:dyDescent="0.5">
      <c r="D440" s="3" t="s">
        <v>87</v>
      </c>
      <c r="S440" s="3" t="s">
        <v>87</v>
      </c>
    </row>
    <row r="441" spans="4:19" ht="17.649999999999999" x14ac:dyDescent="0.5">
      <c r="D441" s="3" t="s">
        <v>41</v>
      </c>
      <c r="S441" s="3" t="s">
        <v>85</v>
      </c>
    </row>
    <row r="442" spans="4:19" ht="17.649999999999999" x14ac:dyDescent="0.5">
      <c r="D442" s="3" t="s">
        <v>80</v>
      </c>
      <c r="S442" s="3" t="s">
        <v>61</v>
      </c>
    </row>
    <row r="443" spans="4:19" ht="17.649999999999999" x14ac:dyDescent="0.5">
      <c r="D443" s="3" t="s">
        <v>83</v>
      </c>
      <c r="S443" s="3" t="s">
        <v>100</v>
      </c>
    </row>
    <row r="444" spans="4:19" ht="17.649999999999999" x14ac:dyDescent="0.5">
      <c r="D444" s="3" t="s">
        <v>64</v>
      </c>
      <c r="S444" s="3" t="s">
        <v>64</v>
      </c>
    </row>
    <row r="445" spans="4:19" ht="17.649999999999999" x14ac:dyDescent="0.5">
      <c r="D445" s="3" t="s">
        <v>98</v>
      </c>
      <c r="S445" s="3" t="s">
        <v>106</v>
      </c>
    </row>
    <row r="446" spans="4:19" ht="17.649999999999999" x14ac:dyDescent="0.5">
      <c r="D446" s="3" t="s">
        <v>48</v>
      </c>
      <c r="S446" s="3" t="s">
        <v>48</v>
      </c>
    </row>
    <row r="447" spans="4:19" ht="17.649999999999999" x14ac:dyDescent="0.5">
      <c r="D447" s="3" t="s">
        <v>88</v>
      </c>
      <c r="S447" s="3" t="s">
        <v>126</v>
      </c>
    </row>
    <row r="448" spans="4:19" ht="17.649999999999999" x14ac:dyDescent="0.5">
      <c r="D448" s="3" t="s">
        <v>50</v>
      </c>
      <c r="S448" s="3" t="s">
        <v>50</v>
      </c>
    </row>
    <row r="449" spans="4:19" ht="17.649999999999999" x14ac:dyDescent="0.5">
      <c r="D449" s="3" t="s">
        <v>90</v>
      </c>
      <c r="S449" s="3" t="s">
        <v>64</v>
      </c>
    </row>
    <row r="450" spans="4:19" ht="17.649999999999999" x14ac:dyDescent="0.5">
      <c r="D450" s="3" t="s">
        <v>97</v>
      </c>
      <c r="S450" s="3" t="s">
        <v>52</v>
      </c>
    </row>
    <row r="451" spans="4:19" ht="17.649999999999999" x14ac:dyDescent="0.5">
      <c r="D451" s="3" t="s">
        <v>52</v>
      </c>
      <c r="S451" s="3" t="s">
        <v>51</v>
      </c>
    </row>
    <row r="452" spans="4:19" ht="17.649999999999999" x14ac:dyDescent="0.5">
      <c r="D452" s="3" t="s">
        <v>105</v>
      </c>
      <c r="S452" s="3" t="s">
        <v>105</v>
      </c>
    </row>
    <row r="453" spans="4:19" ht="17.649999999999999" x14ac:dyDescent="0.5">
      <c r="D453" s="3" t="s">
        <v>80</v>
      </c>
      <c r="S453" s="3" t="s">
        <v>61</v>
      </c>
    </row>
    <row r="454" spans="4:19" ht="17.649999999999999" x14ac:dyDescent="0.5">
      <c r="D454" s="3" t="s">
        <v>134</v>
      </c>
      <c r="S454" s="3" t="s">
        <v>71</v>
      </c>
    </row>
    <row r="455" spans="4:19" ht="17.649999999999999" x14ac:dyDescent="0.5">
      <c r="D455" s="3" t="s">
        <v>112</v>
      </c>
      <c r="S455" s="3" t="s">
        <v>112</v>
      </c>
    </row>
    <row r="456" spans="4:19" ht="17.649999999999999" x14ac:dyDescent="0.5">
      <c r="D456" s="3" t="s">
        <v>74</v>
      </c>
      <c r="S456" s="3" t="s">
        <v>74</v>
      </c>
    </row>
    <row r="457" spans="4:19" ht="17.649999999999999" x14ac:dyDescent="0.5">
      <c r="D457" s="3" t="s">
        <v>60</v>
      </c>
      <c r="S457" s="3" t="s">
        <v>73</v>
      </c>
    </row>
    <row r="458" spans="4:19" ht="17.649999999999999" x14ac:dyDescent="0.5">
      <c r="D458" s="3" t="s">
        <v>83</v>
      </c>
      <c r="S458" s="3" t="s">
        <v>56</v>
      </c>
    </row>
    <row r="459" spans="4:19" ht="17.649999999999999" x14ac:dyDescent="0.5">
      <c r="D459" s="3" t="s">
        <v>67</v>
      </c>
      <c r="S459" s="3" t="s">
        <v>67</v>
      </c>
    </row>
    <row r="460" spans="4:19" ht="17.649999999999999" x14ac:dyDescent="0.5">
      <c r="D460" s="3" t="s">
        <v>64</v>
      </c>
      <c r="S460" s="3" t="s">
        <v>90</v>
      </c>
    </row>
    <row r="461" spans="4:19" ht="17.649999999999999" x14ac:dyDescent="0.5">
      <c r="D461" s="3" t="s">
        <v>94</v>
      </c>
      <c r="S461" s="3" t="s">
        <v>54</v>
      </c>
    </row>
    <row r="462" spans="4:19" ht="17.649999999999999" x14ac:dyDescent="0.5">
      <c r="D462" s="3" t="s">
        <v>136</v>
      </c>
      <c r="S462" s="3" t="s">
        <v>56</v>
      </c>
    </row>
    <row r="463" spans="4:19" ht="17.649999999999999" x14ac:dyDescent="0.5">
      <c r="D463" s="3" t="s">
        <v>80</v>
      </c>
      <c r="S463" s="3" t="s">
        <v>80</v>
      </c>
    </row>
    <row r="464" spans="4:19" ht="17.649999999999999" x14ac:dyDescent="0.5">
      <c r="D464" s="3" t="s">
        <v>110</v>
      </c>
      <c r="S464" s="3" t="s">
        <v>110</v>
      </c>
    </row>
    <row r="465" spans="4:19" ht="17.649999999999999" x14ac:dyDescent="0.5">
      <c r="D465" s="3" t="s">
        <v>98</v>
      </c>
      <c r="S465" s="3" t="s">
        <v>98</v>
      </c>
    </row>
    <row r="466" spans="4:19" ht="17.649999999999999" x14ac:dyDescent="0.5">
      <c r="D466" s="3" t="s">
        <v>90</v>
      </c>
      <c r="S466" s="3" t="s">
        <v>130</v>
      </c>
    </row>
    <row r="467" spans="4:19" ht="17.649999999999999" x14ac:dyDescent="0.5">
      <c r="D467" s="3" t="s">
        <v>80</v>
      </c>
      <c r="S467" s="3" t="s">
        <v>80</v>
      </c>
    </row>
    <row r="468" spans="4:19" ht="17.649999999999999" x14ac:dyDescent="0.5">
      <c r="D468" s="3" t="s">
        <v>46</v>
      </c>
      <c r="S468" s="3" t="s">
        <v>86</v>
      </c>
    </row>
    <row r="469" spans="4:19" ht="17.649999999999999" x14ac:dyDescent="0.5">
      <c r="D469" s="3" t="s">
        <v>42</v>
      </c>
      <c r="S469" s="3" t="s">
        <v>104</v>
      </c>
    </row>
    <row r="470" spans="4:19" ht="17.649999999999999" x14ac:dyDescent="0.5">
      <c r="D470" s="3" t="s">
        <v>55</v>
      </c>
      <c r="S470" s="3" t="s">
        <v>55</v>
      </c>
    </row>
    <row r="471" spans="4:19" ht="17.649999999999999" x14ac:dyDescent="0.5">
      <c r="D471" s="3" t="s">
        <v>81</v>
      </c>
      <c r="S471" s="3" t="s">
        <v>81</v>
      </c>
    </row>
    <row r="472" spans="4:19" ht="17.649999999999999" x14ac:dyDescent="0.5">
      <c r="D472" s="3" t="s">
        <v>80</v>
      </c>
      <c r="S472" s="3" t="s">
        <v>80</v>
      </c>
    </row>
    <row r="473" spans="4:19" ht="17.649999999999999" x14ac:dyDescent="0.5">
      <c r="D473" s="3" t="s">
        <v>88</v>
      </c>
      <c r="S473" s="3" t="s">
        <v>88</v>
      </c>
    </row>
    <row r="474" spans="4:19" ht="17.649999999999999" x14ac:dyDescent="0.5">
      <c r="D474" s="3" t="s">
        <v>51</v>
      </c>
      <c r="S474" s="3" t="s">
        <v>51</v>
      </c>
    </row>
    <row r="475" spans="4:19" ht="17.649999999999999" x14ac:dyDescent="0.5">
      <c r="D475" s="3" t="s">
        <v>66</v>
      </c>
      <c r="S475" s="3" t="s">
        <v>66</v>
      </c>
    </row>
    <row r="476" spans="4:19" ht="17.649999999999999" x14ac:dyDescent="0.5">
      <c r="D476" s="3" t="s">
        <v>103</v>
      </c>
      <c r="S476" s="3" t="s">
        <v>103</v>
      </c>
    </row>
    <row r="477" spans="4:19" ht="17.649999999999999" x14ac:dyDescent="0.5">
      <c r="D477" s="3" t="s">
        <v>87</v>
      </c>
      <c r="S477" s="3" t="s">
        <v>63</v>
      </c>
    </row>
    <row r="478" spans="4:19" ht="17.649999999999999" x14ac:dyDescent="0.5">
      <c r="D478" s="3" t="s">
        <v>68</v>
      </c>
      <c r="S478" s="3" t="s">
        <v>68</v>
      </c>
    </row>
    <row r="479" spans="4:19" ht="17.649999999999999" x14ac:dyDescent="0.5">
      <c r="D479" s="3" t="s">
        <v>56</v>
      </c>
      <c r="S479" s="3" t="s">
        <v>56</v>
      </c>
    </row>
    <row r="480" spans="4:19" ht="17.649999999999999" x14ac:dyDescent="0.5">
      <c r="D480" s="3" t="s">
        <v>134</v>
      </c>
      <c r="S480" s="3" t="s">
        <v>134</v>
      </c>
    </row>
    <row r="481" spans="4:19" ht="17.649999999999999" x14ac:dyDescent="0.5">
      <c r="D481" s="3" t="s">
        <v>112</v>
      </c>
      <c r="S481" s="3" t="s">
        <v>103</v>
      </c>
    </row>
    <row r="482" spans="4:19" ht="17.649999999999999" x14ac:dyDescent="0.5">
      <c r="D482" s="3" t="s">
        <v>85</v>
      </c>
      <c r="S482" s="3" t="s">
        <v>41</v>
      </c>
    </row>
    <row r="483" spans="4:19" ht="17.649999999999999" x14ac:dyDescent="0.5">
      <c r="D483" s="3" t="s">
        <v>116</v>
      </c>
      <c r="S483" s="3" t="s">
        <v>87</v>
      </c>
    </row>
    <row r="484" spans="4:19" ht="17.649999999999999" x14ac:dyDescent="0.5">
      <c r="D484" s="3" t="s">
        <v>61</v>
      </c>
      <c r="S484" s="3" t="s">
        <v>80</v>
      </c>
    </row>
    <row r="485" spans="4:19" ht="17.649999999999999" x14ac:dyDescent="0.5">
      <c r="D485" s="3" t="s">
        <v>47</v>
      </c>
      <c r="S485" s="3" t="s">
        <v>44</v>
      </c>
    </row>
    <row r="486" spans="4:19" ht="17.649999999999999" x14ac:dyDescent="0.5">
      <c r="D486" s="3" t="s">
        <v>77</v>
      </c>
      <c r="S486" s="3" t="s">
        <v>65</v>
      </c>
    </row>
    <row r="487" spans="4:19" ht="17.649999999999999" x14ac:dyDescent="0.5">
      <c r="D487" s="3" t="s">
        <v>65</v>
      </c>
      <c r="S487" s="3" t="s">
        <v>119</v>
      </c>
    </row>
    <row r="488" spans="4:19" ht="17.649999999999999" x14ac:dyDescent="0.5">
      <c r="D488" s="3" t="s">
        <v>73</v>
      </c>
      <c r="S488" s="3" t="s">
        <v>69</v>
      </c>
    </row>
    <row r="489" spans="4:19" ht="17.649999999999999" x14ac:dyDescent="0.5">
      <c r="D489" s="3" t="s">
        <v>43</v>
      </c>
      <c r="S489" s="3" t="s">
        <v>76</v>
      </c>
    </row>
    <row r="490" spans="4:19" ht="17.649999999999999" x14ac:dyDescent="0.5">
      <c r="D490" s="3" t="s">
        <v>80</v>
      </c>
      <c r="S490" s="3" t="s">
        <v>61</v>
      </c>
    </row>
    <row r="491" spans="4:19" ht="17.649999999999999" x14ac:dyDescent="0.5">
      <c r="D491" s="3" t="s">
        <v>108</v>
      </c>
      <c r="S491" s="3" t="s">
        <v>93</v>
      </c>
    </row>
    <row r="492" spans="4:19" ht="17.649999999999999" x14ac:dyDescent="0.5">
      <c r="D492" s="3" t="s">
        <v>87</v>
      </c>
      <c r="S492" s="3" t="s">
        <v>63</v>
      </c>
    </row>
    <row r="493" spans="4:19" ht="17.649999999999999" x14ac:dyDescent="0.5">
      <c r="D493" s="3" t="s">
        <v>51</v>
      </c>
      <c r="S493" s="3" t="s">
        <v>51</v>
      </c>
    </row>
    <row r="494" spans="4:19" ht="17.649999999999999" x14ac:dyDescent="0.5">
      <c r="D494" s="3" t="s">
        <v>109</v>
      </c>
      <c r="S494" s="3" t="s">
        <v>118</v>
      </c>
    </row>
    <row r="495" spans="4:19" ht="17.649999999999999" x14ac:dyDescent="0.5">
      <c r="D495" s="3" t="s">
        <v>43</v>
      </c>
      <c r="S495" s="3" t="s">
        <v>43</v>
      </c>
    </row>
    <row r="496" spans="4:19" ht="17.649999999999999" x14ac:dyDescent="0.5">
      <c r="D496" s="3" t="s">
        <v>66</v>
      </c>
      <c r="S496" s="3" t="s">
        <v>66</v>
      </c>
    </row>
    <row r="497" spans="4:19" ht="17.649999999999999" x14ac:dyDescent="0.5">
      <c r="D497" s="3" t="s">
        <v>54</v>
      </c>
      <c r="S497" s="3" t="s">
        <v>54</v>
      </c>
    </row>
    <row r="498" spans="4:19" ht="17.649999999999999" x14ac:dyDescent="0.5">
      <c r="D498" s="3" t="s">
        <v>61</v>
      </c>
      <c r="S498" s="3" t="s">
        <v>61</v>
      </c>
    </row>
    <row r="499" spans="4:19" ht="17.649999999999999" x14ac:dyDescent="0.5">
      <c r="D499" s="3" t="s">
        <v>121</v>
      </c>
      <c r="S499" s="3" t="s">
        <v>121</v>
      </c>
    </row>
    <row r="500" spans="4:19" ht="17.649999999999999" x14ac:dyDescent="0.5">
      <c r="D500" s="3" t="s">
        <v>73</v>
      </c>
      <c r="S500" s="3" t="s">
        <v>73</v>
      </c>
    </row>
    <row r="501" spans="4:19" ht="17.649999999999999" x14ac:dyDescent="0.5">
      <c r="D501" s="3" t="s">
        <v>98</v>
      </c>
      <c r="S501" s="3" t="s">
        <v>98</v>
      </c>
    </row>
    <row r="502" spans="4:19" ht="17.649999999999999" x14ac:dyDescent="0.5">
      <c r="D502" s="3" t="s">
        <v>80</v>
      </c>
      <c r="S502" s="3" t="s">
        <v>61</v>
      </c>
    </row>
    <row r="503" spans="4:19" ht="17.649999999999999" x14ac:dyDescent="0.5">
      <c r="D503" s="3" t="s">
        <v>92</v>
      </c>
      <c r="S503" s="3" t="s">
        <v>84</v>
      </c>
    </row>
    <row r="504" spans="4:19" ht="17.649999999999999" x14ac:dyDescent="0.5">
      <c r="D504" s="3" t="s">
        <v>44</v>
      </c>
      <c r="S504" s="3" t="s">
        <v>47</v>
      </c>
    </row>
    <row r="505" spans="4:19" ht="17.649999999999999" x14ac:dyDescent="0.5">
      <c r="D505" s="3" t="s">
        <v>62</v>
      </c>
      <c r="S505" s="3" t="s">
        <v>47</v>
      </c>
    </row>
    <row r="506" spans="4:19" ht="17.649999999999999" x14ac:dyDescent="0.5">
      <c r="D506" s="3" t="s">
        <v>54</v>
      </c>
      <c r="S506" s="3" t="s">
        <v>82</v>
      </c>
    </row>
    <row r="507" spans="4:19" ht="17.649999999999999" x14ac:dyDescent="0.5">
      <c r="D507" s="3" t="s">
        <v>63</v>
      </c>
      <c r="S507" s="3" t="s">
        <v>63</v>
      </c>
    </row>
    <row r="508" spans="4:19" ht="17.649999999999999" x14ac:dyDescent="0.5">
      <c r="D508" s="3" t="s">
        <v>49</v>
      </c>
      <c r="S508" s="3" t="s">
        <v>46</v>
      </c>
    </row>
    <row r="509" spans="4:19" ht="17.649999999999999" x14ac:dyDescent="0.5">
      <c r="D509" s="3" t="s">
        <v>117</v>
      </c>
      <c r="S509" s="3" t="s">
        <v>45</v>
      </c>
    </row>
    <row r="510" spans="4:19" ht="17.649999999999999" x14ac:dyDescent="0.5">
      <c r="D510" s="3" t="s">
        <v>87</v>
      </c>
      <c r="S510" s="3" t="s">
        <v>87</v>
      </c>
    </row>
    <row r="511" spans="4:19" ht="17.649999999999999" x14ac:dyDescent="0.5">
      <c r="D511" s="3" t="s">
        <v>104</v>
      </c>
      <c r="S511" s="3" t="s">
        <v>104</v>
      </c>
    </row>
    <row r="512" spans="4:19" ht="17.649999999999999" x14ac:dyDescent="0.5">
      <c r="D512" s="3" t="s">
        <v>43</v>
      </c>
      <c r="S512" s="3" t="s">
        <v>96</v>
      </c>
    </row>
    <row r="513" spans="4:19" ht="17.649999999999999" x14ac:dyDescent="0.5">
      <c r="D513" s="3" t="s">
        <v>113</v>
      </c>
      <c r="S513" s="3" t="s">
        <v>119</v>
      </c>
    </row>
    <row r="514" spans="4:19" ht="17.649999999999999" x14ac:dyDescent="0.5">
      <c r="D514" s="3" t="s">
        <v>107</v>
      </c>
      <c r="S514" s="3" t="s">
        <v>67</v>
      </c>
    </row>
    <row r="515" spans="4:19" ht="17.649999999999999" x14ac:dyDescent="0.5">
      <c r="D515" s="3" t="s">
        <v>44</v>
      </c>
      <c r="S515" s="3" t="s">
        <v>47</v>
      </c>
    </row>
    <row r="516" spans="4:19" ht="17.649999999999999" x14ac:dyDescent="0.5">
      <c r="D516" s="3" t="s">
        <v>56</v>
      </c>
      <c r="S516" s="3" t="s">
        <v>83</v>
      </c>
    </row>
    <row r="517" spans="4:19" ht="17.649999999999999" x14ac:dyDescent="0.5">
      <c r="D517" s="3" t="s">
        <v>48</v>
      </c>
      <c r="S517" s="3" t="s">
        <v>98</v>
      </c>
    </row>
    <row r="518" spans="4:19" ht="17.649999999999999" x14ac:dyDescent="0.5">
      <c r="D518" s="3" t="s">
        <v>105</v>
      </c>
      <c r="S518" s="3" t="s">
        <v>105</v>
      </c>
    </row>
    <row r="519" spans="4:19" ht="17.649999999999999" x14ac:dyDescent="0.5">
      <c r="D519" s="3" t="s">
        <v>102</v>
      </c>
      <c r="S519" s="3" t="s">
        <v>102</v>
      </c>
    </row>
    <row r="520" spans="4:19" ht="17.649999999999999" x14ac:dyDescent="0.5">
      <c r="D520" s="3" t="s">
        <v>66</v>
      </c>
      <c r="S520" s="3" t="s">
        <v>55</v>
      </c>
    </row>
    <row r="521" spans="4:19" ht="17.649999999999999" x14ac:dyDescent="0.5">
      <c r="D521" s="3" t="s">
        <v>91</v>
      </c>
      <c r="S521" s="3" t="s">
        <v>101</v>
      </c>
    </row>
    <row r="522" spans="4:19" ht="17.649999999999999" x14ac:dyDescent="0.5">
      <c r="D522" s="3" t="s">
        <v>41</v>
      </c>
      <c r="S522" s="3" t="s">
        <v>85</v>
      </c>
    </row>
    <row r="523" spans="4:19" ht="17.649999999999999" x14ac:dyDescent="0.5">
      <c r="D523" s="3" t="s">
        <v>48</v>
      </c>
      <c r="S523" s="3" t="s">
        <v>98</v>
      </c>
    </row>
    <row r="524" spans="4:19" ht="17.649999999999999" x14ac:dyDescent="0.5">
      <c r="D524" s="3" t="s">
        <v>92</v>
      </c>
      <c r="S524" s="3" t="s">
        <v>84</v>
      </c>
    </row>
    <row r="525" spans="4:19" ht="17.649999999999999" x14ac:dyDescent="0.5">
      <c r="D525" s="3" t="s">
        <v>103</v>
      </c>
      <c r="S525" s="3" t="s">
        <v>112</v>
      </c>
    </row>
    <row r="526" spans="4:19" ht="17.649999999999999" x14ac:dyDescent="0.5">
      <c r="D526" s="3" t="s">
        <v>85</v>
      </c>
      <c r="S526" s="3" t="s">
        <v>41</v>
      </c>
    </row>
    <row r="527" spans="4:19" ht="17.649999999999999" x14ac:dyDescent="0.5">
      <c r="D527" s="3" t="s">
        <v>102</v>
      </c>
      <c r="S527" s="3" t="s">
        <v>129</v>
      </c>
    </row>
    <row r="528" spans="4:19" ht="17.649999999999999" x14ac:dyDescent="0.5">
      <c r="D528" s="3" t="s">
        <v>98</v>
      </c>
      <c r="S528" s="3" t="s">
        <v>48</v>
      </c>
    </row>
    <row r="529" spans="4:19" ht="17.649999999999999" x14ac:dyDescent="0.5">
      <c r="D529" s="3" t="s">
        <v>94</v>
      </c>
      <c r="S529" s="3" t="s">
        <v>54</v>
      </c>
    </row>
    <row r="530" spans="4:19" ht="17.649999999999999" x14ac:dyDescent="0.5">
      <c r="D530" s="3" t="s">
        <v>64</v>
      </c>
      <c r="S530" s="3" t="s">
        <v>90</v>
      </c>
    </row>
    <row r="531" spans="4:19" ht="17.649999999999999" x14ac:dyDescent="0.5">
      <c r="D531" s="3" t="s">
        <v>73</v>
      </c>
      <c r="S531" s="3" t="s">
        <v>69</v>
      </c>
    </row>
    <row r="532" spans="4:19" ht="17.649999999999999" x14ac:dyDescent="0.5">
      <c r="D532" s="3" t="s">
        <v>43</v>
      </c>
      <c r="S532" s="3" t="s">
        <v>96</v>
      </c>
    </row>
    <row r="533" spans="4:19" ht="17.649999999999999" x14ac:dyDescent="0.5">
      <c r="D533" s="3" t="s">
        <v>44</v>
      </c>
      <c r="S533" s="3" t="s">
        <v>47</v>
      </c>
    </row>
    <row r="534" spans="4:19" ht="17.649999999999999" x14ac:dyDescent="0.5">
      <c r="D534" s="3" t="s">
        <v>66</v>
      </c>
      <c r="S534" s="3" t="s">
        <v>66</v>
      </c>
    </row>
    <row r="535" spans="4:19" ht="17.649999999999999" x14ac:dyDescent="0.5">
      <c r="D535" s="3" t="s">
        <v>57</v>
      </c>
      <c r="S535" s="3" t="s">
        <v>53</v>
      </c>
    </row>
    <row r="536" spans="4:19" ht="17.649999999999999" x14ac:dyDescent="0.5">
      <c r="D536" s="3" t="s">
        <v>61</v>
      </c>
      <c r="S536" s="3" t="s">
        <v>80</v>
      </c>
    </row>
    <row r="537" spans="4:19" ht="17.649999999999999" x14ac:dyDescent="0.5">
      <c r="D537" s="3" t="s">
        <v>92</v>
      </c>
      <c r="S537" s="3" t="s">
        <v>92</v>
      </c>
    </row>
    <row r="538" spans="4:19" ht="17.649999999999999" x14ac:dyDescent="0.5">
      <c r="D538" s="3" t="s">
        <v>126</v>
      </c>
      <c r="S538" s="3" t="s">
        <v>67</v>
      </c>
    </row>
    <row r="539" spans="4:19" ht="17.649999999999999" x14ac:dyDescent="0.5">
      <c r="D539" s="3" t="s">
        <v>65</v>
      </c>
      <c r="S539" s="3" t="s">
        <v>119</v>
      </c>
    </row>
    <row r="540" spans="4:19" ht="17.649999999999999" x14ac:dyDescent="0.5">
      <c r="D540" s="3" t="s">
        <v>84</v>
      </c>
      <c r="S540" s="3" t="s">
        <v>92</v>
      </c>
    </row>
    <row r="541" spans="4:19" ht="17.649999999999999" x14ac:dyDescent="0.5">
      <c r="D541" s="3" t="s">
        <v>44</v>
      </c>
      <c r="S541" s="3" t="s">
        <v>47</v>
      </c>
    </row>
    <row r="542" spans="4:19" ht="17.649999999999999" x14ac:dyDescent="0.5">
      <c r="D542" s="3" t="s">
        <v>96</v>
      </c>
      <c r="S542" s="3" t="s">
        <v>96</v>
      </c>
    </row>
    <row r="543" spans="4:19" ht="17.649999999999999" x14ac:dyDescent="0.5">
      <c r="D543" s="3" t="s">
        <v>52</v>
      </c>
      <c r="S543" s="3" t="s">
        <v>97</v>
      </c>
    </row>
    <row r="544" spans="4:19" ht="17.649999999999999" x14ac:dyDescent="0.5">
      <c r="D544" s="3" t="s">
        <v>99</v>
      </c>
      <c r="S544" s="3" t="s">
        <v>46</v>
      </c>
    </row>
    <row r="545" spans="4:19" ht="17.649999999999999" x14ac:dyDescent="0.5">
      <c r="D545" s="3" t="s">
        <v>101</v>
      </c>
      <c r="S545" s="3" t="s">
        <v>91</v>
      </c>
    </row>
    <row r="546" spans="4:19" ht="17.649999999999999" x14ac:dyDescent="0.5">
      <c r="D546" s="3" t="s">
        <v>48</v>
      </c>
      <c r="S546" s="3" t="s">
        <v>48</v>
      </c>
    </row>
    <row r="547" spans="4:19" ht="17.649999999999999" x14ac:dyDescent="0.5">
      <c r="D547" s="3" t="s">
        <v>45</v>
      </c>
      <c r="S547" s="3" t="s">
        <v>105</v>
      </c>
    </row>
    <row r="548" spans="4:19" ht="17.649999999999999" x14ac:dyDescent="0.5">
      <c r="D548" s="3" t="s">
        <v>131</v>
      </c>
      <c r="S548" s="3" t="s">
        <v>115</v>
      </c>
    </row>
    <row r="549" spans="4:19" ht="17.649999999999999" x14ac:dyDescent="0.5">
      <c r="D549" s="3" t="s">
        <v>67</v>
      </c>
      <c r="S549" s="3" t="s">
        <v>107</v>
      </c>
    </row>
    <row r="550" spans="4:19" ht="17.649999999999999" x14ac:dyDescent="0.5">
      <c r="D550" s="3" t="s">
        <v>53</v>
      </c>
      <c r="S550" s="3" t="s">
        <v>57</v>
      </c>
    </row>
    <row r="551" spans="4:19" ht="17.649999999999999" x14ac:dyDescent="0.5">
      <c r="D551" s="3" t="s">
        <v>103</v>
      </c>
      <c r="S551" s="3" t="s">
        <v>121</v>
      </c>
    </row>
    <row r="552" spans="4:19" ht="17.649999999999999" x14ac:dyDescent="0.5">
      <c r="D552" s="3" t="s">
        <v>98</v>
      </c>
      <c r="S552" s="3" t="s">
        <v>124</v>
      </c>
    </row>
    <row r="553" spans="4:19" ht="17.649999999999999" x14ac:dyDescent="0.5">
      <c r="D553" s="3" t="s">
        <v>65</v>
      </c>
      <c r="S553" s="3" t="s">
        <v>65</v>
      </c>
    </row>
    <row r="554" spans="4:19" ht="17.649999999999999" x14ac:dyDescent="0.5">
      <c r="D554" s="3" t="s">
        <v>61</v>
      </c>
      <c r="S554" s="3" t="s">
        <v>61</v>
      </c>
    </row>
    <row r="555" spans="4:19" ht="17.649999999999999" x14ac:dyDescent="0.5">
      <c r="D555" s="3" t="s">
        <v>68</v>
      </c>
      <c r="S555" s="3" t="s">
        <v>133</v>
      </c>
    </row>
    <row r="556" spans="4:19" ht="17.649999999999999" x14ac:dyDescent="0.5">
      <c r="D556" s="3" t="s">
        <v>93</v>
      </c>
      <c r="S556" s="3" t="s">
        <v>108</v>
      </c>
    </row>
    <row r="557" spans="4:19" ht="17.649999999999999" x14ac:dyDescent="0.5">
      <c r="D557" s="3" t="s">
        <v>120</v>
      </c>
      <c r="S557" s="3" t="s">
        <v>54</v>
      </c>
    </row>
    <row r="558" spans="4:19" ht="17.649999999999999" x14ac:dyDescent="0.5">
      <c r="D558" s="3" t="s">
        <v>53</v>
      </c>
      <c r="S558" s="3" t="s">
        <v>57</v>
      </c>
    </row>
    <row r="559" spans="4:19" ht="17.649999999999999" x14ac:dyDescent="0.5">
      <c r="D559" s="3" t="s">
        <v>118</v>
      </c>
      <c r="S559" s="3" t="s">
        <v>109</v>
      </c>
    </row>
    <row r="560" spans="4:19" ht="17.649999999999999" x14ac:dyDescent="0.5">
      <c r="D560" s="3" t="s">
        <v>111</v>
      </c>
      <c r="S560" s="3" t="s">
        <v>61</v>
      </c>
    </row>
    <row r="561" spans="4:19" ht="17.649999999999999" x14ac:dyDescent="0.5">
      <c r="D561" s="3" t="s">
        <v>134</v>
      </c>
      <c r="S561" s="3" t="s">
        <v>85</v>
      </c>
    </row>
    <row r="562" spans="4:19" ht="17.649999999999999" x14ac:dyDescent="0.5">
      <c r="D562" s="3" t="s">
        <v>73</v>
      </c>
      <c r="S562" s="3" t="s">
        <v>73</v>
      </c>
    </row>
    <row r="563" spans="4:19" ht="17.649999999999999" x14ac:dyDescent="0.5">
      <c r="D563" s="3" t="s">
        <v>57</v>
      </c>
      <c r="S563" s="3" t="s">
        <v>118</v>
      </c>
    </row>
    <row r="564" spans="4:19" ht="17.649999999999999" x14ac:dyDescent="0.5">
      <c r="D564" s="3" t="s">
        <v>101</v>
      </c>
      <c r="S564" s="3" t="s">
        <v>101</v>
      </c>
    </row>
    <row r="565" spans="4:19" ht="17.649999999999999" x14ac:dyDescent="0.5">
      <c r="D565" s="3" t="s">
        <v>77</v>
      </c>
      <c r="S565" s="3" t="s">
        <v>77</v>
      </c>
    </row>
    <row r="566" spans="4:19" ht="17.649999999999999" x14ac:dyDescent="0.5">
      <c r="D566" s="3" t="s">
        <v>69</v>
      </c>
      <c r="S566" s="3" t="s">
        <v>89</v>
      </c>
    </row>
    <row r="567" spans="4:19" ht="17.649999999999999" x14ac:dyDescent="0.5">
      <c r="D567" s="3" t="s">
        <v>41</v>
      </c>
      <c r="S567" s="3" t="s">
        <v>41</v>
      </c>
    </row>
    <row r="568" spans="4:19" ht="17.649999999999999" x14ac:dyDescent="0.5">
      <c r="D568" s="3" t="s">
        <v>98</v>
      </c>
      <c r="S568" s="3" t="s">
        <v>98</v>
      </c>
    </row>
    <row r="569" spans="4:19" ht="17.649999999999999" x14ac:dyDescent="0.5">
      <c r="D569" s="3" t="s">
        <v>115</v>
      </c>
      <c r="S569" s="3" t="s">
        <v>115</v>
      </c>
    </row>
    <row r="570" spans="4:19" ht="17.649999999999999" x14ac:dyDescent="0.5">
      <c r="D570" s="3" t="s">
        <v>105</v>
      </c>
      <c r="S570" s="3" t="s">
        <v>117</v>
      </c>
    </row>
    <row r="571" spans="4:19" ht="17.649999999999999" x14ac:dyDescent="0.5">
      <c r="D571" s="3" t="s">
        <v>86</v>
      </c>
      <c r="S571" s="3" t="s">
        <v>49</v>
      </c>
    </row>
    <row r="572" spans="4:19" ht="17.649999999999999" x14ac:dyDescent="0.5">
      <c r="D572" s="3" t="s">
        <v>56</v>
      </c>
      <c r="S572" s="3" t="s">
        <v>56</v>
      </c>
    </row>
    <row r="573" spans="4:19" ht="17.649999999999999" x14ac:dyDescent="0.5">
      <c r="D573" s="3" t="s">
        <v>49</v>
      </c>
      <c r="S573" s="3" t="s">
        <v>46</v>
      </c>
    </row>
    <row r="574" spans="4:19" ht="17.649999999999999" x14ac:dyDescent="0.5">
      <c r="D574" s="3" t="s">
        <v>85</v>
      </c>
      <c r="S574" s="3" t="s">
        <v>85</v>
      </c>
    </row>
    <row r="575" spans="4:19" ht="17.649999999999999" x14ac:dyDescent="0.5">
      <c r="D575" s="3" t="s">
        <v>58</v>
      </c>
      <c r="S575" s="3" t="s">
        <v>58</v>
      </c>
    </row>
    <row r="576" spans="4:19" ht="17.649999999999999" x14ac:dyDescent="0.5">
      <c r="D576" s="3" t="s">
        <v>41</v>
      </c>
      <c r="S576" s="3" t="s">
        <v>41</v>
      </c>
    </row>
    <row r="577" spans="4:19" ht="17.649999999999999" x14ac:dyDescent="0.5">
      <c r="D577" s="3" t="s">
        <v>65</v>
      </c>
      <c r="S577" s="3" t="s">
        <v>65</v>
      </c>
    </row>
    <row r="578" spans="4:19" ht="17.649999999999999" x14ac:dyDescent="0.5">
      <c r="D578" s="3" t="s">
        <v>66</v>
      </c>
      <c r="S578" s="3" t="s">
        <v>66</v>
      </c>
    </row>
    <row r="579" spans="4:19" ht="17.649999999999999" x14ac:dyDescent="0.5">
      <c r="D579" s="3" t="s">
        <v>64</v>
      </c>
      <c r="S579" s="3" t="s">
        <v>127</v>
      </c>
    </row>
    <row r="580" spans="4:19" ht="17.649999999999999" x14ac:dyDescent="0.5">
      <c r="D580" s="3" t="s">
        <v>41</v>
      </c>
      <c r="S580" s="3" t="s">
        <v>41</v>
      </c>
    </row>
    <row r="581" spans="4:19" ht="17.649999999999999" x14ac:dyDescent="0.5">
      <c r="D581" s="3" t="s">
        <v>98</v>
      </c>
      <c r="S581" s="3" t="s">
        <v>98</v>
      </c>
    </row>
    <row r="582" spans="4:19" ht="17.649999999999999" x14ac:dyDescent="0.5">
      <c r="D582" s="3" t="s">
        <v>122</v>
      </c>
      <c r="S582" s="3" t="s">
        <v>51</v>
      </c>
    </row>
    <row r="583" spans="4:19" ht="17.649999999999999" x14ac:dyDescent="0.5">
      <c r="D583" s="3" t="s">
        <v>73</v>
      </c>
      <c r="S583" s="3" t="s">
        <v>89</v>
      </c>
    </row>
    <row r="584" spans="4:19" ht="17.649999999999999" x14ac:dyDescent="0.5">
      <c r="D584" s="3" t="s">
        <v>92</v>
      </c>
      <c r="S584" s="3" t="s">
        <v>84</v>
      </c>
    </row>
    <row r="585" spans="4:19" ht="17.649999999999999" x14ac:dyDescent="0.5">
      <c r="D585" s="3" t="s">
        <v>93</v>
      </c>
      <c r="S585" s="3" t="s">
        <v>55</v>
      </c>
    </row>
    <row r="586" spans="4:19" ht="17.649999999999999" x14ac:dyDescent="0.5">
      <c r="D586" s="3" t="s">
        <v>55</v>
      </c>
      <c r="S586" s="3" t="s">
        <v>66</v>
      </c>
    </row>
    <row r="587" spans="4:19" ht="17.649999999999999" x14ac:dyDescent="0.5">
      <c r="D587" s="3" t="s">
        <v>90</v>
      </c>
      <c r="S587" s="3" t="s">
        <v>90</v>
      </c>
    </row>
    <row r="588" spans="4:19" ht="17.649999999999999" x14ac:dyDescent="0.5">
      <c r="D588" s="3" t="s">
        <v>57</v>
      </c>
      <c r="S588" s="3" t="s">
        <v>53</v>
      </c>
    </row>
    <row r="589" spans="4:19" ht="17.649999999999999" x14ac:dyDescent="0.5">
      <c r="D589" s="3" t="s">
        <v>53</v>
      </c>
      <c r="S589" s="3" t="s">
        <v>57</v>
      </c>
    </row>
    <row r="590" spans="4:19" ht="17.649999999999999" x14ac:dyDescent="0.5">
      <c r="D590" s="3" t="s">
        <v>131</v>
      </c>
      <c r="S590" s="3" t="s">
        <v>115</v>
      </c>
    </row>
    <row r="591" spans="4:19" ht="17.649999999999999" x14ac:dyDescent="0.5">
      <c r="D591" s="3" t="s">
        <v>133</v>
      </c>
      <c r="S591" s="3" t="s">
        <v>133</v>
      </c>
    </row>
    <row r="592" spans="4:19" ht="17.649999999999999" x14ac:dyDescent="0.5">
      <c r="D592" s="3" t="s">
        <v>64</v>
      </c>
      <c r="S592" s="3" t="s">
        <v>64</v>
      </c>
    </row>
    <row r="593" spans="4:19" ht="17.649999999999999" x14ac:dyDescent="0.5">
      <c r="D593" s="3" t="s">
        <v>113</v>
      </c>
      <c r="S593" s="3" t="s">
        <v>113</v>
      </c>
    </row>
    <row r="594" spans="4:19" ht="17.649999999999999" x14ac:dyDescent="0.5">
      <c r="D594" s="3" t="s">
        <v>52</v>
      </c>
      <c r="S594" s="3" t="s">
        <v>51</v>
      </c>
    </row>
    <row r="595" spans="4:19" ht="17.649999999999999" x14ac:dyDescent="0.5">
      <c r="D595" s="3" t="s">
        <v>46</v>
      </c>
      <c r="S595" s="3" t="s">
        <v>46</v>
      </c>
    </row>
    <row r="596" spans="4:19" ht="17.649999999999999" x14ac:dyDescent="0.5">
      <c r="D596" s="3" t="s">
        <v>83</v>
      </c>
      <c r="S596" s="3" t="s">
        <v>56</v>
      </c>
    </row>
    <row r="597" spans="4:19" ht="17.649999999999999" x14ac:dyDescent="0.5">
      <c r="D597" s="3" t="s">
        <v>59</v>
      </c>
      <c r="S597" s="3" t="s">
        <v>129</v>
      </c>
    </row>
    <row r="598" spans="4:19" ht="17.649999999999999" x14ac:dyDescent="0.5">
      <c r="D598" s="3" t="s">
        <v>56</v>
      </c>
      <c r="S598" s="3" t="s">
        <v>83</v>
      </c>
    </row>
    <row r="599" spans="4:19" ht="17.649999999999999" x14ac:dyDescent="0.5">
      <c r="D599" s="3" t="s">
        <v>94</v>
      </c>
      <c r="S599" s="3" t="s">
        <v>120</v>
      </c>
    </row>
    <row r="600" spans="4:19" ht="17.649999999999999" x14ac:dyDescent="0.5">
      <c r="D600" s="3" t="s">
        <v>73</v>
      </c>
      <c r="S600" s="3" t="s">
        <v>69</v>
      </c>
    </row>
    <row r="601" spans="4:19" ht="17.649999999999999" x14ac:dyDescent="0.5">
      <c r="D601" s="3" t="s">
        <v>120</v>
      </c>
      <c r="S601" s="3" t="s">
        <v>94</v>
      </c>
    </row>
    <row r="602" spans="4:19" ht="17.649999999999999" x14ac:dyDescent="0.5">
      <c r="D602" s="3" t="s">
        <v>46</v>
      </c>
      <c r="S602" s="3" t="s">
        <v>49</v>
      </c>
    </row>
    <row r="603" spans="4:19" ht="17.649999999999999" x14ac:dyDescent="0.5">
      <c r="D603" s="3" t="s">
        <v>74</v>
      </c>
      <c r="S603" s="3" t="s">
        <v>115</v>
      </c>
    </row>
    <row r="604" spans="4:19" ht="17.649999999999999" x14ac:dyDescent="0.5">
      <c r="D604" s="3" t="s">
        <v>81</v>
      </c>
      <c r="S604" s="3" t="s">
        <v>78</v>
      </c>
    </row>
    <row r="605" spans="4:19" ht="17.649999999999999" x14ac:dyDescent="0.5">
      <c r="D605" s="3" t="s">
        <v>51</v>
      </c>
      <c r="S605" s="3" t="s">
        <v>52</v>
      </c>
    </row>
    <row r="606" spans="4:19" ht="17.649999999999999" x14ac:dyDescent="0.5">
      <c r="D606" s="3" t="s">
        <v>115</v>
      </c>
      <c r="S606" s="3" t="s">
        <v>74</v>
      </c>
    </row>
    <row r="607" spans="4:19" ht="17.649999999999999" x14ac:dyDescent="0.5">
      <c r="D607" s="3" t="s">
        <v>54</v>
      </c>
      <c r="S607" s="3" t="s">
        <v>94</v>
      </c>
    </row>
    <row r="608" spans="4:19" ht="17.649999999999999" x14ac:dyDescent="0.5">
      <c r="D608" s="3" t="s">
        <v>87</v>
      </c>
      <c r="S608" s="3" t="s">
        <v>63</v>
      </c>
    </row>
    <row r="609" spans="4:19" ht="17.649999999999999" x14ac:dyDescent="0.5">
      <c r="D609" s="3" t="s">
        <v>116</v>
      </c>
      <c r="S609" s="3" t="s">
        <v>79</v>
      </c>
    </row>
    <row r="610" spans="4:19" ht="17.649999999999999" x14ac:dyDescent="0.5">
      <c r="D610" s="3" t="s">
        <v>68</v>
      </c>
      <c r="S610" s="3" t="s">
        <v>75</v>
      </c>
    </row>
    <row r="611" spans="4:19" ht="17.649999999999999" x14ac:dyDescent="0.5">
      <c r="D611" s="3" t="s">
        <v>131</v>
      </c>
      <c r="S611" s="3" t="s">
        <v>74</v>
      </c>
    </row>
    <row r="612" spans="4:19" ht="17.649999999999999" x14ac:dyDescent="0.5">
      <c r="D612" s="3" t="s">
        <v>84</v>
      </c>
      <c r="S612" s="3" t="s">
        <v>92</v>
      </c>
    </row>
    <row r="613" spans="4:19" ht="17.649999999999999" x14ac:dyDescent="0.5">
      <c r="D613" s="3" t="s">
        <v>78</v>
      </c>
      <c r="S613" s="3" t="s">
        <v>81</v>
      </c>
    </row>
    <row r="614" spans="4:19" ht="17.649999999999999" x14ac:dyDescent="0.5">
      <c r="D614" s="3" t="s">
        <v>98</v>
      </c>
      <c r="S614" s="3" t="s">
        <v>106</v>
      </c>
    </row>
    <row r="615" spans="4:19" ht="17.649999999999999" x14ac:dyDescent="0.5">
      <c r="D615" s="3" t="s">
        <v>56</v>
      </c>
      <c r="S615" s="3" t="s">
        <v>100</v>
      </c>
    </row>
    <row r="616" spans="4:19" ht="17.649999999999999" x14ac:dyDescent="0.5">
      <c r="D616" s="3" t="s">
        <v>92</v>
      </c>
      <c r="S616" s="3" t="s">
        <v>84</v>
      </c>
    </row>
    <row r="617" spans="4:19" ht="17.649999999999999" x14ac:dyDescent="0.5">
      <c r="D617" s="3" t="s">
        <v>135</v>
      </c>
      <c r="S617" s="3" t="s">
        <v>135</v>
      </c>
    </row>
    <row r="618" spans="4:19" ht="17.649999999999999" x14ac:dyDescent="0.5">
      <c r="D618" s="3" t="s">
        <v>66</v>
      </c>
      <c r="S618" s="3" t="s">
        <v>66</v>
      </c>
    </row>
    <row r="619" spans="4:19" ht="17.649999999999999" x14ac:dyDescent="0.5">
      <c r="D619" s="3" t="s">
        <v>134</v>
      </c>
      <c r="S619" s="3" t="s">
        <v>134</v>
      </c>
    </row>
    <row r="620" spans="4:19" ht="17.649999999999999" x14ac:dyDescent="0.5">
      <c r="D620" s="3" t="s">
        <v>43</v>
      </c>
      <c r="S620" s="3" t="s">
        <v>96</v>
      </c>
    </row>
    <row r="621" spans="4:19" ht="17.649999999999999" x14ac:dyDescent="0.5">
      <c r="D621" s="3" t="s">
        <v>50</v>
      </c>
      <c r="S621" s="3" t="s">
        <v>59</v>
      </c>
    </row>
    <row r="622" spans="4:19" ht="17.649999999999999" x14ac:dyDescent="0.5">
      <c r="D622" s="3" t="s">
        <v>115</v>
      </c>
      <c r="S622" s="3" t="s">
        <v>74</v>
      </c>
    </row>
    <row r="623" spans="4:19" ht="17.649999999999999" x14ac:dyDescent="0.5">
      <c r="D623" s="3" t="s">
        <v>48</v>
      </c>
      <c r="S623" s="3" t="s">
        <v>98</v>
      </c>
    </row>
    <row r="624" spans="4:19" ht="17.649999999999999" x14ac:dyDescent="0.5">
      <c r="D624" s="3" t="s">
        <v>57</v>
      </c>
      <c r="S624" s="3" t="s">
        <v>53</v>
      </c>
    </row>
    <row r="625" spans="4:19" ht="17.649999999999999" x14ac:dyDescent="0.5">
      <c r="D625" s="3" t="s">
        <v>53</v>
      </c>
      <c r="S625" s="3" t="s">
        <v>57</v>
      </c>
    </row>
    <row r="626" spans="4:19" ht="17.649999999999999" x14ac:dyDescent="0.5">
      <c r="D626" s="3" t="s">
        <v>45</v>
      </c>
      <c r="S626" s="3" t="s">
        <v>114</v>
      </c>
    </row>
    <row r="627" spans="4:19" ht="17.649999999999999" x14ac:dyDescent="0.5">
      <c r="D627" s="3" t="s">
        <v>74</v>
      </c>
      <c r="S627" s="3" t="s">
        <v>115</v>
      </c>
    </row>
    <row r="628" spans="4:19" ht="17.649999999999999" x14ac:dyDescent="0.5">
      <c r="D628" s="3" t="s">
        <v>52</v>
      </c>
      <c r="S628" s="3" t="s">
        <v>51</v>
      </c>
    </row>
    <row r="629" spans="4:19" ht="17.649999999999999" x14ac:dyDescent="0.5">
      <c r="D629" s="3" t="s">
        <v>115</v>
      </c>
      <c r="S629" s="3" t="s">
        <v>74</v>
      </c>
    </row>
    <row r="630" spans="4:19" ht="17.649999999999999" x14ac:dyDescent="0.5">
      <c r="D630" s="3" t="s">
        <v>92</v>
      </c>
      <c r="S630" s="3" t="s">
        <v>84</v>
      </c>
    </row>
    <row r="631" spans="4:19" ht="17.649999999999999" x14ac:dyDescent="0.5">
      <c r="D631" s="3" t="s">
        <v>98</v>
      </c>
      <c r="S631" s="3" t="s">
        <v>98</v>
      </c>
    </row>
    <row r="632" spans="4:19" ht="17.649999999999999" x14ac:dyDescent="0.5">
      <c r="D632" s="3" t="s">
        <v>83</v>
      </c>
      <c r="S632" s="3" t="s">
        <v>100</v>
      </c>
    </row>
    <row r="633" spans="4:19" ht="17.649999999999999" x14ac:dyDescent="0.5">
      <c r="D633" s="3" t="s">
        <v>107</v>
      </c>
      <c r="S633" s="3" t="s">
        <v>67</v>
      </c>
    </row>
    <row r="634" spans="4:19" ht="17.649999999999999" x14ac:dyDescent="0.5">
      <c r="D634" s="3" t="s">
        <v>65</v>
      </c>
      <c r="S634" s="3" t="s">
        <v>65</v>
      </c>
    </row>
    <row r="635" spans="4:19" ht="17.649999999999999" x14ac:dyDescent="0.5">
      <c r="D635" s="3" t="s">
        <v>54</v>
      </c>
      <c r="S635" s="3" t="s">
        <v>94</v>
      </c>
    </row>
    <row r="636" spans="4:19" ht="17.649999999999999" x14ac:dyDescent="0.5">
      <c r="D636" s="3" t="s">
        <v>66</v>
      </c>
      <c r="S636" s="3" t="s">
        <v>66</v>
      </c>
    </row>
    <row r="637" spans="4:19" ht="17.649999999999999" x14ac:dyDescent="0.5">
      <c r="D637" s="3" t="s">
        <v>102</v>
      </c>
      <c r="S637" s="3" t="s">
        <v>129</v>
      </c>
    </row>
    <row r="638" spans="4:19" ht="17.649999999999999" x14ac:dyDescent="0.5">
      <c r="D638" s="3" t="s">
        <v>55</v>
      </c>
      <c r="S638" s="3" t="s">
        <v>55</v>
      </c>
    </row>
    <row r="639" spans="4:19" ht="17.649999999999999" x14ac:dyDescent="0.5">
      <c r="D639" s="3" t="s">
        <v>64</v>
      </c>
      <c r="S639" s="3" t="s">
        <v>64</v>
      </c>
    </row>
    <row r="640" spans="4:19" ht="17.649999999999999" x14ac:dyDescent="0.5">
      <c r="D640" s="3" t="s">
        <v>87</v>
      </c>
      <c r="S640" s="3" t="s">
        <v>87</v>
      </c>
    </row>
    <row r="641" spans="4:19" ht="17.649999999999999" x14ac:dyDescent="0.5">
      <c r="D641" s="3" t="s">
        <v>73</v>
      </c>
      <c r="S641" s="3" t="s">
        <v>73</v>
      </c>
    </row>
    <row r="642" spans="4:19" ht="17.649999999999999" x14ac:dyDescent="0.5">
      <c r="D642" s="3" t="s">
        <v>61</v>
      </c>
      <c r="S642" s="3" t="s">
        <v>61</v>
      </c>
    </row>
    <row r="643" spans="4:19" ht="17.649999999999999" x14ac:dyDescent="0.5">
      <c r="D643" s="3" t="s">
        <v>47</v>
      </c>
      <c r="S643" s="3" t="s">
        <v>47</v>
      </c>
    </row>
    <row r="644" spans="4:19" ht="17.649999999999999" x14ac:dyDescent="0.5">
      <c r="D644" s="3" t="s">
        <v>66</v>
      </c>
      <c r="S644" s="3" t="s">
        <v>66</v>
      </c>
    </row>
    <row r="645" spans="4:19" ht="17.649999999999999" x14ac:dyDescent="0.5">
      <c r="D645" s="3" t="s">
        <v>41</v>
      </c>
      <c r="S645" s="3" t="s">
        <v>41</v>
      </c>
    </row>
    <row r="646" spans="4:19" ht="17.649999999999999" x14ac:dyDescent="0.5">
      <c r="D646" s="3" t="s">
        <v>115</v>
      </c>
      <c r="S646" s="3" t="s">
        <v>115</v>
      </c>
    </row>
    <row r="647" spans="4:19" ht="17.649999999999999" x14ac:dyDescent="0.5">
      <c r="D647" s="3" t="s">
        <v>103</v>
      </c>
      <c r="S647" s="3" t="s">
        <v>103</v>
      </c>
    </row>
    <row r="648" spans="4:19" ht="17.649999999999999" x14ac:dyDescent="0.5">
      <c r="D648" s="3" t="s">
        <v>98</v>
      </c>
      <c r="S648" s="3" t="s">
        <v>48</v>
      </c>
    </row>
    <row r="649" spans="4:19" ht="17.649999999999999" x14ac:dyDescent="0.5">
      <c r="D649" s="3" t="s">
        <v>117</v>
      </c>
      <c r="S649" s="3" t="s">
        <v>117</v>
      </c>
    </row>
    <row r="650" spans="4:19" ht="17.649999999999999" x14ac:dyDescent="0.5">
      <c r="D650" s="3" t="s">
        <v>87</v>
      </c>
      <c r="S650" s="3" t="s">
        <v>87</v>
      </c>
    </row>
    <row r="651" spans="4:19" ht="17.649999999999999" x14ac:dyDescent="0.5">
      <c r="D651" s="3" t="s">
        <v>83</v>
      </c>
      <c r="S651" s="3" t="s">
        <v>136</v>
      </c>
    </row>
    <row r="652" spans="4:19" ht="17.649999999999999" x14ac:dyDescent="0.5">
      <c r="D652" s="3" t="s">
        <v>98</v>
      </c>
      <c r="S652" s="3" t="s">
        <v>98</v>
      </c>
    </row>
    <row r="653" spans="4:19" ht="17.649999999999999" x14ac:dyDescent="0.5">
      <c r="D653" s="3" t="s">
        <v>56</v>
      </c>
      <c r="S653" s="3" t="s">
        <v>83</v>
      </c>
    </row>
    <row r="654" spans="4:19" ht="17.649999999999999" x14ac:dyDescent="0.5">
      <c r="D654" s="3" t="s">
        <v>121</v>
      </c>
      <c r="S654" s="3" t="s">
        <v>103</v>
      </c>
    </row>
    <row r="655" spans="4:19" ht="17.649999999999999" x14ac:dyDescent="0.5">
      <c r="D655" s="3" t="s">
        <v>59</v>
      </c>
      <c r="S655" s="3" t="s">
        <v>102</v>
      </c>
    </row>
    <row r="656" spans="4:19" ht="17.649999999999999" x14ac:dyDescent="0.5">
      <c r="D656" s="3" t="s">
        <v>96</v>
      </c>
      <c r="S656" s="3" t="s">
        <v>96</v>
      </c>
    </row>
    <row r="657" spans="4:19" ht="17.649999999999999" x14ac:dyDescent="0.5">
      <c r="D657" s="3" t="s">
        <v>92</v>
      </c>
      <c r="S657" s="3" t="s">
        <v>125</v>
      </c>
    </row>
    <row r="658" spans="4:19" ht="17.649999999999999" x14ac:dyDescent="0.5">
      <c r="D658" s="3" t="s">
        <v>101</v>
      </c>
      <c r="S658" s="3" t="s">
        <v>101</v>
      </c>
    </row>
    <row r="659" spans="4:19" ht="17.649999999999999" x14ac:dyDescent="0.5">
      <c r="D659" s="3" t="s">
        <v>91</v>
      </c>
      <c r="S659" s="3" t="s">
        <v>42</v>
      </c>
    </row>
    <row r="660" spans="4:19" ht="17.649999999999999" x14ac:dyDescent="0.5">
      <c r="D660" s="3" t="s">
        <v>49</v>
      </c>
      <c r="S660" s="3" t="s">
        <v>49</v>
      </c>
    </row>
    <row r="661" spans="4:19" ht="17.649999999999999" x14ac:dyDescent="0.5">
      <c r="D661" s="3" t="s">
        <v>53</v>
      </c>
      <c r="S661" s="3" t="s">
        <v>53</v>
      </c>
    </row>
    <row r="662" spans="4:19" ht="17.649999999999999" x14ac:dyDescent="0.5">
      <c r="D662" s="3" t="s">
        <v>43</v>
      </c>
      <c r="S662" s="3" t="s">
        <v>43</v>
      </c>
    </row>
    <row r="663" spans="4:19" ht="17.649999999999999" x14ac:dyDescent="0.5">
      <c r="D663" s="3" t="s">
        <v>86</v>
      </c>
      <c r="S663" s="3" t="s">
        <v>49</v>
      </c>
    </row>
    <row r="664" spans="4:19" ht="17.649999999999999" x14ac:dyDescent="0.5">
      <c r="D664" s="3" t="s">
        <v>118</v>
      </c>
      <c r="S664" s="3" t="s">
        <v>109</v>
      </c>
    </row>
    <row r="665" spans="4:19" ht="17.649999999999999" x14ac:dyDescent="0.5">
      <c r="D665" s="3" t="s">
        <v>58</v>
      </c>
      <c r="S665" s="3" t="s">
        <v>58</v>
      </c>
    </row>
    <row r="666" spans="4:19" ht="17.649999999999999" x14ac:dyDescent="0.5">
      <c r="D666" s="3" t="s">
        <v>64</v>
      </c>
      <c r="S666" s="3" t="s">
        <v>64</v>
      </c>
    </row>
    <row r="667" spans="4:19" ht="17.649999999999999" x14ac:dyDescent="0.5">
      <c r="D667" s="3" t="s">
        <v>68</v>
      </c>
      <c r="S667" s="3" t="s">
        <v>68</v>
      </c>
    </row>
    <row r="668" spans="4:19" ht="17.649999999999999" x14ac:dyDescent="0.5">
      <c r="D668" s="3" t="s">
        <v>85</v>
      </c>
      <c r="S668" s="3" t="s">
        <v>85</v>
      </c>
    </row>
    <row r="669" spans="4:19" ht="17.649999999999999" x14ac:dyDescent="0.5">
      <c r="D669" s="3" t="s">
        <v>52</v>
      </c>
      <c r="S669" s="3" t="s">
        <v>52</v>
      </c>
    </row>
    <row r="670" spans="4:19" ht="17.649999999999999" x14ac:dyDescent="0.5">
      <c r="D670" s="3" t="s">
        <v>73</v>
      </c>
      <c r="S670" s="3" t="s">
        <v>73</v>
      </c>
    </row>
    <row r="671" spans="4:19" ht="17.649999999999999" x14ac:dyDescent="0.5">
      <c r="D671" s="3" t="s">
        <v>94</v>
      </c>
      <c r="S671" s="3" t="s">
        <v>94</v>
      </c>
    </row>
    <row r="672" spans="4:19" ht="17.649999999999999" x14ac:dyDescent="0.5">
      <c r="D672" s="3" t="s">
        <v>112</v>
      </c>
      <c r="S672" s="3" t="s">
        <v>103</v>
      </c>
    </row>
    <row r="673" spans="4:19" ht="17.649999999999999" x14ac:dyDescent="0.5">
      <c r="D673" s="3" t="s">
        <v>105</v>
      </c>
      <c r="S673" s="3" t="s">
        <v>117</v>
      </c>
    </row>
    <row r="674" spans="4:19" ht="17.649999999999999" x14ac:dyDescent="0.5">
      <c r="D674" s="3" t="s">
        <v>44</v>
      </c>
      <c r="S674" s="3" t="s">
        <v>47</v>
      </c>
    </row>
    <row r="675" spans="4:19" ht="17.649999999999999" x14ac:dyDescent="0.5">
      <c r="D675" s="3" t="s">
        <v>67</v>
      </c>
      <c r="S675" s="3" t="s">
        <v>88</v>
      </c>
    </row>
    <row r="676" spans="4:19" ht="17.649999999999999" x14ac:dyDescent="0.5">
      <c r="D676" s="3" t="s">
        <v>98</v>
      </c>
      <c r="S676" s="3" t="s">
        <v>48</v>
      </c>
    </row>
    <row r="677" spans="4:19" ht="17.649999999999999" x14ac:dyDescent="0.5">
      <c r="D677" s="3" t="s">
        <v>54</v>
      </c>
      <c r="S677" s="3" t="s">
        <v>120</v>
      </c>
    </row>
    <row r="678" spans="4:19" ht="17.649999999999999" x14ac:dyDescent="0.5">
      <c r="D678" s="3" t="s">
        <v>52</v>
      </c>
      <c r="S678" s="3" t="s">
        <v>52</v>
      </c>
    </row>
    <row r="679" spans="4:19" ht="17.649999999999999" x14ac:dyDescent="0.5">
      <c r="D679" s="3" t="s">
        <v>128</v>
      </c>
      <c r="S679" s="3" t="s">
        <v>84</v>
      </c>
    </row>
    <row r="680" spans="4:19" ht="17.649999999999999" x14ac:dyDescent="0.5">
      <c r="D680" s="3" t="s">
        <v>59</v>
      </c>
      <c r="S680" s="3" t="s">
        <v>50</v>
      </c>
    </row>
    <row r="681" spans="4:19" ht="17.649999999999999" x14ac:dyDescent="0.5">
      <c r="D681" s="3" t="s">
        <v>92</v>
      </c>
      <c r="S681" s="3" t="s">
        <v>92</v>
      </c>
    </row>
    <row r="682" spans="4:19" ht="17.649999999999999" x14ac:dyDescent="0.5">
      <c r="D682" s="3" t="s">
        <v>94</v>
      </c>
      <c r="S682" s="3" t="s">
        <v>54</v>
      </c>
    </row>
    <row r="683" spans="4:19" ht="17.649999999999999" x14ac:dyDescent="0.5">
      <c r="D683" s="3" t="s">
        <v>56</v>
      </c>
      <c r="S683" s="3" t="s">
        <v>83</v>
      </c>
    </row>
    <row r="684" spans="4:19" ht="17.649999999999999" x14ac:dyDescent="0.5">
      <c r="D684" s="3" t="s">
        <v>47</v>
      </c>
      <c r="S684" s="3" t="s">
        <v>44</v>
      </c>
    </row>
    <row r="685" spans="4:19" ht="17.649999999999999" x14ac:dyDescent="0.5">
      <c r="D685" s="3" t="s">
        <v>122</v>
      </c>
      <c r="S685" s="3" t="s">
        <v>52</v>
      </c>
    </row>
    <row r="686" spans="4:19" ht="17.649999999999999" x14ac:dyDescent="0.5">
      <c r="D686" s="3" t="s">
        <v>125</v>
      </c>
      <c r="S686" s="3" t="s">
        <v>84</v>
      </c>
    </row>
    <row r="687" spans="4:19" ht="17.649999999999999" x14ac:dyDescent="0.5">
      <c r="D687" s="3" t="s">
        <v>80</v>
      </c>
      <c r="S687" s="3" t="s">
        <v>80</v>
      </c>
    </row>
    <row r="688" spans="4:19" ht="17.649999999999999" x14ac:dyDescent="0.5">
      <c r="D688" s="3" t="s">
        <v>73</v>
      </c>
      <c r="S688" s="3" t="s">
        <v>73</v>
      </c>
    </row>
    <row r="689" spans="4:19" ht="17.649999999999999" x14ac:dyDescent="0.5">
      <c r="D689" s="3" t="s">
        <v>106</v>
      </c>
      <c r="S689" s="3" t="s">
        <v>106</v>
      </c>
    </row>
    <row r="690" spans="4:19" ht="17.649999999999999" x14ac:dyDescent="0.5">
      <c r="D690" s="3" t="s">
        <v>65</v>
      </c>
      <c r="S690" s="3" t="s">
        <v>65</v>
      </c>
    </row>
    <row r="691" spans="4:19" ht="17.649999999999999" x14ac:dyDescent="0.5">
      <c r="D691" s="3" t="s">
        <v>47</v>
      </c>
      <c r="S691" s="3" t="s">
        <v>47</v>
      </c>
    </row>
    <row r="692" spans="4:19" ht="17.649999999999999" x14ac:dyDescent="0.5">
      <c r="D692" s="3" t="s">
        <v>50</v>
      </c>
      <c r="S692" s="3" t="s">
        <v>59</v>
      </c>
    </row>
    <row r="693" spans="4:19" ht="17.649999999999999" x14ac:dyDescent="0.5">
      <c r="D693" s="3" t="s">
        <v>41</v>
      </c>
      <c r="S693" s="3" t="s">
        <v>41</v>
      </c>
    </row>
    <row r="694" spans="4:19" ht="17.649999999999999" x14ac:dyDescent="0.5">
      <c r="D694" s="3" t="s">
        <v>85</v>
      </c>
      <c r="S694" s="3" t="s">
        <v>85</v>
      </c>
    </row>
    <row r="695" spans="4:19" ht="17.649999999999999" x14ac:dyDescent="0.5">
      <c r="D695" s="3" t="s">
        <v>75</v>
      </c>
      <c r="S695" s="3" t="s">
        <v>75</v>
      </c>
    </row>
    <row r="696" spans="4:19" ht="17.649999999999999" x14ac:dyDescent="0.5">
      <c r="D696" s="3" t="s">
        <v>54</v>
      </c>
      <c r="S696" s="3" t="s">
        <v>94</v>
      </c>
    </row>
    <row r="697" spans="4:19" ht="17.649999999999999" x14ac:dyDescent="0.5">
      <c r="D697" s="3" t="s">
        <v>96</v>
      </c>
      <c r="S697" s="3" t="s">
        <v>96</v>
      </c>
    </row>
    <row r="698" spans="4:19" ht="17.649999999999999" x14ac:dyDescent="0.5">
      <c r="D698" s="3" t="s">
        <v>132</v>
      </c>
      <c r="S698" s="3" t="s">
        <v>132</v>
      </c>
    </row>
    <row r="699" spans="4:19" ht="17.649999999999999" x14ac:dyDescent="0.5">
      <c r="D699" s="3" t="s">
        <v>52</v>
      </c>
      <c r="S699" s="3" t="s">
        <v>51</v>
      </c>
    </row>
    <row r="700" spans="4:19" ht="17.649999999999999" x14ac:dyDescent="0.5">
      <c r="D700" s="3" t="s">
        <v>77</v>
      </c>
      <c r="S700" s="3" t="s">
        <v>119</v>
      </c>
    </row>
    <row r="701" spans="4:19" ht="17.649999999999999" x14ac:dyDescent="0.5">
      <c r="D701" s="3" t="s">
        <v>122</v>
      </c>
      <c r="S701" s="3" t="s">
        <v>97</v>
      </c>
    </row>
    <row r="702" spans="4:19" ht="17.649999999999999" x14ac:dyDescent="0.5">
      <c r="D702" s="3" t="s">
        <v>61</v>
      </c>
      <c r="S702" s="3" t="s">
        <v>61</v>
      </c>
    </row>
    <row r="703" spans="4:19" ht="17.649999999999999" x14ac:dyDescent="0.5">
      <c r="D703" s="3" t="s">
        <v>123</v>
      </c>
      <c r="S703" s="3" t="s">
        <v>81</v>
      </c>
    </row>
    <row r="704" spans="4:19" ht="17.649999999999999" x14ac:dyDescent="0.5">
      <c r="D704" s="3" t="s">
        <v>47</v>
      </c>
      <c r="S704" s="3" t="s">
        <v>47</v>
      </c>
    </row>
    <row r="705" spans="4:19" ht="17.649999999999999" x14ac:dyDescent="0.5">
      <c r="D705" s="3" t="s">
        <v>134</v>
      </c>
      <c r="S705" s="3" t="s">
        <v>134</v>
      </c>
    </row>
    <row r="706" spans="4:19" ht="17.649999999999999" x14ac:dyDescent="0.5">
      <c r="D706" s="3" t="s">
        <v>55</v>
      </c>
      <c r="S706" s="3" t="s">
        <v>55</v>
      </c>
    </row>
    <row r="707" spans="4:19" ht="17.649999999999999" x14ac:dyDescent="0.5">
      <c r="D707" s="3" t="s">
        <v>103</v>
      </c>
      <c r="S707" s="3" t="s">
        <v>103</v>
      </c>
    </row>
    <row r="708" spans="4:19" ht="17.649999999999999" x14ac:dyDescent="0.5">
      <c r="D708" s="3" t="s">
        <v>86</v>
      </c>
      <c r="S708" s="3" t="s">
        <v>46</v>
      </c>
    </row>
    <row r="709" spans="4:19" ht="17.649999999999999" x14ac:dyDescent="0.5">
      <c r="D709" s="3" t="s">
        <v>107</v>
      </c>
      <c r="S709" s="3" t="s">
        <v>107</v>
      </c>
    </row>
    <row r="710" spans="4:19" ht="17.649999999999999" x14ac:dyDescent="0.5">
      <c r="D710" s="3" t="s">
        <v>69</v>
      </c>
      <c r="S710" s="3" t="s">
        <v>69</v>
      </c>
    </row>
    <row r="711" spans="4:19" ht="17.649999999999999" x14ac:dyDescent="0.5">
      <c r="D711" s="3" t="s">
        <v>135</v>
      </c>
      <c r="S711" s="3" t="s">
        <v>135</v>
      </c>
    </row>
    <row r="712" spans="4:19" ht="17.649999999999999" x14ac:dyDescent="0.5">
      <c r="D712" s="3" t="s">
        <v>52</v>
      </c>
      <c r="S712" s="3" t="s">
        <v>51</v>
      </c>
    </row>
    <row r="713" spans="4:19" ht="17.649999999999999" x14ac:dyDescent="0.5">
      <c r="D713" s="3" t="s">
        <v>101</v>
      </c>
      <c r="S713" s="3" t="s">
        <v>91</v>
      </c>
    </row>
    <row r="714" spans="4:19" ht="17.649999999999999" x14ac:dyDescent="0.5">
      <c r="D714" s="3" t="s">
        <v>87</v>
      </c>
      <c r="S714" s="3" t="s">
        <v>63</v>
      </c>
    </row>
    <row r="715" spans="4:19" ht="17.649999999999999" x14ac:dyDescent="0.5">
      <c r="D715" s="3" t="s">
        <v>46</v>
      </c>
      <c r="S715" s="3" t="s">
        <v>49</v>
      </c>
    </row>
    <row r="716" spans="4:19" ht="17.649999999999999" x14ac:dyDescent="0.5">
      <c r="D716" s="3" t="s">
        <v>91</v>
      </c>
      <c r="S716" s="3" t="s">
        <v>101</v>
      </c>
    </row>
    <row r="717" spans="4:19" ht="17.649999999999999" x14ac:dyDescent="0.5">
      <c r="D717" s="3" t="s">
        <v>65</v>
      </c>
      <c r="S717" s="3" t="s">
        <v>65</v>
      </c>
    </row>
    <row r="718" spans="4:19" ht="17.649999999999999" x14ac:dyDescent="0.5">
      <c r="D718" s="3" t="s">
        <v>54</v>
      </c>
      <c r="S718" s="3" t="s">
        <v>54</v>
      </c>
    </row>
    <row r="719" spans="4:19" ht="17.649999999999999" x14ac:dyDescent="0.5">
      <c r="D719" s="3" t="s">
        <v>92</v>
      </c>
      <c r="S719" s="3" t="s">
        <v>125</v>
      </c>
    </row>
    <row r="720" spans="4:19" ht="17.649999999999999" x14ac:dyDescent="0.5">
      <c r="D720" s="3" t="s">
        <v>75</v>
      </c>
      <c r="S720" s="3" t="s">
        <v>75</v>
      </c>
    </row>
    <row r="721" spans="4:19" ht="17.649999999999999" x14ac:dyDescent="0.5">
      <c r="D721" s="3" t="s">
        <v>60</v>
      </c>
      <c r="S721" s="3" t="s">
        <v>73</v>
      </c>
    </row>
    <row r="722" spans="4:19" ht="17.649999999999999" x14ac:dyDescent="0.5">
      <c r="D722" s="3" t="s">
        <v>55</v>
      </c>
      <c r="S722" s="3" t="s">
        <v>66</v>
      </c>
    </row>
    <row r="723" spans="4:19" ht="17.649999999999999" x14ac:dyDescent="0.5">
      <c r="D723" s="3" t="s">
        <v>126</v>
      </c>
      <c r="S723" s="3" t="s">
        <v>88</v>
      </c>
    </row>
    <row r="724" spans="4:19" ht="17.649999999999999" x14ac:dyDescent="0.5">
      <c r="D724" s="3" t="s">
        <v>81</v>
      </c>
      <c r="S724" s="3" t="s">
        <v>81</v>
      </c>
    </row>
    <row r="725" spans="4:19" ht="17.649999999999999" x14ac:dyDescent="0.5">
      <c r="D725" s="3" t="s">
        <v>78</v>
      </c>
      <c r="S725" s="3" t="s">
        <v>78</v>
      </c>
    </row>
    <row r="726" spans="4:19" ht="17.649999999999999" x14ac:dyDescent="0.5">
      <c r="D726" s="3" t="s">
        <v>115</v>
      </c>
      <c r="S726" s="3" t="s">
        <v>115</v>
      </c>
    </row>
    <row r="727" spans="4:19" ht="17.649999999999999" x14ac:dyDescent="0.5">
      <c r="D727" s="3" t="s">
        <v>66</v>
      </c>
      <c r="S727" s="3" t="s">
        <v>66</v>
      </c>
    </row>
    <row r="728" spans="4:19" ht="17.649999999999999" x14ac:dyDescent="0.5">
      <c r="D728" s="3" t="s">
        <v>69</v>
      </c>
      <c r="S728" s="3" t="s">
        <v>69</v>
      </c>
    </row>
    <row r="729" spans="4:19" ht="17.649999999999999" x14ac:dyDescent="0.5">
      <c r="D729" s="3" t="s">
        <v>61</v>
      </c>
      <c r="S729" s="3" t="s">
        <v>61</v>
      </c>
    </row>
    <row r="730" spans="4:19" ht="17.649999999999999" x14ac:dyDescent="0.5">
      <c r="D730" s="3" t="s">
        <v>49</v>
      </c>
      <c r="S730" s="3" t="s">
        <v>49</v>
      </c>
    </row>
    <row r="731" spans="4:19" ht="17.649999999999999" x14ac:dyDescent="0.5">
      <c r="D731" s="3" t="s">
        <v>81</v>
      </c>
      <c r="S731" s="3" t="s">
        <v>78</v>
      </c>
    </row>
    <row r="732" spans="4:19" ht="17.649999999999999" x14ac:dyDescent="0.5">
      <c r="D732" s="3" t="s">
        <v>109</v>
      </c>
      <c r="S732" s="3" t="s">
        <v>57</v>
      </c>
    </row>
    <row r="733" spans="4:19" ht="17.649999999999999" x14ac:dyDescent="0.5">
      <c r="D733" s="3" t="s">
        <v>87</v>
      </c>
      <c r="S733" s="3" t="s">
        <v>63</v>
      </c>
    </row>
    <row r="734" spans="4:19" ht="17.649999999999999" x14ac:dyDescent="0.5">
      <c r="D734" s="3" t="s">
        <v>41</v>
      </c>
      <c r="S734" s="3" t="s">
        <v>41</v>
      </c>
    </row>
    <row r="735" spans="4:19" ht="17.649999999999999" x14ac:dyDescent="0.5">
      <c r="D735" s="3" t="s">
        <v>65</v>
      </c>
      <c r="S735" s="3" t="s">
        <v>119</v>
      </c>
    </row>
    <row r="736" spans="4:19" ht="17.649999999999999" x14ac:dyDescent="0.5">
      <c r="D736" s="3" t="s">
        <v>107</v>
      </c>
      <c r="S736" s="3" t="s">
        <v>107</v>
      </c>
    </row>
    <row r="737" spans="4:19" ht="17.649999999999999" x14ac:dyDescent="0.5">
      <c r="D737" s="3" t="s">
        <v>50</v>
      </c>
      <c r="S737" s="3" t="s">
        <v>50</v>
      </c>
    </row>
    <row r="738" spans="4:19" ht="17.649999999999999" x14ac:dyDescent="0.5">
      <c r="D738" s="3" t="s">
        <v>107</v>
      </c>
      <c r="S738" s="3" t="s">
        <v>107</v>
      </c>
    </row>
    <row r="739" spans="4:19" ht="17.649999999999999" x14ac:dyDescent="0.5">
      <c r="D739" s="3" t="s">
        <v>94</v>
      </c>
      <c r="S739" s="3" t="s">
        <v>82</v>
      </c>
    </row>
    <row r="740" spans="4:19" ht="17.649999999999999" x14ac:dyDescent="0.5">
      <c r="D740" s="3" t="s">
        <v>63</v>
      </c>
      <c r="S740" s="3" t="s">
        <v>87</v>
      </c>
    </row>
    <row r="741" spans="4:19" ht="17.649999999999999" x14ac:dyDescent="0.5">
      <c r="D741" s="3" t="s">
        <v>118</v>
      </c>
      <c r="S741" s="3" t="s">
        <v>53</v>
      </c>
    </row>
    <row r="742" spans="4:19" ht="17.649999999999999" x14ac:dyDescent="0.5">
      <c r="D742" s="3" t="s">
        <v>61</v>
      </c>
      <c r="S742" s="3" t="s">
        <v>61</v>
      </c>
    </row>
    <row r="743" spans="4:19" ht="17.649999999999999" x14ac:dyDescent="0.5">
      <c r="D743" s="3" t="s">
        <v>120</v>
      </c>
      <c r="S743" s="3" t="s">
        <v>54</v>
      </c>
    </row>
    <row r="744" spans="4:19" ht="17.649999999999999" x14ac:dyDescent="0.5">
      <c r="D744" s="3" t="s">
        <v>98</v>
      </c>
      <c r="S744" s="3" t="s">
        <v>48</v>
      </c>
    </row>
    <row r="745" spans="4:19" ht="17.649999999999999" x14ac:dyDescent="0.5">
      <c r="D745" s="3" t="s">
        <v>80</v>
      </c>
      <c r="S745" s="3" t="s">
        <v>80</v>
      </c>
    </row>
    <row r="746" spans="4:19" ht="17.649999999999999" x14ac:dyDescent="0.5">
      <c r="D746" s="3" t="s">
        <v>101</v>
      </c>
      <c r="S746" s="3" t="s">
        <v>101</v>
      </c>
    </row>
    <row r="747" spans="4:19" ht="17.649999999999999" x14ac:dyDescent="0.5">
      <c r="D747" s="3" t="s">
        <v>130</v>
      </c>
      <c r="S747" s="3" t="s">
        <v>90</v>
      </c>
    </row>
    <row r="748" spans="4:19" ht="17.649999999999999" x14ac:dyDescent="0.5">
      <c r="D748" s="3" t="s">
        <v>49</v>
      </c>
      <c r="S748" s="3" t="s">
        <v>49</v>
      </c>
    </row>
    <row r="749" spans="4:19" ht="17.649999999999999" x14ac:dyDescent="0.5">
      <c r="D749" s="3" t="s">
        <v>128</v>
      </c>
      <c r="S749" s="3" t="s">
        <v>84</v>
      </c>
    </row>
    <row r="750" spans="4:19" ht="17.649999999999999" x14ac:dyDescent="0.5">
      <c r="D750" s="3" t="s">
        <v>44</v>
      </c>
      <c r="S750" s="3" t="s">
        <v>47</v>
      </c>
    </row>
    <row r="751" spans="4:19" ht="17.649999999999999" x14ac:dyDescent="0.5">
      <c r="D751" s="3" t="s">
        <v>62</v>
      </c>
      <c r="S751" s="3" t="s">
        <v>44</v>
      </c>
    </row>
    <row r="752" spans="4:19" ht="17.649999999999999" x14ac:dyDescent="0.5">
      <c r="D752" s="3" t="s">
        <v>59</v>
      </c>
      <c r="S752" s="3" t="s">
        <v>50</v>
      </c>
    </row>
    <row r="753" spans="4:19" ht="17.649999999999999" x14ac:dyDescent="0.5">
      <c r="D753" s="3" t="s">
        <v>75</v>
      </c>
      <c r="S753" s="3" t="s">
        <v>75</v>
      </c>
    </row>
    <row r="754" spans="4:19" ht="17.649999999999999" x14ac:dyDescent="0.5">
      <c r="D754" s="3" t="s">
        <v>130</v>
      </c>
      <c r="S754" s="3" t="s">
        <v>130</v>
      </c>
    </row>
    <row r="755" spans="4:19" ht="17.649999999999999" x14ac:dyDescent="0.5">
      <c r="D755" s="3" t="s">
        <v>50</v>
      </c>
      <c r="S755" s="3" t="s">
        <v>59</v>
      </c>
    </row>
    <row r="756" spans="4:19" ht="17.649999999999999" x14ac:dyDescent="0.5">
      <c r="D756" s="3" t="s">
        <v>57</v>
      </c>
      <c r="S756" s="3" t="s">
        <v>53</v>
      </c>
    </row>
    <row r="757" spans="4:19" ht="17.649999999999999" x14ac:dyDescent="0.5">
      <c r="D757" s="3" t="s">
        <v>60</v>
      </c>
      <c r="S757" s="3" t="s">
        <v>89</v>
      </c>
    </row>
    <row r="758" spans="4:19" ht="17.649999999999999" x14ac:dyDescent="0.5">
      <c r="D758" s="3" t="s">
        <v>66</v>
      </c>
      <c r="S758" s="3" t="s">
        <v>55</v>
      </c>
    </row>
    <row r="759" spans="4:19" ht="17.649999999999999" x14ac:dyDescent="0.5">
      <c r="D759" s="3" t="s">
        <v>67</v>
      </c>
      <c r="S759" s="3" t="s">
        <v>107</v>
      </c>
    </row>
    <row r="760" spans="4:19" ht="17.649999999999999" x14ac:dyDescent="0.5">
      <c r="D760" s="3" t="s">
        <v>81</v>
      </c>
      <c r="S760" s="3" t="s">
        <v>78</v>
      </c>
    </row>
    <row r="761" spans="4:19" ht="17.649999999999999" x14ac:dyDescent="0.5">
      <c r="D761" s="3" t="s">
        <v>115</v>
      </c>
      <c r="S761" s="3" t="s">
        <v>74</v>
      </c>
    </row>
    <row r="762" spans="4:19" ht="17.649999999999999" x14ac:dyDescent="0.5">
      <c r="D762" s="3" t="s">
        <v>91</v>
      </c>
      <c r="S762" s="3" t="s">
        <v>101</v>
      </c>
    </row>
    <row r="763" spans="4:19" ht="17.649999999999999" x14ac:dyDescent="0.5">
      <c r="D763" s="3" t="s">
        <v>96</v>
      </c>
      <c r="S763" s="3" t="s">
        <v>43</v>
      </c>
    </row>
    <row r="764" spans="4:19" ht="17.649999999999999" x14ac:dyDescent="0.5">
      <c r="D764" s="3" t="s">
        <v>63</v>
      </c>
      <c r="S764" s="3" t="s">
        <v>63</v>
      </c>
    </row>
    <row r="765" spans="4:19" ht="17.649999999999999" x14ac:dyDescent="0.5">
      <c r="D765" s="3" t="s">
        <v>48</v>
      </c>
      <c r="S765" s="3" t="s">
        <v>98</v>
      </c>
    </row>
    <row r="766" spans="4:19" ht="17.649999999999999" x14ac:dyDescent="0.5">
      <c r="D766" s="3" t="s">
        <v>77</v>
      </c>
      <c r="S766" s="3" t="s">
        <v>77</v>
      </c>
    </row>
    <row r="767" spans="4:19" ht="17.649999999999999" x14ac:dyDescent="0.5">
      <c r="D767" s="3" t="s">
        <v>55</v>
      </c>
      <c r="S767" s="3" t="s">
        <v>55</v>
      </c>
    </row>
    <row r="768" spans="4:19" ht="17.649999999999999" x14ac:dyDescent="0.5">
      <c r="D768" s="3" t="s">
        <v>118</v>
      </c>
      <c r="S768" s="3" t="s">
        <v>57</v>
      </c>
    </row>
    <row r="769" spans="4:19" ht="17.649999999999999" x14ac:dyDescent="0.5">
      <c r="D769" s="3" t="s">
        <v>52</v>
      </c>
      <c r="S769" s="3" t="s">
        <v>52</v>
      </c>
    </row>
    <row r="770" spans="4:19" ht="17.649999999999999" x14ac:dyDescent="0.5">
      <c r="D770" s="3" t="s">
        <v>66</v>
      </c>
      <c r="S770" s="3" t="s">
        <v>55</v>
      </c>
    </row>
    <row r="771" spans="4:19" ht="17.649999999999999" x14ac:dyDescent="0.5">
      <c r="D771" s="3" t="s">
        <v>130</v>
      </c>
      <c r="S771" s="3" t="s">
        <v>130</v>
      </c>
    </row>
    <row r="772" spans="4:19" ht="17.649999999999999" x14ac:dyDescent="0.5">
      <c r="D772" s="3" t="s">
        <v>74</v>
      </c>
      <c r="S772" s="3" t="s">
        <v>115</v>
      </c>
    </row>
    <row r="773" spans="4:19" ht="17.649999999999999" x14ac:dyDescent="0.5">
      <c r="D773" s="3" t="s">
        <v>81</v>
      </c>
      <c r="S773" s="3" t="s">
        <v>78</v>
      </c>
    </row>
    <row r="774" spans="4:19" ht="17.649999999999999" x14ac:dyDescent="0.5">
      <c r="D774" s="3" t="s">
        <v>58</v>
      </c>
      <c r="S774" s="3" t="s">
        <v>133</v>
      </c>
    </row>
    <row r="775" spans="4:19" ht="17.649999999999999" x14ac:dyDescent="0.5">
      <c r="D775" s="3" t="s">
        <v>46</v>
      </c>
      <c r="S775" s="3" t="s">
        <v>49</v>
      </c>
    </row>
    <row r="776" spans="4:19" ht="17.649999999999999" x14ac:dyDescent="0.5">
      <c r="D776" s="3" t="s">
        <v>67</v>
      </c>
      <c r="S776" s="3" t="s">
        <v>126</v>
      </c>
    </row>
    <row r="777" spans="4:19" ht="17.649999999999999" x14ac:dyDescent="0.5">
      <c r="D777" s="3" t="s">
        <v>127</v>
      </c>
      <c r="S777" s="3" t="s">
        <v>130</v>
      </c>
    </row>
    <row r="778" spans="4:19" ht="17.649999999999999" x14ac:dyDescent="0.5">
      <c r="D778" s="3" t="s">
        <v>100</v>
      </c>
      <c r="S778" s="3" t="s">
        <v>56</v>
      </c>
    </row>
    <row r="779" spans="4:19" ht="17.649999999999999" x14ac:dyDescent="0.5">
      <c r="D779" s="3" t="s">
        <v>66</v>
      </c>
      <c r="S779" s="3" t="s">
        <v>55</v>
      </c>
    </row>
    <row r="780" spans="4:19" ht="17.649999999999999" x14ac:dyDescent="0.5">
      <c r="D780" s="3" t="s">
        <v>67</v>
      </c>
      <c r="S780" s="3" t="s">
        <v>126</v>
      </c>
    </row>
    <row r="781" spans="4:19" ht="17.649999999999999" x14ac:dyDescent="0.5">
      <c r="D781" s="3" t="s">
        <v>64</v>
      </c>
      <c r="S781" s="3" t="s">
        <v>90</v>
      </c>
    </row>
    <row r="782" spans="4:19" ht="17.649999999999999" x14ac:dyDescent="0.5">
      <c r="D782" s="3" t="s">
        <v>59</v>
      </c>
      <c r="S782" s="3" t="s">
        <v>50</v>
      </c>
    </row>
    <row r="783" spans="4:19" ht="17.649999999999999" x14ac:dyDescent="0.5">
      <c r="D783" s="3" t="s">
        <v>110</v>
      </c>
      <c r="S783" s="3" t="s">
        <v>81</v>
      </c>
    </row>
    <row r="784" spans="4:19" ht="17.649999999999999" x14ac:dyDescent="0.5">
      <c r="D784" s="3" t="s">
        <v>80</v>
      </c>
      <c r="S784" s="3" t="s">
        <v>80</v>
      </c>
    </row>
    <row r="785" spans="4:19" ht="17.649999999999999" x14ac:dyDescent="0.5">
      <c r="D785" s="3" t="s">
        <v>88</v>
      </c>
      <c r="S785" s="3" t="s">
        <v>67</v>
      </c>
    </row>
    <row r="786" spans="4:19" ht="17.649999999999999" x14ac:dyDescent="0.5">
      <c r="D786" s="3" t="s">
        <v>80</v>
      </c>
      <c r="S786" s="3" t="s">
        <v>61</v>
      </c>
    </row>
    <row r="787" spans="4:19" ht="17.649999999999999" x14ac:dyDescent="0.5">
      <c r="D787" s="3" t="s">
        <v>78</v>
      </c>
      <c r="S787" s="3" t="s">
        <v>81</v>
      </c>
    </row>
    <row r="788" spans="4:19" ht="17.649999999999999" x14ac:dyDescent="0.5">
      <c r="D788" s="3" t="s">
        <v>78</v>
      </c>
      <c r="S788" s="3" t="s">
        <v>78</v>
      </c>
    </row>
    <row r="789" spans="4:19" ht="17.649999999999999" x14ac:dyDescent="0.5">
      <c r="D789" s="3" t="s">
        <v>85</v>
      </c>
      <c r="S789" s="3" t="s">
        <v>71</v>
      </c>
    </row>
    <row r="790" spans="4:19" ht="17.649999999999999" x14ac:dyDescent="0.5">
      <c r="D790" s="3" t="s">
        <v>48</v>
      </c>
      <c r="S790" s="3" t="s">
        <v>48</v>
      </c>
    </row>
    <row r="791" spans="4:19" ht="17.649999999999999" x14ac:dyDescent="0.5">
      <c r="D791" s="3" t="s">
        <v>136</v>
      </c>
      <c r="S791" s="3" t="s">
        <v>83</v>
      </c>
    </row>
    <row r="792" spans="4:19" ht="17.649999999999999" x14ac:dyDescent="0.5">
      <c r="D792" s="3" t="s">
        <v>84</v>
      </c>
      <c r="S792" s="3" t="s">
        <v>125</v>
      </c>
    </row>
    <row r="793" spans="4:19" ht="17.649999999999999" x14ac:dyDescent="0.5">
      <c r="D793" s="3" t="s">
        <v>68</v>
      </c>
      <c r="S793" s="3" t="s">
        <v>133</v>
      </c>
    </row>
    <row r="794" spans="4:19" ht="17.649999999999999" x14ac:dyDescent="0.5">
      <c r="D794" s="3" t="s">
        <v>74</v>
      </c>
      <c r="S794" s="3" t="s">
        <v>115</v>
      </c>
    </row>
    <row r="795" spans="4:19" ht="17.649999999999999" x14ac:dyDescent="0.5">
      <c r="D795" s="3" t="s">
        <v>56</v>
      </c>
      <c r="S795" s="3" t="s">
        <v>56</v>
      </c>
    </row>
    <row r="796" spans="4:19" ht="17.649999999999999" x14ac:dyDescent="0.5">
      <c r="D796" s="3" t="s">
        <v>114</v>
      </c>
      <c r="S796" s="3" t="s">
        <v>45</v>
      </c>
    </row>
    <row r="797" spans="4:19" ht="17.649999999999999" x14ac:dyDescent="0.5">
      <c r="D797" s="3" t="s">
        <v>63</v>
      </c>
      <c r="S797" s="3" t="s">
        <v>116</v>
      </c>
    </row>
    <row r="798" spans="4:19" ht="17.649999999999999" x14ac:dyDescent="0.5">
      <c r="D798" s="3" t="s">
        <v>100</v>
      </c>
      <c r="S798" s="3" t="s">
        <v>100</v>
      </c>
    </row>
    <row r="799" spans="4:19" ht="17.649999999999999" x14ac:dyDescent="0.5">
      <c r="D799" s="3" t="s">
        <v>41</v>
      </c>
      <c r="S799" s="3" t="s">
        <v>85</v>
      </c>
    </row>
    <row r="800" spans="4:19" ht="17.649999999999999" x14ac:dyDescent="0.5">
      <c r="D800" s="3" t="s">
        <v>61</v>
      </c>
      <c r="S800" s="3" t="s">
        <v>61</v>
      </c>
    </row>
    <row r="801" spans="4:19" ht="17.649999999999999" x14ac:dyDescent="0.5">
      <c r="D801" s="3" t="s">
        <v>47</v>
      </c>
      <c r="S801" s="3" t="s">
        <v>47</v>
      </c>
    </row>
    <row r="802" spans="4:19" ht="17.649999999999999" x14ac:dyDescent="0.5">
      <c r="D802" s="3" t="s">
        <v>69</v>
      </c>
      <c r="S802" s="3" t="s">
        <v>73</v>
      </c>
    </row>
    <row r="803" spans="4:19" ht="17.649999999999999" x14ac:dyDescent="0.5">
      <c r="D803" s="3" t="s">
        <v>105</v>
      </c>
      <c r="S803" s="3" t="s">
        <v>105</v>
      </c>
    </row>
    <row r="804" spans="4:19" ht="17.649999999999999" x14ac:dyDescent="0.5">
      <c r="D804" s="3" t="s">
        <v>134</v>
      </c>
      <c r="S804" s="3" t="s">
        <v>85</v>
      </c>
    </row>
    <row r="805" spans="4:19" ht="17.649999999999999" x14ac:dyDescent="0.5">
      <c r="D805" s="3" t="s">
        <v>99</v>
      </c>
      <c r="S805" s="3" t="s">
        <v>49</v>
      </c>
    </row>
    <row r="806" spans="4:19" ht="17.649999999999999" x14ac:dyDescent="0.5">
      <c r="D806" s="3" t="s">
        <v>60</v>
      </c>
      <c r="S806" s="3" t="s">
        <v>73</v>
      </c>
    </row>
    <row r="807" spans="4:19" ht="17.649999999999999" x14ac:dyDescent="0.5">
      <c r="D807" s="3" t="s">
        <v>136</v>
      </c>
      <c r="S807" s="3" t="s">
        <v>56</v>
      </c>
    </row>
    <row r="808" spans="4:19" ht="17.649999999999999" x14ac:dyDescent="0.5">
      <c r="D808" s="3" t="s">
        <v>125</v>
      </c>
      <c r="S808" s="3" t="s">
        <v>128</v>
      </c>
    </row>
    <row r="809" spans="4:19" ht="17.649999999999999" x14ac:dyDescent="0.5">
      <c r="D809" s="3" t="s">
        <v>109</v>
      </c>
      <c r="S809" s="3" t="s">
        <v>53</v>
      </c>
    </row>
    <row r="810" spans="4:19" ht="17.649999999999999" x14ac:dyDescent="0.5">
      <c r="D810" s="3" t="s">
        <v>112</v>
      </c>
      <c r="S810" s="3" t="s">
        <v>121</v>
      </c>
    </row>
    <row r="811" spans="4:19" ht="17.649999999999999" x14ac:dyDescent="0.5">
      <c r="D811" s="3" t="s">
        <v>59</v>
      </c>
      <c r="S811" s="3" t="s">
        <v>129</v>
      </c>
    </row>
    <row r="812" spans="4:19" ht="17.649999999999999" x14ac:dyDescent="0.5">
      <c r="D812" s="3" t="s">
        <v>81</v>
      </c>
      <c r="S812" s="3" t="s">
        <v>81</v>
      </c>
    </row>
    <row r="813" spans="4:19" ht="17.649999999999999" x14ac:dyDescent="0.5">
      <c r="D813" s="3" t="s">
        <v>96</v>
      </c>
      <c r="S813" s="3" t="s">
        <v>43</v>
      </c>
    </row>
    <row r="814" spans="4:19" ht="17.649999999999999" x14ac:dyDescent="0.5">
      <c r="D814" s="3" t="s">
        <v>98</v>
      </c>
      <c r="S814" s="3" t="s">
        <v>106</v>
      </c>
    </row>
    <row r="815" spans="4:19" ht="17.649999999999999" x14ac:dyDescent="0.5">
      <c r="D815" s="3" t="s">
        <v>43</v>
      </c>
      <c r="S815" s="3" t="s">
        <v>43</v>
      </c>
    </row>
    <row r="816" spans="4:19" ht="17.649999999999999" x14ac:dyDescent="0.5">
      <c r="D816" s="3" t="s">
        <v>128</v>
      </c>
      <c r="S816" s="3" t="s">
        <v>128</v>
      </c>
    </row>
    <row r="817" spans="4:19" ht="17.649999999999999" x14ac:dyDescent="0.5">
      <c r="D817" s="3" t="s">
        <v>63</v>
      </c>
      <c r="S817" s="3" t="s">
        <v>63</v>
      </c>
    </row>
    <row r="818" spans="4:19" ht="17.649999999999999" x14ac:dyDescent="0.5">
      <c r="D818" s="3" t="s">
        <v>101</v>
      </c>
      <c r="S818" s="3" t="s">
        <v>101</v>
      </c>
    </row>
    <row r="819" spans="4:19" ht="17.649999999999999" x14ac:dyDescent="0.5">
      <c r="D819" s="3" t="s">
        <v>98</v>
      </c>
      <c r="S819" s="3" t="s">
        <v>98</v>
      </c>
    </row>
    <row r="820" spans="4:19" ht="17.649999999999999" x14ac:dyDescent="0.5">
      <c r="D820" s="3" t="s">
        <v>105</v>
      </c>
      <c r="S820" s="3" t="s">
        <v>105</v>
      </c>
    </row>
    <row r="821" spans="4:19" ht="17.649999999999999" x14ac:dyDescent="0.5">
      <c r="D821" s="3" t="s">
        <v>67</v>
      </c>
      <c r="S821" s="3" t="s">
        <v>88</v>
      </c>
    </row>
    <row r="822" spans="4:19" ht="17.649999999999999" x14ac:dyDescent="0.5">
      <c r="D822" s="3" t="s">
        <v>101</v>
      </c>
      <c r="S822" s="3" t="s">
        <v>91</v>
      </c>
    </row>
    <row r="823" spans="4:19" ht="17.649999999999999" x14ac:dyDescent="0.5">
      <c r="D823" s="3" t="s">
        <v>101</v>
      </c>
      <c r="S823" s="3" t="s">
        <v>104</v>
      </c>
    </row>
    <row r="824" spans="4:19" ht="17.649999999999999" x14ac:dyDescent="0.5">
      <c r="D824" s="3" t="s">
        <v>98</v>
      </c>
      <c r="S824" s="3" t="s">
        <v>48</v>
      </c>
    </row>
    <row r="825" spans="4:19" ht="17.649999999999999" x14ac:dyDescent="0.5">
      <c r="D825" s="3" t="s">
        <v>74</v>
      </c>
      <c r="S825" s="3" t="s">
        <v>74</v>
      </c>
    </row>
    <row r="826" spans="4:19" ht="17.649999999999999" x14ac:dyDescent="0.5">
      <c r="D826" s="3" t="s">
        <v>101</v>
      </c>
      <c r="S826" s="3" t="s">
        <v>101</v>
      </c>
    </row>
    <row r="827" spans="4:19" ht="17.649999999999999" x14ac:dyDescent="0.5">
      <c r="D827" s="3" t="s">
        <v>74</v>
      </c>
      <c r="S827" s="3" t="s">
        <v>74</v>
      </c>
    </row>
    <row r="828" spans="4:19" ht="17.649999999999999" x14ac:dyDescent="0.5">
      <c r="D828" s="3" t="s">
        <v>92</v>
      </c>
      <c r="S828" s="3" t="s">
        <v>125</v>
      </c>
    </row>
    <row r="829" spans="4:19" ht="17.649999999999999" x14ac:dyDescent="0.5">
      <c r="D829" s="3" t="s">
        <v>129</v>
      </c>
      <c r="S829" s="3" t="s">
        <v>102</v>
      </c>
    </row>
    <row r="830" spans="4:19" ht="17.649999999999999" x14ac:dyDescent="0.5">
      <c r="D830" s="3" t="s">
        <v>90</v>
      </c>
      <c r="S830" s="3" t="s">
        <v>64</v>
      </c>
    </row>
    <row r="831" spans="4:19" ht="17.649999999999999" x14ac:dyDescent="0.5">
      <c r="D831" s="3" t="s">
        <v>127</v>
      </c>
      <c r="S831" s="3" t="s">
        <v>90</v>
      </c>
    </row>
    <row r="832" spans="4:19" ht="17.649999999999999" x14ac:dyDescent="0.5">
      <c r="D832" s="3" t="s">
        <v>112</v>
      </c>
      <c r="S832" s="3" t="s">
        <v>112</v>
      </c>
    </row>
    <row r="833" spans="4:19" ht="17.649999999999999" x14ac:dyDescent="0.5">
      <c r="D833" s="3" t="s">
        <v>90</v>
      </c>
      <c r="S833" s="3" t="s">
        <v>64</v>
      </c>
    </row>
    <row r="834" spans="4:19" ht="17.649999999999999" x14ac:dyDescent="0.5">
      <c r="D834" s="3" t="s">
        <v>126</v>
      </c>
      <c r="S834" s="3" t="s">
        <v>67</v>
      </c>
    </row>
    <row r="835" spans="4:19" ht="17.649999999999999" x14ac:dyDescent="0.5">
      <c r="D835" s="3" t="s">
        <v>80</v>
      </c>
      <c r="S835" s="3" t="s">
        <v>80</v>
      </c>
    </row>
    <row r="836" spans="4:19" ht="17.649999999999999" x14ac:dyDescent="0.5">
      <c r="D836" s="3" t="s">
        <v>132</v>
      </c>
      <c r="S836" s="3" t="s">
        <v>61</v>
      </c>
    </row>
    <row r="837" spans="4:19" ht="17.649999999999999" x14ac:dyDescent="0.5">
      <c r="D837" s="3" t="s">
        <v>125</v>
      </c>
      <c r="S837" s="3" t="s">
        <v>84</v>
      </c>
    </row>
    <row r="838" spans="4:19" ht="17.649999999999999" x14ac:dyDescent="0.5">
      <c r="D838" s="3" t="s">
        <v>103</v>
      </c>
      <c r="S838" s="3" t="s">
        <v>103</v>
      </c>
    </row>
    <row r="839" spans="4:19" ht="17.649999999999999" x14ac:dyDescent="0.5">
      <c r="D839" s="3" t="s">
        <v>101</v>
      </c>
      <c r="S839" s="3" t="s">
        <v>101</v>
      </c>
    </row>
    <row r="840" spans="4:19" ht="17.649999999999999" x14ac:dyDescent="0.5">
      <c r="D840" s="3" t="s">
        <v>83</v>
      </c>
      <c r="S840" s="3" t="s">
        <v>83</v>
      </c>
    </row>
    <row r="841" spans="4:19" ht="17.649999999999999" x14ac:dyDescent="0.5">
      <c r="D841" s="3" t="s">
        <v>131</v>
      </c>
      <c r="S841" s="3" t="s">
        <v>131</v>
      </c>
    </row>
    <row r="842" spans="4:19" ht="17.649999999999999" x14ac:dyDescent="0.5">
      <c r="D842" s="3" t="s">
        <v>94</v>
      </c>
      <c r="S842" s="3" t="s">
        <v>94</v>
      </c>
    </row>
    <row r="843" spans="4:19" ht="17.649999999999999" x14ac:dyDescent="0.5">
      <c r="D843" s="3" t="s">
        <v>125</v>
      </c>
      <c r="S843" s="3" t="s">
        <v>92</v>
      </c>
    </row>
    <row r="844" spans="4:19" ht="17.649999999999999" x14ac:dyDescent="0.5">
      <c r="D844" s="3" t="s">
        <v>59</v>
      </c>
      <c r="S844" s="3" t="s">
        <v>129</v>
      </c>
    </row>
    <row r="845" spans="4:19" ht="17.649999999999999" x14ac:dyDescent="0.5">
      <c r="D845" s="3" t="s">
        <v>43</v>
      </c>
      <c r="S845" s="3" t="s">
        <v>43</v>
      </c>
    </row>
    <row r="846" spans="4:19" ht="17.649999999999999" x14ac:dyDescent="0.5">
      <c r="D846" s="3" t="s">
        <v>92</v>
      </c>
      <c r="S846" s="3" t="s">
        <v>84</v>
      </c>
    </row>
    <row r="847" spans="4:19" ht="17.649999999999999" x14ac:dyDescent="0.5">
      <c r="D847" s="3" t="s">
        <v>83</v>
      </c>
      <c r="S847" s="3" t="s">
        <v>83</v>
      </c>
    </row>
    <row r="848" spans="4:19" ht="17.649999999999999" x14ac:dyDescent="0.5">
      <c r="D848" s="3" t="s">
        <v>114</v>
      </c>
      <c r="S848" s="3" t="s">
        <v>117</v>
      </c>
    </row>
    <row r="849" spans="4:19" ht="17.649999999999999" x14ac:dyDescent="0.5">
      <c r="D849" s="3" t="s">
        <v>54</v>
      </c>
      <c r="S849" s="3" t="s">
        <v>54</v>
      </c>
    </row>
    <row r="850" spans="4:19" ht="17.649999999999999" x14ac:dyDescent="0.5">
      <c r="D850" s="3" t="s">
        <v>80</v>
      </c>
      <c r="S850" s="3" t="s">
        <v>80</v>
      </c>
    </row>
    <row r="851" spans="4:19" ht="17.649999999999999" x14ac:dyDescent="0.5">
      <c r="D851" s="3" t="s">
        <v>65</v>
      </c>
      <c r="S851" s="3" t="s">
        <v>65</v>
      </c>
    </row>
    <row r="852" spans="4:19" ht="17.649999999999999" x14ac:dyDescent="0.5">
      <c r="D852" s="3" t="s">
        <v>77</v>
      </c>
      <c r="S852" s="3" t="s">
        <v>77</v>
      </c>
    </row>
    <row r="853" spans="4:19" ht="17.649999999999999" x14ac:dyDescent="0.5">
      <c r="D853" s="3" t="s">
        <v>115</v>
      </c>
      <c r="S853" s="3" t="s">
        <v>115</v>
      </c>
    </row>
    <row r="854" spans="4:19" ht="17.649999999999999" x14ac:dyDescent="0.5">
      <c r="D854" s="3" t="s">
        <v>98</v>
      </c>
      <c r="S854" s="3" t="s">
        <v>98</v>
      </c>
    </row>
    <row r="855" spans="4:19" ht="17.649999999999999" x14ac:dyDescent="0.5">
      <c r="D855" s="3" t="s">
        <v>43</v>
      </c>
      <c r="S855" s="3" t="s">
        <v>43</v>
      </c>
    </row>
    <row r="856" spans="4:19" ht="17.649999999999999" x14ac:dyDescent="0.5">
      <c r="D856" s="3" t="s">
        <v>65</v>
      </c>
      <c r="S856" s="3" t="s">
        <v>65</v>
      </c>
    </row>
    <row r="857" spans="4:19" ht="17.649999999999999" x14ac:dyDescent="0.5">
      <c r="D857" s="3" t="s">
        <v>114</v>
      </c>
      <c r="S857" s="3" t="s">
        <v>117</v>
      </c>
    </row>
    <row r="858" spans="4:19" ht="17.649999999999999" x14ac:dyDescent="0.5">
      <c r="D858" s="3" t="s">
        <v>67</v>
      </c>
      <c r="S858" s="3" t="s">
        <v>107</v>
      </c>
    </row>
    <row r="859" spans="4:19" ht="17.649999999999999" x14ac:dyDescent="0.5">
      <c r="D859" s="3" t="s">
        <v>52</v>
      </c>
      <c r="S859" s="3" t="s">
        <v>122</v>
      </c>
    </row>
    <row r="860" spans="4:19" ht="17.649999999999999" x14ac:dyDescent="0.5">
      <c r="D860" s="3" t="s">
        <v>127</v>
      </c>
      <c r="S860" s="3" t="s">
        <v>90</v>
      </c>
    </row>
    <row r="861" spans="4:19" ht="17.649999999999999" x14ac:dyDescent="0.5">
      <c r="D861" s="3" t="s">
        <v>115</v>
      </c>
      <c r="S861" s="3" t="s">
        <v>74</v>
      </c>
    </row>
    <row r="862" spans="4:19" ht="17.649999999999999" x14ac:dyDescent="0.5">
      <c r="D862" s="3" t="s">
        <v>99</v>
      </c>
      <c r="S862" s="3" t="s">
        <v>49</v>
      </c>
    </row>
    <row r="863" spans="4:19" ht="17.649999999999999" x14ac:dyDescent="0.5">
      <c r="D863" s="3" t="s">
        <v>48</v>
      </c>
      <c r="S863" s="3" t="s">
        <v>48</v>
      </c>
    </row>
    <row r="864" spans="4:19" ht="17.649999999999999" x14ac:dyDescent="0.5">
      <c r="D864" s="3" t="s">
        <v>69</v>
      </c>
      <c r="S864" s="3" t="s">
        <v>73</v>
      </c>
    </row>
    <row r="865" spans="4:19" ht="17.649999999999999" x14ac:dyDescent="0.5">
      <c r="D865" s="3" t="s">
        <v>101</v>
      </c>
      <c r="S865" s="3" t="s">
        <v>91</v>
      </c>
    </row>
    <row r="866" spans="4:19" ht="17.649999999999999" x14ac:dyDescent="0.5">
      <c r="D866" s="3" t="s">
        <v>61</v>
      </c>
      <c r="S866" s="3" t="s">
        <v>80</v>
      </c>
    </row>
    <row r="867" spans="4:19" ht="17.649999999999999" x14ac:dyDescent="0.5">
      <c r="D867" s="3" t="s">
        <v>66</v>
      </c>
      <c r="S867" s="3" t="s">
        <v>55</v>
      </c>
    </row>
    <row r="868" spans="4:19" ht="17.649999999999999" x14ac:dyDescent="0.5">
      <c r="D868" s="3" t="s">
        <v>41</v>
      </c>
      <c r="S868" s="3" t="s">
        <v>71</v>
      </c>
    </row>
    <row r="869" spans="4:19" ht="17.649999999999999" x14ac:dyDescent="0.5">
      <c r="D869" s="3" t="s">
        <v>99</v>
      </c>
      <c r="S869" s="3" t="s">
        <v>86</v>
      </c>
    </row>
    <row r="870" spans="4:19" ht="17.649999999999999" x14ac:dyDescent="0.5">
      <c r="D870" s="3" t="s">
        <v>92</v>
      </c>
      <c r="S870" s="3" t="s">
        <v>84</v>
      </c>
    </row>
    <row r="871" spans="4:19" ht="17.649999999999999" x14ac:dyDescent="0.5">
      <c r="D871" s="3" t="s">
        <v>85</v>
      </c>
      <c r="S871" s="3" t="s">
        <v>41</v>
      </c>
    </row>
    <row r="872" spans="4:19" ht="17.649999999999999" x14ac:dyDescent="0.5">
      <c r="D872" s="3" t="s">
        <v>101</v>
      </c>
      <c r="S872" s="3" t="s">
        <v>91</v>
      </c>
    </row>
    <row r="873" spans="4:19" ht="17.649999999999999" x14ac:dyDescent="0.5">
      <c r="D873" s="3" t="s">
        <v>51</v>
      </c>
      <c r="S873" s="3" t="s">
        <v>52</v>
      </c>
    </row>
    <row r="874" spans="4:19" ht="17.649999999999999" x14ac:dyDescent="0.5">
      <c r="D874" s="3" t="s">
        <v>61</v>
      </c>
      <c r="S874" s="3" t="s">
        <v>61</v>
      </c>
    </row>
    <row r="875" spans="4:19" ht="17.649999999999999" x14ac:dyDescent="0.5">
      <c r="D875" s="3" t="s">
        <v>59</v>
      </c>
      <c r="S875" s="3" t="s">
        <v>50</v>
      </c>
    </row>
    <row r="876" spans="4:19" ht="17.649999999999999" x14ac:dyDescent="0.5">
      <c r="D876" s="3" t="s">
        <v>120</v>
      </c>
      <c r="S876" s="3" t="s">
        <v>94</v>
      </c>
    </row>
    <row r="877" spans="4:19" ht="17.649999999999999" x14ac:dyDescent="0.5">
      <c r="D877" s="3" t="s">
        <v>87</v>
      </c>
      <c r="S877" s="3" t="s">
        <v>63</v>
      </c>
    </row>
    <row r="878" spans="4:19" ht="17.649999999999999" x14ac:dyDescent="0.5">
      <c r="D878" s="3" t="s">
        <v>71</v>
      </c>
      <c r="S878" s="3" t="s">
        <v>85</v>
      </c>
    </row>
    <row r="879" spans="4:19" ht="17.649999999999999" x14ac:dyDescent="0.5">
      <c r="D879" s="3" t="s">
        <v>109</v>
      </c>
      <c r="S879" s="3" t="s">
        <v>118</v>
      </c>
    </row>
    <row r="880" spans="4:19" ht="17.649999999999999" x14ac:dyDescent="0.5">
      <c r="D880" s="3" t="s">
        <v>53</v>
      </c>
      <c r="S880" s="3" t="s">
        <v>57</v>
      </c>
    </row>
    <row r="881" spans="4:19" ht="17.649999999999999" x14ac:dyDescent="0.5">
      <c r="D881" s="3" t="s">
        <v>121</v>
      </c>
      <c r="S881" s="3" t="s">
        <v>121</v>
      </c>
    </row>
    <row r="882" spans="4:19" ht="17.649999999999999" x14ac:dyDescent="0.5">
      <c r="D882" s="3" t="s">
        <v>95</v>
      </c>
      <c r="S882" s="3" t="s">
        <v>76</v>
      </c>
    </row>
    <row r="883" spans="4:19" ht="17.649999999999999" x14ac:dyDescent="0.5">
      <c r="D883" s="3" t="s">
        <v>117</v>
      </c>
      <c r="S883" s="3" t="s">
        <v>45</v>
      </c>
    </row>
    <row r="884" spans="4:19" ht="17.649999999999999" x14ac:dyDescent="0.5">
      <c r="D884" s="3" t="s">
        <v>103</v>
      </c>
      <c r="S884" s="3" t="s">
        <v>112</v>
      </c>
    </row>
    <row r="885" spans="4:19" ht="17.649999999999999" x14ac:dyDescent="0.5">
      <c r="D885" s="3" t="s">
        <v>135</v>
      </c>
      <c r="S885" s="3" t="s">
        <v>62</v>
      </c>
    </row>
    <row r="886" spans="4:19" ht="17.649999999999999" x14ac:dyDescent="0.5">
      <c r="D886" s="3" t="s">
        <v>79</v>
      </c>
      <c r="S886" s="3" t="s">
        <v>63</v>
      </c>
    </row>
    <row r="887" spans="4:19" ht="17.649999999999999" x14ac:dyDescent="0.5">
      <c r="D887" s="3" t="s">
        <v>87</v>
      </c>
      <c r="S887" s="3" t="s">
        <v>87</v>
      </c>
    </row>
    <row r="888" spans="4:19" ht="17.649999999999999" x14ac:dyDescent="0.5">
      <c r="D888" s="3" t="s">
        <v>116</v>
      </c>
      <c r="S888" s="3" t="s">
        <v>63</v>
      </c>
    </row>
    <row r="889" spans="4:19" ht="17.649999999999999" x14ac:dyDescent="0.5">
      <c r="D889" s="3" t="s">
        <v>56</v>
      </c>
      <c r="S889" s="3" t="s">
        <v>56</v>
      </c>
    </row>
    <row r="890" spans="4:19" ht="17.649999999999999" x14ac:dyDescent="0.5">
      <c r="D890" s="3" t="s">
        <v>44</v>
      </c>
      <c r="S890" s="3" t="s">
        <v>47</v>
      </c>
    </row>
    <row r="891" spans="4:19" ht="17.649999999999999" x14ac:dyDescent="0.5">
      <c r="D891" s="3" t="s">
        <v>74</v>
      </c>
      <c r="S891" s="3" t="s">
        <v>74</v>
      </c>
    </row>
    <row r="892" spans="4:19" ht="17.649999999999999" x14ac:dyDescent="0.5">
      <c r="D892" s="3" t="s">
        <v>81</v>
      </c>
      <c r="S892" s="3" t="s">
        <v>78</v>
      </c>
    </row>
    <row r="893" spans="4:19" ht="17.649999999999999" x14ac:dyDescent="0.5">
      <c r="D893" s="3" t="s">
        <v>100</v>
      </c>
      <c r="S893" s="3" t="s">
        <v>83</v>
      </c>
    </row>
    <row r="894" spans="4:19" ht="17.649999999999999" x14ac:dyDescent="0.5">
      <c r="D894" s="3" t="s">
        <v>83</v>
      </c>
      <c r="S894" s="3" t="s">
        <v>56</v>
      </c>
    </row>
    <row r="895" spans="4:19" ht="17.649999999999999" x14ac:dyDescent="0.5">
      <c r="D895" s="3" t="s">
        <v>78</v>
      </c>
      <c r="S895" s="3" t="s">
        <v>81</v>
      </c>
    </row>
    <row r="896" spans="4:19" ht="17.649999999999999" x14ac:dyDescent="0.5">
      <c r="D896" s="3" t="s">
        <v>57</v>
      </c>
      <c r="S896" s="3" t="s">
        <v>53</v>
      </c>
    </row>
    <row r="897" spans="4:19" ht="17.649999999999999" x14ac:dyDescent="0.5">
      <c r="D897" s="3" t="s">
        <v>78</v>
      </c>
      <c r="S897" s="3" t="s">
        <v>78</v>
      </c>
    </row>
    <row r="898" spans="4:19" ht="17.649999999999999" x14ac:dyDescent="0.5">
      <c r="D898" s="3" t="s">
        <v>87</v>
      </c>
      <c r="S898" s="3" t="s">
        <v>79</v>
      </c>
    </row>
    <row r="899" spans="4:19" ht="17.649999999999999" x14ac:dyDescent="0.5">
      <c r="D899" s="3" t="s">
        <v>111</v>
      </c>
      <c r="S899" s="3" t="s">
        <v>80</v>
      </c>
    </row>
    <row r="900" spans="4:19" ht="17.649999999999999" x14ac:dyDescent="0.5">
      <c r="D900" s="3" t="s">
        <v>133</v>
      </c>
      <c r="S900" s="3" t="s">
        <v>58</v>
      </c>
    </row>
    <row r="901" spans="4:19" ht="17.649999999999999" x14ac:dyDescent="0.5">
      <c r="D901" s="3" t="s">
        <v>73</v>
      </c>
      <c r="S901" s="3" t="s">
        <v>60</v>
      </c>
    </row>
    <row r="902" spans="4:19" ht="17.649999999999999" x14ac:dyDescent="0.5">
      <c r="D902" s="3" t="s">
        <v>112</v>
      </c>
      <c r="S902" s="3" t="s">
        <v>121</v>
      </c>
    </row>
    <row r="903" spans="4:19" ht="17.649999999999999" x14ac:dyDescent="0.5">
      <c r="D903" s="3" t="s">
        <v>70</v>
      </c>
      <c r="S903" s="3" t="s">
        <v>103</v>
      </c>
    </row>
    <row r="904" spans="4:19" ht="17.649999999999999" x14ac:dyDescent="0.5">
      <c r="D904" s="3" t="s">
        <v>116</v>
      </c>
      <c r="S904" s="3" t="s">
        <v>87</v>
      </c>
    </row>
    <row r="905" spans="4:19" ht="17.649999999999999" x14ac:dyDescent="0.5">
      <c r="D905" s="3" t="s">
        <v>54</v>
      </c>
      <c r="S905" s="3" t="s">
        <v>54</v>
      </c>
    </row>
    <row r="906" spans="4:19" ht="17.649999999999999" x14ac:dyDescent="0.5">
      <c r="D906" s="3" t="s">
        <v>124</v>
      </c>
      <c r="S906" s="3" t="s">
        <v>48</v>
      </c>
    </row>
    <row r="907" spans="4:19" ht="17.649999999999999" x14ac:dyDescent="0.5">
      <c r="D907" s="3" t="s">
        <v>109</v>
      </c>
      <c r="S907" s="3" t="s">
        <v>109</v>
      </c>
    </row>
    <row r="908" spans="4:19" ht="17.649999999999999" x14ac:dyDescent="0.5">
      <c r="D908" s="3" t="s">
        <v>136</v>
      </c>
      <c r="S908" s="3" t="s">
        <v>56</v>
      </c>
    </row>
    <row r="909" spans="4:19" ht="17.649999999999999" x14ac:dyDescent="0.5">
      <c r="D909" s="3" t="s">
        <v>41</v>
      </c>
      <c r="S909" s="3" t="s">
        <v>134</v>
      </c>
    </row>
    <row r="910" spans="4:19" ht="17.649999999999999" x14ac:dyDescent="0.5">
      <c r="D910" s="3" t="s">
        <v>112</v>
      </c>
      <c r="S910" s="3" t="s">
        <v>103</v>
      </c>
    </row>
    <row r="911" spans="4:19" ht="17.649999999999999" x14ac:dyDescent="0.5">
      <c r="D911" s="3" t="s">
        <v>95</v>
      </c>
      <c r="S911" s="3" t="s">
        <v>76</v>
      </c>
    </row>
    <row r="912" spans="4:19" ht="17.649999999999999" x14ac:dyDescent="0.5">
      <c r="D912" s="3" t="s">
        <v>56</v>
      </c>
      <c r="S912" s="3" t="s">
        <v>56</v>
      </c>
    </row>
    <row r="913" spans="4:19" ht="17.649999999999999" x14ac:dyDescent="0.5">
      <c r="D913" s="3" t="s">
        <v>107</v>
      </c>
      <c r="S913" s="3" t="s">
        <v>67</v>
      </c>
    </row>
    <row r="914" spans="4:19" ht="17.649999999999999" x14ac:dyDescent="0.5">
      <c r="D914" s="3" t="s">
        <v>96</v>
      </c>
      <c r="S914" s="3" t="s">
        <v>96</v>
      </c>
    </row>
    <row r="915" spans="4:19" ht="17.649999999999999" x14ac:dyDescent="0.5">
      <c r="D915" s="3" t="s">
        <v>92</v>
      </c>
      <c r="S915" s="3" t="s">
        <v>125</v>
      </c>
    </row>
    <row r="916" spans="4:19" ht="17.649999999999999" x14ac:dyDescent="0.5">
      <c r="D916" s="3" t="s">
        <v>103</v>
      </c>
      <c r="S916" s="3" t="s">
        <v>112</v>
      </c>
    </row>
    <row r="917" spans="4:19" ht="17.649999999999999" x14ac:dyDescent="0.5">
      <c r="D917" s="3" t="s">
        <v>41</v>
      </c>
      <c r="S917" s="3" t="s">
        <v>85</v>
      </c>
    </row>
    <row r="918" spans="4:19" ht="17.649999999999999" x14ac:dyDescent="0.5">
      <c r="D918" s="3" t="s">
        <v>80</v>
      </c>
      <c r="S918" s="3" t="s">
        <v>61</v>
      </c>
    </row>
    <row r="919" spans="4:19" ht="17.649999999999999" x14ac:dyDescent="0.5">
      <c r="D919" s="3" t="s">
        <v>67</v>
      </c>
      <c r="S919" s="3" t="s">
        <v>107</v>
      </c>
    </row>
    <row r="920" spans="4:19" ht="17.649999999999999" x14ac:dyDescent="0.5">
      <c r="D920" s="3" t="s">
        <v>85</v>
      </c>
      <c r="S920" s="3" t="s">
        <v>41</v>
      </c>
    </row>
    <row r="921" spans="4:19" ht="17.649999999999999" x14ac:dyDescent="0.5">
      <c r="D921" s="3" t="s">
        <v>96</v>
      </c>
      <c r="S921" s="3" t="s">
        <v>43</v>
      </c>
    </row>
    <row r="922" spans="4:19" ht="17.649999999999999" x14ac:dyDescent="0.5">
      <c r="D922" s="3" t="s">
        <v>41</v>
      </c>
      <c r="S922" s="3" t="s">
        <v>85</v>
      </c>
    </row>
    <row r="923" spans="4:19" ht="17.649999999999999" x14ac:dyDescent="0.5">
      <c r="D923" s="3" t="s">
        <v>71</v>
      </c>
      <c r="S923" s="3" t="s">
        <v>134</v>
      </c>
    </row>
    <row r="924" spans="4:19" ht="17.649999999999999" x14ac:dyDescent="0.5">
      <c r="D924" s="3" t="s">
        <v>43</v>
      </c>
      <c r="S924" s="3" t="s">
        <v>96</v>
      </c>
    </row>
    <row r="925" spans="4:19" ht="17.649999999999999" x14ac:dyDescent="0.5">
      <c r="D925" s="3" t="s">
        <v>65</v>
      </c>
      <c r="S925" s="3" t="s">
        <v>65</v>
      </c>
    </row>
    <row r="926" spans="4:19" ht="17.649999999999999" x14ac:dyDescent="0.5">
      <c r="D926" s="3" t="s">
        <v>83</v>
      </c>
      <c r="S926" s="3" t="s">
        <v>56</v>
      </c>
    </row>
    <row r="927" spans="4:19" ht="17.649999999999999" x14ac:dyDescent="0.5">
      <c r="D927" s="3" t="s">
        <v>119</v>
      </c>
      <c r="S927" s="3" t="s">
        <v>119</v>
      </c>
    </row>
    <row r="928" spans="4:19" ht="17.649999999999999" x14ac:dyDescent="0.5">
      <c r="D928" s="3" t="s">
        <v>125</v>
      </c>
      <c r="S928" s="3" t="s">
        <v>92</v>
      </c>
    </row>
    <row r="929" spans="4:19" ht="17.649999999999999" x14ac:dyDescent="0.5">
      <c r="D929" s="3" t="s">
        <v>113</v>
      </c>
      <c r="S929" s="3" t="s">
        <v>65</v>
      </c>
    </row>
    <row r="930" spans="4:19" ht="17.649999999999999" x14ac:dyDescent="0.5">
      <c r="D930" s="3" t="s">
        <v>123</v>
      </c>
      <c r="S930" s="3" t="s">
        <v>123</v>
      </c>
    </row>
    <row r="931" spans="4:19" ht="17.649999999999999" x14ac:dyDescent="0.5">
      <c r="D931" s="3" t="s">
        <v>117</v>
      </c>
      <c r="S931" s="3" t="s">
        <v>105</v>
      </c>
    </row>
    <row r="932" spans="4:19" ht="17.649999999999999" x14ac:dyDescent="0.5">
      <c r="D932" s="3" t="s">
        <v>66</v>
      </c>
      <c r="S932" s="3" t="s">
        <v>55</v>
      </c>
    </row>
    <row r="933" spans="4:19" ht="17.649999999999999" x14ac:dyDescent="0.5">
      <c r="D933" s="3" t="s">
        <v>61</v>
      </c>
      <c r="S933" s="3" t="s">
        <v>80</v>
      </c>
    </row>
    <row r="934" spans="4:19" ht="17.649999999999999" x14ac:dyDescent="0.5">
      <c r="D934" s="3" t="s">
        <v>87</v>
      </c>
      <c r="S934" s="3" t="s">
        <v>63</v>
      </c>
    </row>
    <row r="935" spans="4:19" ht="17.649999999999999" x14ac:dyDescent="0.5">
      <c r="D935" s="3" t="s">
        <v>90</v>
      </c>
      <c r="S935" s="3" t="s">
        <v>64</v>
      </c>
    </row>
    <row r="936" spans="4:19" ht="17.649999999999999" x14ac:dyDescent="0.5">
      <c r="D936" s="3" t="s">
        <v>46</v>
      </c>
      <c r="S936" s="3" t="s">
        <v>49</v>
      </c>
    </row>
    <row r="937" spans="4:19" ht="17.649999999999999" x14ac:dyDescent="0.5">
      <c r="D937" s="3" t="s">
        <v>73</v>
      </c>
      <c r="S937" s="3" t="s">
        <v>69</v>
      </c>
    </row>
    <row r="938" spans="4:19" ht="17.649999999999999" x14ac:dyDescent="0.5">
      <c r="D938" s="3" t="s">
        <v>66</v>
      </c>
      <c r="S938" s="3" t="s">
        <v>55</v>
      </c>
    </row>
    <row r="939" spans="4:19" ht="17.649999999999999" x14ac:dyDescent="0.5">
      <c r="D939" s="3" t="s">
        <v>77</v>
      </c>
      <c r="S939" s="3" t="s">
        <v>65</v>
      </c>
    </row>
    <row r="940" spans="4:19" ht="17.649999999999999" x14ac:dyDescent="0.5">
      <c r="D940" s="3" t="s">
        <v>79</v>
      </c>
      <c r="S940" s="3" t="s">
        <v>116</v>
      </c>
    </row>
    <row r="941" spans="4:19" ht="17.649999999999999" x14ac:dyDescent="0.5">
      <c r="D941" s="3" t="s">
        <v>46</v>
      </c>
      <c r="S941" s="3" t="s">
        <v>49</v>
      </c>
    </row>
    <row r="942" spans="4:19" ht="17.649999999999999" x14ac:dyDescent="0.5">
      <c r="D942" s="3" t="s">
        <v>57</v>
      </c>
      <c r="S942" s="3" t="s">
        <v>53</v>
      </c>
    </row>
    <row r="943" spans="4:19" ht="17.649999999999999" x14ac:dyDescent="0.5">
      <c r="D943" s="3" t="s">
        <v>105</v>
      </c>
      <c r="S943" s="3" t="s">
        <v>105</v>
      </c>
    </row>
    <row r="944" spans="4:19" ht="17.649999999999999" x14ac:dyDescent="0.5">
      <c r="D944" s="3" t="s">
        <v>108</v>
      </c>
      <c r="S944" s="3" t="s">
        <v>66</v>
      </c>
    </row>
    <row r="945" spans="4:19" ht="17.649999999999999" x14ac:dyDescent="0.5">
      <c r="D945" s="3" t="s">
        <v>78</v>
      </c>
      <c r="S945" s="3" t="s">
        <v>78</v>
      </c>
    </row>
    <row r="946" spans="4:19" ht="17.649999999999999" x14ac:dyDescent="0.5">
      <c r="D946" s="3" t="s">
        <v>101</v>
      </c>
      <c r="S946" s="3" t="s">
        <v>101</v>
      </c>
    </row>
    <row r="947" spans="4:19" ht="17.649999999999999" x14ac:dyDescent="0.5">
      <c r="D947" s="3" t="s">
        <v>64</v>
      </c>
      <c r="S947" s="3" t="s">
        <v>64</v>
      </c>
    </row>
    <row r="948" spans="4:19" ht="17.649999999999999" x14ac:dyDescent="0.5">
      <c r="D948" s="3" t="s">
        <v>52</v>
      </c>
      <c r="S948" s="3" t="s">
        <v>97</v>
      </c>
    </row>
    <row r="949" spans="4:19" ht="17.649999999999999" x14ac:dyDescent="0.5">
      <c r="D949" s="3" t="s">
        <v>68</v>
      </c>
      <c r="S949" s="3" t="s">
        <v>68</v>
      </c>
    </row>
    <row r="950" spans="4:19" ht="17.649999999999999" x14ac:dyDescent="0.5">
      <c r="D950" s="3" t="s">
        <v>61</v>
      </c>
      <c r="S950" s="3" t="s">
        <v>132</v>
      </c>
    </row>
    <row r="951" spans="4:19" ht="17.649999999999999" x14ac:dyDescent="0.5">
      <c r="D951" s="3" t="s">
        <v>43</v>
      </c>
      <c r="S951" s="3" t="s">
        <v>43</v>
      </c>
    </row>
    <row r="952" spans="4:19" ht="17.649999999999999" x14ac:dyDescent="0.5">
      <c r="D952" s="3" t="s">
        <v>107</v>
      </c>
      <c r="S952" s="3" t="s">
        <v>107</v>
      </c>
    </row>
    <row r="953" spans="4:19" ht="17.649999999999999" x14ac:dyDescent="0.5">
      <c r="D953" s="3" t="s">
        <v>61</v>
      </c>
      <c r="S953" s="3" t="s">
        <v>132</v>
      </c>
    </row>
    <row r="954" spans="4:19" ht="17.649999999999999" x14ac:dyDescent="0.5">
      <c r="D954" s="3" t="s">
        <v>107</v>
      </c>
      <c r="S954" s="3" t="s">
        <v>107</v>
      </c>
    </row>
    <row r="955" spans="4:19" ht="17.649999999999999" x14ac:dyDescent="0.5">
      <c r="D955" s="3" t="s">
        <v>60</v>
      </c>
      <c r="S955" s="3" t="s">
        <v>69</v>
      </c>
    </row>
    <row r="956" spans="4:19" ht="17.649999999999999" x14ac:dyDescent="0.5">
      <c r="D956" s="3" t="s">
        <v>90</v>
      </c>
      <c r="S956" s="3" t="s">
        <v>64</v>
      </c>
    </row>
    <row r="957" spans="4:19" ht="17.649999999999999" x14ac:dyDescent="0.5">
      <c r="D957" s="3" t="s">
        <v>42</v>
      </c>
      <c r="S957" s="3" t="s">
        <v>104</v>
      </c>
    </row>
    <row r="958" spans="4:19" ht="17.649999999999999" x14ac:dyDescent="0.5">
      <c r="D958" s="3" t="s">
        <v>64</v>
      </c>
      <c r="S958" s="3" t="s">
        <v>130</v>
      </c>
    </row>
    <row r="959" spans="4:19" ht="17.649999999999999" x14ac:dyDescent="0.5">
      <c r="D959" s="3" t="s">
        <v>96</v>
      </c>
      <c r="S959" s="3" t="s">
        <v>96</v>
      </c>
    </row>
    <row r="960" spans="4:19" ht="17.649999999999999" x14ac:dyDescent="0.5">
      <c r="D960" s="3" t="s">
        <v>48</v>
      </c>
      <c r="S960" s="3" t="s">
        <v>124</v>
      </c>
    </row>
    <row r="961" spans="4:19" ht="17.649999999999999" x14ac:dyDescent="0.5">
      <c r="D961" s="3" t="s">
        <v>71</v>
      </c>
      <c r="S961" s="3" t="s">
        <v>134</v>
      </c>
    </row>
    <row r="962" spans="4:19" ht="17.649999999999999" x14ac:dyDescent="0.5">
      <c r="D962" s="3" t="s">
        <v>55</v>
      </c>
      <c r="S962" s="3" t="s">
        <v>55</v>
      </c>
    </row>
    <row r="963" spans="4:19" ht="17.649999999999999" x14ac:dyDescent="0.5">
      <c r="D963" s="3" t="s">
        <v>97</v>
      </c>
      <c r="S963" s="3" t="s">
        <v>97</v>
      </c>
    </row>
    <row r="964" spans="4:19" ht="17.649999999999999" x14ac:dyDescent="0.5">
      <c r="D964" s="3" t="s">
        <v>91</v>
      </c>
      <c r="S964" s="3" t="s">
        <v>91</v>
      </c>
    </row>
    <row r="965" spans="4:19" ht="17.649999999999999" x14ac:dyDescent="0.5">
      <c r="D965" s="3" t="s">
        <v>56</v>
      </c>
      <c r="S965" s="3" t="s">
        <v>83</v>
      </c>
    </row>
    <row r="966" spans="4:19" ht="17.649999999999999" x14ac:dyDescent="0.5">
      <c r="D966" s="3" t="s">
        <v>65</v>
      </c>
      <c r="S966" s="3" t="s">
        <v>77</v>
      </c>
    </row>
    <row r="967" spans="4:19" ht="17.649999999999999" x14ac:dyDescent="0.5">
      <c r="D967" s="3" t="s">
        <v>55</v>
      </c>
      <c r="S967" s="3" t="s">
        <v>66</v>
      </c>
    </row>
    <row r="968" spans="4:19" ht="17.649999999999999" x14ac:dyDescent="0.5">
      <c r="D968" s="3" t="s">
        <v>75</v>
      </c>
      <c r="S968" s="3" t="s">
        <v>68</v>
      </c>
    </row>
    <row r="969" spans="4:19" ht="17.649999999999999" x14ac:dyDescent="0.5">
      <c r="D969" s="3" t="s">
        <v>103</v>
      </c>
      <c r="S969" s="3" t="s">
        <v>112</v>
      </c>
    </row>
    <row r="970" spans="4:19" ht="17.649999999999999" x14ac:dyDescent="0.5">
      <c r="D970" s="3" t="s">
        <v>68</v>
      </c>
      <c r="S970" s="3" t="s">
        <v>68</v>
      </c>
    </row>
    <row r="971" spans="4:19" ht="17.649999999999999" x14ac:dyDescent="0.5">
      <c r="D971" s="3" t="s">
        <v>104</v>
      </c>
      <c r="S971" s="3" t="s">
        <v>42</v>
      </c>
    </row>
    <row r="972" spans="4:19" ht="17.649999999999999" x14ac:dyDescent="0.5">
      <c r="D972" s="3" t="s">
        <v>119</v>
      </c>
      <c r="S972" s="3" t="s">
        <v>65</v>
      </c>
    </row>
    <row r="973" spans="4:19" ht="17.649999999999999" x14ac:dyDescent="0.5">
      <c r="D973" s="3" t="s">
        <v>61</v>
      </c>
      <c r="S973" s="3" t="s">
        <v>80</v>
      </c>
    </row>
    <row r="974" spans="4:19" ht="17.649999999999999" x14ac:dyDescent="0.5">
      <c r="D974" s="3" t="s">
        <v>77</v>
      </c>
      <c r="S974" s="3" t="s">
        <v>77</v>
      </c>
    </row>
    <row r="975" spans="4:19" ht="17.649999999999999" x14ac:dyDescent="0.5">
      <c r="D975" s="3" t="s">
        <v>94</v>
      </c>
      <c r="S975" s="3" t="s">
        <v>82</v>
      </c>
    </row>
    <row r="976" spans="4:19" ht="17.649999999999999" x14ac:dyDescent="0.5">
      <c r="D976" s="3" t="s">
        <v>73</v>
      </c>
      <c r="S976" s="3" t="s">
        <v>69</v>
      </c>
    </row>
    <row r="977" spans="4:19" ht="17.649999999999999" x14ac:dyDescent="0.5">
      <c r="D977" s="3" t="s">
        <v>42</v>
      </c>
      <c r="S977" s="3" t="s">
        <v>91</v>
      </c>
    </row>
    <row r="978" spans="4:19" ht="17.649999999999999" x14ac:dyDescent="0.5">
      <c r="D978" s="3" t="s">
        <v>103</v>
      </c>
      <c r="S978" s="3" t="s">
        <v>121</v>
      </c>
    </row>
    <row r="979" spans="4:19" ht="17.649999999999999" x14ac:dyDescent="0.5">
      <c r="D979" s="3" t="s">
        <v>83</v>
      </c>
      <c r="S979" s="3" t="s">
        <v>56</v>
      </c>
    </row>
    <row r="980" spans="4:19" ht="17.649999999999999" x14ac:dyDescent="0.5">
      <c r="D980" s="3" t="s">
        <v>75</v>
      </c>
      <c r="S980" s="3" t="s">
        <v>68</v>
      </c>
    </row>
    <row r="981" spans="4:19" ht="17.649999999999999" x14ac:dyDescent="0.5">
      <c r="D981" s="3" t="s">
        <v>107</v>
      </c>
      <c r="S981" s="3" t="s">
        <v>67</v>
      </c>
    </row>
    <row r="982" spans="4:19" ht="17.649999999999999" x14ac:dyDescent="0.5">
      <c r="D982" s="3" t="s">
        <v>130</v>
      </c>
      <c r="S982" s="3" t="s">
        <v>64</v>
      </c>
    </row>
    <row r="983" spans="4:19" ht="17.649999999999999" x14ac:dyDescent="0.5">
      <c r="D983" s="3" t="s">
        <v>73</v>
      </c>
      <c r="S983" s="3" t="s">
        <v>60</v>
      </c>
    </row>
    <row r="984" spans="4:19" ht="17.649999999999999" x14ac:dyDescent="0.5">
      <c r="D984" s="3" t="s">
        <v>44</v>
      </c>
      <c r="S984" s="3" t="s">
        <v>62</v>
      </c>
    </row>
    <row r="985" spans="4:19" ht="17.649999999999999" x14ac:dyDescent="0.5">
      <c r="D985" s="3" t="s">
        <v>103</v>
      </c>
      <c r="S985" s="3" t="s">
        <v>112</v>
      </c>
    </row>
    <row r="986" spans="4:19" ht="17.649999999999999" x14ac:dyDescent="0.5">
      <c r="D986" s="3" t="s">
        <v>41</v>
      </c>
      <c r="S986" s="3" t="s">
        <v>71</v>
      </c>
    </row>
    <row r="987" spans="4:19" ht="17.649999999999999" x14ac:dyDescent="0.5">
      <c r="D987" s="3" t="s">
        <v>117</v>
      </c>
      <c r="S987" s="3" t="s">
        <v>117</v>
      </c>
    </row>
    <row r="988" spans="4:19" ht="17.649999999999999" x14ac:dyDescent="0.5">
      <c r="D988" s="3" t="s">
        <v>77</v>
      </c>
      <c r="S988" s="3" t="s">
        <v>65</v>
      </c>
    </row>
    <row r="989" spans="4:19" ht="17.649999999999999" x14ac:dyDescent="0.5">
      <c r="D989" s="3" t="s">
        <v>87</v>
      </c>
      <c r="S989" s="3" t="s">
        <v>63</v>
      </c>
    </row>
    <row r="990" spans="4:19" ht="17.649999999999999" x14ac:dyDescent="0.5">
      <c r="D990" s="3" t="s">
        <v>90</v>
      </c>
      <c r="S990" s="3" t="s">
        <v>64</v>
      </c>
    </row>
    <row r="991" spans="4:19" ht="17.649999999999999" x14ac:dyDescent="0.5">
      <c r="D991" s="3" t="s">
        <v>91</v>
      </c>
      <c r="S991" s="3" t="s">
        <v>42</v>
      </c>
    </row>
    <row r="992" spans="4:19" ht="17.649999999999999" x14ac:dyDescent="0.5">
      <c r="D992" s="3" t="s">
        <v>68</v>
      </c>
      <c r="S992" s="3" t="s">
        <v>68</v>
      </c>
    </row>
    <row r="993" spans="4:19" ht="17.649999999999999" x14ac:dyDescent="0.5">
      <c r="D993" s="3" t="s">
        <v>53</v>
      </c>
      <c r="S993" s="3" t="s">
        <v>57</v>
      </c>
    </row>
    <row r="994" spans="4:19" ht="17.649999999999999" x14ac:dyDescent="0.5">
      <c r="D994" s="3" t="s">
        <v>49</v>
      </c>
      <c r="S994" s="3" t="s">
        <v>49</v>
      </c>
    </row>
    <row r="995" spans="4:19" ht="17.649999999999999" x14ac:dyDescent="0.5">
      <c r="D995" s="3" t="s">
        <v>125</v>
      </c>
      <c r="S995" s="3" t="s">
        <v>128</v>
      </c>
    </row>
    <row r="996" spans="4:19" ht="17.649999999999999" x14ac:dyDescent="0.5">
      <c r="D996" s="3" t="s">
        <v>52</v>
      </c>
      <c r="S996" s="3" t="s">
        <v>52</v>
      </c>
    </row>
    <row r="997" spans="4:19" ht="17.649999999999999" x14ac:dyDescent="0.5">
      <c r="D997" s="3" t="s">
        <v>92</v>
      </c>
      <c r="S997" s="3" t="s">
        <v>92</v>
      </c>
    </row>
    <row r="998" spans="4:19" ht="17.649999999999999" x14ac:dyDescent="0.5">
      <c r="D998" s="3" t="s">
        <v>115</v>
      </c>
      <c r="S998" s="3" t="s">
        <v>115</v>
      </c>
    </row>
    <row r="999" spans="4:19" ht="17.649999999999999" x14ac:dyDescent="0.5">
      <c r="D999" s="3" t="s">
        <v>80</v>
      </c>
      <c r="S999" s="3" t="s">
        <v>80</v>
      </c>
    </row>
    <row r="1000" spans="4:19" ht="17.649999999999999" x14ac:dyDescent="0.5">
      <c r="D1000" s="3" t="s">
        <v>67</v>
      </c>
      <c r="S1000" s="3" t="s">
        <v>67</v>
      </c>
    </row>
    <row r="1001" spans="4:19" ht="17.649999999999999" x14ac:dyDescent="0.5">
      <c r="D1001" s="3" t="s">
        <v>47</v>
      </c>
      <c r="S1001" s="3" t="s">
        <v>47</v>
      </c>
    </row>
    <row r="1002" spans="4:19" ht="17.649999999999999" x14ac:dyDescent="0.5">
      <c r="D1002" s="3" t="s">
        <v>64</v>
      </c>
      <c r="S1002" s="3" t="s">
        <v>64</v>
      </c>
    </row>
    <row r="1003" spans="4:19" ht="17.649999999999999" x14ac:dyDescent="0.5">
      <c r="D1003" s="3" t="s">
        <v>90</v>
      </c>
      <c r="S1003" s="3" t="s">
        <v>90</v>
      </c>
    </row>
    <row r="1004" spans="4:19" ht="17.649999999999999" x14ac:dyDescent="0.5">
      <c r="D1004" s="3" t="s">
        <v>96</v>
      </c>
      <c r="S1004" s="3" t="s">
        <v>96</v>
      </c>
    </row>
    <row r="1005" spans="4:19" ht="17.649999999999999" x14ac:dyDescent="0.5">
      <c r="D1005" s="3" t="s">
        <v>84</v>
      </c>
      <c r="S1005" s="3" t="s">
        <v>84</v>
      </c>
    </row>
    <row r="1006" spans="4:19" ht="17.649999999999999" x14ac:dyDescent="0.5">
      <c r="D1006" s="3" t="s">
        <v>117</v>
      </c>
      <c r="S1006" s="3" t="s">
        <v>117</v>
      </c>
    </row>
    <row r="1007" spans="4:19" ht="17.649999999999999" x14ac:dyDescent="0.5">
      <c r="D1007" s="3" t="s">
        <v>105</v>
      </c>
      <c r="S1007" s="3" t="s">
        <v>105</v>
      </c>
    </row>
    <row r="1008" spans="4:19" ht="17.649999999999999" x14ac:dyDescent="0.5">
      <c r="D1008" s="3" t="s">
        <v>75</v>
      </c>
      <c r="S1008" s="3" t="s">
        <v>75</v>
      </c>
    </row>
    <row r="1009" spans="4:19" ht="17.649999999999999" x14ac:dyDescent="0.5">
      <c r="D1009" s="3" t="s">
        <v>92</v>
      </c>
      <c r="S1009" s="3" t="s">
        <v>92</v>
      </c>
    </row>
    <row r="1010" spans="4:19" ht="17.649999999999999" x14ac:dyDescent="0.5">
      <c r="D1010" s="3" t="s">
        <v>64</v>
      </c>
      <c r="S1010" s="3" t="s">
        <v>90</v>
      </c>
    </row>
    <row r="1011" spans="4:19" ht="17.649999999999999" x14ac:dyDescent="0.5">
      <c r="D1011" s="3" t="s">
        <v>101</v>
      </c>
      <c r="S1011" s="3" t="s">
        <v>91</v>
      </c>
    </row>
    <row r="1012" spans="4:19" ht="17.649999999999999" x14ac:dyDescent="0.5">
      <c r="D1012" s="3" t="s">
        <v>101</v>
      </c>
      <c r="S1012" s="3" t="s">
        <v>104</v>
      </c>
    </row>
    <row r="1013" spans="4:19" ht="17.649999999999999" x14ac:dyDescent="0.5">
      <c r="D1013" s="3" t="s">
        <v>97</v>
      </c>
      <c r="S1013" s="3" t="s">
        <v>52</v>
      </c>
    </row>
    <row r="1014" spans="4:19" ht="17.649999999999999" x14ac:dyDescent="0.5">
      <c r="D1014" s="3" t="s">
        <v>64</v>
      </c>
      <c r="S1014" s="3" t="s">
        <v>90</v>
      </c>
    </row>
    <row r="1015" spans="4:19" ht="17.649999999999999" x14ac:dyDescent="0.5">
      <c r="D1015" s="3" t="s">
        <v>86</v>
      </c>
      <c r="S1015" s="3" t="s">
        <v>99</v>
      </c>
    </row>
    <row r="1016" spans="4:19" ht="17.649999999999999" x14ac:dyDescent="0.5">
      <c r="D1016" s="3" t="s">
        <v>128</v>
      </c>
      <c r="S1016" s="3" t="s">
        <v>84</v>
      </c>
    </row>
    <row r="1017" spans="4:19" ht="17.649999999999999" x14ac:dyDescent="0.5">
      <c r="D1017" s="3" t="s">
        <v>70</v>
      </c>
      <c r="S1017" s="3" t="s">
        <v>112</v>
      </c>
    </row>
    <row r="1018" spans="4:19" ht="17.649999999999999" x14ac:dyDescent="0.5">
      <c r="D1018" s="3" t="s">
        <v>79</v>
      </c>
      <c r="S1018" s="3" t="s">
        <v>63</v>
      </c>
    </row>
    <row r="1019" spans="4:19" ht="17.649999999999999" x14ac:dyDescent="0.5">
      <c r="D1019" s="3" t="s">
        <v>134</v>
      </c>
      <c r="S1019" s="3" t="s">
        <v>85</v>
      </c>
    </row>
    <row r="1020" spans="4:19" ht="17.649999999999999" x14ac:dyDescent="0.5">
      <c r="D1020" s="3" t="s">
        <v>49</v>
      </c>
      <c r="S1020" s="3" t="s">
        <v>49</v>
      </c>
    </row>
    <row r="1021" spans="4:19" ht="17.649999999999999" x14ac:dyDescent="0.5">
      <c r="D1021" s="3" t="s">
        <v>128</v>
      </c>
      <c r="S1021" s="3" t="s">
        <v>84</v>
      </c>
    </row>
    <row r="1022" spans="4:19" ht="17.649999999999999" x14ac:dyDescent="0.5">
      <c r="D1022" s="3" t="s">
        <v>96</v>
      </c>
      <c r="S1022" s="3" t="s">
        <v>96</v>
      </c>
    </row>
    <row r="1023" spans="4:19" ht="17.649999999999999" x14ac:dyDescent="0.5">
      <c r="D1023" s="3" t="s">
        <v>105</v>
      </c>
      <c r="S1023" s="3" t="s">
        <v>117</v>
      </c>
    </row>
    <row r="1024" spans="4:19" ht="17.649999999999999" x14ac:dyDescent="0.5">
      <c r="D1024" s="3" t="s">
        <v>130</v>
      </c>
      <c r="S1024" s="3" t="s">
        <v>130</v>
      </c>
    </row>
    <row r="1025" spans="4:19" ht="17.649999999999999" x14ac:dyDescent="0.5">
      <c r="D1025" s="3" t="s">
        <v>57</v>
      </c>
      <c r="S1025" s="3" t="s">
        <v>118</v>
      </c>
    </row>
    <row r="1026" spans="4:19" ht="17.649999999999999" x14ac:dyDescent="0.5">
      <c r="D1026" s="3" t="s">
        <v>91</v>
      </c>
      <c r="S1026" s="3" t="s">
        <v>91</v>
      </c>
    </row>
    <row r="1027" spans="4:19" ht="17.649999999999999" x14ac:dyDescent="0.5">
      <c r="D1027" s="3" t="s">
        <v>69</v>
      </c>
      <c r="S1027" s="3" t="s">
        <v>73</v>
      </c>
    </row>
    <row r="1028" spans="4:19" ht="17.649999999999999" x14ac:dyDescent="0.5">
      <c r="D1028" s="3" t="s">
        <v>130</v>
      </c>
      <c r="S1028" s="3" t="s">
        <v>90</v>
      </c>
    </row>
    <row r="1029" spans="4:19" ht="17.649999999999999" x14ac:dyDescent="0.5">
      <c r="D1029" s="3" t="s">
        <v>116</v>
      </c>
      <c r="S1029" s="3" t="s">
        <v>87</v>
      </c>
    </row>
    <row r="1030" spans="4:19" ht="17.649999999999999" x14ac:dyDescent="0.5">
      <c r="D1030" s="3" t="s">
        <v>102</v>
      </c>
      <c r="S1030" s="3" t="s">
        <v>50</v>
      </c>
    </row>
    <row r="1031" spans="4:19" ht="17.649999999999999" x14ac:dyDescent="0.5">
      <c r="D1031" s="3" t="s">
        <v>126</v>
      </c>
      <c r="S1031" s="3" t="s">
        <v>126</v>
      </c>
    </row>
    <row r="1032" spans="4:19" ht="17.649999999999999" x14ac:dyDescent="0.5">
      <c r="D1032" s="3" t="s">
        <v>117</v>
      </c>
      <c r="S1032" s="3" t="s">
        <v>105</v>
      </c>
    </row>
    <row r="1033" spans="4:19" ht="17.649999999999999" x14ac:dyDescent="0.5">
      <c r="D1033" s="3" t="s">
        <v>56</v>
      </c>
      <c r="S1033" s="3" t="s">
        <v>83</v>
      </c>
    </row>
    <row r="1034" spans="4:19" ht="17.649999999999999" x14ac:dyDescent="0.5">
      <c r="D1034" s="3" t="s">
        <v>77</v>
      </c>
      <c r="S1034" s="3" t="s">
        <v>65</v>
      </c>
    </row>
    <row r="1035" spans="4:19" ht="17.649999999999999" x14ac:dyDescent="0.5">
      <c r="D1035" s="3" t="s">
        <v>94</v>
      </c>
      <c r="S1035" s="3" t="s">
        <v>54</v>
      </c>
    </row>
    <row r="1036" spans="4:19" ht="17.649999999999999" x14ac:dyDescent="0.5">
      <c r="D1036" s="3" t="s">
        <v>54</v>
      </c>
      <c r="S1036" s="3" t="s">
        <v>94</v>
      </c>
    </row>
    <row r="1037" spans="4:19" ht="17.649999999999999" x14ac:dyDescent="0.5">
      <c r="D1037" s="3" t="s">
        <v>106</v>
      </c>
      <c r="S1037" s="3" t="s">
        <v>124</v>
      </c>
    </row>
    <row r="1038" spans="4:19" ht="17.649999999999999" x14ac:dyDescent="0.5">
      <c r="D1038" s="3" t="s">
        <v>74</v>
      </c>
      <c r="S1038" s="3" t="s">
        <v>115</v>
      </c>
    </row>
    <row r="1039" spans="4:19" ht="17.649999999999999" x14ac:dyDescent="0.5">
      <c r="D1039" s="3" t="s">
        <v>73</v>
      </c>
      <c r="S1039" s="3" t="s">
        <v>69</v>
      </c>
    </row>
    <row r="1040" spans="4:19" ht="17.649999999999999" x14ac:dyDescent="0.5">
      <c r="D1040" s="3" t="s">
        <v>50</v>
      </c>
      <c r="S1040" s="3" t="s">
        <v>59</v>
      </c>
    </row>
    <row r="1041" spans="4:19" ht="17.649999999999999" x14ac:dyDescent="0.5">
      <c r="D1041" s="3" t="s">
        <v>65</v>
      </c>
      <c r="S1041" s="3" t="s">
        <v>77</v>
      </c>
    </row>
    <row r="1042" spans="4:19" ht="17.649999999999999" x14ac:dyDescent="0.5">
      <c r="D1042" s="3" t="s">
        <v>52</v>
      </c>
      <c r="S1042" s="3" t="s">
        <v>51</v>
      </c>
    </row>
    <row r="1043" spans="4:19" ht="17.649999999999999" x14ac:dyDescent="0.5">
      <c r="D1043" s="3" t="s">
        <v>43</v>
      </c>
      <c r="S1043" s="3" t="s">
        <v>43</v>
      </c>
    </row>
    <row r="1044" spans="4:19" ht="17.649999999999999" x14ac:dyDescent="0.5">
      <c r="D1044" s="3" t="s">
        <v>60</v>
      </c>
      <c r="S1044" s="3" t="s">
        <v>60</v>
      </c>
    </row>
    <row r="1045" spans="4:19" ht="17.649999999999999" x14ac:dyDescent="0.5">
      <c r="D1045" s="3" t="s">
        <v>81</v>
      </c>
      <c r="S1045" s="3" t="s">
        <v>78</v>
      </c>
    </row>
    <row r="1046" spans="4:19" ht="17.649999999999999" x14ac:dyDescent="0.5">
      <c r="D1046" s="3" t="s">
        <v>49</v>
      </c>
      <c r="S1046" s="3" t="s">
        <v>46</v>
      </c>
    </row>
    <row r="1047" spans="4:19" ht="17.649999999999999" x14ac:dyDescent="0.5">
      <c r="D1047" s="3" t="s">
        <v>101</v>
      </c>
      <c r="S1047" s="3" t="s">
        <v>91</v>
      </c>
    </row>
    <row r="1048" spans="4:19" ht="17.649999999999999" x14ac:dyDescent="0.5">
      <c r="D1048" s="3" t="s">
        <v>74</v>
      </c>
      <c r="S1048" s="3" t="s">
        <v>115</v>
      </c>
    </row>
    <row r="1049" spans="4:19" ht="17.649999999999999" x14ac:dyDescent="0.5">
      <c r="D1049" s="3" t="s">
        <v>41</v>
      </c>
      <c r="S1049" s="3" t="s">
        <v>85</v>
      </c>
    </row>
    <row r="1050" spans="4:19" ht="17.649999999999999" x14ac:dyDescent="0.5">
      <c r="D1050" s="3" t="s">
        <v>105</v>
      </c>
      <c r="S1050" s="3" t="s">
        <v>117</v>
      </c>
    </row>
    <row r="1051" spans="4:19" ht="17.649999999999999" x14ac:dyDescent="0.5">
      <c r="D1051" s="3" t="s">
        <v>73</v>
      </c>
      <c r="S1051" s="3" t="s">
        <v>69</v>
      </c>
    </row>
    <row r="1052" spans="4:19" ht="17.649999999999999" x14ac:dyDescent="0.5">
      <c r="D1052" s="3" t="s">
        <v>63</v>
      </c>
      <c r="S1052" s="3" t="s">
        <v>87</v>
      </c>
    </row>
    <row r="1053" spans="4:19" ht="17.649999999999999" x14ac:dyDescent="0.5">
      <c r="D1053" s="3" t="s">
        <v>59</v>
      </c>
      <c r="S1053" s="3" t="s">
        <v>50</v>
      </c>
    </row>
    <row r="1054" spans="4:19" ht="17.649999999999999" x14ac:dyDescent="0.5">
      <c r="D1054" s="3" t="s">
        <v>43</v>
      </c>
      <c r="S1054" s="3" t="s">
        <v>96</v>
      </c>
    </row>
    <row r="1055" spans="4:19" ht="17.649999999999999" x14ac:dyDescent="0.5">
      <c r="D1055" s="3" t="s">
        <v>65</v>
      </c>
      <c r="S1055" s="3" t="s">
        <v>77</v>
      </c>
    </row>
    <row r="1056" spans="4:19" ht="17.649999999999999" x14ac:dyDescent="0.5">
      <c r="D1056" s="3" t="s">
        <v>44</v>
      </c>
      <c r="S1056" s="3" t="s">
        <v>47</v>
      </c>
    </row>
    <row r="1057" spans="4:19" ht="17.649999999999999" x14ac:dyDescent="0.5">
      <c r="D1057" s="3" t="s">
        <v>103</v>
      </c>
      <c r="S1057" s="3" t="s">
        <v>112</v>
      </c>
    </row>
    <row r="1058" spans="4:19" ht="17.649999999999999" x14ac:dyDescent="0.5">
      <c r="D1058" s="3" t="s">
        <v>63</v>
      </c>
      <c r="S1058" s="3" t="s">
        <v>87</v>
      </c>
    </row>
    <row r="1059" spans="4:19" ht="17.649999999999999" x14ac:dyDescent="0.5">
      <c r="D1059" s="3" t="s">
        <v>105</v>
      </c>
      <c r="S1059" s="3" t="s">
        <v>117</v>
      </c>
    </row>
    <row r="1060" spans="4:19" ht="17.649999999999999" x14ac:dyDescent="0.5">
      <c r="D1060" s="3" t="s">
        <v>112</v>
      </c>
      <c r="S1060" s="3" t="s">
        <v>103</v>
      </c>
    </row>
    <row r="1061" spans="4:19" ht="17.649999999999999" x14ac:dyDescent="0.5">
      <c r="D1061" s="3" t="s">
        <v>69</v>
      </c>
      <c r="S1061" s="3" t="s">
        <v>73</v>
      </c>
    </row>
    <row r="1062" spans="4:19" ht="17.649999999999999" x14ac:dyDescent="0.5">
      <c r="D1062" s="3" t="s">
        <v>75</v>
      </c>
      <c r="S1062" s="3" t="s">
        <v>75</v>
      </c>
    </row>
    <row r="1063" spans="4:19" ht="17.649999999999999" x14ac:dyDescent="0.5">
      <c r="D1063" s="3" t="s">
        <v>83</v>
      </c>
      <c r="S1063" s="3" t="s">
        <v>100</v>
      </c>
    </row>
    <row r="1064" spans="4:19" ht="17.649999999999999" x14ac:dyDescent="0.5">
      <c r="D1064" s="3" t="s">
        <v>46</v>
      </c>
      <c r="S1064" s="3" t="s">
        <v>46</v>
      </c>
    </row>
    <row r="1065" spans="4:19" ht="17.649999999999999" x14ac:dyDescent="0.5">
      <c r="D1065" s="3" t="s">
        <v>125</v>
      </c>
      <c r="S1065" s="3" t="s">
        <v>84</v>
      </c>
    </row>
    <row r="1066" spans="4:19" ht="17.649999999999999" x14ac:dyDescent="0.5">
      <c r="D1066" s="3" t="s">
        <v>50</v>
      </c>
      <c r="S1066" s="3" t="s">
        <v>59</v>
      </c>
    </row>
    <row r="1067" spans="4:19" ht="17.649999999999999" x14ac:dyDescent="0.5">
      <c r="D1067" s="3" t="s">
        <v>129</v>
      </c>
      <c r="S1067" s="3" t="s">
        <v>50</v>
      </c>
    </row>
    <row r="1068" spans="4:19" ht="17.649999999999999" x14ac:dyDescent="0.5">
      <c r="D1068" s="3" t="s">
        <v>67</v>
      </c>
      <c r="S1068" s="3" t="s">
        <v>67</v>
      </c>
    </row>
    <row r="1069" spans="4:19" ht="17.649999999999999" x14ac:dyDescent="0.5">
      <c r="D1069" s="3" t="s">
        <v>115</v>
      </c>
      <c r="S1069" s="3" t="s">
        <v>74</v>
      </c>
    </row>
    <row r="1070" spans="4:19" ht="17.649999999999999" x14ac:dyDescent="0.5">
      <c r="D1070" s="3" t="s">
        <v>57</v>
      </c>
      <c r="S1070" s="3" t="s">
        <v>57</v>
      </c>
    </row>
    <row r="1071" spans="4:19" ht="17.649999999999999" x14ac:dyDescent="0.5">
      <c r="D1071" s="3" t="s">
        <v>78</v>
      </c>
      <c r="S1071" s="3" t="s">
        <v>78</v>
      </c>
    </row>
    <row r="1072" spans="4:19" ht="17.649999999999999" x14ac:dyDescent="0.5">
      <c r="D1072" s="3" t="s">
        <v>105</v>
      </c>
      <c r="S1072" s="3" t="s">
        <v>105</v>
      </c>
    </row>
    <row r="1073" spans="4:19" ht="17.649999999999999" x14ac:dyDescent="0.5">
      <c r="D1073" s="3" t="s">
        <v>93</v>
      </c>
      <c r="S1073" s="3" t="s">
        <v>55</v>
      </c>
    </row>
    <row r="1074" spans="4:19" ht="17.649999999999999" x14ac:dyDescent="0.5">
      <c r="D1074" s="3" t="s">
        <v>91</v>
      </c>
      <c r="S1074" s="3" t="s">
        <v>101</v>
      </c>
    </row>
    <row r="1075" spans="4:19" ht="17.649999999999999" x14ac:dyDescent="0.5">
      <c r="D1075" s="3" t="s">
        <v>55</v>
      </c>
      <c r="S1075" s="3" t="s">
        <v>93</v>
      </c>
    </row>
    <row r="1076" spans="4:19" ht="17.649999999999999" x14ac:dyDescent="0.5">
      <c r="D1076" s="3" t="s">
        <v>66</v>
      </c>
      <c r="S1076" s="3" t="s">
        <v>66</v>
      </c>
    </row>
    <row r="1077" spans="4:19" ht="17.649999999999999" x14ac:dyDescent="0.5">
      <c r="D1077" s="3" t="s">
        <v>69</v>
      </c>
      <c r="S1077" s="3" t="s">
        <v>73</v>
      </c>
    </row>
    <row r="1078" spans="4:19" ht="17.649999999999999" x14ac:dyDescent="0.5">
      <c r="D1078" s="3" t="s">
        <v>134</v>
      </c>
      <c r="S1078" s="3" t="s">
        <v>41</v>
      </c>
    </row>
    <row r="1079" spans="4:19" ht="17.649999999999999" x14ac:dyDescent="0.5">
      <c r="D1079" s="3" t="s">
        <v>116</v>
      </c>
      <c r="S1079" s="3" t="s">
        <v>87</v>
      </c>
    </row>
    <row r="1080" spans="4:19" ht="17.649999999999999" x14ac:dyDescent="0.5">
      <c r="D1080" s="3" t="s">
        <v>111</v>
      </c>
      <c r="S1080" s="3" t="s">
        <v>61</v>
      </c>
    </row>
    <row r="1081" spans="4:19" ht="17.649999999999999" x14ac:dyDescent="0.5">
      <c r="D1081" s="3" t="s">
        <v>107</v>
      </c>
      <c r="S1081" s="3" t="s">
        <v>107</v>
      </c>
    </row>
    <row r="1082" spans="4:19" ht="17.649999999999999" x14ac:dyDescent="0.5">
      <c r="D1082" s="3" t="s">
        <v>72</v>
      </c>
      <c r="S1082" s="3" t="s">
        <v>74</v>
      </c>
    </row>
    <row r="1083" spans="4:19" ht="17.649999999999999" x14ac:dyDescent="0.5">
      <c r="D1083" s="3" t="s">
        <v>115</v>
      </c>
      <c r="S1083" s="3" t="s">
        <v>115</v>
      </c>
    </row>
    <row r="1084" spans="4:19" ht="17.649999999999999" x14ac:dyDescent="0.5">
      <c r="D1084" s="3" t="s">
        <v>64</v>
      </c>
      <c r="S1084" s="3" t="s">
        <v>90</v>
      </c>
    </row>
    <row r="1085" spans="4:19" ht="17.649999999999999" x14ac:dyDescent="0.5">
      <c r="D1085" s="3" t="s">
        <v>108</v>
      </c>
      <c r="S1085" s="3" t="s">
        <v>66</v>
      </c>
    </row>
    <row r="1086" spans="4:19" ht="17.649999999999999" x14ac:dyDescent="0.5">
      <c r="D1086" s="3" t="s">
        <v>131</v>
      </c>
      <c r="S1086" s="3" t="s">
        <v>74</v>
      </c>
    </row>
    <row r="1087" spans="4:19" ht="17.649999999999999" x14ac:dyDescent="0.5">
      <c r="D1087" s="3" t="s">
        <v>65</v>
      </c>
      <c r="S1087" s="3" t="s">
        <v>77</v>
      </c>
    </row>
    <row r="1088" spans="4:19" ht="17.649999999999999" x14ac:dyDescent="0.5">
      <c r="D1088" s="3" t="s">
        <v>69</v>
      </c>
      <c r="S1088" s="3" t="s">
        <v>73</v>
      </c>
    </row>
    <row r="1089" spans="4:19" ht="17.649999999999999" x14ac:dyDescent="0.5">
      <c r="D1089" s="3" t="s">
        <v>78</v>
      </c>
      <c r="S1089" s="3" t="s">
        <v>78</v>
      </c>
    </row>
    <row r="1090" spans="4:19" ht="17.649999999999999" x14ac:dyDescent="0.5">
      <c r="D1090" s="3" t="s">
        <v>78</v>
      </c>
      <c r="S1090" s="3" t="s">
        <v>81</v>
      </c>
    </row>
    <row r="1091" spans="4:19" ht="17.649999999999999" x14ac:dyDescent="0.5">
      <c r="D1091" s="3" t="s">
        <v>121</v>
      </c>
      <c r="S1091" s="3" t="s">
        <v>112</v>
      </c>
    </row>
    <row r="1092" spans="4:19" ht="17.649999999999999" x14ac:dyDescent="0.5">
      <c r="D1092" s="3" t="s">
        <v>93</v>
      </c>
      <c r="S1092" s="3" t="s">
        <v>55</v>
      </c>
    </row>
    <row r="1093" spans="4:19" ht="17.649999999999999" x14ac:dyDescent="0.5">
      <c r="D1093" s="3" t="s">
        <v>67</v>
      </c>
      <c r="S1093" s="3" t="s">
        <v>67</v>
      </c>
    </row>
    <row r="1094" spans="4:19" ht="17.649999999999999" x14ac:dyDescent="0.5">
      <c r="D1094" s="3" t="s">
        <v>79</v>
      </c>
      <c r="S1094" s="3" t="s">
        <v>87</v>
      </c>
    </row>
    <row r="1095" spans="4:19" ht="17.649999999999999" x14ac:dyDescent="0.5">
      <c r="D1095" s="3" t="s">
        <v>133</v>
      </c>
      <c r="S1095" s="3" t="s">
        <v>133</v>
      </c>
    </row>
    <row r="1096" spans="4:19" ht="17.649999999999999" x14ac:dyDescent="0.5">
      <c r="D1096" s="3" t="s">
        <v>105</v>
      </c>
      <c r="S1096" s="3" t="s">
        <v>117</v>
      </c>
    </row>
    <row r="1097" spans="4:19" ht="17.649999999999999" x14ac:dyDescent="0.5">
      <c r="D1097" s="3" t="s">
        <v>104</v>
      </c>
      <c r="S1097" s="3" t="s">
        <v>91</v>
      </c>
    </row>
    <row r="1098" spans="4:19" ht="17.649999999999999" x14ac:dyDescent="0.5">
      <c r="D1098" s="3" t="s">
        <v>121</v>
      </c>
      <c r="S1098" s="3" t="s">
        <v>103</v>
      </c>
    </row>
    <row r="1099" spans="4:19" ht="17.649999999999999" x14ac:dyDescent="0.5">
      <c r="D1099" s="3" t="s">
        <v>119</v>
      </c>
      <c r="S1099" s="3" t="s">
        <v>65</v>
      </c>
    </row>
    <row r="1100" spans="4:19" ht="17.649999999999999" x14ac:dyDescent="0.5">
      <c r="D1100" s="3" t="s">
        <v>69</v>
      </c>
      <c r="S1100" s="3" t="s">
        <v>73</v>
      </c>
    </row>
    <row r="1101" spans="4:19" ht="17.649999999999999" x14ac:dyDescent="0.5">
      <c r="D1101" s="3" t="s">
        <v>66</v>
      </c>
      <c r="S1101" s="3" t="s">
        <v>93</v>
      </c>
    </row>
    <row r="1102" spans="4:19" ht="17.649999999999999" x14ac:dyDescent="0.5">
      <c r="D1102" s="3" t="s">
        <v>68</v>
      </c>
      <c r="S1102" s="3" t="s">
        <v>58</v>
      </c>
    </row>
    <row r="1103" spans="4:19" ht="17.649999999999999" x14ac:dyDescent="0.5">
      <c r="D1103" s="3" t="s">
        <v>60</v>
      </c>
      <c r="S1103" s="3" t="s">
        <v>69</v>
      </c>
    </row>
    <row r="1104" spans="4:19" ht="17.649999999999999" x14ac:dyDescent="0.5">
      <c r="D1104" s="3" t="s">
        <v>74</v>
      </c>
      <c r="S1104" s="3" t="s">
        <v>72</v>
      </c>
    </row>
    <row r="1105" spans="4:19" ht="17.649999999999999" x14ac:dyDescent="0.5">
      <c r="D1105" s="3" t="s">
        <v>96</v>
      </c>
      <c r="S1105" s="3" t="s">
        <v>43</v>
      </c>
    </row>
    <row r="1106" spans="4:19" ht="17.649999999999999" x14ac:dyDescent="0.5">
      <c r="D1106" s="3" t="s">
        <v>53</v>
      </c>
      <c r="S1106" s="3" t="s">
        <v>57</v>
      </c>
    </row>
    <row r="1107" spans="4:19" ht="17.649999999999999" x14ac:dyDescent="0.5">
      <c r="D1107" s="3" t="s">
        <v>91</v>
      </c>
      <c r="S1107" s="3" t="s">
        <v>104</v>
      </c>
    </row>
    <row r="1108" spans="4:19" ht="17.649999999999999" x14ac:dyDescent="0.5">
      <c r="D1108" s="3" t="s">
        <v>97</v>
      </c>
      <c r="S1108" s="3" t="s">
        <v>51</v>
      </c>
    </row>
    <row r="1109" spans="4:19" ht="17.649999999999999" x14ac:dyDescent="0.5">
      <c r="D1109" s="3" t="s">
        <v>69</v>
      </c>
      <c r="S1109" s="3" t="s">
        <v>73</v>
      </c>
    </row>
    <row r="1110" spans="4:19" ht="17.649999999999999" x14ac:dyDescent="0.5">
      <c r="D1110" s="3" t="s">
        <v>82</v>
      </c>
      <c r="S1110" s="3" t="s">
        <v>54</v>
      </c>
    </row>
    <row r="1111" spans="4:19" ht="17.649999999999999" x14ac:dyDescent="0.5">
      <c r="D1111" s="3" t="s">
        <v>57</v>
      </c>
      <c r="S1111" s="3" t="s">
        <v>53</v>
      </c>
    </row>
    <row r="1112" spans="4:19" ht="17.649999999999999" x14ac:dyDescent="0.5">
      <c r="D1112" s="3" t="s">
        <v>109</v>
      </c>
      <c r="S1112" s="3" t="s">
        <v>57</v>
      </c>
    </row>
    <row r="1113" spans="4:19" ht="17.649999999999999" x14ac:dyDescent="0.5">
      <c r="D1113" s="3" t="s">
        <v>72</v>
      </c>
      <c r="S1113" s="3" t="s">
        <v>74</v>
      </c>
    </row>
    <row r="1114" spans="4:19" ht="17.649999999999999" x14ac:dyDescent="0.5">
      <c r="D1114" s="3" t="s">
        <v>47</v>
      </c>
      <c r="S1114" s="3" t="s">
        <v>47</v>
      </c>
    </row>
    <row r="1115" spans="4:19" ht="17.649999999999999" x14ac:dyDescent="0.5">
      <c r="D1115" s="3" t="s">
        <v>77</v>
      </c>
      <c r="S1115" s="3" t="s">
        <v>65</v>
      </c>
    </row>
    <row r="1116" spans="4:19" ht="17.649999999999999" x14ac:dyDescent="0.5">
      <c r="D1116" s="3" t="s">
        <v>100</v>
      </c>
      <c r="S1116" s="3" t="s">
        <v>56</v>
      </c>
    </row>
    <row r="1117" spans="4:19" ht="17.649999999999999" x14ac:dyDescent="0.5">
      <c r="D1117" s="3" t="s">
        <v>102</v>
      </c>
      <c r="S1117" s="3" t="s">
        <v>50</v>
      </c>
    </row>
    <row r="1118" spans="4:19" ht="17.649999999999999" x14ac:dyDescent="0.5">
      <c r="D1118" s="3" t="s">
        <v>115</v>
      </c>
      <c r="S1118" s="3" t="s">
        <v>72</v>
      </c>
    </row>
    <row r="1119" spans="4:19" ht="17.649999999999999" x14ac:dyDescent="0.5">
      <c r="D1119" s="3" t="s">
        <v>81</v>
      </c>
      <c r="S1119" s="3" t="s">
        <v>123</v>
      </c>
    </row>
    <row r="1120" spans="4:19" ht="17.649999999999999" x14ac:dyDescent="0.5">
      <c r="D1120" s="3" t="s">
        <v>55</v>
      </c>
      <c r="S1120" s="3" t="s">
        <v>66</v>
      </c>
    </row>
    <row r="1121" spans="4:19" ht="17.649999999999999" x14ac:dyDescent="0.5">
      <c r="D1121" s="3" t="s">
        <v>49</v>
      </c>
      <c r="S1121" s="3" t="s">
        <v>49</v>
      </c>
    </row>
    <row r="1122" spans="4:19" ht="17.649999999999999" x14ac:dyDescent="0.5">
      <c r="D1122" s="3" t="s">
        <v>66</v>
      </c>
      <c r="S1122" s="3" t="s">
        <v>55</v>
      </c>
    </row>
    <row r="1123" spans="4:19" ht="17.649999999999999" x14ac:dyDescent="0.5">
      <c r="D1123" s="3" t="s">
        <v>88</v>
      </c>
      <c r="S1123" s="3" t="s">
        <v>107</v>
      </c>
    </row>
    <row r="1124" spans="4:19" ht="17.649999999999999" x14ac:dyDescent="0.5">
      <c r="D1124" s="3" t="s">
        <v>90</v>
      </c>
      <c r="S1124" s="3" t="s">
        <v>90</v>
      </c>
    </row>
    <row r="1125" spans="4:19" ht="17.649999999999999" x14ac:dyDescent="0.5">
      <c r="D1125" s="3" t="s">
        <v>91</v>
      </c>
      <c r="S1125" s="3" t="s">
        <v>91</v>
      </c>
    </row>
    <row r="1126" spans="4:19" ht="17.649999999999999" x14ac:dyDescent="0.5">
      <c r="D1126" s="3" t="s">
        <v>44</v>
      </c>
      <c r="S1126" s="3" t="s">
        <v>135</v>
      </c>
    </row>
    <row r="1127" spans="4:19" ht="17.649999999999999" x14ac:dyDescent="0.5">
      <c r="D1127" s="3" t="s">
        <v>66</v>
      </c>
      <c r="S1127" s="3" t="s">
        <v>66</v>
      </c>
    </row>
    <row r="1128" spans="4:19" ht="17.649999999999999" x14ac:dyDescent="0.5">
      <c r="D1128" s="3" t="s">
        <v>83</v>
      </c>
      <c r="S1128" s="3" t="s">
        <v>100</v>
      </c>
    </row>
    <row r="1129" spans="4:19" ht="17.649999999999999" x14ac:dyDescent="0.5">
      <c r="D1129" s="3" t="s">
        <v>69</v>
      </c>
      <c r="S1129" s="3" t="s">
        <v>60</v>
      </c>
    </row>
    <row r="1130" spans="4:19" ht="17.649999999999999" x14ac:dyDescent="0.5">
      <c r="D1130" s="3" t="s">
        <v>66</v>
      </c>
      <c r="S1130" s="3" t="s">
        <v>66</v>
      </c>
    </row>
    <row r="1131" spans="4:19" ht="17.649999999999999" x14ac:dyDescent="0.5">
      <c r="D1131" s="3" t="s">
        <v>67</v>
      </c>
      <c r="S1131" s="3" t="s">
        <v>67</v>
      </c>
    </row>
    <row r="1132" spans="4:19" ht="17.649999999999999" x14ac:dyDescent="0.5">
      <c r="D1132" s="3" t="s">
        <v>121</v>
      </c>
      <c r="S1132" s="3" t="s">
        <v>112</v>
      </c>
    </row>
    <row r="1133" spans="4:19" ht="17.649999999999999" x14ac:dyDescent="0.5">
      <c r="D1133" s="3" t="s">
        <v>66</v>
      </c>
      <c r="S1133" s="3" t="s">
        <v>93</v>
      </c>
    </row>
    <row r="1134" spans="4:19" ht="17.649999999999999" x14ac:dyDescent="0.5">
      <c r="D1134" s="3" t="s">
        <v>80</v>
      </c>
      <c r="S1134" s="3" t="s">
        <v>61</v>
      </c>
    </row>
    <row r="1135" spans="4:19" ht="17.649999999999999" x14ac:dyDescent="0.5">
      <c r="D1135" s="3" t="s">
        <v>100</v>
      </c>
      <c r="S1135" s="3" t="s">
        <v>56</v>
      </c>
    </row>
    <row r="1136" spans="4:19" ht="17.649999999999999" x14ac:dyDescent="0.5">
      <c r="D1136" s="3" t="s">
        <v>52</v>
      </c>
      <c r="S1136" s="3" t="s">
        <v>51</v>
      </c>
    </row>
    <row r="1137" spans="4:19" ht="17.649999999999999" x14ac:dyDescent="0.5">
      <c r="D1137" s="3" t="s">
        <v>65</v>
      </c>
      <c r="S1137" s="3" t="s">
        <v>77</v>
      </c>
    </row>
    <row r="1138" spans="4:19" ht="17.649999999999999" x14ac:dyDescent="0.5">
      <c r="D1138" s="3" t="s">
        <v>134</v>
      </c>
      <c r="S1138" s="3" t="s">
        <v>85</v>
      </c>
    </row>
    <row r="1139" spans="4:19" ht="17.649999999999999" x14ac:dyDescent="0.5">
      <c r="D1139" s="3" t="s">
        <v>66</v>
      </c>
      <c r="S1139" s="3" t="s">
        <v>55</v>
      </c>
    </row>
    <row r="1140" spans="4:19" ht="17.649999999999999" x14ac:dyDescent="0.5">
      <c r="D1140" s="3" t="s">
        <v>81</v>
      </c>
      <c r="S1140" s="3" t="s">
        <v>81</v>
      </c>
    </row>
    <row r="1141" spans="4:19" ht="17.649999999999999" x14ac:dyDescent="0.5">
      <c r="D1141" s="3" t="s">
        <v>121</v>
      </c>
      <c r="S1141" s="3" t="s">
        <v>103</v>
      </c>
    </row>
    <row r="1142" spans="4:19" ht="17.649999999999999" x14ac:dyDescent="0.5">
      <c r="D1142" s="3" t="s">
        <v>59</v>
      </c>
      <c r="S1142" s="3" t="s">
        <v>50</v>
      </c>
    </row>
    <row r="1143" spans="4:19" ht="17.649999999999999" x14ac:dyDescent="0.5">
      <c r="D1143" s="3" t="s">
        <v>67</v>
      </c>
      <c r="S1143" s="3" t="s">
        <v>67</v>
      </c>
    </row>
    <row r="1144" spans="4:19" ht="17.649999999999999" x14ac:dyDescent="0.5">
      <c r="D1144" s="3" t="s">
        <v>84</v>
      </c>
      <c r="S1144" s="3" t="s">
        <v>84</v>
      </c>
    </row>
    <row r="1145" spans="4:19" ht="17.649999999999999" x14ac:dyDescent="0.5">
      <c r="D1145" s="3" t="s">
        <v>115</v>
      </c>
      <c r="S1145" s="3" t="s">
        <v>115</v>
      </c>
    </row>
    <row r="1146" spans="4:19" ht="17.649999999999999" x14ac:dyDescent="0.5">
      <c r="D1146" s="3" t="s">
        <v>120</v>
      </c>
      <c r="S1146" s="3" t="s">
        <v>54</v>
      </c>
    </row>
    <row r="1147" spans="4:19" ht="17.649999999999999" x14ac:dyDescent="0.5">
      <c r="D1147" s="3" t="s">
        <v>116</v>
      </c>
      <c r="S1147" s="3" t="s">
        <v>116</v>
      </c>
    </row>
    <row r="1148" spans="4:19" ht="17.649999999999999" x14ac:dyDescent="0.5">
      <c r="D1148" s="3" t="s">
        <v>44</v>
      </c>
      <c r="S1148" s="3" t="s">
        <v>62</v>
      </c>
    </row>
    <row r="1149" spans="4:19" ht="17.649999999999999" x14ac:dyDescent="0.5">
      <c r="D1149" s="3" t="s">
        <v>98</v>
      </c>
      <c r="S1149" s="3" t="s">
        <v>106</v>
      </c>
    </row>
    <row r="1150" spans="4:19" ht="17.649999999999999" x14ac:dyDescent="0.5">
      <c r="D1150" s="3" t="s">
        <v>45</v>
      </c>
      <c r="S1150" s="3" t="s">
        <v>117</v>
      </c>
    </row>
    <row r="1151" spans="4:19" ht="17.649999999999999" x14ac:dyDescent="0.5">
      <c r="D1151" s="3" t="s">
        <v>130</v>
      </c>
      <c r="S1151" s="3" t="s">
        <v>64</v>
      </c>
    </row>
    <row r="1152" spans="4:19" ht="17.649999999999999" x14ac:dyDescent="0.5">
      <c r="D1152" s="3" t="s">
        <v>98</v>
      </c>
      <c r="S1152" s="3" t="s">
        <v>48</v>
      </c>
    </row>
    <row r="1153" spans="4:19" ht="17.649999999999999" x14ac:dyDescent="0.5">
      <c r="D1153" s="3" t="s">
        <v>73</v>
      </c>
      <c r="S1153" s="3" t="s">
        <v>69</v>
      </c>
    </row>
    <row r="1154" spans="4:19" ht="17.649999999999999" x14ac:dyDescent="0.5">
      <c r="D1154" s="3" t="s">
        <v>105</v>
      </c>
      <c r="S1154" s="3" t="s">
        <v>105</v>
      </c>
    </row>
    <row r="1155" spans="4:19" ht="17.649999999999999" x14ac:dyDescent="0.5">
      <c r="D1155" s="3" t="s">
        <v>130</v>
      </c>
      <c r="S1155" s="3" t="s">
        <v>90</v>
      </c>
    </row>
    <row r="1156" spans="4:19" ht="17.649999999999999" x14ac:dyDescent="0.5">
      <c r="D1156" s="3" t="s">
        <v>78</v>
      </c>
      <c r="S1156" s="3" t="s">
        <v>78</v>
      </c>
    </row>
    <row r="1157" spans="4:19" ht="17.649999999999999" x14ac:dyDescent="0.5">
      <c r="D1157" s="3" t="s">
        <v>59</v>
      </c>
      <c r="S1157" s="3" t="s">
        <v>59</v>
      </c>
    </row>
    <row r="1158" spans="4:19" ht="17.649999999999999" x14ac:dyDescent="0.5">
      <c r="D1158" s="3" t="s">
        <v>61</v>
      </c>
      <c r="S1158" s="3" t="s">
        <v>80</v>
      </c>
    </row>
    <row r="1159" spans="4:19" ht="17.649999999999999" x14ac:dyDescent="0.5">
      <c r="D1159" s="3" t="s">
        <v>54</v>
      </c>
      <c r="S1159" s="3" t="s">
        <v>82</v>
      </c>
    </row>
    <row r="1160" spans="4:19" ht="17.649999999999999" x14ac:dyDescent="0.5">
      <c r="D1160" s="3" t="s">
        <v>81</v>
      </c>
      <c r="S1160" s="3" t="s">
        <v>81</v>
      </c>
    </row>
    <row r="1161" spans="4:19" ht="17.649999999999999" x14ac:dyDescent="0.5">
      <c r="D1161" s="3" t="s">
        <v>61</v>
      </c>
      <c r="S1161" s="3" t="s">
        <v>61</v>
      </c>
    </row>
    <row r="1162" spans="4:19" ht="17.649999999999999" x14ac:dyDescent="0.5">
      <c r="D1162" s="3" t="s">
        <v>73</v>
      </c>
      <c r="S1162" s="3" t="s">
        <v>60</v>
      </c>
    </row>
    <row r="1163" spans="4:19" ht="17.649999999999999" x14ac:dyDescent="0.5">
      <c r="D1163" s="3" t="s">
        <v>43</v>
      </c>
      <c r="S1163" s="3" t="s">
        <v>43</v>
      </c>
    </row>
    <row r="1164" spans="4:19" ht="17.649999999999999" x14ac:dyDescent="0.5">
      <c r="D1164" s="3" t="s">
        <v>56</v>
      </c>
      <c r="S1164" s="3" t="s">
        <v>83</v>
      </c>
    </row>
    <row r="1165" spans="4:19" ht="17.649999999999999" x14ac:dyDescent="0.5">
      <c r="D1165" s="3" t="s">
        <v>107</v>
      </c>
      <c r="S1165" s="3" t="s">
        <v>107</v>
      </c>
    </row>
    <row r="1166" spans="4:19" ht="17.649999999999999" x14ac:dyDescent="0.5">
      <c r="D1166" s="3" t="s">
        <v>114</v>
      </c>
      <c r="S1166" s="3" t="s">
        <v>114</v>
      </c>
    </row>
    <row r="1167" spans="4:19" ht="17.649999999999999" x14ac:dyDescent="0.5">
      <c r="D1167" s="3" t="s">
        <v>61</v>
      </c>
      <c r="S1167" s="3" t="s">
        <v>80</v>
      </c>
    </row>
    <row r="1168" spans="4:19" ht="17.649999999999999" x14ac:dyDescent="0.5">
      <c r="D1168" s="3" t="s">
        <v>80</v>
      </c>
      <c r="S1168" s="3" t="s">
        <v>61</v>
      </c>
    </row>
    <row r="1169" spans="4:19" ht="17.649999999999999" x14ac:dyDescent="0.5">
      <c r="D1169" s="3" t="s">
        <v>112</v>
      </c>
      <c r="S1169" s="3" t="s">
        <v>103</v>
      </c>
    </row>
    <row r="1170" spans="4:19" ht="17.649999999999999" x14ac:dyDescent="0.5">
      <c r="D1170" s="3" t="s">
        <v>48</v>
      </c>
      <c r="S1170" s="3" t="s">
        <v>124</v>
      </c>
    </row>
    <row r="1171" spans="4:19" ht="17.649999999999999" x14ac:dyDescent="0.5">
      <c r="D1171" s="3" t="s">
        <v>64</v>
      </c>
      <c r="S1171" s="3" t="s">
        <v>64</v>
      </c>
    </row>
    <row r="1172" spans="4:19" ht="17.649999999999999" x14ac:dyDescent="0.5">
      <c r="D1172" s="3" t="s">
        <v>67</v>
      </c>
      <c r="S1172" s="3" t="s">
        <v>88</v>
      </c>
    </row>
    <row r="1173" spans="4:19" ht="17.649999999999999" x14ac:dyDescent="0.5">
      <c r="D1173" s="3" t="s">
        <v>49</v>
      </c>
      <c r="S1173" s="3" t="s">
        <v>46</v>
      </c>
    </row>
    <row r="1174" spans="4:19" ht="17.649999999999999" x14ac:dyDescent="0.5">
      <c r="D1174" s="3" t="s">
        <v>80</v>
      </c>
      <c r="S1174" s="3" t="s">
        <v>80</v>
      </c>
    </row>
    <row r="1175" spans="4:19" ht="17.649999999999999" x14ac:dyDescent="0.5">
      <c r="D1175" s="3" t="s">
        <v>86</v>
      </c>
      <c r="S1175" s="3" t="s">
        <v>49</v>
      </c>
    </row>
    <row r="1176" spans="4:19" ht="17.649999999999999" x14ac:dyDescent="0.5">
      <c r="D1176" s="3" t="s">
        <v>128</v>
      </c>
      <c r="S1176" s="3" t="s">
        <v>128</v>
      </c>
    </row>
    <row r="1177" spans="4:19" ht="17.649999999999999" x14ac:dyDescent="0.5">
      <c r="D1177" s="3" t="s">
        <v>62</v>
      </c>
      <c r="S1177" s="3" t="s">
        <v>135</v>
      </c>
    </row>
    <row r="1178" spans="4:19" ht="17.649999999999999" x14ac:dyDescent="0.5">
      <c r="D1178" s="3" t="s">
        <v>59</v>
      </c>
      <c r="S1178" s="3" t="s">
        <v>59</v>
      </c>
    </row>
    <row r="1179" spans="4:19" ht="17.649999999999999" x14ac:dyDescent="0.5">
      <c r="D1179" s="3" t="s">
        <v>92</v>
      </c>
      <c r="S1179" s="3" t="s">
        <v>92</v>
      </c>
    </row>
    <row r="1180" spans="4:19" ht="17.649999999999999" x14ac:dyDescent="0.5">
      <c r="D1180" s="3" t="s">
        <v>74</v>
      </c>
      <c r="S1180" s="3" t="s">
        <v>74</v>
      </c>
    </row>
    <row r="1181" spans="4:19" ht="17.649999999999999" x14ac:dyDescent="0.5">
      <c r="D1181" s="3" t="s">
        <v>114</v>
      </c>
      <c r="S1181" s="3" t="s">
        <v>114</v>
      </c>
    </row>
    <row r="1182" spans="4:19" ht="17.649999999999999" x14ac:dyDescent="0.5">
      <c r="D1182" s="3" t="s">
        <v>77</v>
      </c>
      <c r="S1182" s="3" t="s">
        <v>77</v>
      </c>
    </row>
    <row r="1183" spans="4:19" ht="17.649999999999999" x14ac:dyDescent="0.5">
      <c r="D1183" s="3" t="s">
        <v>50</v>
      </c>
      <c r="S1183" s="3" t="s">
        <v>50</v>
      </c>
    </row>
    <row r="1184" spans="4:19" ht="17.649999999999999" x14ac:dyDescent="0.5">
      <c r="D1184" s="3" t="s">
        <v>107</v>
      </c>
      <c r="S1184" s="3" t="s">
        <v>107</v>
      </c>
    </row>
    <row r="1185" spans="4:19" ht="17.649999999999999" x14ac:dyDescent="0.5">
      <c r="D1185" s="3" t="s">
        <v>94</v>
      </c>
      <c r="S1185" s="3" t="s">
        <v>94</v>
      </c>
    </row>
    <row r="1186" spans="4:19" ht="17.649999999999999" x14ac:dyDescent="0.5">
      <c r="D1186" s="3" t="s">
        <v>106</v>
      </c>
      <c r="S1186" s="3" t="s">
        <v>106</v>
      </c>
    </row>
    <row r="1187" spans="4:19" ht="17.649999999999999" x14ac:dyDescent="0.5">
      <c r="D1187" s="3" t="s">
        <v>77</v>
      </c>
      <c r="S1187" s="3" t="s">
        <v>77</v>
      </c>
    </row>
    <row r="1188" spans="4:19" ht="17.649999999999999" x14ac:dyDescent="0.5">
      <c r="D1188" s="3" t="s">
        <v>83</v>
      </c>
      <c r="S1188" s="3" t="s">
        <v>83</v>
      </c>
    </row>
    <row r="1189" spans="4:19" ht="17.649999999999999" x14ac:dyDescent="0.5">
      <c r="D1189" s="3" t="s">
        <v>79</v>
      </c>
      <c r="S1189" s="3" t="s">
        <v>79</v>
      </c>
    </row>
    <row r="1190" spans="4:19" ht="17.649999999999999" x14ac:dyDescent="0.5">
      <c r="D1190" s="3" t="s">
        <v>85</v>
      </c>
      <c r="S1190" s="3" t="s">
        <v>85</v>
      </c>
    </row>
    <row r="1191" spans="4:19" ht="17.649999999999999" x14ac:dyDescent="0.5">
      <c r="D1191" s="3" t="s">
        <v>68</v>
      </c>
      <c r="S1191" s="3" t="s">
        <v>68</v>
      </c>
    </row>
    <row r="1192" spans="4:19" ht="17.649999999999999" x14ac:dyDescent="0.5">
      <c r="D1192" s="3" t="s">
        <v>94</v>
      </c>
      <c r="S1192" s="3" t="s">
        <v>94</v>
      </c>
    </row>
    <row r="1193" spans="4:19" ht="17.649999999999999" x14ac:dyDescent="0.5">
      <c r="D1193" s="3" t="s">
        <v>57</v>
      </c>
      <c r="S1193" s="3" t="s">
        <v>57</v>
      </c>
    </row>
    <row r="1194" spans="4:19" ht="17.649999999999999" x14ac:dyDescent="0.5">
      <c r="D1194" s="3" t="s">
        <v>67</v>
      </c>
      <c r="S1194" s="3" t="s">
        <v>67</v>
      </c>
    </row>
    <row r="1195" spans="4:19" ht="17.649999999999999" x14ac:dyDescent="0.5">
      <c r="D1195" s="3" t="s">
        <v>107</v>
      </c>
      <c r="S1195" s="3" t="s">
        <v>107</v>
      </c>
    </row>
    <row r="1196" spans="4:19" ht="17.649999999999999" x14ac:dyDescent="0.5">
      <c r="D1196" s="3" t="s">
        <v>91</v>
      </c>
      <c r="S1196" s="3" t="s">
        <v>91</v>
      </c>
    </row>
    <row r="1197" spans="4:19" ht="17.649999999999999" x14ac:dyDescent="0.5">
      <c r="D1197" s="3" t="s">
        <v>114</v>
      </c>
      <c r="S1197" s="3" t="s">
        <v>114</v>
      </c>
    </row>
    <row r="1198" spans="4:19" ht="17.649999999999999" x14ac:dyDescent="0.5">
      <c r="D1198" s="3" t="s">
        <v>73</v>
      </c>
      <c r="S1198" s="3" t="s">
        <v>69</v>
      </c>
    </row>
    <row r="1199" spans="4:19" ht="17.649999999999999" x14ac:dyDescent="0.5">
      <c r="D1199" s="3" t="s">
        <v>75</v>
      </c>
      <c r="S1199" s="3" t="s">
        <v>75</v>
      </c>
    </row>
    <row r="1200" spans="4:19" ht="17.649999999999999" x14ac:dyDescent="0.5">
      <c r="D1200" s="3" t="s">
        <v>92</v>
      </c>
      <c r="S1200" s="3" t="s">
        <v>92</v>
      </c>
    </row>
    <row r="1201" spans="4:19" ht="17.649999999999999" x14ac:dyDescent="0.5">
      <c r="D1201" s="3" t="s">
        <v>89</v>
      </c>
      <c r="S1201" s="3" t="s">
        <v>69</v>
      </c>
    </row>
    <row r="1202" spans="4:19" ht="17.649999999999999" x14ac:dyDescent="0.5">
      <c r="D1202" s="3" t="s">
        <v>83</v>
      </c>
      <c r="S1202" s="3" t="s">
        <v>100</v>
      </c>
    </row>
    <row r="1203" spans="4:19" ht="17.649999999999999" x14ac:dyDescent="0.5">
      <c r="D1203" s="3" t="s">
        <v>97</v>
      </c>
      <c r="S1203" s="3" t="s">
        <v>51</v>
      </c>
    </row>
    <row r="1204" spans="4:19" ht="17.649999999999999" x14ac:dyDescent="0.5">
      <c r="D1204" s="3" t="s">
        <v>41</v>
      </c>
      <c r="S1204" s="3" t="s">
        <v>85</v>
      </c>
    </row>
    <row r="1205" spans="4:19" ht="17.649999999999999" x14ac:dyDescent="0.5">
      <c r="D1205" s="3" t="s">
        <v>68</v>
      </c>
      <c r="S1205" s="3" t="s">
        <v>75</v>
      </c>
    </row>
    <row r="1206" spans="4:19" ht="17.649999999999999" x14ac:dyDescent="0.5">
      <c r="D1206" s="3" t="s">
        <v>105</v>
      </c>
      <c r="S1206" s="3" t="s">
        <v>114</v>
      </c>
    </row>
    <row r="1207" spans="4:19" ht="17.649999999999999" x14ac:dyDescent="0.5">
      <c r="D1207" s="3" t="s">
        <v>125</v>
      </c>
      <c r="S1207" s="3" t="s">
        <v>125</v>
      </c>
    </row>
    <row r="1208" spans="4:19" ht="17.649999999999999" x14ac:dyDescent="0.5">
      <c r="D1208" s="3" t="s">
        <v>66</v>
      </c>
      <c r="S1208" s="3" t="s">
        <v>108</v>
      </c>
    </row>
    <row r="1209" spans="4:19" ht="17.649999999999999" x14ac:dyDescent="0.5">
      <c r="D1209" s="3" t="s">
        <v>73</v>
      </c>
      <c r="S1209" s="3" t="s">
        <v>60</v>
      </c>
    </row>
    <row r="1210" spans="4:19" ht="17.649999999999999" x14ac:dyDescent="0.5">
      <c r="D1210" s="3" t="s">
        <v>67</v>
      </c>
      <c r="S1210" s="3" t="s">
        <v>107</v>
      </c>
    </row>
    <row r="1211" spans="4:19" ht="17.649999999999999" x14ac:dyDescent="0.5">
      <c r="D1211" s="3" t="s">
        <v>43</v>
      </c>
      <c r="S1211" s="3" t="s">
        <v>43</v>
      </c>
    </row>
    <row r="1212" spans="4:19" ht="17.649999999999999" x14ac:dyDescent="0.5">
      <c r="D1212" s="3" t="s">
        <v>52</v>
      </c>
      <c r="S1212" s="3" t="s">
        <v>122</v>
      </c>
    </row>
    <row r="1213" spans="4:19" ht="17.649999999999999" x14ac:dyDescent="0.5">
      <c r="D1213" s="3" t="s">
        <v>41</v>
      </c>
      <c r="S1213" s="3" t="s">
        <v>41</v>
      </c>
    </row>
    <row r="1214" spans="4:19" ht="17.649999999999999" x14ac:dyDescent="0.5">
      <c r="D1214" s="3" t="s">
        <v>85</v>
      </c>
      <c r="S1214" s="3" t="s">
        <v>85</v>
      </c>
    </row>
    <row r="1215" spans="4:19" ht="17.649999999999999" x14ac:dyDescent="0.5">
      <c r="D1215" s="3" t="s">
        <v>50</v>
      </c>
      <c r="S1215" s="3" t="s">
        <v>50</v>
      </c>
    </row>
    <row r="1216" spans="4:19" ht="17.649999999999999" x14ac:dyDescent="0.5">
      <c r="D1216" s="3" t="s">
        <v>105</v>
      </c>
      <c r="S1216" s="3" t="s">
        <v>105</v>
      </c>
    </row>
    <row r="1217" spans="4:19" ht="17.649999999999999" x14ac:dyDescent="0.5">
      <c r="D1217" s="3" t="s">
        <v>63</v>
      </c>
      <c r="S1217" s="3" t="s">
        <v>63</v>
      </c>
    </row>
    <row r="1218" spans="4:19" ht="17.649999999999999" x14ac:dyDescent="0.5">
      <c r="D1218" s="3" t="s">
        <v>101</v>
      </c>
      <c r="S1218" s="3" t="s">
        <v>104</v>
      </c>
    </row>
    <row r="1219" spans="4:19" ht="17.649999999999999" x14ac:dyDescent="0.5">
      <c r="D1219" s="3" t="s">
        <v>91</v>
      </c>
      <c r="S1219" s="3" t="s">
        <v>91</v>
      </c>
    </row>
    <row r="1220" spans="4:19" ht="17.649999999999999" x14ac:dyDescent="0.5">
      <c r="D1220" s="3" t="s">
        <v>65</v>
      </c>
      <c r="S1220" s="3" t="s">
        <v>65</v>
      </c>
    </row>
    <row r="1221" spans="4:19" ht="17.649999999999999" x14ac:dyDescent="0.5">
      <c r="D1221" s="3" t="s">
        <v>75</v>
      </c>
      <c r="S1221" s="3" t="s">
        <v>75</v>
      </c>
    </row>
    <row r="1222" spans="4:19" ht="17.649999999999999" x14ac:dyDescent="0.5">
      <c r="D1222" s="3" t="s">
        <v>96</v>
      </c>
      <c r="S1222" s="3" t="s">
        <v>96</v>
      </c>
    </row>
    <row r="1223" spans="4:19" ht="17.649999999999999" x14ac:dyDescent="0.5">
      <c r="D1223" s="3" t="s">
        <v>75</v>
      </c>
      <c r="S1223" s="3" t="s">
        <v>58</v>
      </c>
    </row>
    <row r="1224" spans="4:19" ht="17.649999999999999" x14ac:dyDescent="0.5">
      <c r="D1224" s="3" t="s">
        <v>100</v>
      </c>
      <c r="S1224" s="3" t="s">
        <v>136</v>
      </c>
    </row>
    <row r="1225" spans="4:19" ht="17.649999999999999" x14ac:dyDescent="0.5">
      <c r="D1225" s="3" t="s">
        <v>129</v>
      </c>
      <c r="S1225" s="3" t="s">
        <v>129</v>
      </c>
    </row>
    <row r="1226" spans="4:19" ht="17.649999999999999" x14ac:dyDescent="0.5">
      <c r="D1226" s="3" t="s">
        <v>118</v>
      </c>
      <c r="S1226" s="3" t="s">
        <v>118</v>
      </c>
    </row>
    <row r="1227" spans="4:19" ht="17.649999999999999" x14ac:dyDescent="0.5">
      <c r="D1227" s="3" t="s">
        <v>121</v>
      </c>
      <c r="S1227" s="3" t="s">
        <v>121</v>
      </c>
    </row>
    <row r="1228" spans="4:19" ht="17.649999999999999" x14ac:dyDescent="0.5">
      <c r="D1228" s="3" t="s">
        <v>41</v>
      </c>
      <c r="S1228" s="3" t="s">
        <v>41</v>
      </c>
    </row>
    <row r="1229" spans="4:19" ht="17.649999999999999" x14ac:dyDescent="0.5">
      <c r="D1229" s="3" t="s">
        <v>43</v>
      </c>
      <c r="S1229" s="3" t="s">
        <v>43</v>
      </c>
    </row>
    <row r="1230" spans="4:19" ht="17.649999999999999" x14ac:dyDescent="0.5">
      <c r="D1230" s="3" t="s">
        <v>115</v>
      </c>
      <c r="S1230" s="3" t="s">
        <v>115</v>
      </c>
    </row>
    <row r="1231" spans="4:19" ht="17.649999999999999" x14ac:dyDescent="0.5">
      <c r="D1231" s="3" t="s">
        <v>59</v>
      </c>
      <c r="S1231" s="3" t="s">
        <v>59</v>
      </c>
    </row>
    <row r="1232" spans="4:19" ht="17.649999999999999" x14ac:dyDescent="0.5">
      <c r="D1232" s="3" t="s">
        <v>103</v>
      </c>
      <c r="S1232" s="3" t="s">
        <v>103</v>
      </c>
    </row>
    <row r="1233" spans="4:19" ht="17.649999999999999" x14ac:dyDescent="0.5">
      <c r="D1233" s="3" t="s">
        <v>101</v>
      </c>
      <c r="S1233" s="3" t="s">
        <v>101</v>
      </c>
    </row>
    <row r="1234" spans="4:19" ht="17.649999999999999" x14ac:dyDescent="0.5">
      <c r="D1234" s="3" t="s">
        <v>56</v>
      </c>
      <c r="S1234" s="3" t="s">
        <v>56</v>
      </c>
    </row>
    <row r="1235" spans="4:19" ht="17.649999999999999" x14ac:dyDescent="0.5">
      <c r="D1235" s="3" t="s">
        <v>67</v>
      </c>
      <c r="S1235" s="3" t="s">
        <v>67</v>
      </c>
    </row>
    <row r="1236" spans="4:19" ht="17.649999999999999" x14ac:dyDescent="0.5">
      <c r="D1236" s="3" t="s">
        <v>53</v>
      </c>
      <c r="S1236" s="3" t="s">
        <v>53</v>
      </c>
    </row>
    <row r="1237" spans="4:19" ht="17.649999999999999" x14ac:dyDescent="0.5">
      <c r="D1237" s="3" t="s">
        <v>80</v>
      </c>
      <c r="S1237" s="3" t="s">
        <v>80</v>
      </c>
    </row>
    <row r="1238" spans="4:19" ht="17.649999999999999" x14ac:dyDescent="0.5">
      <c r="D1238" s="3" t="s">
        <v>98</v>
      </c>
      <c r="S1238" s="3" t="s">
        <v>48</v>
      </c>
    </row>
    <row r="1239" spans="4:19" ht="17.649999999999999" x14ac:dyDescent="0.5">
      <c r="D1239" s="3" t="s">
        <v>74</v>
      </c>
      <c r="S1239" s="3" t="s">
        <v>115</v>
      </c>
    </row>
    <row r="1240" spans="4:19" ht="17.649999999999999" x14ac:dyDescent="0.5">
      <c r="D1240" s="3" t="s">
        <v>122</v>
      </c>
      <c r="S1240" s="3" t="s">
        <v>97</v>
      </c>
    </row>
    <row r="1241" spans="4:19" ht="17.649999999999999" x14ac:dyDescent="0.5">
      <c r="D1241" s="3" t="s">
        <v>65</v>
      </c>
      <c r="S1241" s="3" t="s">
        <v>77</v>
      </c>
    </row>
    <row r="1242" spans="4:19" ht="17.649999999999999" x14ac:dyDescent="0.5">
      <c r="D1242" s="3" t="s">
        <v>135</v>
      </c>
      <c r="S1242" s="3" t="s">
        <v>47</v>
      </c>
    </row>
    <row r="1243" spans="4:19" ht="17.649999999999999" x14ac:dyDescent="0.5">
      <c r="D1243" s="3" t="s">
        <v>44</v>
      </c>
      <c r="S1243" s="3" t="s">
        <v>44</v>
      </c>
    </row>
    <row r="1244" spans="4:19" ht="17.649999999999999" x14ac:dyDescent="0.5">
      <c r="D1244" s="3" t="s">
        <v>77</v>
      </c>
      <c r="S1244" s="3" t="s">
        <v>77</v>
      </c>
    </row>
    <row r="1245" spans="4:19" ht="17.649999999999999" x14ac:dyDescent="0.5">
      <c r="D1245" s="3" t="s">
        <v>87</v>
      </c>
      <c r="S1245" s="3" t="s">
        <v>116</v>
      </c>
    </row>
    <row r="1246" spans="4:19" ht="17.649999999999999" x14ac:dyDescent="0.5">
      <c r="D1246" s="3" t="s">
        <v>92</v>
      </c>
      <c r="S1246" s="3" t="s">
        <v>128</v>
      </c>
    </row>
    <row r="1247" spans="4:19" ht="17.649999999999999" x14ac:dyDescent="0.5">
      <c r="D1247" s="3" t="s">
        <v>46</v>
      </c>
      <c r="S1247" s="3" t="s">
        <v>99</v>
      </c>
    </row>
    <row r="1248" spans="4:19" ht="17.649999999999999" x14ac:dyDescent="0.5">
      <c r="D1248" s="3" t="s">
        <v>79</v>
      </c>
      <c r="S1248" s="3" t="s">
        <v>87</v>
      </c>
    </row>
    <row r="1249" spans="4:19" ht="17.649999999999999" x14ac:dyDescent="0.5">
      <c r="D1249" s="3" t="s">
        <v>53</v>
      </c>
      <c r="S1249" s="3" t="s">
        <v>53</v>
      </c>
    </row>
    <row r="1250" spans="4:19" ht="17.649999999999999" x14ac:dyDescent="0.5">
      <c r="D1250" s="3" t="s">
        <v>74</v>
      </c>
      <c r="S1250" s="3" t="s">
        <v>74</v>
      </c>
    </row>
    <row r="1251" spans="4:19" ht="17.649999999999999" x14ac:dyDescent="0.5">
      <c r="D1251" s="3" t="s">
        <v>75</v>
      </c>
      <c r="S1251" s="3" t="s">
        <v>68</v>
      </c>
    </row>
    <row r="1252" spans="4:19" ht="17.649999999999999" x14ac:dyDescent="0.5">
      <c r="D1252" s="3" t="s">
        <v>69</v>
      </c>
      <c r="S1252" s="3" t="s">
        <v>69</v>
      </c>
    </row>
    <row r="1253" spans="4:19" ht="17.649999999999999" x14ac:dyDescent="0.5">
      <c r="D1253" s="3" t="s">
        <v>80</v>
      </c>
      <c r="S1253" s="3" t="s">
        <v>61</v>
      </c>
    </row>
    <row r="1254" spans="4:19" ht="17.649999999999999" x14ac:dyDescent="0.5">
      <c r="D1254" s="3" t="s">
        <v>76</v>
      </c>
      <c r="S1254" s="3" t="s">
        <v>96</v>
      </c>
    </row>
    <row r="1255" spans="4:19" ht="17.649999999999999" x14ac:dyDescent="0.5">
      <c r="D1255" s="3" t="s">
        <v>103</v>
      </c>
      <c r="S1255" s="3" t="s">
        <v>103</v>
      </c>
    </row>
    <row r="1256" spans="4:19" ht="17.649999999999999" x14ac:dyDescent="0.5">
      <c r="D1256" s="3" t="s">
        <v>82</v>
      </c>
      <c r="S1256" s="3" t="s">
        <v>94</v>
      </c>
    </row>
    <row r="1257" spans="4:19" ht="17.649999999999999" x14ac:dyDescent="0.5">
      <c r="D1257" s="3" t="s">
        <v>84</v>
      </c>
      <c r="S1257" s="3" t="s">
        <v>125</v>
      </c>
    </row>
    <row r="1258" spans="4:19" ht="17.649999999999999" x14ac:dyDescent="0.5">
      <c r="D1258" s="3" t="s">
        <v>121</v>
      </c>
      <c r="S1258" s="3" t="s">
        <v>112</v>
      </c>
    </row>
    <row r="1259" spans="4:19" ht="17.649999999999999" x14ac:dyDescent="0.5">
      <c r="D1259" s="3" t="s">
        <v>49</v>
      </c>
      <c r="S1259" s="3" t="s">
        <v>49</v>
      </c>
    </row>
    <row r="1260" spans="4:19" ht="17.649999999999999" x14ac:dyDescent="0.5">
      <c r="D1260" s="3" t="s">
        <v>110</v>
      </c>
      <c r="S1260" s="3" t="s">
        <v>81</v>
      </c>
    </row>
    <row r="1261" spans="4:19" ht="17.649999999999999" x14ac:dyDescent="0.5">
      <c r="D1261" s="3" t="s">
        <v>41</v>
      </c>
      <c r="S1261" s="3" t="s">
        <v>41</v>
      </c>
    </row>
    <row r="1262" spans="4:19" ht="17.649999999999999" x14ac:dyDescent="0.5">
      <c r="D1262" s="3" t="s">
        <v>84</v>
      </c>
      <c r="S1262" s="3" t="s">
        <v>128</v>
      </c>
    </row>
    <row r="1263" spans="4:19" ht="17.649999999999999" x14ac:dyDescent="0.5">
      <c r="D1263" s="3" t="s">
        <v>101</v>
      </c>
      <c r="S1263" s="3" t="s">
        <v>91</v>
      </c>
    </row>
    <row r="1264" spans="4:19" ht="17.649999999999999" x14ac:dyDescent="0.5">
      <c r="D1264" s="3" t="s">
        <v>75</v>
      </c>
      <c r="S1264" s="3" t="s">
        <v>75</v>
      </c>
    </row>
    <row r="1265" spans="4:19" ht="17.649999999999999" x14ac:dyDescent="0.5">
      <c r="D1265" s="3" t="s">
        <v>101</v>
      </c>
      <c r="S1265" s="3" t="s">
        <v>104</v>
      </c>
    </row>
    <row r="1266" spans="4:19" ht="17.649999999999999" x14ac:dyDescent="0.5">
      <c r="D1266" s="3" t="s">
        <v>128</v>
      </c>
      <c r="S1266" s="3" t="s">
        <v>92</v>
      </c>
    </row>
    <row r="1267" spans="4:19" ht="17.649999999999999" x14ac:dyDescent="0.5">
      <c r="D1267" s="3" t="s">
        <v>118</v>
      </c>
      <c r="S1267" s="3" t="s">
        <v>53</v>
      </c>
    </row>
    <row r="1268" spans="4:19" ht="17.649999999999999" x14ac:dyDescent="0.5">
      <c r="D1268" s="3" t="s">
        <v>70</v>
      </c>
      <c r="S1268" s="3" t="s">
        <v>70</v>
      </c>
    </row>
    <row r="1269" spans="4:19" ht="17.649999999999999" x14ac:dyDescent="0.5">
      <c r="D1269" s="3" t="s">
        <v>53</v>
      </c>
      <c r="S1269" s="3" t="s">
        <v>118</v>
      </c>
    </row>
    <row r="1270" spans="4:19" ht="17.649999999999999" x14ac:dyDescent="0.5">
      <c r="D1270" s="3" t="s">
        <v>48</v>
      </c>
      <c r="S1270" s="3" t="s">
        <v>48</v>
      </c>
    </row>
    <row r="1271" spans="4:19" ht="17.649999999999999" x14ac:dyDescent="0.5">
      <c r="D1271" s="3" t="s">
        <v>103</v>
      </c>
      <c r="S1271" s="3" t="s">
        <v>112</v>
      </c>
    </row>
    <row r="1272" spans="4:19" ht="17.649999999999999" x14ac:dyDescent="0.5">
      <c r="D1272" s="3" t="s">
        <v>105</v>
      </c>
      <c r="S1272" s="3" t="s">
        <v>105</v>
      </c>
    </row>
    <row r="1273" spans="4:19" ht="17.649999999999999" x14ac:dyDescent="0.5">
      <c r="D1273" s="3" t="s">
        <v>101</v>
      </c>
      <c r="S1273" s="3" t="s">
        <v>91</v>
      </c>
    </row>
    <row r="1274" spans="4:19" ht="17.649999999999999" x14ac:dyDescent="0.5">
      <c r="D1274" s="3" t="s">
        <v>55</v>
      </c>
      <c r="S1274" s="3" t="s">
        <v>93</v>
      </c>
    </row>
    <row r="1275" spans="4:19" ht="17.649999999999999" x14ac:dyDescent="0.5">
      <c r="D1275" s="3" t="s">
        <v>42</v>
      </c>
      <c r="S1275" s="3" t="s">
        <v>104</v>
      </c>
    </row>
    <row r="1276" spans="4:19" ht="17.649999999999999" x14ac:dyDescent="0.5">
      <c r="D1276" s="3" t="s">
        <v>97</v>
      </c>
      <c r="S1276" s="3" t="s">
        <v>97</v>
      </c>
    </row>
    <row r="1277" spans="4:19" ht="17.649999999999999" x14ac:dyDescent="0.5">
      <c r="D1277" s="3" t="s">
        <v>61</v>
      </c>
      <c r="S1277" s="3" t="s">
        <v>61</v>
      </c>
    </row>
    <row r="1278" spans="4:19" ht="17.649999999999999" x14ac:dyDescent="0.5">
      <c r="D1278" s="3" t="s">
        <v>47</v>
      </c>
      <c r="S1278" s="3" t="s">
        <v>44</v>
      </c>
    </row>
    <row r="1279" spans="4:19" ht="17.649999999999999" x14ac:dyDescent="0.5">
      <c r="D1279" s="3" t="s">
        <v>55</v>
      </c>
      <c r="S1279" s="3" t="s">
        <v>93</v>
      </c>
    </row>
    <row r="1280" spans="4:19" ht="17.649999999999999" x14ac:dyDescent="0.5">
      <c r="D1280" s="3" t="s">
        <v>81</v>
      </c>
      <c r="S1280" s="3" t="s">
        <v>81</v>
      </c>
    </row>
    <row r="1281" spans="4:19" ht="17.649999999999999" x14ac:dyDescent="0.5">
      <c r="D1281" s="3" t="s">
        <v>51</v>
      </c>
      <c r="S1281" s="3" t="s">
        <v>51</v>
      </c>
    </row>
    <row r="1282" spans="4:19" ht="17.649999999999999" x14ac:dyDescent="0.5">
      <c r="D1282" s="3" t="s">
        <v>44</v>
      </c>
      <c r="S1282" s="3" t="s">
        <v>47</v>
      </c>
    </row>
    <row r="1283" spans="4:19" ht="17.649999999999999" x14ac:dyDescent="0.5">
      <c r="D1283" s="3" t="s">
        <v>64</v>
      </c>
      <c r="S1283" s="3" t="s">
        <v>90</v>
      </c>
    </row>
    <row r="1284" spans="4:19" ht="17.649999999999999" x14ac:dyDescent="0.5">
      <c r="D1284" s="3" t="s">
        <v>80</v>
      </c>
      <c r="S1284" s="3" t="s">
        <v>61</v>
      </c>
    </row>
    <row r="1285" spans="4:19" ht="17.649999999999999" x14ac:dyDescent="0.5">
      <c r="D1285" s="3" t="s">
        <v>92</v>
      </c>
      <c r="S1285" s="3" t="s">
        <v>125</v>
      </c>
    </row>
    <row r="1286" spans="4:19" ht="17.649999999999999" x14ac:dyDescent="0.5">
      <c r="D1286" s="3" t="s">
        <v>133</v>
      </c>
      <c r="S1286" s="3" t="s">
        <v>75</v>
      </c>
    </row>
    <row r="1287" spans="4:19" ht="17.649999999999999" x14ac:dyDescent="0.5">
      <c r="D1287" s="3" t="s">
        <v>112</v>
      </c>
      <c r="S1287" s="3" t="s">
        <v>112</v>
      </c>
    </row>
    <row r="1288" spans="4:19" ht="17.649999999999999" x14ac:dyDescent="0.5">
      <c r="D1288" s="3" t="s">
        <v>97</v>
      </c>
      <c r="S1288" s="3" t="s">
        <v>51</v>
      </c>
    </row>
    <row r="1289" spans="4:19" ht="17.649999999999999" x14ac:dyDescent="0.5">
      <c r="D1289" s="3" t="s">
        <v>63</v>
      </c>
      <c r="S1289" s="3" t="s">
        <v>63</v>
      </c>
    </row>
    <row r="1290" spans="4:19" ht="17.649999999999999" x14ac:dyDescent="0.5">
      <c r="D1290" s="3" t="s">
        <v>78</v>
      </c>
      <c r="S1290" s="3" t="s">
        <v>123</v>
      </c>
    </row>
    <row r="1291" spans="4:19" ht="17.649999999999999" x14ac:dyDescent="0.5">
      <c r="D1291" s="3" t="s">
        <v>91</v>
      </c>
      <c r="S1291" s="3" t="s">
        <v>91</v>
      </c>
    </row>
    <row r="1292" spans="4:19" ht="17.649999999999999" x14ac:dyDescent="0.5">
      <c r="D1292" s="3" t="s">
        <v>56</v>
      </c>
      <c r="S1292" s="3" t="s">
        <v>83</v>
      </c>
    </row>
    <row r="1293" spans="4:19" ht="17.649999999999999" x14ac:dyDescent="0.5">
      <c r="D1293" s="3" t="s">
        <v>59</v>
      </c>
      <c r="S1293" s="3" t="s">
        <v>59</v>
      </c>
    </row>
    <row r="1294" spans="4:19" ht="17.649999999999999" x14ac:dyDescent="0.5">
      <c r="D1294" s="3" t="s">
        <v>83</v>
      </c>
      <c r="S1294" s="3" t="s">
        <v>136</v>
      </c>
    </row>
    <row r="1295" spans="4:19" ht="17.649999999999999" x14ac:dyDescent="0.5">
      <c r="D1295" s="3" t="s">
        <v>130</v>
      </c>
      <c r="S1295" s="3" t="s">
        <v>90</v>
      </c>
    </row>
    <row r="1296" spans="4:19" ht="17.649999999999999" x14ac:dyDescent="0.5">
      <c r="D1296" s="3" t="s">
        <v>75</v>
      </c>
      <c r="S1296" s="3" t="s">
        <v>75</v>
      </c>
    </row>
    <row r="1297" spans="4:19" ht="17.649999999999999" x14ac:dyDescent="0.5">
      <c r="D1297" s="3" t="s">
        <v>51</v>
      </c>
      <c r="S1297" s="3" t="s">
        <v>51</v>
      </c>
    </row>
    <row r="1298" spans="4:19" ht="17.649999999999999" x14ac:dyDescent="0.5">
      <c r="D1298" s="3" t="s">
        <v>63</v>
      </c>
      <c r="S1298" s="3" t="s">
        <v>63</v>
      </c>
    </row>
    <row r="1299" spans="4:19" ht="17.649999999999999" x14ac:dyDescent="0.5">
      <c r="D1299" s="3" t="s">
        <v>64</v>
      </c>
      <c r="S1299" s="3" t="s">
        <v>64</v>
      </c>
    </row>
    <row r="1300" spans="4:19" ht="17.649999999999999" x14ac:dyDescent="0.5">
      <c r="D1300" s="3" t="s">
        <v>115</v>
      </c>
      <c r="S1300" s="3" t="s">
        <v>115</v>
      </c>
    </row>
    <row r="1301" spans="4:19" ht="17.649999999999999" x14ac:dyDescent="0.5">
      <c r="D1301" s="3" t="s">
        <v>75</v>
      </c>
      <c r="S1301" s="3" t="s">
        <v>75</v>
      </c>
    </row>
    <row r="1302" spans="4:19" ht="17.649999999999999" x14ac:dyDescent="0.5">
      <c r="D1302" s="3" t="s">
        <v>113</v>
      </c>
      <c r="S1302" s="3" t="s">
        <v>113</v>
      </c>
    </row>
    <row r="1303" spans="4:19" ht="17.649999999999999" x14ac:dyDescent="0.5">
      <c r="D1303" s="3" t="s">
        <v>89</v>
      </c>
      <c r="S1303" s="3" t="s">
        <v>89</v>
      </c>
    </row>
    <row r="1304" spans="4:19" ht="17.649999999999999" x14ac:dyDescent="0.5">
      <c r="D1304" s="3" t="s">
        <v>43</v>
      </c>
      <c r="S1304" s="3" t="s">
        <v>43</v>
      </c>
    </row>
    <row r="1305" spans="4:19" ht="17.649999999999999" x14ac:dyDescent="0.5">
      <c r="D1305" s="3" t="s">
        <v>135</v>
      </c>
      <c r="S1305" s="3" t="s">
        <v>135</v>
      </c>
    </row>
    <row r="1306" spans="4:19" ht="17.649999999999999" x14ac:dyDescent="0.5">
      <c r="D1306" s="3" t="s">
        <v>96</v>
      </c>
      <c r="S1306" s="3" t="s">
        <v>96</v>
      </c>
    </row>
    <row r="1307" spans="4:19" ht="17.649999999999999" x14ac:dyDescent="0.5">
      <c r="D1307" s="3" t="s">
        <v>80</v>
      </c>
      <c r="S1307" s="3" t="s">
        <v>80</v>
      </c>
    </row>
    <row r="1308" spans="4:19" ht="17.649999999999999" x14ac:dyDescent="0.5">
      <c r="D1308" s="3" t="s">
        <v>47</v>
      </c>
      <c r="S1308" s="3" t="s">
        <v>47</v>
      </c>
    </row>
    <row r="1309" spans="4:19" ht="17.649999999999999" x14ac:dyDescent="0.5">
      <c r="D1309" s="3" t="s">
        <v>57</v>
      </c>
      <c r="S1309" s="3" t="s">
        <v>57</v>
      </c>
    </row>
    <row r="1310" spans="4:19" ht="17.649999999999999" x14ac:dyDescent="0.5">
      <c r="D1310" s="3" t="s">
        <v>108</v>
      </c>
      <c r="S1310" s="3" t="s">
        <v>108</v>
      </c>
    </row>
    <row r="1311" spans="4:19" ht="17.649999999999999" x14ac:dyDescent="0.5">
      <c r="D1311" s="3" t="s">
        <v>130</v>
      </c>
      <c r="S1311" s="3" t="s">
        <v>90</v>
      </c>
    </row>
    <row r="1312" spans="4:19" ht="17.649999999999999" x14ac:dyDescent="0.5">
      <c r="D1312" s="3" t="s">
        <v>68</v>
      </c>
      <c r="S1312" s="3" t="s">
        <v>75</v>
      </c>
    </row>
    <row r="1313" spans="4:19" ht="17.649999999999999" x14ac:dyDescent="0.5">
      <c r="D1313" s="3" t="s">
        <v>89</v>
      </c>
      <c r="S1313" s="3" t="s">
        <v>73</v>
      </c>
    </row>
    <row r="1314" spans="4:19" ht="17.649999999999999" x14ac:dyDescent="0.5">
      <c r="D1314" s="3" t="s">
        <v>125</v>
      </c>
      <c r="S1314" s="3" t="s">
        <v>84</v>
      </c>
    </row>
    <row r="1315" spans="4:19" ht="17.649999999999999" x14ac:dyDescent="0.5">
      <c r="D1315" s="3" t="s">
        <v>73</v>
      </c>
      <c r="S1315" s="3" t="s">
        <v>69</v>
      </c>
    </row>
    <row r="1316" spans="4:19" ht="17.649999999999999" x14ac:dyDescent="0.5">
      <c r="D1316" s="3" t="s">
        <v>136</v>
      </c>
      <c r="S1316" s="3" t="s">
        <v>100</v>
      </c>
    </row>
    <row r="1317" spans="4:19" ht="17.649999999999999" x14ac:dyDescent="0.5">
      <c r="D1317" s="3" t="s">
        <v>67</v>
      </c>
      <c r="S1317" s="3" t="s">
        <v>67</v>
      </c>
    </row>
    <row r="1318" spans="4:19" ht="17.649999999999999" x14ac:dyDescent="0.5">
      <c r="D1318" s="3" t="s">
        <v>56</v>
      </c>
      <c r="S1318" s="3" t="s">
        <v>56</v>
      </c>
    </row>
    <row r="1319" spans="4:19" ht="17.649999999999999" x14ac:dyDescent="0.5">
      <c r="D1319" s="3" t="s">
        <v>63</v>
      </c>
      <c r="S1319" s="3" t="s">
        <v>63</v>
      </c>
    </row>
    <row r="1320" spans="4:19" ht="17.649999999999999" x14ac:dyDescent="0.5">
      <c r="D1320" s="3" t="s">
        <v>107</v>
      </c>
      <c r="S1320" s="3" t="s">
        <v>107</v>
      </c>
    </row>
    <row r="1321" spans="4:19" ht="17.649999999999999" x14ac:dyDescent="0.5">
      <c r="D1321" s="3" t="s">
        <v>78</v>
      </c>
      <c r="S1321" s="3" t="s">
        <v>78</v>
      </c>
    </row>
    <row r="1322" spans="4:19" ht="17.649999999999999" x14ac:dyDescent="0.5">
      <c r="D1322" s="3" t="s">
        <v>81</v>
      </c>
      <c r="S1322" s="3" t="s">
        <v>81</v>
      </c>
    </row>
    <row r="1323" spans="4:19" ht="17.649999999999999" x14ac:dyDescent="0.5">
      <c r="D1323" s="3" t="s">
        <v>83</v>
      </c>
      <c r="S1323" s="3" t="s">
        <v>83</v>
      </c>
    </row>
    <row r="1324" spans="4:19" ht="17.649999999999999" x14ac:dyDescent="0.5">
      <c r="D1324" s="3" t="s">
        <v>94</v>
      </c>
      <c r="S1324" s="3" t="s">
        <v>94</v>
      </c>
    </row>
    <row r="1325" spans="4:19" ht="17.649999999999999" x14ac:dyDescent="0.5">
      <c r="D1325" s="3" t="s">
        <v>68</v>
      </c>
      <c r="S1325" s="3" t="s">
        <v>68</v>
      </c>
    </row>
    <row r="1326" spans="4:19" ht="17.649999999999999" x14ac:dyDescent="0.5">
      <c r="D1326" s="3" t="s">
        <v>89</v>
      </c>
      <c r="S1326" s="3" t="s">
        <v>89</v>
      </c>
    </row>
    <row r="1327" spans="4:19" ht="17.649999999999999" x14ac:dyDescent="0.5">
      <c r="D1327" s="3" t="s">
        <v>56</v>
      </c>
      <c r="S1327" s="3" t="s">
        <v>56</v>
      </c>
    </row>
    <row r="1328" spans="4:19" ht="17.649999999999999" x14ac:dyDescent="0.5">
      <c r="D1328" s="3" t="s">
        <v>54</v>
      </c>
      <c r="S1328" s="3" t="s">
        <v>54</v>
      </c>
    </row>
    <row r="1329" spans="4:19" ht="17.649999999999999" x14ac:dyDescent="0.5">
      <c r="D1329" s="3" t="s">
        <v>41</v>
      </c>
      <c r="S1329" s="3" t="s">
        <v>41</v>
      </c>
    </row>
    <row r="1330" spans="4:19" ht="17.649999999999999" x14ac:dyDescent="0.5">
      <c r="D1330" s="3" t="s">
        <v>66</v>
      </c>
      <c r="S1330" s="3" t="s">
        <v>66</v>
      </c>
    </row>
    <row r="1331" spans="4:19" ht="17.649999999999999" x14ac:dyDescent="0.5">
      <c r="D1331" s="3" t="s">
        <v>55</v>
      </c>
      <c r="S1331" s="3" t="s">
        <v>55</v>
      </c>
    </row>
    <row r="1332" spans="4:19" ht="17.649999999999999" x14ac:dyDescent="0.5">
      <c r="D1332" s="3" t="s">
        <v>53</v>
      </c>
      <c r="S1332" s="3" t="s">
        <v>53</v>
      </c>
    </row>
    <row r="1333" spans="4:19" ht="17.649999999999999" x14ac:dyDescent="0.5">
      <c r="D1333" s="3" t="s">
        <v>52</v>
      </c>
      <c r="S1333" s="3" t="s">
        <v>52</v>
      </c>
    </row>
    <row r="1334" spans="4:19" ht="17.649999999999999" x14ac:dyDescent="0.5">
      <c r="D1334" s="3" t="s">
        <v>107</v>
      </c>
      <c r="S1334" s="3" t="s">
        <v>107</v>
      </c>
    </row>
    <row r="1335" spans="4:19" ht="17.649999999999999" x14ac:dyDescent="0.5">
      <c r="D1335" s="3" t="s">
        <v>67</v>
      </c>
      <c r="S1335" s="3" t="s">
        <v>67</v>
      </c>
    </row>
    <row r="1336" spans="4:19" ht="17.649999999999999" x14ac:dyDescent="0.5">
      <c r="D1336" s="3" t="s">
        <v>59</v>
      </c>
      <c r="S1336" s="3" t="s">
        <v>59</v>
      </c>
    </row>
    <row r="1337" spans="4:19" ht="17.649999999999999" x14ac:dyDescent="0.5">
      <c r="D1337" s="3" t="s">
        <v>51</v>
      </c>
      <c r="S1337" s="3" t="s">
        <v>51</v>
      </c>
    </row>
    <row r="1338" spans="4:19" ht="17.649999999999999" x14ac:dyDescent="0.5">
      <c r="D1338" s="3" t="s">
        <v>74</v>
      </c>
      <c r="S1338" s="3" t="s">
        <v>115</v>
      </c>
    </row>
    <row r="1339" spans="4:19" ht="17.649999999999999" x14ac:dyDescent="0.5">
      <c r="D1339" s="3" t="s">
        <v>53</v>
      </c>
      <c r="S1339" s="3" t="s">
        <v>53</v>
      </c>
    </row>
    <row r="1340" spans="4:19" ht="17.649999999999999" x14ac:dyDescent="0.5">
      <c r="D1340" s="3" t="s">
        <v>80</v>
      </c>
      <c r="S1340" s="3" t="s">
        <v>80</v>
      </c>
    </row>
    <row r="1341" spans="4:19" ht="17.649999999999999" x14ac:dyDescent="0.5">
      <c r="D1341" s="3" t="s">
        <v>94</v>
      </c>
      <c r="S1341" s="3" t="s">
        <v>54</v>
      </c>
    </row>
    <row r="1342" spans="4:19" ht="17.649999999999999" x14ac:dyDescent="0.5">
      <c r="D1342" s="3" t="s">
        <v>112</v>
      </c>
      <c r="S1342" s="3" t="s">
        <v>112</v>
      </c>
    </row>
    <row r="1343" spans="4:19" ht="17.649999999999999" x14ac:dyDescent="0.5">
      <c r="D1343" s="3" t="s">
        <v>74</v>
      </c>
      <c r="S1343" s="3" t="s">
        <v>131</v>
      </c>
    </row>
    <row r="1344" spans="4:19" ht="17.649999999999999" x14ac:dyDescent="0.5">
      <c r="D1344" s="3" t="s">
        <v>94</v>
      </c>
      <c r="S1344" s="3" t="s">
        <v>94</v>
      </c>
    </row>
    <row r="1345" spans="4:19" ht="17.649999999999999" x14ac:dyDescent="0.5">
      <c r="D1345" s="3" t="s">
        <v>43</v>
      </c>
      <c r="S1345" s="3" t="s">
        <v>95</v>
      </c>
    </row>
    <row r="1346" spans="4:19" ht="17.649999999999999" x14ac:dyDescent="0.5">
      <c r="D1346" s="3" t="s">
        <v>64</v>
      </c>
      <c r="S1346" s="3" t="s">
        <v>64</v>
      </c>
    </row>
    <row r="1347" spans="4:19" ht="17.649999999999999" x14ac:dyDescent="0.5">
      <c r="D1347" s="3" t="s">
        <v>105</v>
      </c>
      <c r="S1347" s="3" t="s">
        <v>117</v>
      </c>
    </row>
    <row r="1348" spans="4:19" ht="17.649999999999999" x14ac:dyDescent="0.5">
      <c r="D1348" s="3" t="s">
        <v>65</v>
      </c>
      <c r="S1348" s="3" t="s">
        <v>65</v>
      </c>
    </row>
    <row r="1349" spans="4:19" ht="17.649999999999999" x14ac:dyDescent="0.5">
      <c r="D1349" s="3" t="s">
        <v>94</v>
      </c>
      <c r="S1349" s="3" t="s">
        <v>94</v>
      </c>
    </row>
    <row r="1350" spans="4:19" ht="17.649999999999999" x14ac:dyDescent="0.5">
      <c r="D1350" s="3" t="s">
        <v>127</v>
      </c>
      <c r="S1350" s="3" t="s">
        <v>127</v>
      </c>
    </row>
    <row r="1351" spans="4:19" ht="17.649999999999999" x14ac:dyDescent="0.5">
      <c r="D1351" s="3" t="s">
        <v>54</v>
      </c>
      <c r="S1351" s="3" t="s">
        <v>120</v>
      </c>
    </row>
    <row r="1352" spans="4:19" ht="17.649999999999999" x14ac:dyDescent="0.5">
      <c r="D1352" s="3" t="s">
        <v>65</v>
      </c>
      <c r="S1352" s="3" t="s">
        <v>65</v>
      </c>
    </row>
    <row r="1353" spans="4:19" ht="17.649999999999999" x14ac:dyDescent="0.5">
      <c r="D1353" s="3" t="s">
        <v>52</v>
      </c>
      <c r="S1353" s="3" t="s">
        <v>51</v>
      </c>
    </row>
    <row r="1354" spans="4:19" ht="17.649999999999999" x14ac:dyDescent="0.5">
      <c r="D1354" s="3" t="s">
        <v>63</v>
      </c>
      <c r="S1354" s="3" t="s">
        <v>79</v>
      </c>
    </row>
    <row r="1355" spans="4:19" ht="17.649999999999999" x14ac:dyDescent="0.5">
      <c r="D1355" s="3" t="s">
        <v>135</v>
      </c>
      <c r="S1355" s="3" t="s">
        <v>47</v>
      </c>
    </row>
    <row r="1356" spans="4:19" ht="17.649999999999999" x14ac:dyDescent="0.5">
      <c r="D1356" s="3" t="s">
        <v>122</v>
      </c>
      <c r="S1356" s="3" t="s">
        <v>52</v>
      </c>
    </row>
    <row r="1357" spans="4:19" ht="17.649999999999999" x14ac:dyDescent="0.5">
      <c r="D1357" s="3" t="s">
        <v>83</v>
      </c>
      <c r="S1357" s="3" t="s">
        <v>83</v>
      </c>
    </row>
    <row r="1358" spans="4:19" ht="17.649999999999999" x14ac:dyDescent="0.5">
      <c r="D1358" s="3" t="s">
        <v>120</v>
      </c>
      <c r="S1358" s="3" t="s">
        <v>54</v>
      </c>
    </row>
    <row r="1359" spans="4:19" ht="17.649999999999999" x14ac:dyDescent="0.5">
      <c r="D1359" s="3" t="s">
        <v>59</v>
      </c>
      <c r="S1359" s="3" t="s">
        <v>102</v>
      </c>
    </row>
    <row r="1360" spans="4:19" ht="17.649999999999999" x14ac:dyDescent="0.5">
      <c r="D1360" s="3" t="s">
        <v>112</v>
      </c>
      <c r="S1360" s="3" t="s">
        <v>103</v>
      </c>
    </row>
    <row r="1361" spans="4:19" ht="17.649999999999999" x14ac:dyDescent="0.5">
      <c r="D1361" s="3" t="s">
        <v>59</v>
      </c>
      <c r="S1361" s="3" t="s">
        <v>50</v>
      </c>
    </row>
    <row r="1362" spans="4:19" ht="17.649999999999999" x14ac:dyDescent="0.5">
      <c r="D1362" s="3" t="s">
        <v>57</v>
      </c>
      <c r="S1362" s="3" t="s">
        <v>53</v>
      </c>
    </row>
    <row r="1363" spans="4:19" ht="17.649999999999999" x14ac:dyDescent="0.5">
      <c r="D1363" s="3" t="s">
        <v>104</v>
      </c>
      <c r="S1363" s="3" t="s">
        <v>101</v>
      </c>
    </row>
    <row r="1364" spans="4:19" ht="17.649999999999999" x14ac:dyDescent="0.5">
      <c r="D1364" s="3" t="s">
        <v>71</v>
      </c>
      <c r="S1364" s="3" t="s">
        <v>85</v>
      </c>
    </row>
    <row r="1365" spans="4:19" ht="17.649999999999999" x14ac:dyDescent="0.5">
      <c r="D1365" s="3" t="s">
        <v>82</v>
      </c>
      <c r="S1365" s="3" t="s">
        <v>120</v>
      </c>
    </row>
    <row r="1366" spans="4:19" ht="17.649999999999999" x14ac:dyDescent="0.5">
      <c r="D1366" s="3" t="s">
        <v>81</v>
      </c>
      <c r="S1366" s="3" t="s">
        <v>81</v>
      </c>
    </row>
    <row r="1367" spans="4:19" ht="17.649999999999999" x14ac:dyDescent="0.5">
      <c r="D1367" s="3" t="s">
        <v>110</v>
      </c>
      <c r="S1367" s="3" t="s">
        <v>78</v>
      </c>
    </row>
    <row r="1368" spans="4:19" ht="17.649999999999999" x14ac:dyDescent="0.5">
      <c r="D1368" s="3" t="s">
        <v>41</v>
      </c>
      <c r="S1368" s="3" t="s">
        <v>41</v>
      </c>
    </row>
    <row r="1369" spans="4:19" ht="17.649999999999999" x14ac:dyDescent="0.5">
      <c r="D1369" s="3" t="s">
        <v>131</v>
      </c>
      <c r="S1369" s="3" t="s">
        <v>115</v>
      </c>
    </row>
    <row r="1370" spans="4:19" ht="17.649999999999999" x14ac:dyDescent="0.5">
      <c r="D1370" s="3" t="s">
        <v>75</v>
      </c>
      <c r="S1370" s="3" t="s">
        <v>75</v>
      </c>
    </row>
    <row r="1371" spans="4:19" ht="17.649999999999999" x14ac:dyDescent="0.5">
      <c r="D1371" s="3" t="s">
        <v>112</v>
      </c>
      <c r="S1371" s="3" t="s">
        <v>103</v>
      </c>
    </row>
    <row r="1372" spans="4:19" ht="17.649999999999999" x14ac:dyDescent="0.5">
      <c r="D1372" s="3" t="s">
        <v>61</v>
      </c>
      <c r="S1372" s="3" t="s">
        <v>80</v>
      </c>
    </row>
    <row r="1373" spans="4:19" ht="17.649999999999999" x14ac:dyDescent="0.5">
      <c r="D1373" s="3" t="s">
        <v>81</v>
      </c>
      <c r="S1373" s="3" t="s">
        <v>78</v>
      </c>
    </row>
    <row r="1374" spans="4:19" ht="17.649999999999999" x14ac:dyDescent="0.5">
      <c r="D1374" s="3" t="s">
        <v>91</v>
      </c>
      <c r="S1374" s="3" t="s">
        <v>101</v>
      </c>
    </row>
    <row r="1375" spans="4:19" ht="17.649999999999999" x14ac:dyDescent="0.5">
      <c r="D1375" s="3" t="s">
        <v>48</v>
      </c>
      <c r="S1375" s="3" t="s">
        <v>98</v>
      </c>
    </row>
    <row r="1376" spans="4:19" ht="17.649999999999999" x14ac:dyDescent="0.5">
      <c r="D1376" s="3" t="s">
        <v>73</v>
      </c>
      <c r="S1376" s="3" t="s">
        <v>89</v>
      </c>
    </row>
    <row r="1377" spans="4:19" ht="17.649999999999999" x14ac:dyDescent="0.5">
      <c r="D1377" s="3" t="s">
        <v>84</v>
      </c>
      <c r="S1377" s="3" t="s">
        <v>92</v>
      </c>
    </row>
    <row r="1378" spans="4:19" ht="17.649999999999999" x14ac:dyDescent="0.5">
      <c r="D1378" s="3" t="s">
        <v>68</v>
      </c>
      <c r="S1378" s="3" t="s">
        <v>58</v>
      </c>
    </row>
    <row r="1379" spans="4:19" ht="17.649999999999999" x14ac:dyDescent="0.5">
      <c r="D1379" s="3" t="s">
        <v>90</v>
      </c>
      <c r="S1379" s="3" t="s">
        <v>127</v>
      </c>
    </row>
    <row r="1380" spans="4:19" ht="17.649999999999999" x14ac:dyDescent="0.5">
      <c r="D1380" s="3" t="s">
        <v>70</v>
      </c>
      <c r="S1380" s="3" t="s">
        <v>112</v>
      </c>
    </row>
    <row r="1381" spans="4:19" ht="17.649999999999999" x14ac:dyDescent="0.5">
      <c r="D1381" s="3" t="s">
        <v>81</v>
      </c>
      <c r="S1381" s="3" t="s">
        <v>123</v>
      </c>
    </row>
    <row r="1382" spans="4:19" ht="17.649999999999999" x14ac:dyDescent="0.5">
      <c r="D1382" s="3" t="s">
        <v>80</v>
      </c>
      <c r="S1382" s="3" t="s">
        <v>61</v>
      </c>
    </row>
    <row r="1383" spans="4:19" ht="17.649999999999999" x14ac:dyDescent="0.5">
      <c r="D1383" s="3" t="s">
        <v>124</v>
      </c>
      <c r="S1383" s="3" t="s">
        <v>98</v>
      </c>
    </row>
    <row r="1384" spans="4:19" ht="17.649999999999999" x14ac:dyDescent="0.5">
      <c r="D1384" s="3" t="s">
        <v>113</v>
      </c>
      <c r="S1384" s="3" t="s">
        <v>113</v>
      </c>
    </row>
    <row r="1385" spans="4:19" ht="17.649999999999999" x14ac:dyDescent="0.5">
      <c r="D1385" s="3" t="s">
        <v>85</v>
      </c>
      <c r="S1385" s="3" t="s">
        <v>41</v>
      </c>
    </row>
    <row r="1386" spans="4:19" ht="17.649999999999999" x14ac:dyDescent="0.5">
      <c r="D1386" s="3" t="s">
        <v>108</v>
      </c>
      <c r="S1386" s="3" t="s">
        <v>93</v>
      </c>
    </row>
    <row r="1387" spans="4:19" ht="17.649999999999999" x14ac:dyDescent="0.5">
      <c r="D1387" s="3" t="s">
        <v>88</v>
      </c>
      <c r="S1387" s="3" t="s">
        <v>126</v>
      </c>
    </row>
    <row r="1388" spans="4:19" ht="17.649999999999999" x14ac:dyDescent="0.5">
      <c r="D1388" s="3" t="s">
        <v>133</v>
      </c>
      <c r="S1388" s="3" t="s">
        <v>58</v>
      </c>
    </row>
    <row r="1389" spans="4:19" ht="17.649999999999999" x14ac:dyDescent="0.5">
      <c r="D1389" s="3" t="s">
        <v>50</v>
      </c>
      <c r="S1389" s="3" t="s">
        <v>59</v>
      </c>
    </row>
    <row r="1390" spans="4:19" ht="17.649999999999999" x14ac:dyDescent="0.5">
      <c r="D1390" s="3" t="s">
        <v>90</v>
      </c>
      <c r="S1390" s="3" t="s">
        <v>64</v>
      </c>
    </row>
    <row r="1391" spans="4:19" ht="17.649999999999999" x14ac:dyDescent="0.5">
      <c r="D1391" s="3" t="s">
        <v>126</v>
      </c>
      <c r="S1391" s="3" t="s">
        <v>88</v>
      </c>
    </row>
    <row r="1392" spans="4:19" ht="17.649999999999999" x14ac:dyDescent="0.5">
      <c r="D1392" s="3" t="s">
        <v>63</v>
      </c>
      <c r="S1392" s="3" t="s">
        <v>87</v>
      </c>
    </row>
    <row r="1393" spans="4:19" ht="17.649999999999999" x14ac:dyDescent="0.5">
      <c r="D1393" s="3" t="s">
        <v>57</v>
      </c>
      <c r="S1393" s="3" t="s">
        <v>53</v>
      </c>
    </row>
    <row r="1394" spans="4:19" ht="17.649999999999999" x14ac:dyDescent="0.5">
      <c r="D1394" s="3" t="s">
        <v>96</v>
      </c>
      <c r="S1394" s="3" t="s">
        <v>43</v>
      </c>
    </row>
    <row r="1395" spans="4:19" ht="17.649999999999999" x14ac:dyDescent="0.5">
      <c r="D1395" s="3" t="s">
        <v>69</v>
      </c>
      <c r="S1395" s="3" t="s">
        <v>73</v>
      </c>
    </row>
    <row r="1396" spans="4:19" ht="17.649999999999999" x14ac:dyDescent="0.5">
      <c r="D1396" s="3" t="s">
        <v>101</v>
      </c>
      <c r="S1396" s="3" t="s">
        <v>91</v>
      </c>
    </row>
    <row r="1397" spans="4:19" ht="17.649999999999999" x14ac:dyDescent="0.5">
      <c r="D1397" s="3" t="s">
        <v>92</v>
      </c>
      <c r="S1397" s="3" t="s">
        <v>84</v>
      </c>
    </row>
    <row r="1398" spans="4:19" ht="17.649999999999999" x14ac:dyDescent="0.5">
      <c r="D1398" s="3" t="s">
        <v>69</v>
      </c>
      <c r="S1398" s="3" t="s">
        <v>73</v>
      </c>
    </row>
    <row r="1399" spans="4:19" ht="17.649999999999999" x14ac:dyDescent="0.5">
      <c r="D1399" s="3" t="s">
        <v>107</v>
      </c>
      <c r="S1399" s="3" t="s">
        <v>67</v>
      </c>
    </row>
    <row r="1400" spans="4:19" ht="17.649999999999999" x14ac:dyDescent="0.5">
      <c r="D1400" s="3" t="s">
        <v>64</v>
      </c>
      <c r="S1400" s="3" t="s">
        <v>90</v>
      </c>
    </row>
    <row r="1401" spans="4:19" ht="17.649999999999999" x14ac:dyDescent="0.5">
      <c r="D1401" s="3" t="s">
        <v>55</v>
      </c>
      <c r="S1401" s="3" t="s">
        <v>66</v>
      </c>
    </row>
    <row r="1402" spans="4:19" ht="17.649999999999999" x14ac:dyDescent="0.5">
      <c r="D1402" s="3" t="s">
        <v>74</v>
      </c>
      <c r="S1402" s="3" t="s">
        <v>115</v>
      </c>
    </row>
    <row r="1403" spans="4:19" ht="17.649999999999999" x14ac:dyDescent="0.5">
      <c r="D1403" s="3" t="s">
        <v>78</v>
      </c>
      <c r="S1403" s="3" t="s">
        <v>81</v>
      </c>
    </row>
    <row r="1404" spans="4:19" ht="17.649999999999999" x14ac:dyDescent="0.5">
      <c r="D1404" s="3" t="s">
        <v>50</v>
      </c>
      <c r="S1404" s="3" t="s">
        <v>59</v>
      </c>
    </row>
    <row r="1405" spans="4:19" ht="17.649999999999999" x14ac:dyDescent="0.5">
      <c r="D1405" s="3" t="s">
        <v>84</v>
      </c>
      <c r="S1405" s="3" t="s">
        <v>92</v>
      </c>
    </row>
    <row r="1406" spans="4:19" ht="17.649999999999999" x14ac:dyDescent="0.5">
      <c r="D1406" s="3" t="s">
        <v>78</v>
      </c>
      <c r="S1406" s="3" t="s">
        <v>81</v>
      </c>
    </row>
    <row r="1407" spans="4:19" ht="17.649999999999999" x14ac:dyDescent="0.5">
      <c r="D1407" s="3" t="s">
        <v>74</v>
      </c>
      <c r="S1407" s="3" t="s">
        <v>115</v>
      </c>
    </row>
    <row r="1408" spans="4:19" ht="17.649999999999999" x14ac:dyDescent="0.5">
      <c r="D1408" s="3" t="s">
        <v>59</v>
      </c>
      <c r="S1408" s="3" t="s">
        <v>50</v>
      </c>
    </row>
    <row r="1409" spans="4:19" ht="17.649999999999999" x14ac:dyDescent="0.5">
      <c r="D1409" s="3" t="s">
        <v>48</v>
      </c>
      <c r="S1409" s="3" t="s">
        <v>98</v>
      </c>
    </row>
    <row r="1410" spans="4:19" ht="17.649999999999999" x14ac:dyDescent="0.5">
      <c r="D1410" s="3" t="s">
        <v>80</v>
      </c>
      <c r="S1410" s="3" t="s">
        <v>61</v>
      </c>
    </row>
    <row r="1411" spans="4:19" ht="17.649999999999999" x14ac:dyDescent="0.5">
      <c r="D1411" s="3" t="s">
        <v>109</v>
      </c>
      <c r="S1411" s="3" t="s">
        <v>118</v>
      </c>
    </row>
    <row r="1412" spans="4:19" ht="17.649999999999999" x14ac:dyDescent="0.5">
      <c r="D1412" s="3" t="s">
        <v>81</v>
      </c>
      <c r="S1412" s="3" t="s">
        <v>78</v>
      </c>
    </row>
    <row r="1413" spans="4:19" ht="17.649999999999999" x14ac:dyDescent="0.5">
      <c r="D1413" s="3" t="s">
        <v>112</v>
      </c>
      <c r="S1413" s="3" t="s">
        <v>103</v>
      </c>
    </row>
    <row r="1414" spans="4:19" ht="17.649999999999999" x14ac:dyDescent="0.5">
      <c r="D1414" s="3" t="s">
        <v>96</v>
      </c>
      <c r="S1414" s="3" t="s">
        <v>43</v>
      </c>
    </row>
    <row r="1415" spans="4:19" ht="17.649999999999999" x14ac:dyDescent="0.5">
      <c r="D1415" s="3" t="s">
        <v>90</v>
      </c>
      <c r="S1415" s="3" t="s">
        <v>64</v>
      </c>
    </row>
    <row r="1416" spans="4:19" ht="17.649999999999999" x14ac:dyDescent="0.5">
      <c r="D1416" s="3" t="s">
        <v>77</v>
      </c>
      <c r="S1416" s="3" t="s">
        <v>65</v>
      </c>
    </row>
    <row r="1417" spans="4:19" ht="17.649999999999999" x14ac:dyDescent="0.5">
      <c r="D1417" s="3" t="s">
        <v>78</v>
      </c>
      <c r="S1417" s="3" t="s">
        <v>81</v>
      </c>
    </row>
    <row r="1418" spans="4:19" ht="17.649999999999999" x14ac:dyDescent="0.5">
      <c r="D1418" s="3" t="s">
        <v>124</v>
      </c>
      <c r="S1418" s="3" t="s">
        <v>106</v>
      </c>
    </row>
    <row r="1419" spans="4:19" ht="17.649999999999999" x14ac:dyDescent="0.5">
      <c r="D1419" s="3" t="s">
        <v>97</v>
      </c>
      <c r="S1419" s="3" t="s">
        <v>122</v>
      </c>
    </row>
    <row r="1420" spans="4:19" ht="17.649999999999999" x14ac:dyDescent="0.5">
      <c r="D1420" s="3" t="s">
        <v>57</v>
      </c>
      <c r="S1420" s="3" t="s">
        <v>53</v>
      </c>
    </row>
    <row r="1421" spans="4:19" ht="17.649999999999999" x14ac:dyDescent="0.5">
      <c r="D1421" s="3" t="s">
        <v>56</v>
      </c>
      <c r="S1421" s="3" t="s">
        <v>56</v>
      </c>
    </row>
    <row r="1422" spans="4:19" ht="17.649999999999999" x14ac:dyDescent="0.5">
      <c r="D1422" s="3" t="s">
        <v>88</v>
      </c>
      <c r="S1422" s="3" t="s">
        <v>107</v>
      </c>
    </row>
    <row r="1423" spans="4:19" ht="17.649999999999999" x14ac:dyDescent="0.5">
      <c r="D1423" s="3" t="s">
        <v>96</v>
      </c>
      <c r="S1423" s="3" t="s">
        <v>96</v>
      </c>
    </row>
    <row r="1424" spans="4:19" ht="17.649999999999999" x14ac:dyDescent="0.5">
      <c r="D1424" s="3" t="s">
        <v>47</v>
      </c>
      <c r="S1424" s="3" t="s">
        <v>44</v>
      </c>
    </row>
    <row r="1425" spans="4:19" ht="17.649999999999999" x14ac:dyDescent="0.5">
      <c r="D1425" s="3" t="s">
        <v>96</v>
      </c>
      <c r="S1425" s="3" t="s">
        <v>95</v>
      </c>
    </row>
    <row r="1426" spans="4:19" ht="17.649999999999999" x14ac:dyDescent="0.5">
      <c r="D1426" s="3" t="s">
        <v>49</v>
      </c>
      <c r="S1426" s="3" t="s">
        <v>49</v>
      </c>
    </row>
    <row r="1427" spans="4:19" ht="17.649999999999999" x14ac:dyDescent="0.5">
      <c r="D1427" s="3" t="s">
        <v>53</v>
      </c>
      <c r="S1427" s="3" t="s">
        <v>53</v>
      </c>
    </row>
    <row r="1428" spans="4:19" ht="17.649999999999999" x14ac:dyDescent="0.5">
      <c r="D1428" s="3" t="s">
        <v>95</v>
      </c>
      <c r="S1428" s="3" t="s">
        <v>43</v>
      </c>
    </row>
    <row r="1429" spans="4:19" ht="17.649999999999999" x14ac:dyDescent="0.5">
      <c r="D1429" s="3" t="s">
        <v>104</v>
      </c>
      <c r="S1429" s="3" t="s">
        <v>101</v>
      </c>
    </row>
    <row r="1430" spans="4:19" ht="17.649999999999999" x14ac:dyDescent="0.5">
      <c r="D1430" s="3" t="s">
        <v>105</v>
      </c>
      <c r="S1430" s="3" t="s">
        <v>105</v>
      </c>
    </row>
    <row r="1431" spans="4:19" ht="17.649999999999999" x14ac:dyDescent="0.5">
      <c r="D1431" s="3" t="s">
        <v>115</v>
      </c>
      <c r="S1431" s="3" t="s">
        <v>74</v>
      </c>
    </row>
    <row r="1432" spans="4:19" ht="17.649999999999999" x14ac:dyDescent="0.5">
      <c r="D1432" s="3" t="s">
        <v>56</v>
      </c>
      <c r="S1432" s="3" t="s">
        <v>100</v>
      </c>
    </row>
    <row r="1433" spans="4:19" ht="17.649999999999999" x14ac:dyDescent="0.5">
      <c r="D1433" s="3" t="s">
        <v>63</v>
      </c>
      <c r="S1433" s="3" t="s">
        <v>87</v>
      </c>
    </row>
    <row r="1434" spans="4:19" ht="17.649999999999999" x14ac:dyDescent="0.5">
      <c r="D1434" s="3" t="s">
        <v>89</v>
      </c>
      <c r="S1434" s="3" t="s">
        <v>60</v>
      </c>
    </row>
    <row r="1435" spans="4:19" ht="17.649999999999999" x14ac:dyDescent="0.5">
      <c r="D1435" s="3" t="s">
        <v>90</v>
      </c>
      <c r="S1435" s="3" t="s">
        <v>90</v>
      </c>
    </row>
    <row r="1436" spans="4:19" ht="17.649999999999999" x14ac:dyDescent="0.5">
      <c r="D1436" s="3" t="s">
        <v>51</v>
      </c>
      <c r="S1436" s="3" t="s">
        <v>52</v>
      </c>
    </row>
    <row r="1437" spans="4:19" ht="17.649999999999999" x14ac:dyDescent="0.5">
      <c r="D1437" s="3" t="s">
        <v>83</v>
      </c>
      <c r="S1437" s="3" t="s">
        <v>83</v>
      </c>
    </row>
    <row r="1438" spans="4:19" ht="17.649999999999999" x14ac:dyDescent="0.5">
      <c r="D1438" s="3" t="s">
        <v>59</v>
      </c>
      <c r="S1438" s="3" t="s">
        <v>102</v>
      </c>
    </row>
    <row r="1439" spans="4:19" ht="17.649999999999999" x14ac:dyDescent="0.5">
      <c r="D1439" s="3" t="s">
        <v>133</v>
      </c>
      <c r="S1439" s="3" t="s">
        <v>133</v>
      </c>
    </row>
    <row r="1440" spans="4:19" ht="17.649999999999999" x14ac:dyDescent="0.5">
      <c r="D1440" s="3" t="s">
        <v>101</v>
      </c>
      <c r="S1440" s="3" t="s">
        <v>91</v>
      </c>
    </row>
    <row r="1441" spans="4:19" ht="17.649999999999999" x14ac:dyDescent="0.5">
      <c r="D1441" s="3" t="s">
        <v>98</v>
      </c>
      <c r="S1441" s="3" t="s">
        <v>48</v>
      </c>
    </row>
    <row r="1442" spans="4:19" ht="17.649999999999999" x14ac:dyDescent="0.5">
      <c r="D1442" s="3" t="s">
        <v>47</v>
      </c>
      <c r="S1442" s="3" t="s">
        <v>44</v>
      </c>
    </row>
    <row r="1443" spans="4:19" ht="17.649999999999999" x14ac:dyDescent="0.5">
      <c r="D1443" s="3" t="s">
        <v>54</v>
      </c>
      <c r="S1443" s="3" t="s">
        <v>54</v>
      </c>
    </row>
    <row r="1444" spans="4:19" ht="17.649999999999999" x14ac:dyDescent="0.5">
      <c r="D1444" s="3" t="s">
        <v>82</v>
      </c>
      <c r="S1444" s="3" t="s">
        <v>82</v>
      </c>
    </row>
    <row r="1445" spans="4:19" ht="17.649999999999999" x14ac:dyDescent="0.5">
      <c r="D1445" s="3" t="s">
        <v>68</v>
      </c>
      <c r="S1445" s="3" t="s">
        <v>75</v>
      </c>
    </row>
    <row r="1446" spans="4:19" ht="17.649999999999999" x14ac:dyDescent="0.5">
      <c r="D1446" s="3" t="s">
        <v>64</v>
      </c>
      <c r="S1446" s="3" t="s">
        <v>90</v>
      </c>
    </row>
    <row r="1447" spans="4:19" ht="17.649999999999999" x14ac:dyDescent="0.5">
      <c r="D1447" s="3" t="s">
        <v>92</v>
      </c>
      <c r="S1447" s="3" t="s">
        <v>84</v>
      </c>
    </row>
    <row r="1448" spans="4:19" ht="17.649999999999999" x14ac:dyDescent="0.5">
      <c r="D1448" s="3" t="s">
        <v>41</v>
      </c>
      <c r="S1448" s="3" t="s">
        <v>85</v>
      </c>
    </row>
    <row r="1449" spans="4:19" ht="17.649999999999999" x14ac:dyDescent="0.5">
      <c r="D1449" s="3" t="s">
        <v>66</v>
      </c>
      <c r="S1449" s="3" t="s">
        <v>55</v>
      </c>
    </row>
    <row r="1450" spans="4:19" ht="17.649999999999999" x14ac:dyDescent="0.5">
      <c r="D1450" s="3" t="s">
        <v>81</v>
      </c>
      <c r="S1450" s="3" t="s">
        <v>78</v>
      </c>
    </row>
    <row r="1451" spans="4:19" ht="17.649999999999999" x14ac:dyDescent="0.5">
      <c r="D1451" s="3" t="s">
        <v>112</v>
      </c>
      <c r="S1451" s="3" t="s">
        <v>103</v>
      </c>
    </row>
    <row r="1452" spans="4:19" ht="17.649999999999999" x14ac:dyDescent="0.5">
      <c r="D1452" s="3" t="s">
        <v>74</v>
      </c>
      <c r="S1452" s="3" t="s">
        <v>115</v>
      </c>
    </row>
    <row r="1453" spans="4:19" ht="17.649999999999999" x14ac:dyDescent="0.5">
      <c r="D1453" s="3" t="s">
        <v>113</v>
      </c>
      <c r="S1453" s="3" t="s">
        <v>119</v>
      </c>
    </row>
    <row r="1454" spans="4:19" ht="17.649999999999999" x14ac:dyDescent="0.5">
      <c r="D1454" s="3" t="s">
        <v>94</v>
      </c>
      <c r="S1454" s="3" t="s">
        <v>94</v>
      </c>
    </row>
    <row r="1455" spans="4:19" ht="17.649999999999999" x14ac:dyDescent="0.5">
      <c r="D1455" s="3" t="s">
        <v>99</v>
      </c>
      <c r="S1455" s="3" t="s">
        <v>99</v>
      </c>
    </row>
    <row r="1456" spans="4:19" ht="17.649999999999999" x14ac:dyDescent="0.5">
      <c r="D1456" s="3" t="s">
        <v>46</v>
      </c>
      <c r="S1456" s="3" t="s">
        <v>49</v>
      </c>
    </row>
    <row r="1457" spans="4:19" ht="17.649999999999999" x14ac:dyDescent="0.5">
      <c r="D1457" s="3" t="s">
        <v>125</v>
      </c>
      <c r="S1457" s="3" t="s">
        <v>84</v>
      </c>
    </row>
    <row r="1458" spans="4:19" ht="17.649999999999999" x14ac:dyDescent="0.5">
      <c r="D1458" s="3" t="s">
        <v>43</v>
      </c>
      <c r="S1458" s="3" t="s">
        <v>96</v>
      </c>
    </row>
    <row r="1459" spans="4:19" ht="17.649999999999999" x14ac:dyDescent="0.5">
      <c r="D1459" s="3" t="s">
        <v>51</v>
      </c>
      <c r="S1459" s="3" t="s">
        <v>52</v>
      </c>
    </row>
    <row r="1460" spans="4:19" ht="17.649999999999999" x14ac:dyDescent="0.5">
      <c r="D1460" s="3" t="s">
        <v>87</v>
      </c>
      <c r="S1460" s="3" t="s">
        <v>116</v>
      </c>
    </row>
    <row r="1461" spans="4:19" ht="17.649999999999999" x14ac:dyDescent="0.5">
      <c r="D1461" s="3" t="s">
        <v>46</v>
      </c>
      <c r="S1461" s="3" t="s">
        <v>46</v>
      </c>
    </row>
    <row r="1462" spans="4:19" ht="17.649999999999999" x14ac:dyDescent="0.5">
      <c r="D1462" s="3" t="s">
        <v>50</v>
      </c>
      <c r="S1462" s="3" t="s">
        <v>59</v>
      </c>
    </row>
    <row r="1463" spans="4:19" ht="17.649999999999999" x14ac:dyDescent="0.5">
      <c r="D1463" s="3" t="s">
        <v>105</v>
      </c>
      <c r="S1463" s="3" t="s">
        <v>117</v>
      </c>
    </row>
    <row r="1464" spans="4:19" ht="17.649999999999999" x14ac:dyDescent="0.5">
      <c r="D1464" s="3" t="s">
        <v>98</v>
      </c>
      <c r="S1464" s="3" t="s">
        <v>48</v>
      </c>
    </row>
    <row r="1465" spans="4:19" ht="17.649999999999999" x14ac:dyDescent="0.5">
      <c r="D1465" s="3" t="s">
        <v>48</v>
      </c>
      <c r="S1465" s="3" t="s">
        <v>98</v>
      </c>
    </row>
    <row r="1466" spans="4:19" ht="17.649999999999999" x14ac:dyDescent="0.5">
      <c r="D1466" s="3" t="s">
        <v>55</v>
      </c>
      <c r="S1466" s="3" t="s">
        <v>55</v>
      </c>
    </row>
    <row r="1467" spans="4:19" ht="17.649999999999999" x14ac:dyDescent="0.5">
      <c r="D1467" s="3" t="s">
        <v>66</v>
      </c>
      <c r="S1467" s="3" t="s">
        <v>66</v>
      </c>
    </row>
    <row r="1468" spans="4:19" ht="17.649999999999999" x14ac:dyDescent="0.5">
      <c r="D1468" s="3" t="s">
        <v>64</v>
      </c>
      <c r="S1468" s="3" t="s">
        <v>90</v>
      </c>
    </row>
    <row r="1469" spans="4:19" ht="17.649999999999999" x14ac:dyDescent="0.5">
      <c r="D1469" s="3" t="s">
        <v>90</v>
      </c>
      <c r="S1469" s="3" t="s">
        <v>64</v>
      </c>
    </row>
    <row r="1470" spans="4:19" ht="17.649999999999999" x14ac:dyDescent="0.5">
      <c r="D1470" s="3" t="s">
        <v>44</v>
      </c>
      <c r="S1470" s="3" t="s">
        <v>47</v>
      </c>
    </row>
    <row r="1471" spans="4:19" ht="17.649999999999999" x14ac:dyDescent="0.5">
      <c r="D1471" s="3" t="s">
        <v>124</v>
      </c>
      <c r="S1471" s="3" t="s">
        <v>106</v>
      </c>
    </row>
    <row r="1472" spans="4:19" ht="17.649999999999999" x14ac:dyDescent="0.5">
      <c r="D1472" s="3" t="s">
        <v>67</v>
      </c>
      <c r="S1472" s="3" t="s">
        <v>67</v>
      </c>
    </row>
    <row r="1473" spans="4:19" ht="17.649999999999999" x14ac:dyDescent="0.5">
      <c r="D1473" s="3" t="s">
        <v>55</v>
      </c>
      <c r="S1473" s="3" t="s">
        <v>55</v>
      </c>
    </row>
    <row r="1474" spans="4:19" ht="17.649999999999999" x14ac:dyDescent="0.5">
      <c r="D1474" s="3" t="s">
        <v>133</v>
      </c>
      <c r="S1474" s="3" t="s">
        <v>133</v>
      </c>
    </row>
    <row r="1475" spans="4:19" ht="17.649999999999999" x14ac:dyDescent="0.5">
      <c r="D1475" s="3" t="s">
        <v>87</v>
      </c>
      <c r="S1475" s="3" t="s">
        <v>87</v>
      </c>
    </row>
    <row r="1476" spans="4:19" ht="17.649999999999999" x14ac:dyDescent="0.5">
      <c r="D1476" s="3" t="s">
        <v>51</v>
      </c>
      <c r="S1476" s="3" t="s">
        <v>51</v>
      </c>
    </row>
    <row r="1477" spans="4:19" ht="17.649999999999999" x14ac:dyDescent="0.5">
      <c r="D1477" s="3" t="s">
        <v>80</v>
      </c>
      <c r="S1477" s="3" t="s">
        <v>80</v>
      </c>
    </row>
    <row r="1478" spans="4:19" ht="17.649999999999999" x14ac:dyDescent="0.5">
      <c r="D1478" s="3" t="s">
        <v>103</v>
      </c>
      <c r="S1478" s="3" t="s">
        <v>103</v>
      </c>
    </row>
    <row r="1479" spans="4:19" ht="17.649999999999999" x14ac:dyDescent="0.5">
      <c r="D1479" s="3" t="s">
        <v>75</v>
      </c>
      <c r="S1479" s="3" t="s">
        <v>68</v>
      </c>
    </row>
    <row r="1480" spans="4:19" ht="17.649999999999999" x14ac:dyDescent="0.5">
      <c r="D1480" s="3" t="s">
        <v>78</v>
      </c>
      <c r="S1480" s="3" t="s">
        <v>78</v>
      </c>
    </row>
    <row r="1481" spans="4:19" ht="17.649999999999999" x14ac:dyDescent="0.5">
      <c r="D1481" s="3" t="s">
        <v>90</v>
      </c>
      <c r="S1481" s="3" t="s">
        <v>127</v>
      </c>
    </row>
    <row r="1482" spans="4:19" ht="17.649999999999999" x14ac:dyDescent="0.5">
      <c r="D1482" s="3" t="s">
        <v>46</v>
      </c>
      <c r="S1482" s="3" t="s">
        <v>46</v>
      </c>
    </row>
    <row r="1483" spans="4:19" ht="17.649999999999999" x14ac:dyDescent="0.5">
      <c r="D1483" s="3" t="s">
        <v>118</v>
      </c>
      <c r="S1483" s="3" t="s">
        <v>57</v>
      </c>
    </row>
    <row r="1484" spans="4:19" ht="17.649999999999999" x14ac:dyDescent="0.5">
      <c r="D1484" s="3" t="s">
        <v>83</v>
      </c>
      <c r="S1484" s="3" t="s">
        <v>56</v>
      </c>
    </row>
    <row r="1485" spans="4:19" ht="17.649999999999999" x14ac:dyDescent="0.5">
      <c r="D1485" s="3" t="s">
        <v>44</v>
      </c>
      <c r="S1485" s="3" t="s">
        <v>44</v>
      </c>
    </row>
    <row r="1486" spans="4:19" ht="17.649999999999999" x14ac:dyDescent="0.5">
      <c r="D1486" s="3" t="s">
        <v>63</v>
      </c>
      <c r="S1486" s="3" t="s">
        <v>63</v>
      </c>
    </row>
    <row r="1487" spans="4:19" ht="17.649999999999999" x14ac:dyDescent="0.5">
      <c r="D1487" s="3" t="s">
        <v>131</v>
      </c>
      <c r="S1487" s="3" t="s">
        <v>131</v>
      </c>
    </row>
    <row r="1488" spans="4:19" ht="17.649999999999999" x14ac:dyDescent="0.5">
      <c r="D1488" s="3" t="s">
        <v>115</v>
      </c>
      <c r="S1488" s="3" t="s">
        <v>115</v>
      </c>
    </row>
    <row r="1489" spans="4:19" ht="17.649999999999999" x14ac:dyDescent="0.5">
      <c r="D1489" s="3" t="s">
        <v>42</v>
      </c>
      <c r="S1489" s="3" t="s">
        <v>42</v>
      </c>
    </row>
    <row r="1490" spans="4:19" ht="17.649999999999999" x14ac:dyDescent="0.5">
      <c r="D1490" s="3" t="s">
        <v>67</v>
      </c>
      <c r="S1490" s="3" t="s">
        <v>107</v>
      </c>
    </row>
    <row r="1491" spans="4:19" ht="17.649999999999999" x14ac:dyDescent="0.5">
      <c r="D1491" s="3" t="s">
        <v>45</v>
      </c>
      <c r="S1491" s="3" t="s">
        <v>117</v>
      </c>
    </row>
    <row r="1492" spans="4:19" ht="17.649999999999999" x14ac:dyDescent="0.5">
      <c r="D1492" s="3" t="s">
        <v>112</v>
      </c>
      <c r="S1492" s="3" t="s">
        <v>103</v>
      </c>
    </row>
    <row r="1493" spans="4:19" ht="17.649999999999999" x14ac:dyDescent="0.5">
      <c r="D1493" s="3" t="s">
        <v>45</v>
      </c>
      <c r="S1493" s="3" t="s">
        <v>117</v>
      </c>
    </row>
    <row r="1494" spans="4:19" ht="17.649999999999999" x14ac:dyDescent="0.5">
      <c r="D1494" s="3" t="s">
        <v>46</v>
      </c>
      <c r="S1494" s="3" t="s">
        <v>49</v>
      </c>
    </row>
    <row r="1495" spans="4:19" ht="17.649999999999999" x14ac:dyDescent="0.5">
      <c r="D1495" s="3" t="s">
        <v>120</v>
      </c>
      <c r="S1495" s="3" t="s">
        <v>94</v>
      </c>
    </row>
    <row r="1496" spans="4:19" ht="17.649999999999999" x14ac:dyDescent="0.5">
      <c r="D1496" s="3" t="s">
        <v>79</v>
      </c>
      <c r="S1496" s="3" t="s">
        <v>87</v>
      </c>
    </row>
    <row r="1497" spans="4:19" ht="17.649999999999999" x14ac:dyDescent="0.5">
      <c r="D1497" s="3" t="s">
        <v>93</v>
      </c>
      <c r="S1497" s="3" t="s">
        <v>55</v>
      </c>
    </row>
    <row r="1498" spans="4:19" ht="17.649999999999999" x14ac:dyDescent="0.5">
      <c r="D1498" s="3" t="s">
        <v>77</v>
      </c>
      <c r="S1498" s="3" t="s">
        <v>65</v>
      </c>
    </row>
    <row r="1499" spans="4:19" ht="17.649999999999999" x14ac:dyDescent="0.5">
      <c r="D1499" s="3" t="s">
        <v>73</v>
      </c>
      <c r="S1499" s="3" t="s">
        <v>73</v>
      </c>
    </row>
    <row r="1500" spans="4:19" ht="17.649999999999999" x14ac:dyDescent="0.5">
      <c r="D1500" s="3" t="s">
        <v>115</v>
      </c>
      <c r="S1500" s="3" t="s">
        <v>131</v>
      </c>
    </row>
    <row r="1501" spans="4:19" ht="17.649999999999999" x14ac:dyDescent="0.5">
      <c r="D1501" s="3" t="s">
        <v>123</v>
      </c>
      <c r="S1501" s="3" t="s">
        <v>81</v>
      </c>
    </row>
    <row r="1502" spans="4:19" ht="17.649999999999999" x14ac:dyDescent="0.5">
      <c r="D1502" s="3" t="s">
        <v>98</v>
      </c>
      <c r="S1502" s="3" t="s">
        <v>98</v>
      </c>
    </row>
    <row r="1503" spans="4:19" ht="17.649999999999999" x14ac:dyDescent="0.5">
      <c r="D1503" s="3" t="s">
        <v>128</v>
      </c>
      <c r="S1503" s="3" t="s">
        <v>92</v>
      </c>
    </row>
    <row r="1504" spans="4:19" ht="17.649999999999999" x14ac:dyDescent="0.5">
      <c r="D1504" s="3" t="s">
        <v>84</v>
      </c>
      <c r="S1504" s="3" t="s">
        <v>84</v>
      </c>
    </row>
    <row r="1505" spans="4:19" ht="17.649999999999999" x14ac:dyDescent="0.5">
      <c r="D1505" s="3" t="s">
        <v>52</v>
      </c>
      <c r="S1505" s="3" t="s">
        <v>122</v>
      </c>
    </row>
    <row r="1506" spans="4:19" ht="17.649999999999999" x14ac:dyDescent="0.5">
      <c r="D1506" s="3" t="s">
        <v>108</v>
      </c>
      <c r="S1506" s="3" t="s">
        <v>66</v>
      </c>
    </row>
    <row r="1507" spans="4:19" ht="17.649999999999999" x14ac:dyDescent="0.5">
      <c r="D1507" s="3" t="s">
        <v>110</v>
      </c>
      <c r="S1507" s="3" t="s">
        <v>78</v>
      </c>
    </row>
    <row r="1508" spans="4:19" ht="17.649999999999999" x14ac:dyDescent="0.5">
      <c r="D1508" s="3" t="s">
        <v>103</v>
      </c>
      <c r="S1508" s="3" t="s">
        <v>103</v>
      </c>
    </row>
    <row r="1509" spans="4:19" ht="17.649999999999999" x14ac:dyDescent="0.5">
      <c r="D1509" s="3" t="s">
        <v>53</v>
      </c>
      <c r="S1509" s="3" t="s">
        <v>57</v>
      </c>
    </row>
    <row r="1510" spans="4:19" ht="17.649999999999999" x14ac:dyDescent="0.5">
      <c r="D1510" s="3" t="s">
        <v>55</v>
      </c>
      <c r="S1510" s="3" t="s">
        <v>108</v>
      </c>
    </row>
    <row r="1511" spans="4:19" ht="17.649999999999999" x14ac:dyDescent="0.5">
      <c r="D1511" s="3" t="s">
        <v>95</v>
      </c>
      <c r="S1511" s="3" t="s">
        <v>76</v>
      </c>
    </row>
    <row r="1512" spans="4:19" ht="17.649999999999999" x14ac:dyDescent="0.5">
      <c r="D1512" s="3" t="s">
        <v>52</v>
      </c>
      <c r="S1512" s="3" t="s">
        <v>52</v>
      </c>
    </row>
    <row r="1513" spans="4:19" ht="17.649999999999999" x14ac:dyDescent="0.5">
      <c r="D1513" s="3" t="s">
        <v>84</v>
      </c>
      <c r="S1513" s="3" t="s">
        <v>84</v>
      </c>
    </row>
    <row r="1514" spans="4:19" ht="17.649999999999999" x14ac:dyDescent="0.5">
      <c r="D1514" s="3" t="s">
        <v>44</v>
      </c>
      <c r="S1514" s="3" t="s">
        <v>44</v>
      </c>
    </row>
    <row r="1515" spans="4:19" ht="17.649999999999999" x14ac:dyDescent="0.5">
      <c r="D1515" s="3" t="s">
        <v>53</v>
      </c>
      <c r="S1515" s="3" t="s">
        <v>53</v>
      </c>
    </row>
    <row r="1516" spans="4:19" ht="17.649999999999999" x14ac:dyDescent="0.5">
      <c r="D1516" s="3" t="s">
        <v>103</v>
      </c>
      <c r="S1516" s="3" t="s">
        <v>103</v>
      </c>
    </row>
    <row r="1517" spans="4:19" ht="17.649999999999999" x14ac:dyDescent="0.5">
      <c r="D1517" s="3" t="s">
        <v>58</v>
      </c>
      <c r="S1517" s="3" t="s">
        <v>58</v>
      </c>
    </row>
    <row r="1518" spans="4:19" ht="17.649999999999999" x14ac:dyDescent="0.5">
      <c r="D1518" s="3" t="s">
        <v>91</v>
      </c>
      <c r="S1518" s="3" t="s">
        <v>91</v>
      </c>
    </row>
    <row r="1519" spans="4:19" ht="17.649999999999999" x14ac:dyDescent="0.5">
      <c r="D1519" s="3" t="s">
        <v>44</v>
      </c>
      <c r="S1519" s="3" t="s">
        <v>44</v>
      </c>
    </row>
    <row r="1520" spans="4:19" ht="17.649999999999999" x14ac:dyDescent="0.5">
      <c r="D1520" s="3" t="s">
        <v>57</v>
      </c>
      <c r="S1520" s="3" t="s">
        <v>57</v>
      </c>
    </row>
    <row r="1521" spans="4:19" ht="17.649999999999999" x14ac:dyDescent="0.5">
      <c r="D1521" s="3" t="s">
        <v>101</v>
      </c>
      <c r="S1521" s="3" t="s">
        <v>101</v>
      </c>
    </row>
    <row r="1522" spans="4:19" ht="17.649999999999999" x14ac:dyDescent="0.5">
      <c r="D1522" s="3" t="s">
        <v>53</v>
      </c>
      <c r="S1522" s="3" t="s">
        <v>53</v>
      </c>
    </row>
    <row r="1523" spans="4:19" ht="17.649999999999999" x14ac:dyDescent="0.5">
      <c r="D1523" s="3" t="s">
        <v>43</v>
      </c>
      <c r="S1523" s="3" t="s">
        <v>43</v>
      </c>
    </row>
    <row r="1524" spans="4:19" ht="17.649999999999999" x14ac:dyDescent="0.5">
      <c r="D1524" s="3" t="s">
        <v>66</v>
      </c>
      <c r="S1524" s="3" t="s">
        <v>66</v>
      </c>
    </row>
    <row r="1525" spans="4:19" ht="17.649999999999999" x14ac:dyDescent="0.5">
      <c r="D1525" s="3" t="s">
        <v>73</v>
      </c>
      <c r="S1525" s="3" t="s">
        <v>73</v>
      </c>
    </row>
    <row r="1526" spans="4:19" ht="17.649999999999999" x14ac:dyDescent="0.5">
      <c r="D1526" s="3" t="s">
        <v>63</v>
      </c>
      <c r="S1526" s="3" t="s">
        <v>63</v>
      </c>
    </row>
    <row r="1527" spans="4:19" ht="17.649999999999999" x14ac:dyDescent="0.5">
      <c r="D1527" s="3" t="s">
        <v>64</v>
      </c>
      <c r="S1527" s="3" t="s">
        <v>64</v>
      </c>
    </row>
    <row r="1528" spans="4:19" ht="17.649999999999999" x14ac:dyDescent="0.5">
      <c r="D1528" s="3" t="s">
        <v>118</v>
      </c>
      <c r="S1528" s="3" t="s">
        <v>118</v>
      </c>
    </row>
    <row r="1529" spans="4:19" ht="17.649999999999999" x14ac:dyDescent="0.5">
      <c r="D1529" s="3" t="s">
        <v>128</v>
      </c>
      <c r="S1529" s="3" t="s">
        <v>128</v>
      </c>
    </row>
    <row r="1530" spans="4:19" ht="17.649999999999999" x14ac:dyDescent="0.5">
      <c r="D1530" s="3" t="s">
        <v>69</v>
      </c>
      <c r="S1530" s="3" t="s">
        <v>69</v>
      </c>
    </row>
    <row r="1531" spans="4:19" ht="17.649999999999999" x14ac:dyDescent="0.5">
      <c r="D1531" s="3" t="s">
        <v>106</v>
      </c>
      <c r="S1531" s="3" t="s">
        <v>106</v>
      </c>
    </row>
    <row r="1532" spans="4:19" ht="17.649999999999999" x14ac:dyDescent="0.5">
      <c r="D1532" s="3" t="s">
        <v>48</v>
      </c>
      <c r="S1532" s="3" t="s">
        <v>98</v>
      </c>
    </row>
    <row r="1533" spans="4:19" ht="17.649999999999999" x14ac:dyDescent="0.5">
      <c r="D1533" s="3" t="s">
        <v>56</v>
      </c>
      <c r="S1533" s="3" t="s">
        <v>83</v>
      </c>
    </row>
    <row r="1534" spans="4:19" ht="17.649999999999999" x14ac:dyDescent="0.5">
      <c r="D1534" s="3" t="s">
        <v>103</v>
      </c>
      <c r="S1534" s="3" t="s">
        <v>103</v>
      </c>
    </row>
    <row r="1535" spans="4:19" ht="17.649999999999999" x14ac:dyDescent="0.5">
      <c r="D1535" s="3" t="s">
        <v>54</v>
      </c>
      <c r="S1535" s="3" t="s">
        <v>54</v>
      </c>
    </row>
    <row r="1536" spans="4:19" ht="17.649999999999999" x14ac:dyDescent="0.5">
      <c r="D1536" s="3" t="s">
        <v>61</v>
      </c>
      <c r="S1536" s="3" t="s">
        <v>61</v>
      </c>
    </row>
    <row r="1537" spans="4:19" ht="17.649999999999999" x14ac:dyDescent="0.5">
      <c r="D1537" s="3" t="s">
        <v>135</v>
      </c>
      <c r="S1537" s="3" t="s">
        <v>135</v>
      </c>
    </row>
    <row r="1538" spans="4:19" ht="17.649999999999999" x14ac:dyDescent="0.5">
      <c r="D1538" s="3" t="s">
        <v>83</v>
      </c>
      <c r="S1538" s="3" t="s">
        <v>56</v>
      </c>
    </row>
    <row r="1539" spans="4:19" ht="17.649999999999999" x14ac:dyDescent="0.5">
      <c r="D1539" s="3" t="s">
        <v>63</v>
      </c>
      <c r="S1539" s="3" t="s">
        <v>63</v>
      </c>
    </row>
    <row r="1540" spans="4:19" ht="17.649999999999999" x14ac:dyDescent="0.5">
      <c r="D1540" s="3" t="s">
        <v>47</v>
      </c>
      <c r="S1540" s="3" t="s">
        <v>47</v>
      </c>
    </row>
    <row r="1541" spans="4:19" ht="17.649999999999999" x14ac:dyDescent="0.5">
      <c r="D1541" s="3" t="s">
        <v>112</v>
      </c>
      <c r="S1541" s="3" t="s">
        <v>121</v>
      </c>
    </row>
    <row r="1542" spans="4:19" ht="17.649999999999999" x14ac:dyDescent="0.5">
      <c r="D1542" s="3" t="s">
        <v>59</v>
      </c>
      <c r="S1542" s="3" t="s">
        <v>59</v>
      </c>
    </row>
    <row r="1543" spans="4:19" ht="17.649999999999999" x14ac:dyDescent="0.5">
      <c r="D1543" s="3" t="s">
        <v>94</v>
      </c>
      <c r="S1543" s="3" t="s">
        <v>82</v>
      </c>
    </row>
    <row r="1544" spans="4:19" ht="17.649999999999999" x14ac:dyDescent="0.5">
      <c r="D1544" s="3" t="s">
        <v>43</v>
      </c>
      <c r="S1544" s="3" t="s">
        <v>43</v>
      </c>
    </row>
    <row r="1545" spans="4:19" ht="17.649999999999999" x14ac:dyDescent="0.5">
      <c r="D1545" s="3" t="s">
        <v>49</v>
      </c>
      <c r="S1545" s="3" t="s">
        <v>46</v>
      </c>
    </row>
    <row r="1546" spans="4:19" ht="17.649999999999999" x14ac:dyDescent="0.5">
      <c r="D1546" s="3" t="s">
        <v>68</v>
      </c>
      <c r="S1546" s="3" t="s">
        <v>68</v>
      </c>
    </row>
    <row r="1547" spans="4:19" ht="17.649999999999999" x14ac:dyDescent="0.5">
      <c r="D1547" s="3" t="s">
        <v>50</v>
      </c>
      <c r="S1547" s="3" t="s">
        <v>59</v>
      </c>
    </row>
    <row r="1548" spans="4:19" ht="17.649999999999999" x14ac:dyDescent="0.5">
      <c r="D1548" s="3" t="s">
        <v>74</v>
      </c>
      <c r="S1548" s="3" t="s">
        <v>115</v>
      </c>
    </row>
    <row r="1549" spans="4:19" ht="17.649999999999999" x14ac:dyDescent="0.5">
      <c r="D1549" s="3" t="s">
        <v>105</v>
      </c>
      <c r="S1549" s="3" t="s">
        <v>117</v>
      </c>
    </row>
    <row r="1550" spans="4:19" ht="17.649999999999999" x14ac:dyDescent="0.5">
      <c r="D1550" s="3" t="s">
        <v>101</v>
      </c>
      <c r="S1550" s="3" t="s">
        <v>42</v>
      </c>
    </row>
    <row r="1551" spans="4:19" ht="17.649999999999999" x14ac:dyDescent="0.5">
      <c r="D1551" s="3" t="s">
        <v>63</v>
      </c>
      <c r="S1551" s="3" t="s">
        <v>87</v>
      </c>
    </row>
    <row r="1552" spans="4:19" ht="17.649999999999999" x14ac:dyDescent="0.5">
      <c r="D1552" s="3" t="s">
        <v>47</v>
      </c>
      <c r="S1552" s="3" t="s">
        <v>44</v>
      </c>
    </row>
    <row r="1553" spans="4:19" ht="17.649999999999999" x14ac:dyDescent="0.5">
      <c r="D1553" s="3" t="s">
        <v>124</v>
      </c>
      <c r="S1553" s="3" t="s">
        <v>98</v>
      </c>
    </row>
    <row r="1554" spans="4:19" ht="17.649999999999999" x14ac:dyDescent="0.5">
      <c r="D1554" s="3" t="s">
        <v>114</v>
      </c>
      <c r="S1554" s="3" t="s">
        <v>105</v>
      </c>
    </row>
    <row r="1555" spans="4:19" ht="17.649999999999999" x14ac:dyDescent="0.5">
      <c r="D1555" s="3" t="s">
        <v>97</v>
      </c>
      <c r="S1555" s="3" t="s">
        <v>51</v>
      </c>
    </row>
    <row r="1556" spans="4:19" ht="17.649999999999999" x14ac:dyDescent="0.5">
      <c r="D1556" s="3" t="s">
        <v>135</v>
      </c>
      <c r="S1556" s="3" t="s">
        <v>44</v>
      </c>
    </row>
    <row r="1557" spans="4:19" ht="17.649999999999999" x14ac:dyDescent="0.5">
      <c r="D1557" s="3" t="s">
        <v>85</v>
      </c>
      <c r="S1557" s="3" t="s">
        <v>71</v>
      </c>
    </row>
    <row r="1558" spans="4:19" ht="17.649999999999999" x14ac:dyDescent="0.5">
      <c r="D1558" s="3" t="s">
        <v>77</v>
      </c>
      <c r="S1558" s="3" t="s">
        <v>65</v>
      </c>
    </row>
    <row r="1559" spans="4:19" ht="17.649999999999999" x14ac:dyDescent="0.5">
      <c r="D1559" s="3" t="s">
        <v>90</v>
      </c>
      <c r="S1559" s="3" t="s">
        <v>127</v>
      </c>
    </row>
    <row r="1560" spans="4:19" ht="17.649999999999999" x14ac:dyDescent="0.5">
      <c r="D1560" s="3" t="s">
        <v>51</v>
      </c>
      <c r="S1560" s="3" t="s">
        <v>51</v>
      </c>
    </row>
    <row r="1561" spans="4:19" ht="17.649999999999999" x14ac:dyDescent="0.5">
      <c r="D1561" s="3" t="s">
        <v>59</v>
      </c>
      <c r="S1561" s="3" t="s">
        <v>59</v>
      </c>
    </row>
    <row r="1562" spans="4:19" ht="17.649999999999999" x14ac:dyDescent="0.5">
      <c r="D1562" s="3" t="s">
        <v>52</v>
      </c>
      <c r="S1562" s="3" t="s">
        <v>97</v>
      </c>
    </row>
    <row r="1563" spans="4:19" ht="17.649999999999999" x14ac:dyDescent="0.5">
      <c r="D1563" s="3" t="s">
        <v>51</v>
      </c>
      <c r="S1563" s="3" t="s">
        <v>52</v>
      </c>
    </row>
    <row r="1564" spans="4:19" ht="17.649999999999999" x14ac:dyDescent="0.5">
      <c r="D1564" s="3" t="s">
        <v>49</v>
      </c>
      <c r="S1564" s="3" t="s">
        <v>46</v>
      </c>
    </row>
    <row r="1565" spans="4:19" ht="17.649999999999999" x14ac:dyDescent="0.5">
      <c r="D1565" s="3" t="s">
        <v>86</v>
      </c>
      <c r="S1565" s="3" t="s">
        <v>49</v>
      </c>
    </row>
    <row r="1566" spans="4:19" ht="17.649999999999999" x14ac:dyDescent="0.5">
      <c r="D1566" s="3" t="s">
        <v>125</v>
      </c>
      <c r="S1566" s="3" t="s">
        <v>128</v>
      </c>
    </row>
    <row r="1567" spans="4:19" ht="17.649999999999999" x14ac:dyDescent="0.5">
      <c r="D1567" s="3" t="s">
        <v>63</v>
      </c>
      <c r="S1567" s="3" t="s">
        <v>63</v>
      </c>
    </row>
    <row r="1568" spans="4:19" ht="17.649999999999999" x14ac:dyDescent="0.5">
      <c r="D1568" s="3" t="s">
        <v>69</v>
      </c>
      <c r="S1568" s="3" t="s">
        <v>69</v>
      </c>
    </row>
    <row r="1569" spans="4:19" ht="17.649999999999999" x14ac:dyDescent="0.5">
      <c r="D1569" s="3" t="s">
        <v>134</v>
      </c>
      <c r="S1569" s="3" t="s">
        <v>134</v>
      </c>
    </row>
    <row r="1570" spans="4:19" ht="17.649999999999999" x14ac:dyDescent="0.5">
      <c r="D1570" s="3" t="s">
        <v>107</v>
      </c>
      <c r="S1570" s="3" t="s">
        <v>107</v>
      </c>
    </row>
    <row r="1571" spans="4:19" ht="17.649999999999999" x14ac:dyDescent="0.5">
      <c r="D1571" s="3" t="s">
        <v>73</v>
      </c>
      <c r="S1571" s="3" t="s">
        <v>73</v>
      </c>
    </row>
    <row r="1572" spans="4:19" ht="17.649999999999999" x14ac:dyDescent="0.5">
      <c r="D1572" s="3" t="s">
        <v>81</v>
      </c>
      <c r="S1572" s="3" t="s">
        <v>81</v>
      </c>
    </row>
    <row r="1573" spans="4:19" ht="17.649999999999999" x14ac:dyDescent="0.5">
      <c r="D1573" s="3" t="s">
        <v>44</v>
      </c>
      <c r="S1573" s="3" t="s">
        <v>44</v>
      </c>
    </row>
    <row r="1574" spans="4:19" ht="17.649999999999999" x14ac:dyDescent="0.5">
      <c r="D1574" s="3" t="s">
        <v>47</v>
      </c>
      <c r="S1574" s="3" t="s">
        <v>47</v>
      </c>
    </row>
    <row r="1575" spans="4:19" ht="17.649999999999999" x14ac:dyDescent="0.5">
      <c r="D1575" s="3" t="s">
        <v>56</v>
      </c>
      <c r="S1575" s="3" t="s">
        <v>56</v>
      </c>
    </row>
    <row r="1576" spans="4:19" ht="17.649999999999999" x14ac:dyDescent="0.5">
      <c r="D1576" s="3" t="s">
        <v>53</v>
      </c>
      <c r="S1576" s="3" t="s">
        <v>53</v>
      </c>
    </row>
    <row r="1577" spans="4:19" ht="17.649999999999999" x14ac:dyDescent="0.5">
      <c r="D1577" s="3" t="s">
        <v>117</v>
      </c>
      <c r="S1577" s="3" t="s">
        <v>117</v>
      </c>
    </row>
    <row r="1578" spans="4:19" ht="17.649999999999999" x14ac:dyDescent="0.5">
      <c r="D1578" s="3" t="s">
        <v>100</v>
      </c>
      <c r="S1578" s="3" t="s">
        <v>100</v>
      </c>
    </row>
    <row r="1579" spans="4:19" ht="17.649999999999999" x14ac:dyDescent="0.5">
      <c r="D1579" s="3" t="s">
        <v>68</v>
      </c>
      <c r="S1579" s="3" t="s">
        <v>68</v>
      </c>
    </row>
    <row r="1580" spans="4:19" ht="17.649999999999999" x14ac:dyDescent="0.5">
      <c r="D1580" s="3" t="s">
        <v>129</v>
      </c>
      <c r="S1580" s="3" t="s">
        <v>129</v>
      </c>
    </row>
    <row r="1581" spans="4:19" ht="17.649999999999999" x14ac:dyDescent="0.5">
      <c r="D1581" s="3" t="s">
        <v>81</v>
      </c>
      <c r="S1581" s="3" t="s">
        <v>81</v>
      </c>
    </row>
    <row r="1582" spans="4:19" ht="17.649999999999999" x14ac:dyDescent="0.5">
      <c r="D1582" s="3" t="s">
        <v>92</v>
      </c>
      <c r="S1582" s="3" t="s">
        <v>92</v>
      </c>
    </row>
    <row r="1583" spans="4:19" ht="17.649999999999999" x14ac:dyDescent="0.5">
      <c r="D1583" s="3" t="s">
        <v>66</v>
      </c>
      <c r="S1583" s="3" t="s">
        <v>66</v>
      </c>
    </row>
    <row r="1584" spans="4:19" ht="17.649999999999999" x14ac:dyDescent="0.5">
      <c r="D1584" s="3" t="s">
        <v>105</v>
      </c>
      <c r="S1584" s="3" t="s">
        <v>105</v>
      </c>
    </row>
    <row r="1585" spans="4:19" ht="17.649999999999999" x14ac:dyDescent="0.5">
      <c r="D1585" s="3" t="s">
        <v>114</v>
      </c>
      <c r="S1585" s="3" t="s">
        <v>114</v>
      </c>
    </row>
    <row r="1586" spans="4:19" ht="17.649999999999999" x14ac:dyDescent="0.5">
      <c r="D1586" s="3" t="s">
        <v>132</v>
      </c>
      <c r="S1586" s="3" t="s">
        <v>132</v>
      </c>
    </row>
    <row r="1587" spans="4:19" ht="17.649999999999999" x14ac:dyDescent="0.5">
      <c r="D1587" s="3" t="s">
        <v>55</v>
      </c>
      <c r="S1587" s="3" t="s">
        <v>55</v>
      </c>
    </row>
    <row r="1588" spans="4:19" ht="17.649999999999999" x14ac:dyDescent="0.5">
      <c r="D1588" s="3" t="s">
        <v>66</v>
      </c>
      <c r="S1588" s="3" t="s">
        <v>66</v>
      </c>
    </row>
    <row r="1589" spans="4:19" ht="17.649999999999999" x14ac:dyDescent="0.5">
      <c r="D1589" s="3" t="s">
        <v>81</v>
      </c>
      <c r="S1589" s="3" t="s">
        <v>81</v>
      </c>
    </row>
    <row r="1590" spans="4:19" ht="17.649999999999999" x14ac:dyDescent="0.5">
      <c r="D1590" s="3" t="s">
        <v>91</v>
      </c>
      <c r="S1590" s="3" t="s">
        <v>91</v>
      </c>
    </row>
    <row r="1591" spans="4:19" ht="17.649999999999999" x14ac:dyDescent="0.5">
      <c r="D1591" s="3" t="s">
        <v>91</v>
      </c>
      <c r="S1591" s="3" t="s">
        <v>101</v>
      </c>
    </row>
    <row r="1592" spans="4:19" ht="17.649999999999999" x14ac:dyDescent="0.5">
      <c r="D1592" s="3" t="s">
        <v>122</v>
      </c>
      <c r="S1592" s="3" t="s">
        <v>51</v>
      </c>
    </row>
    <row r="1593" spans="4:19" ht="17.649999999999999" x14ac:dyDescent="0.5">
      <c r="D1593" s="3" t="s">
        <v>72</v>
      </c>
      <c r="S1593" s="3" t="s">
        <v>131</v>
      </c>
    </row>
    <row r="1594" spans="4:19" ht="17.649999999999999" x14ac:dyDescent="0.5">
      <c r="D1594" s="3" t="s">
        <v>115</v>
      </c>
      <c r="S1594" s="3" t="s">
        <v>115</v>
      </c>
    </row>
    <row r="1595" spans="4:19" ht="17.649999999999999" x14ac:dyDescent="0.5">
      <c r="D1595" s="3" t="s">
        <v>54</v>
      </c>
      <c r="S1595" s="3" t="s">
        <v>54</v>
      </c>
    </row>
    <row r="1596" spans="4:19" ht="17.649999999999999" x14ac:dyDescent="0.5">
      <c r="D1596" s="3" t="s">
        <v>91</v>
      </c>
      <c r="S1596" s="3" t="s">
        <v>91</v>
      </c>
    </row>
    <row r="1597" spans="4:19" ht="17.649999999999999" x14ac:dyDescent="0.5">
      <c r="D1597" s="3" t="s">
        <v>68</v>
      </c>
      <c r="S1597" s="3" t="s">
        <v>68</v>
      </c>
    </row>
    <row r="1598" spans="4:19" ht="17.649999999999999" x14ac:dyDescent="0.5">
      <c r="D1598" s="3" t="s">
        <v>102</v>
      </c>
      <c r="S1598" s="3" t="s">
        <v>102</v>
      </c>
    </row>
    <row r="1599" spans="4:19" ht="17.649999999999999" x14ac:dyDescent="0.5">
      <c r="D1599" s="3" t="s">
        <v>117</v>
      </c>
      <c r="S1599" s="3" t="s">
        <v>105</v>
      </c>
    </row>
    <row r="1600" spans="4:19" ht="17.649999999999999" x14ac:dyDescent="0.5">
      <c r="D1600" s="3" t="s">
        <v>49</v>
      </c>
      <c r="S1600" s="3" t="s">
        <v>46</v>
      </c>
    </row>
    <row r="1601" spans="4:19" ht="17.649999999999999" x14ac:dyDescent="0.5">
      <c r="D1601" s="3" t="s">
        <v>69</v>
      </c>
      <c r="S1601" s="3" t="s">
        <v>69</v>
      </c>
    </row>
    <row r="1602" spans="4:19" ht="17.649999999999999" x14ac:dyDescent="0.5">
      <c r="D1602" s="3" t="s">
        <v>59</v>
      </c>
      <c r="S1602" s="3" t="s">
        <v>50</v>
      </c>
    </row>
    <row r="1603" spans="4:19" ht="17.649999999999999" x14ac:dyDescent="0.5">
      <c r="D1603" s="3" t="s">
        <v>44</v>
      </c>
      <c r="S1603" s="3" t="s">
        <v>44</v>
      </c>
    </row>
    <row r="1604" spans="4:19" ht="17.649999999999999" x14ac:dyDescent="0.5">
      <c r="D1604" s="3" t="s">
        <v>93</v>
      </c>
      <c r="S1604" s="3" t="s">
        <v>93</v>
      </c>
    </row>
    <row r="1605" spans="4:19" ht="17.649999999999999" x14ac:dyDescent="0.5">
      <c r="D1605" s="3" t="s">
        <v>67</v>
      </c>
      <c r="S1605" s="3" t="s">
        <v>107</v>
      </c>
    </row>
    <row r="1606" spans="4:19" ht="17.649999999999999" x14ac:dyDescent="0.5">
      <c r="D1606" s="3" t="s">
        <v>84</v>
      </c>
      <c r="S1606" s="3" t="s">
        <v>92</v>
      </c>
    </row>
    <row r="1607" spans="4:19" ht="17.649999999999999" x14ac:dyDescent="0.5">
      <c r="D1607" s="3" t="s">
        <v>92</v>
      </c>
      <c r="S1607" s="3" t="s">
        <v>84</v>
      </c>
    </row>
    <row r="1608" spans="4:19" ht="17.649999999999999" x14ac:dyDescent="0.5">
      <c r="D1608" s="3" t="s">
        <v>66</v>
      </c>
      <c r="S1608" s="3" t="s">
        <v>55</v>
      </c>
    </row>
    <row r="1609" spans="4:19" ht="17.649999999999999" x14ac:dyDescent="0.5">
      <c r="D1609" s="3" t="s">
        <v>83</v>
      </c>
      <c r="S1609" s="3" t="s">
        <v>56</v>
      </c>
    </row>
    <row r="1610" spans="4:19" ht="17.649999999999999" x14ac:dyDescent="0.5">
      <c r="D1610" s="3" t="s">
        <v>81</v>
      </c>
      <c r="S1610" s="3" t="s">
        <v>78</v>
      </c>
    </row>
    <row r="1611" spans="4:19" ht="17.649999999999999" x14ac:dyDescent="0.5">
      <c r="D1611" s="3" t="s">
        <v>112</v>
      </c>
      <c r="S1611" s="3" t="s">
        <v>103</v>
      </c>
    </row>
    <row r="1612" spans="4:19" ht="17.649999999999999" x14ac:dyDescent="0.5">
      <c r="D1612" s="3" t="s">
        <v>47</v>
      </c>
      <c r="S1612" s="3" t="s">
        <v>44</v>
      </c>
    </row>
    <row r="1613" spans="4:19" ht="17.649999999999999" x14ac:dyDescent="0.5">
      <c r="D1613" s="3" t="s">
        <v>73</v>
      </c>
      <c r="S1613" s="3" t="s">
        <v>69</v>
      </c>
    </row>
    <row r="1614" spans="4:19" ht="17.649999999999999" x14ac:dyDescent="0.5">
      <c r="D1614" s="3" t="s">
        <v>43</v>
      </c>
      <c r="S1614" s="3" t="s">
        <v>96</v>
      </c>
    </row>
    <row r="1615" spans="4:19" ht="17.649999999999999" x14ac:dyDescent="0.5">
      <c r="D1615" s="3" t="s">
        <v>82</v>
      </c>
      <c r="S1615" s="3" t="s">
        <v>120</v>
      </c>
    </row>
    <row r="1616" spans="4:19" ht="17.649999999999999" x14ac:dyDescent="0.5">
      <c r="D1616" s="3" t="s">
        <v>94</v>
      </c>
      <c r="S1616" s="3" t="s">
        <v>94</v>
      </c>
    </row>
    <row r="1617" spans="4:19" ht="17.649999999999999" x14ac:dyDescent="0.5">
      <c r="D1617" s="3" t="s">
        <v>105</v>
      </c>
      <c r="S1617" s="3" t="s">
        <v>105</v>
      </c>
    </row>
    <row r="1618" spans="4:19" ht="17.649999999999999" x14ac:dyDescent="0.5">
      <c r="D1618" s="3" t="s">
        <v>64</v>
      </c>
      <c r="S1618" s="3" t="s">
        <v>64</v>
      </c>
    </row>
    <row r="1619" spans="4:19" ht="17.649999999999999" x14ac:dyDescent="0.5">
      <c r="D1619" s="3" t="s">
        <v>117</v>
      </c>
      <c r="S1619" s="3" t="s">
        <v>117</v>
      </c>
    </row>
    <row r="1620" spans="4:19" ht="17.649999999999999" x14ac:dyDescent="0.5">
      <c r="D1620" s="3" t="s">
        <v>44</v>
      </c>
      <c r="S1620" s="3" t="s">
        <v>47</v>
      </c>
    </row>
    <row r="1621" spans="4:19" ht="17.649999999999999" x14ac:dyDescent="0.5">
      <c r="D1621" s="3" t="s">
        <v>80</v>
      </c>
      <c r="S1621" s="3" t="s">
        <v>61</v>
      </c>
    </row>
    <row r="1622" spans="4:19" ht="17.649999999999999" x14ac:dyDescent="0.5">
      <c r="D1622" s="3" t="s">
        <v>62</v>
      </c>
      <c r="S1622" s="3" t="s">
        <v>44</v>
      </c>
    </row>
    <row r="1623" spans="4:19" ht="17.649999999999999" x14ac:dyDescent="0.5">
      <c r="D1623" s="3" t="s">
        <v>117</v>
      </c>
      <c r="S1623" s="3" t="s">
        <v>45</v>
      </c>
    </row>
    <row r="1624" spans="4:19" ht="17.649999999999999" x14ac:dyDescent="0.5">
      <c r="D1624" s="3" t="s">
        <v>61</v>
      </c>
      <c r="S1624" s="3" t="s">
        <v>61</v>
      </c>
    </row>
    <row r="1625" spans="4:19" ht="17.649999999999999" x14ac:dyDescent="0.5">
      <c r="D1625" s="3" t="s">
        <v>118</v>
      </c>
      <c r="S1625" s="3" t="s">
        <v>57</v>
      </c>
    </row>
    <row r="1626" spans="4:19" ht="17.649999999999999" x14ac:dyDescent="0.5">
      <c r="D1626" s="3" t="s">
        <v>48</v>
      </c>
      <c r="S1626" s="3" t="s">
        <v>98</v>
      </c>
    </row>
    <row r="1627" spans="4:19" ht="17.649999999999999" x14ac:dyDescent="0.5">
      <c r="D1627" s="3" t="s">
        <v>54</v>
      </c>
      <c r="S1627" s="3" t="s">
        <v>94</v>
      </c>
    </row>
    <row r="1628" spans="4:19" ht="17.649999999999999" x14ac:dyDescent="0.5">
      <c r="D1628" s="3" t="s">
        <v>47</v>
      </c>
      <c r="S1628" s="3" t="s">
        <v>47</v>
      </c>
    </row>
    <row r="1629" spans="4:19" ht="17.649999999999999" x14ac:dyDescent="0.5">
      <c r="D1629" s="3" t="s">
        <v>109</v>
      </c>
      <c r="S1629" s="3" t="s">
        <v>53</v>
      </c>
    </row>
    <row r="1630" spans="4:19" ht="17.649999999999999" x14ac:dyDescent="0.5">
      <c r="D1630" s="3" t="s">
        <v>51</v>
      </c>
      <c r="S1630" s="3" t="s">
        <v>51</v>
      </c>
    </row>
    <row r="1631" spans="4:19" ht="17.649999999999999" x14ac:dyDescent="0.5">
      <c r="D1631" s="3" t="s">
        <v>49</v>
      </c>
      <c r="S1631" s="3" t="s">
        <v>49</v>
      </c>
    </row>
    <row r="1632" spans="4:19" ht="17.649999999999999" x14ac:dyDescent="0.5">
      <c r="D1632" s="3" t="s">
        <v>117</v>
      </c>
      <c r="S1632" s="3" t="s">
        <v>105</v>
      </c>
    </row>
    <row r="1633" spans="4:19" ht="17.649999999999999" x14ac:dyDescent="0.5">
      <c r="D1633" s="3" t="s">
        <v>81</v>
      </c>
      <c r="S1633" s="3" t="s">
        <v>78</v>
      </c>
    </row>
    <row r="1634" spans="4:19" ht="17.649999999999999" x14ac:dyDescent="0.5">
      <c r="D1634" s="3" t="s">
        <v>77</v>
      </c>
      <c r="S1634" s="3" t="s">
        <v>119</v>
      </c>
    </row>
    <row r="1635" spans="4:19" ht="17.649999999999999" x14ac:dyDescent="0.5">
      <c r="D1635" s="3" t="s">
        <v>128</v>
      </c>
      <c r="S1635" s="3" t="s">
        <v>125</v>
      </c>
    </row>
    <row r="1636" spans="4:19" ht="17.649999999999999" x14ac:dyDescent="0.5">
      <c r="D1636" s="3" t="s">
        <v>66</v>
      </c>
      <c r="S1636" s="3" t="s">
        <v>55</v>
      </c>
    </row>
    <row r="1637" spans="4:19" ht="17.649999999999999" x14ac:dyDescent="0.5">
      <c r="D1637" s="3" t="s">
        <v>57</v>
      </c>
      <c r="S1637" s="3" t="s">
        <v>109</v>
      </c>
    </row>
    <row r="1638" spans="4:19" ht="17.649999999999999" x14ac:dyDescent="0.5">
      <c r="D1638" s="3" t="s">
        <v>41</v>
      </c>
      <c r="S1638" s="3" t="s">
        <v>85</v>
      </c>
    </row>
    <row r="1639" spans="4:19" ht="17.649999999999999" x14ac:dyDescent="0.5">
      <c r="D1639" s="3" t="s">
        <v>92</v>
      </c>
      <c r="S1639" s="3" t="s">
        <v>84</v>
      </c>
    </row>
    <row r="1640" spans="4:19" ht="17.649999999999999" x14ac:dyDescent="0.5">
      <c r="D1640" s="3" t="s">
        <v>71</v>
      </c>
      <c r="S1640" s="3" t="s">
        <v>134</v>
      </c>
    </row>
    <row r="1641" spans="4:19" ht="17.649999999999999" x14ac:dyDescent="0.5">
      <c r="D1641" s="3" t="s">
        <v>72</v>
      </c>
      <c r="S1641" s="3" t="s">
        <v>72</v>
      </c>
    </row>
    <row r="1642" spans="4:19" ht="17.649999999999999" x14ac:dyDescent="0.5">
      <c r="D1642" s="3" t="s">
        <v>94</v>
      </c>
      <c r="S1642" s="3" t="s">
        <v>94</v>
      </c>
    </row>
    <row r="1643" spans="4:19" ht="17.649999999999999" x14ac:dyDescent="0.5">
      <c r="D1643" s="3" t="s">
        <v>57</v>
      </c>
      <c r="S1643" s="3" t="s">
        <v>57</v>
      </c>
    </row>
    <row r="1644" spans="4:19" ht="17.649999999999999" x14ac:dyDescent="0.5">
      <c r="D1644" s="3" t="s">
        <v>75</v>
      </c>
      <c r="S1644" s="3" t="s">
        <v>75</v>
      </c>
    </row>
    <row r="1645" spans="4:19" ht="17.649999999999999" x14ac:dyDescent="0.5">
      <c r="D1645" s="3" t="s">
        <v>130</v>
      </c>
      <c r="S1645" s="3" t="s">
        <v>130</v>
      </c>
    </row>
    <row r="1646" spans="4:19" ht="17.649999999999999" x14ac:dyDescent="0.5">
      <c r="D1646" s="3" t="s">
        <v>81</v>
      </c>
      <c r="S1646" s="3" t="s">
        <v>81</v>
      </c>
    </row>
    <row r="1647" spans="4:19" ht="17.649999999999999" x14ac:dyDescent="0.5">
      <c r="D1647" s="3" t="s">
        <v>51</v>
      </c>
      <c r="S1647" s="3" t="s">
        <v>51</v>
      </c>
    </row>
    <row r="1648" spans="4:19" ht="17.649999999999999" x14ac:dyDescent="0.5">
      <c r="D1648" s="3" t="s">
        <v>117</v>
      </c>
      <c r="S1648" s="3" t="s">
        <v>105</v>
      </c>
    </row>
    <row r="1649" spans="4:19" ht="17.649999999999999" x14ac:dyDescent="0.5">
      <c r="D1649" s="3" t="s">
        <v>90</v>
      </c>
      <c r="S1649" s="3" t="s">
        <v>90</v>
      </c>
    </row>
    <row r="1650" spans="4:19" ht="17.649999999999999" x14ac:dyDescent="0.5">
      <c r="D1650" s="3" t="s">
        <v>57</v>
      </c>
      <c r="S1650" s="3" t="s">
        <v>53</v>
      </c>
    </row>
    <row r="1651" spans="4:19" ht="17.649999999999999" x14ac:dyDescent="0.5">
      <c r="D1651" s="3" t="s">
        <v>71</v>
      </c>
      <c r="S1651" s="3" t="s">
        <v>41</v>
      </c>
    </row>
    <row r="1652" spans="4:19" ht="17.649999999999999" x14ac:dyDescent="0.5">
      <c r="D1652" s="3" t="s">
        <v>96</v>
      </c>
      <c r="S1652" s="3" t="s">
        <v>95</v>
      </c>
    </row>
    <row r="1653" spans="4:19" ht="17.649999999999999" x14ac:dyDescent="0.5">
      <c r="D1653" s="3" t="s">
        <v>56</v>
      </c>
      <c r="S1653" s="3" t="s">
        <v>136</v>
      </c>
    </row>
    <row r="1654" spans="4:19" ht="17.649999999999999" x14ac:dyDescent="0.5">
      <c r="D1654" s="3" t="s">
        <v>92</v>
      </c>
      <c r="S1654" s="3" t="s">
        <v>84</v>
      </c>
    </row>
    <row r="1655" spans="4:19" ht="17.649999999999999" x14ac:dyDescent="0.5">
      <c r="D1655" s="3" t="s">
        <v>75</v>
      </c>
      <c r="S1655" s="3" t="s">
        <v>75</v>
      </c>
    </row>
    <row r="1656" spans="4:19" ht="17.649999999999999" x14ac:dyDescent="0.5">
      <c r="D1656" s="3" t="s">
        <v>48</v>
      </c>
      <c r="S1656" s="3" t="s">
        <v>48</v>
      </c>
    </row>
    <row r="1657" spans="4:19" ht="17.649999999999999" x14ac:dyDescent="0.5">
      <c r="D1657" s="3" t="s">
        <v>56</v>
      </c>
      <c r="S1657" s="3" t="s">
        <v>83</v>
      </c>
    </row>
    <row r="1658" spans="4:19" ht="17.649999999999999" x14ac:dyDescent="0.5">
      <c r="D1658" s="3" t="s">
        <v>41</v>
      </c>
      <c r="S1658" s="3" t="s">
        <v>85</v>
      </c>
    </row>
    <row r="1659" spans="4:19" ht="17.649999999999999" x14ac:dyDescent="0.5">
      <c r="D1659" s="3" t="s">
        <v>45</v>
      </c>
      <c r="S1659" s="3" t="s">
        <v>114</v>
      </c>
    </row>
    <row r="1660" spans="4:19" ht="17.649999999999999" x14ac:dyDescent="0.5">
      <c r="D1660" s="3" t="s">
        <v>87</v>
      </c>
      <c r="S1660" s="3" t="s">
        <v>87</v>
      </c>
    </row>
    <row r="1661" spans="4:19" ht="17.649999999999999" x14ac:dyDescent="0.5">
      <c r="D1661" s="3" t="s">
        <v>128</v>
      </c>
      <c r="S1661" s="3" t="s">
        <v>128</v>
      </c>
    </row>
    <row r="1662" spans="4:19" ht="17.649999999999999" x14ac:dyDescent="0.5">
      <c r="D1662" s="3" t="s">
        <v>112</v>
      </c>
      <c r="S1662" s="3" t="s">
        <v>112</v>
      </c>
    </row>
    <row r="1663" spans="4:19" ht="17.649999999999999" x14ac:dyDescent="0.5">
      <c r="D1663" s="3" t="s">
        <v>105</v>
      </c>
      <c r="S1663" s="3" t="s">
        <v>105</v>
      </c>
    </row>
    <row r="1664" spans="4:19" ht="17.649999999999999" x14ac:dyDescent="0.5">
      <c r="D1664" s="3" t="s">
        <v>50</v>
      </c>
      <c r="S1664" s="3" t="s">
        <v>50</v>
      </c>
    </row>
    <row r="1665" spans="4:19" ht="17.649999999999999" x14ac:dyDescent="0.5">
      <c r="D1665" s="3" t="s">
        <v>54</v>
      </c>
      <c r="S1665" s="3" t="s">
        <v>54</v>
      </c>
    </row>
    <row r="1666" spans="4:19" ht="17.649999999999999" x14ac:dyDescent="0.5">
      <c r="D1666" s="3" t="s">
        <v>43</v>
      </c>
      <c r="S1666" s="3" t="s">
        <v>96</v>
      </c>
    </row>
    <row r="1667" spans="4:19" ht="17.649999999999999" x14ac:dyDescent="0.5">
      <c r="D1667" s="3" t="s">
        <v>128</v>
      </c>
      <c r="S1667" s="3" t="s">
        <v>92</v>
      </c>
    </row>
    <row r="1668" spans="4:19" ht="17.649999999999999" x14ac:dyDescent="0.5">
      <c r="D1668" s="3" t="s">
        <v>64</v>
      </c>
      <c r="S1668" s="3" t="s">
        <v>64</v>
      </c>
    </row>
    <row r="1669" spans="4:19" ht="17.649999999999999" x14ac:dyDescent="0.5">
      <c r="D1669" s="3" t="s">
        <v>104</v>
      </c>
      <c r="S1669" s="3" t="s">
        <v>91</v>
      </c>
    </row>
    <row r="1670" spans="4:19" ht="17.649999999999999" x14ac:dyDescent="0.5">
      <c r="D1670" s="3" t="s">
        <v>47</v>
      </c>
      <c r="S1670" s="3" t="s">
        <v>47</v>
      </c>
    </row>
    <row r="1671" spans="4:19" ht="17.649999999999999" x14ac:dyDescent="0.5">
      <c r="D1671" s="3" t="s">
        <v>44</v>
      </c>
      <c r="S1671" s="3" t="s">
        <v>44</v>
      </c>
    </row>
    <row r="1672" spans="4:19" ht="17.649999999999999" x14ac:dyDescent="0.5">
      <c r="D1672" s="3" t="s">
        <v>71</v>
      </c>
      <c r="S1672" s="3" t="s">
        <v>71</v>
      </c>
    </row>
    <row r="1673" spans="4:19" ht="17.649999999999999" x14ac:dyDescent="0.5">
      <c r="D1673" s="3" t="s">
        <v>52</v>
      </c>
      <c r="S1673" s="3" t="s">
        <v>52</v>
      </c>
    </row>
    <row r="1674" spans="4:19" ht="17.649999999999999" x14ac:dyDescent="0.5">
      <c r="D1674" s="3" t="s">
        <v>50</v>
      </c>
      <c r="S1674" s="3" t="s">
        <v>50</v>
      </c>
    </row>
    <row r="1675" spans="4:19" ht="17.649999999999999" x14ac:dyDescent="0.5">
      <c r="D1675" s="3" t="s">
        <v>49</v>
      </c>
      <c r="S1675" s="3" t="s">
        <v>46</v>
      </c>
    </row>
    <row r="1676" spans="4:19" ht="17.649999999999999" x14ac:dyDescent="0.5">
      <c r="D1676" s="3" t="s">
        <v>86</v>
      </c>
      <c r="S1676" s="3" t="s">
        <v>49</v>
      </c>
    </row>
    <row r="1677" spans="4:19" ht="17.649999999999999" x14ac:dyDescent="0.5">
      <c r="D1677" s="3" t="s">
        <v>65</v>
      </c>
      <c r="S1677" s="3" t="s">
        <v>113</v>
      </c>
    </row>
    <row r="1678" spans="4:19" ht="17.649999999999999" x14ac:dyDescent="0.5">
      <c r="D1678" s="3" t="s">
        <v>55</v>
      </c>
      <c r="S1678" s="3" t="s">
        <v>55</v>
      </c>
    </row>
    <row r="1679" spans="4:19" ht="17.649999999999999" x14ac:dyDescent="0.5">
      <c r="D1679" s="3" t="s">
        <v>93</v>
      </c>
      <c r="S1679" s="3" t="s">
        <v>93</v>
      </c>
    </row>
    <row r="1680" spans="4:19" ht="17.649999999999999" x14ac:dyDescent="0.5">
      <c r="D1680" s="3" t="s">
        <v>98</v>
      </c>
      <c r="S1680" s="3" t="s">
        <v>48</v>
      </c>
    </row>
    <row r="1681" spans="4:19" ht="17.649999999999999" x14ac:dyDescent="0.5">
      <c r="D1681" s="3" t="s">
        <v>101</v>
      </c>
      <c r="S1681" s="3" t="s">
        <v>101</v>
      </c>
    </row>
    <row r="1682" spans="4:19" ht="17.649999999999999" x14ac:dyDescent="0.5">
      <c r="D1682" s="3" t="s">
        <v>41</v>
      </c>
      <c r="S1682" s="3" t="s">
        <v>71</v>
      </c>
    </row>
    <row r="1683" spans="4:19" ht="17.649999999999999" x14ac:dyDescent="0.5">
      <c r="D1683" s="3" t="s">
        <v>98</v>
      </c>
      <c r="S1683" s="3" t="s">
        <v>98</v>
      </c>
    </row>
    <row r="1684" spans="4:19" ht="17.649999999999999" x14ac:dyDescent="0.5">
      <c r="D1684" s="3" t="s">
        <v>48</v>
      </c>
      <c r="S1684" s="3" t="s">
        <v>48</v>
      </c>
    </row>
    <row r="1685" spans="4:19" ht="17.649999999999999" x14ac:dyDescent="0.5">
      <c r="D1685" s="3" t="s">
        <v>99</v>
      </c>
      <c r="S1685" s="3" t="s">
        <v>99</v>
      </c>
    </row>
    <row r="1686" spans="4:19" ht="17.649999999999999" x14ac:dyDescent="0.5">
      <c r="D1686" s="3" t="s">
        <v>105</v>
      </c>
      <c r="S1686" s="3" t="s">
        <v>117</v>
      </c>
    </row>
    <row r="1687" spans="4:19" ht="17.649999999999999" x14ac:dyDescent="0.5">
      <c r="D1687" s="3" t="s">
        <v>83</v>
      </c>
      <c r="S1687" s="3" t="s">
        <v>83</v>
      </c>
    </row>
    <row r="1688" spans="4:19" ht="17.649999999999999" x14ac:dyDescent="0.5">
      <c r="D1688" s="3" t="s">
        <v>103</v>
      </c>
      <c r="S1688" s="3" t="s">
        <v>70</v>
      </c>
    </row>
    <row r="1689" spans="4:19" ht="17.649999999999999" x14ac:dyDescent="0.5">
      <c r="D1689" s="3" t="s">
        <v>77</v>
      </c>
      <c r="S1689" s="3" t="s">
        <v>65</v>
      </c>
    </row>
    <row r="1690" spans="4:19" ht="17.649999999999999" x14ac:dyDescent="0.5">
      <c r="D1690" s="3" t="s">
        <v>105</v>
      </c>
      <c r="S1690" s="3" t="s">
        <v>105</v>
      </c>
    </row>
    <row r="1691" spans="4:19" ht="17.649999999999999" x14ac:dyDescent="0.5">
      <c r="D1691" s="3" t="s">
        <v>88</v>
      </c>
      <c r="S1691" s="3" t="s">
        <v>126</v>
      </c>
    </row>
    <row r="1692" spans="4:19" ht="17.649999999999999" x14ac:dyDescent="0.5">
      <c r="D1692" s="3" t="s">
        <v>72</v>
      </c>
      <c r="S1692" s="3" t="s">
        <v>74</v>
      </c>
    </row>
    <row r="1693" spans="4:19" ht="17.649999999999999" x14ac:dyDescent="0.5">
      <c r="D1693" s="3" t="s">
        <v>107</v>
      </c>
      <c r="S1693" s="3" t="s">
        <v>67</v>
      </c>
    </row>
    <row r="1694" spans="4:19" ht="17.649999999999999" x14ac:dyDescent="0.5">
      <c r="D1694" s="3" t="s">
        <v>60</v>
      </c>
      <c r="S1694" s="3" t="s">
        <v>60</v>
      </c>
    </row>
    <row r="1695" spans="4:19" ht="17.649999999999999" x14ac:dyDescent="0.5">
      <c r="D1695" s="3" t="s">
        <v>90</v>
      </c>
      <c r="S1695" s="3" t="s">
        <v>127</v>
      </c>
    </row>
    <row r="1696" spans="4:19" ht="17.649999999999999" x14ac:dyDescent="0.5">
      <c r="D1696" s="3" t="s">
        <v>112</v>
      </c>
      <c r="S1696" s="3" t="s">
        <v>112</v>
      </c>
    </row>
    <row r="1697" spans="4:19" ht="17.649999999999999" x14ac:dyDescent="0.5">
      <c r="D1697" s="3" t="s">
        <v>93</v>
      </c>
      <c r="S1697" s="3" t="s">
        <v>66</v>
      </c>
    </row>
    <row r="1698" spans="4:19" ht="17.649999999999999" x14ac:dyDescent="0.5">
      <c r="D1698" s="3" t="s">
        <v>46</v>
      </c>
      <c r="S1698" s="3" t="s">
        <v>46</v>
      </c>
    </row>
    <row r="1699" spans="4:19" ht="17.649999999999999" x14ac:dyDescent="0.5">
      <c r="D1699" s="3" t="s">
        <v>95</v>
      </c>
      <c r="S1699" s="3" t="s">
        <v>95</v>
      </c>
    </row>
    <row r="1700" spans="4:19" ht="17.649999999999999" x14ac:dyDescent="0.5">
      <c r="D1700" s="3" t="s">
        <v>131</v>
      </c>
      <c r="S1700" s="3" t="s">
        <v>115</v>
      </c>
    </row>
    <row r="1701" spans="4:19" ht="17.649999999999999" x14ac:dyDescent="0.5">
      <c r="D1701" s="3" t="s">
        <v>116</v>
      </c>
      <c r="S1701" s="3" t="s">
        <v>79</v>
      </c>
    </row>
    <row r="1702" spans="4:19" ht="17.649999999999999" x14ac:dyDescent="0.5">
      <c r="D1702" s="3" t="s">
        <v>67</v>
      </c>
      <c r="S1702" s="3" t="s">
        <v>67</v>
      </c>
    </row>
    <row r="1703" spans="4:19" ht="17.649999999999999" x14ac:dyDescent="0.5">
      <c r="D1703" s="3" t="s">
        <v>54</v>
      </c>
      <c r="S1703" s="3" t="s">
        <v>54</v>
      </c>
    </row>
    <row r="1704" spans="4:19" ht="17.649999999999999" x14ac:dyDescent="0.5">
      <c r="D1704" s="3" t="s">
        <v>46</v>
      </c>
      <c r="S1704" s="3" t="s">
        <v>49</v>
      </c>
    </row>
    <row r="1705" spans="4:19" ht="17.649999999999999" x14ac:dyDescent="0.5">
      <c r="D1705" s="3" t="s">
        <v>119</v>
      </c>
      <c r="S1705" s="3" t="s">
        <v>65</v>
      </c>
    </row>
    <row r="1706" spans="4:19" ht="17.649999999999999" x14ac:dyDescent="0.5">
      <c r="D1706" s="3" t="s">
        <v>68</v>
      </c>
      <c r="S1706" s="3" t="s">
        <v>75</v>
      </c>
    </row>
    <row r="1707" spans="4:19" ht="17.649999999999999" x14ac:dyDescent="0.5">
      <c r="D1707" s="3" t="s">
        <v>57</v>
      </c>
      <c r="S1707" s="3" t="s">
        <v>53</v>
      </c>
    </row>
    <row r="1708" spans="4:19" ht="17.649999999999999" x14ac:dyDescent="0.5">
      <c r="D1708" s="3" t="s">
        <v>109</v>
      </c>
      <c r="S1708" s="3" t="s">
        <v>57</v>
      </c>
    </row>
    <row r="1709" spans="4:19" ht="17.649999999999999" x14ac:dyDescent="0.5">
      <c r="D1709" s="3" t="s">
        <v>87</v>
      </c>
      <c r="S1709" s="3" t="s">
        <v>63</v>
      </c>
    </row>
    <row r="1710" spans="4:19" ht="17.649999999999999" x14ac:dyDescent="0.5">
      <c r="D1710" s="3" t="s">
        <v>91</v>
      </c>
      <c r="S1710" s="3" t="s">
        <v>104</v>
      </c>
    </row>
    <row r="1711" spans="4:19" ht="17.649999999999999" x14ac:dyDescent="0.5">
      <c r="D1711" s="3" t="s">
        <v>78</v>
      </c>
      <c r="S1711" s="3" t="s">
        <v>123</v>
      </c>
    </row>
    <row r="1712" spans="4:19" ht="17.649999999999999" x14ac:dyDescent="0.5">
      <c r="D1712" s="3" t="s">
        <v>96</v>
      </c>
      <c r="S1712" s="3" t="s">
        <v>43</v>
      </c>
    </row>
    <row r="1713" spans="4:19" ht="17.649999999999999" x14ac:dyDescent="0.5">
      <c r="D1713" s="3" t="s">
        <v>43</v>
      </c>
      <c r="S1713" s="3" t="s">
        <v>76</v>
      </c>
    </row>
    <row r="1714" spans="4:19" ht="17.649999999999999" x14ac:dyDescent="0.5">
      <c r="D1714" s="3" t="s">
        <v>46</v>
      </c>
      <c r="S1714" s="3" t="s">
        <v>49</v>
      </c>
    </row>
    <row r="1715" spans="4:19" ht="17.649999999999999" x14ac:dyDescent="0.5">
      <c r="D1715" s="3" t="s">
        <v>96</v>
      </c>
      <c r="S1715" s="3" t="s">
        <v>43</v>
      </c>
    </row>
    <row r="1716" spans="4:19" ht="17.649999999999999" x14ac:dyDescent="0.5">
      <c r="D1716" s="3" t="s">
        <v>71</v>
      </c>
      <c r="S1716" s="3" t="s">
        <v>41</v>
      </c>
    </row>
    <row r="1717" spans="4:19" ht="17.649999999999999" x14ac:dyDescent="0.5">
      <c r="D1717" s="3" t="s">
        <v>91</v>
      </c>
      <c r="S1717" s="3" t="s">
        <v>104</v>
      </c>
    </row>
    <row r="1718" spans="4:19" ht="17.649999999999999" x14ac:dyDescent="0.5">
      <c r="D1718" s="3" t="s">
        <v>107</v>
      </c>
      <c r="S1718" s="3" t="s">
        <v>107</v>
      </c>
    </row>
    <row r="1719" spans="4:19" ht="17.649999999999999" x14ac:dyDescent="0.5">
      <c r="D1719" s="3" t="s">
        <v>81</v>
      </c>
      <c r="S1719" s="3" t="s">
        <v>110</v>
      </c>
    </row>
    <row r="1720" spans="4:19" ht="17.649999999999999" x14ac:dyDescent="0.5">
      <c r="D1720" s="3" t="s">
        <v>101</v>
      </c>
      <c r="S1720" s="3" t="s">
        <v>101</v>
      </c>
    </row>
    <row r="1721" spans="4:19" ht="17.649999999999999" x14ac:dyDescent="0.5">
      <c r="D1721" s="3" t="s">
        <v>91</v>
      </c>
      <c r="S1721" s="3" t="s">
        <v>42</v>
      </c>
    </row>
    <row r="1722" spans="4:19" ht="17.649999999999999" x14ac:dyDescent="0.5">
      <c r="D1722" s="3" t="s">
        <v>48</v>
      </c>
      <c r="S1722" s="3" t="s">
        <v>98</v>
      </c>
    </row>
    <row r="1723" spans="4:19" ht="17.649999999999999" x14ac:dyDescent="0.5">
      <c r="D1723" s="3" t="s">
        <v>52</v>
      </c>
      <c r="S1723" s="3" t="s">
        <v>52</v>
      </c>
    </row>
    <row r="1724" spans="4:19" ht="17.649999999999999" x14ac:dyDescent="0.5">
      <c r="D1724" s="3" t="s">
        <v>115</v>
      </c>
      <c r="S1724" s="3" t="s">
        <v>72</v>
      </c>
    </row>
    <row r="1725" spans="4:19" ht="17.649999999999999" x14ac:dyDescent="0.5">
      <c r="D1725" s="3" t="s">
        <v>53</v>
      </c>
      <c r="S1725" s="3" t="s">
        <v>53</v>
      </c>
    </row>
    <row r="1726" spans="4:19" ht="17.649999999999999" x14ac:dyDescent="0.5">
      <c r="D1726" s="3" t="s">
        <v>120</v>
      </c>
      <c r="S1726" s="3" t="s">
        <v>54</v>
      </c>
    </row>
    <row r="1727" spans="4:19" ht="17.649999999999999" x14ac:dyDescent="0.5">
      <c r="D1727" s="3" t="s">
        <v>63</v>
      </c>
      <c r="S1727" s="3" t="s">
        <v>63</v>
      </c>
    </row>
    <row r="1728" spans="4:19" ht="17.649999999999999" x14ac:dyDescent="0.5">
      <c r="D1728" s="3" t="s">
        <v>88</v>
      </c>
      <c r="S1728" s="3" t="s">
        <v>67</v>
      </c>
    </row>
    <row r="1729" spans="4:19" ht="17.649999999999999" x14ac:dyDescent="0.5">
      <c r="D1729" s="3" t="s">
        <v>118</v>
      </c>
      <c r="S1729" s="3" t="s">
        <v>118</v>
      </c>
    </row>
    <row r="1730" spans="4:19" ht="17.649999999999999" x14ac:dyDescent="0.5">
      <c r="D1730" s="3" t="s">
        <v>91</v>
      </c>
      <c r="S1730" s="3" t="s">
        <v>101</v>
      </c>
    </row>
    <row r="1731" spans="4:19" ht="17.649999999999999" x14ac:dyDescent="0.5">
      <c r="D1731" s="3" t="s">
        <v>121</v>
      </c>
      <c r="S1731" s="3" t="s">
        <v>70</v>
      </c>
    </row>
    <row r="1732" spans="4:19" ht="17.649999999999999" x14ac:dyDescent="0.5">
      <c r="D1732" s="3" t="s">
        <v>83</v>
      </c>
      <c r="S1732" s="3" t="s">
        <v>56</v>
      </c>
    </row>
    <row r="1733" spans="4:19" ht="17.649999999999999" x14ac:dyDescent="0.5">
      <c r="D1733" s="3" t="s">
        <v>98</v>
      </c>
      <c r="S1733" s="3" t="s">
        <v>48</v>
      </c>
    </row>
    <row r="1734" spans="4:19" ht="17.649999999999999" x14ac:dyDescent="0.5">
      <c r="D1734" s="3" t="s">
        <v>50</v>
      </c>
      <c r="S1734" s="3" t="s">
        <v>59</v>
      </c>
    </row>
    <row r="1735" spans="4:19" ht="17.649999999999999" x14ac:dyDescent="0.5">
      <c r="D1735" s="3" t="s">
        <v>118</v>
      </c>
      <c r="S1735" s="3" t="s">
        <v>109</v>
      </c>
    </row>
    <row r="1736" spans="4:19" ht="17.649999999999999" x14ac:dyDescent="0.5">
      <c r="D1736" s="3" t="s">
        <v>78</v>
      </c>
      <c r="S1736" s="3" t="s">
        <v>81</v>
      </c>
    </row>
    <row r="1737" spans="4:19" ht="17.649999999999999" x14ac:dyDescent="0.5">
      <c r="D1737" s="3" t="s">
        <v>69</v>
      </c>
      <c r="S1737" s="3" t="s">
        <v>73</v>
      </c>
    </row>
    <row r="1738" spans="4:19" ht="17.649999999999999" x14ac:dyDescent="0.5">
      <c r="D1738" s="3" t="s">
        <v>48</v>
      </c>
      <c r="S1738" s="3" t="s">
        <v>48</v>
      </c>
    </row>
    <row r="1739" spans="4:19" ht="17.649999999999999" x14ac:dyDescent="0.5">
      <c r="D1739" s="3" t="s">
        <v>119</v>
      </c>
      <c r="S1739" s="3" t="s">
        <v>77</v>
      </c>
    </row>
    <row r="1740" spans="4:19" ht="17.649999999999999" x14ac:dyDescent="0.5">
      <c r="D1740" s="3" t="s">
        <v>46</v>
      </c>
      <c r="S1740" s="3" t="s">
        <v>49</v>
      </c>
    </row>
    <row r="1741" spans="4:19" ht="17.649999999999999" x14ac:dyDescent="0.5">
      <c r="D1741" s="3" t="s">
        <v>103</v>
      </c>
      <c r="S1741" s="3" t="s">
        <v>103</v>
      </c>
    </row>
    <row r="1742" spans="4:19" ht="17.649999999999999" x14ac:dyDescent="0.5">
      <c r="D1742" s="3" t="s">
        <v>54</v>
      </c>
      <c r="S1742" s="3" t="s">
        <v>82</v>
      </c>
    </row>
    <row r="1743" spans="4:19" ht="17.649999999999999" x14ac:dyDescent="0.5">
      <c r="D1743" s="3" t="s">
        <v>82</v>
      </c>
      <c r="S1743" s="3" t="s">
        <v>94</v>
      </c>
    </row>
    <row r="1744" spans="4:19" ht="17.649999999999999" x14ac:dyDescent="0.5">
      <c r="D1744" s="3" t="s">
        <v>73</v>
      </c>
      <c r="S1744" s="3" t="s">
        <v>69</v>
      </c>
    </row>
    <row r="1745" spans="4:19" ht="17.649999999999999" x14ac:dyDescent="0.5">
      <c r="D1745" s="3" t="s">
        <v>59</v>
      </c>
      <c r="S1745" s="3" t="s">
        <v>102</v>
      </c>
    </row>
    <row r="1746" spans="4:19" ht="17.649999999999999" x14ac:dyDescent="0.5">
      <c r="D1746" s="3" t="s">
        <v>101</v>
      </c>
      <c r="S1746" s="3" t="s">
        <v>42</v>
      </c>
    </row>
    <row r="1747" spans="4:19" ht="17.649999999999999" x14ac:dyDescent="0.5">
      <c r="D1747" s="3" t="s">
        <v>97</v>
      </c>
      <c r="S1747" s="3" t="s">
        <v>122</v>
      </c>
    </row>
    <row r="1748" spans="4:19" ht="17.649999999999999" x14ac:dyDescent="0.5">
      <c r="D1748" s="3" t="s">
        <v>64</v>
      </c>
      <c r="S1748" s="3" t="s">
        <v>64</v>
      </c>
    </row>
    <row r="1749" spans="4:19" ht="17.649999999999999" x14ac:dyDescent="0.5">
      <c r="D1749" s="3" t="s">
        <v>69</v>
      </c>
      <c r="S1749" s="3" t="s">
        <v>69</v>
      </c>
    </row>
    <row r="1750" spans="4:19" ht="17.649999999999999" x14ac:dyDescent="0.5">
      <c r="D1750" s="3" t="s">
        <v>65</v>
      </c>
      <c r="S1750" s="3" t="s">
        <v>65</v>
      </c>
    </row>
    <row r="1751" spans="4:19" ht="17.649999999999999" x14ac:dyDescent="0.5">
      <c r="D1751" s="3" t="s">
        <v>68</v>
      </c>
      <c r="S1751" s="3" t="s">
        <v>68</v>
      </c>
    </row>
    <row r="1752" spans="4:19" ht="17.649999999999999" x14ac:dyDescent="0.5">
      <c r="D1752" s="3" t="s">
        <v>91</v>
      </c>
      <c r="S1752" s="3" t="s">
        <v>91</v>
      </c>
    </row>
    <row r="1753" spans="4:19" ht="17.649999999999999" x14ac:dyDescent="0.5">
      <c r="D1753" s="3" t="s">
        <v>77</v>
      </c>
      <c r="S1753" s="3" t="s">
        <v>77</v>
      </c>
    </row>
    <row r="1754" spans="4:19" ht="17.649999999999999" x14ac:dyDescent="0.5">
      <c r="D1754" s="3" t="s">
        <v>55</v>
      </c>
      <c r="S1754" s="3" t="s">
        <v>55</v>
      </c>
    </row>
    <row r="1755" spans="4:19" ht="17.649999999999999" x14ac:dyDescent="0.5">
      <c r="D1755" s="3" t="s">
        <v>60</v>
      </c>
      <c r="S1755" s="3" t="s">
        <v>60</v>
      </c>
    </row>
    <row r="1756" spans="4:19" ht="17.649999999999999" x14ac:dyDescent="0.5">
      <c r="D1756" s="3" t="s">
        <v>46</v>
      </c>
      <c r="S1756" s="3" t="s">
        <v>46</v>
      </c>
    </row>
    <row r="1757" spans="4:19" ht="17.649999999999999" x14ac:dyDescent="0.5">
      <c r="D1757" s="3" t="s">
        <v>41</v>
      </c>
      <c r="S1757" s="3" t="s">
        <v>41</v>
      </c>
    </row>
    <row r="1758" spans="4:19" ht="17.649999999999999" x14ac:dyDescent="0.5">
      <c r="D1758" s="3" t="s">
        <v>43</v>
      </c>
      <c r="S1758" s="3" t="s">
        <v>43</v>
      </c>
    </row>
    <row r="1759" spans="4:19" ht="17.649999999999999" x14ac:dyDescent="0.5">
      <c r="D1759" s="3" t="s">
        <v>96</v>
      </c>
      <c r="S1759" s="3" t="s">
        <v>96</v>
      </c>
    </row>
    <row r="1760" spans="4:19" ht="17.649999999999999" x14ac:dyDescent="0.5">
      <c r="D1760" s="3" t="s">
        <v>62</v>
      </c>
      <c r="S1760" s="3" t="s">
        <v>62</v>
      </c>
    </row>
    <row r="1761" spans="4:19" ht="17.649999999999999" x14ac:dyDescent="0.5">
      <c r="D1761" s="3" t="s">
        <v>91</v>
      </c>
      <c r="S1761" s="3" t="s">
        <v>91</v>
      </c>
    </row>
    <row r="1762" spans="4:19" ht="17.649999999999999" x14ac:dyDescent="0.5">
      <c r="D1762" s="3" t="s">
        <v>87</v>
      </c>
      <c r="S1762" s="3" t="s">
        <v>87</v>
      </c>
    </row>
    <row r="1763" spans="4:19" ht="17.649999999999999" x14ac:dyDescent="0.5">
      <c r="D1763" s="3" t="s">
        <v>82</v>
      </c>
      <c r="S1763" s="3" t="s">
        <v>82</v>
      </c>
    </row>
    <row r="1764" spans="4:19" ht="17.649999999999999" x14ac:dyDescent="0.5">
      <c r="D1764" s="3" t="s">
        <v>112</v>
      </c>
      <c r="S1764" s="3" t="s">
        <v>112</v>
      </c>
    </row>
    <row r="1765" spans="4:19" ht="17.649999999999999" x14ac:dyDescent="0.5">
      <c r="D1765" s="3" t="s">
        <v>63</v>
      </c>
      <c r="S1765" s="3" t="s">
        <v>63</v>
      </c>
    </row>
    <row r="1766" spans="4:19" ht="17.649999999999999" x14ac:dyDescent="0.5">
      <c r="D1766" s="3" t="s">
        <v>49</v>
      </c>
      <c r="S1766" s="3" t="s">
        <v>49</v>
      </c>
    </row>
    <row r="1767" spans="4:19" ht="17.649999999999999" x14ac:dyDescent="0.5">
      <c r="D1767" s="3" t="s">
        <v>133</v>
      </c>
      <c r="S1767" s="3" t="s">
        <v>133</v>
      </c>
    </row>
    <row r="1768" spans="4:19" ht="17.649999999999999" x14ac:dyDescent="0.5">
      <c r="D1768" s="3" t="s">
        <v>94</v>
      </c>
      <c r="S1768" s="3" t="s">
        <v>94</v>
      </c>
    </row>
    <row r="1769" spans="4:19" ht="17.649999999999999" x14ac:dyDescent="0.5">
      <c r="D1769" s="3" t="s">
        <v>64</v>
      </c>
      <c r="S1769" s="3" t="s">
        <v>64</v>
      </c>
    </row>
    <row r="1770" spans="4:19" ht="17.649999999999999" x14ac:dyDescent="0.5">
      <c r="D1770" s="3" t="s">
        <v>78</v>
      </c>
      <c r="S1770" s="3" t="s">
        <v>78</v>
      </c>
    </row>
    <row r="1771" spans="4:19" ht="17.649999999999999" x14ac:dyDescent="0.5">
      <c r="D1771" s="3" t="s">
        <v>101</v>
      </c>
      <c r="S1771" s="3" t="s">
        <v>101</v>
      </c>
    </row>
    <row r="1772" spans="4:19" ht="17.649999999999999" x14ac:dyDescent="0.5">
      <c r="D1772" s="3" t="s">
        <v>118</v>
      </c>
      <c r="S1772" s="3" t="s">
        <v>118</v>
      </c>
    </row>
    <row r="1773" spans="4:19" ht="17.649999999999999" x14ac:dyDescent="0.5">
      <c r="D1773" s="3" t="s">
        <v>63</v>
      </c>
      <c r="S1773" s="3" t="s">
        <v>87</v>
      </c>
    </row>
    <row r="1774" spans="4:19" ht="17.649999999999999" x14ac:dyDescent="0.5">
      <c r="D1774" s="3" t="s">
        <v>75</v>
      </c>
      <c r="S1774" s="3" t="s">
        <v>75</v>
      </c>
    </row>
    <row r="1775" spans="4:19" ht="17.649999999999999" x14ac:dyDescent="0.5">
      <c r="D1775" s="3" t="s">
        <v>129</v>
      </c>
      <c r="S1775" s="3" t="s">
        <v>50</v>
      </c>
    </row>
    <row r="1776" spans="4:19" ht="17.649999999999999" x14ac:dyDescent="0.5">
      <c r="D1776" s="3" t="s">
        <v>57</v>
      </c>
      <c r="S1776" s="3" t="s">
        <v>53</v>
      </c>
    </row>
    <row r="1777" spans="4:19" ht="17.649999999999999" x14ac:dyDescent="0.5">
      <c r="D1777" s="3" t="s">
        <v>56</v>
      </c>
      <c r="S1777" s="3" t="s">
        <v>56</v>
      </c>
    </row>
    <row r="1778" spans="4:19" ht="17.649999999999999" x14ac:dyDescent="0.5">
      <c r="D1778" s="3" t="s">
        <v>41</v>
      </c>
      <c r="S1778" s="3" t="s">
        <v>41</v>
      </c>
    </row>
    <row r="1779" spans="4:19" ht="17.649999999999999" x14ac:dyDescent="0.5">
      <c r="D1779" s="3" t="s">
        <v>86</v>
      </c>
      <c r="S1779" s="3" t="s">
        <v>49</v>
      </c>
    </row>
    <row r="1780" spans="4:19" ht="17.649999999999999" x14ac:dyDescent="0.5">
      <c r="D1780" s="3" t="s">
        <v>47</v>
      </c>
      <c r="S1780" s="3" t="s">
        <v>47</v>
      </c>
    </row>
    <row r="1781" spans="4:19" ht="17.649999999999999" x14ac:dyDescent="0.5">
      <c r="D1781" s="3" t="s">
        <v>50</v>
      </c>
      <c r="S1781" s="3" t="s">
        <v>50</v>
      </c>
    </row>
    <row r="1782" spans="4:19" ht="17.649999999999999" x14ac:dyDescent="0.5">
      <c r="D1782" s="3" t="s">
        <v>107</v>
      </c>
      <c r="S1782" s="3" t="s">
        <v>126</v>
      </c>
    </row>
    <row r="1783" spans="4:19" ht="17.649999999999999" x14ac:dyDescent="0.5">
      <c r="D1783" s="3" t="s">
        <v>122</v>
      </c>
      <c r="S1783" s="3" t="s">
        <v>122</v>
      </c>
    </row>
    <row r="1784" spans="4:19" ht="17.649999999999999" x14ac:dyDescent="0.5">
      <c r="D1784" s="3" t="s">
        <v>77</v>
      </c>
      <c r="S1784" s="3" t="s">
        <v>77</v>
      </c>
    </row>
    <row r="1785" spans="4:19" ht="17.649999999999999" x14ac:dyDescent="0.5">
      <c r="D1785" s="3" t="s">
        <v>48</v>
      </c>
      <c r="S1785" s="3" t="s">
        <v>106</v>
      </c>
    </row>
    <row r="1786" spans="4:19" ht="17.649999999999999" x14ac:dyDescent="0.5">
      <c r="D1786" s="3" t="s">
        <v>65</v>
      </c>
      <c r="S1786" s="3" t="s">
        <v>113</v>
      </c>
    </row>
    <row r="1787" spans="4:19" ht="17.649999999999999" x14ac:dyDescent="0.5">
      <c r="D1787" s="3" t="s">
        <v>117</v>
      </c>
      <c r="S1787" s="3" t="s">
        <v>105</v>
      </c>
    </row>
    <row r="1788" spans="4:19" ht="17.649999999999999" x14ac:dyDescent="0.5">
      <c r="D1788" s="3" t="s">
        <v>57</v>
      </c>
      <c r="S1788" s="3" t="s">
        <v>53</v>
      </c>
    </row>
    <row r="1789" spans="4:19" ht="17.649999999999999" x14ac:dyDescent="0.5">
      <c r="D1789" s="3" t="s">
        <v>133</v>
      </c>
      <c r="S1789" s="3" t="s">
        <v>68</v>
      </c>
    </row>
    <row r="1790" spans="4:19" ht="17.649999999999999" x14ac:dyDescent="0.5">
      <c r="D1790" s="3" t="s">
        <v>43</v>
      </c>
      <c r="S1790" s="3" t="s">
        <v>95</v>
      </c>
    </row>
    <row r="1791" spans="4:19" ht="17.649999999999999" x14ac:dyDescent="0.5">
      <c r="D1791" s="3" t="s">
        <v>78</v>
      </c>
      <c r="S1791" s="3" t="s">
        <v>81</v>
      </c>
    </row>
    <row r="1792" spans="4:19" ht="17.649999999999999" x14ac:dyDescent="0.5">
      <c r="D1792" s="3" t="s">
        <v>77</v>
      </c>
      <c r="S1792" s="3" t="s">
        <v>65</v>
      </c>
    </row>
    <row r="1793" spans="4:19" ht="17.649999999999999" x14ac:dyDescent="0.5">
      <c r="D1793" s="3" t="s">
        <v>65</v>
      </c>
      <c r="S1793" s="3" t="s">
        <v>119</v>
      </c>
    </row>
    <row r="1794" spans="4:19" ht="17.649999999999999" x14ac:dyDescent="0.5">
      <c r="D1794" s="3" t="s">
        <v>98</v>
      </c>
      <c r="S1794" s="3" t="s">
        <v>98</v>
      </c>
    </row>
    <row r="1795" spans="4:19" ht="17.649999999999999" x14ac:dyDescent="0.5">
      <c r="D1795" s="3" t="s">
        <v>122</v>
      </c>
      <c r="S1795" s="3" t="s">
        <v>51</v>
      </c>
    </row>
    <row r="1796" spans="4:19" ht="17.649999999999999" x14ac:dyDescent="0.5">
      <c r="D1796" s="3" t="s">
        <v>44</v>
      </c>
      <c r="S1796" s="3" t="s">
        <v>47</v>
      </c>
    </row>
    <row r="1797" spans="4:19" ht="17.649999999999999" x14ac:dyDescent="0.5">
      <c r="D1797" s="3" t="s">
        <v>56</v>
      </c>
      <c r="S1797" s="3" t="s">
        <v>56</v>
      </c>
    </row>
    <row r="1798" spans="4:19" ht="17.649999999999999" x14ac:dyDescent="0.5">
      <c r="D1798" s="3" t="s">
        <v>129</v>
      </c>
      <c r="S1798" s="3" t="s">
        <v>102</v>
      </c>
    </row>
    <row r="1799" spans="4:19" ht="17.649999999999999" x14ac:dyDescent="0.5">
      <c r="D1799" s="3" t="s">
        <v>107</v>
      </c>
      <c r="S1799" s="3" t="s">
        <v>107</v>
      </c>
    </row>
    <row r="1800" spans="4:19" ht="17.649999999999999" x14ac:dyDescent="0.5">
      <c r="D1800" s="3" t="s">
        <v>106</v>
      </c>
      <c r="S1800" s="3" t="s">
        <v>106</v>
      </c>
    </row>
    <row r="1801" spans="4:19" ht="17.649999999999999" x14ac:dyDescent="0.5">
      <c r="D1801" s="3" t="s">
        <v>96</v>
      </c>
      <c r="S1801" s="3" t="s">
        <v>96</v>
      </c>
    </row>
    <row r="1802" spans="4:19" ht="17.649999999999999" x14ac:dyDescent="0.5">
      <c r="D1802" s="3" t="s">
        <v>46</v>
      </c>
      <c r="S1802" s="3" t="s">
        <v>46</v>
      </c>
    </row>
    <row r="1803" spans="4:19" ht="17.649999999999999" x14ac:dyDescent="0.5">
      <c r="D1803" s="3" t="s">
        <v>85</v>
      </c>
      <c r="S1803" s="3" t="s">
        <v>41</v>
      </c>
    </row>
    <row r="1804" spans="4:19" ht="17.649999999999999" x14ac:dyDescent="0.5">
      <c r="D1804" s="3" t="s">
        <v>49</v>
      </c>
      <c r="S1804" s="3" t="s">
        <v>49</v>
      </c>
    </row>
    <row r="1805" spans="4:19" ht="17.649999999999999" x14ac:dyDescent="0.5">
      <c r="D1805" s="3" t="s">
        <v>65</v>
      </c>
      <c r="S1805" s="3" t="s">
        <v>77</v>
      </c>
    </row>
    <row r="1806" spans="4:19" ht="17.649999999999999" x14ac:dyDescent="0.5">
      <c r="D1806" s="3" t="s">
        <v>59</v>
      </c>
      <c r="S1806" s="3" t="s">
        <v>50</v>
      </c>
    </row>
    <row r="1807" spans="4:19" ht="17.649999999999999" x14ac:dyDescent="0.5">
      <c r="D1807" s="3" t="s">
        <v>96</v>
      </c>
      <c r="S1807" s="3" t="s">
        <v>95</v>
      </c>
    </row>
    <row r="1808" spans="4:19" ht="17.649999999999999" x14ac:dyDescent="0.5">
      <c r="D1808" s="3" t="s">
        <v>52</v>
      </c>
      <c r="S1808" s="3" t="s">
        <v>52</v>
      </c>
    </row>
    <row r="1809" spans="4:19" ht="17.649999999999999" x14ac:dyDescent="0.5">
      <c r="D1809" s="3" t="s">
        <v>102</v>
      </c>
      <c r="S1809" s="3" t="s">
        <v>59</v>
      </c>
    </row>
    <row r="1810" spans="4:19" ht="17.649999999999999" x14ac:dyDescent="0.5">
      <c r="D1810" s="3" t="s">
        <v>91</v>
      </c>
      <c r="S1810" s="3" t="s">
        <v>101</v>
      </c>
    </row>
    <row r="1811" spans="4:19" ht="17.649999999999999" x14ac:dyDescent="0.5">
      <c r="D1811" s="3" t="s">
        <v>51</v>
      </c>
      <c r="S1811" s="3" t="s">
        <v>122</v>
      </c>
    </row>
    <row r="1812" spans="4:19" ht="17.649999999999999" x14ac:dyDescent="0.5">
      <c r="D1812" s="3" t="s">
        <v>43</v>
      </c>
      <c r="S1812" s="3" t="s">
        <v>96</v>
      </c>
    </row>
    <row r="1813" spans="4:19" ht="17.649999999999999" x14ac:dyDescent="0.5">
      <c r="D1813" s="3" t="s">
        <v>83</v>
      </c>
      <c r="S1813" s="3" t="s">
        <v>56</v>
      </c>
    </row>
    <row r="1814" spans="4:19" ht="17.649999999999999" x14ac:dyDescent="0.5">
      <c r="D1814" s="3" t="s">
        <v>73</v>
      </c>
      <c r="S1814" s="3" t="s">
        <v>89</v>
      </c>
    </row>
    <row r="1815" spans="4:19" ht="17.649999999999999" x14ac:dyDescent="0.5">
      <c r="D1815" s="3" t="s">
        <v>54</v>
      </c>
      <c r="S1815" s="3" t="s">
        <v>94</v>
      </c>
    </row>
    <row r="1816" spans="4:19" ht="17.649999999999999" x14ac:dyDescent="0.5">
      <c r="D1816" s="3" t="s">
        <v>112</v>
      </c>
      <c r="S1816" s="3" t="s">
        <v>70</v>
      </c>
    </row>
    <row r="1817" spans="4:19" ht="17.649999999999999" x14ac:dyDescent="0.5">
      <c r="D1817" s="3" t="s">
        <v>53</v>
      </c>
      <c r="S1817" s="3" t="s">
        <v>109</v>
      </c>
    </row>
    <row r="1818" spans="4:19" ht="17.649999999999999" x14ac:dyDescent="0.5">
      <c r="D1818" s="3" t="s">
        <v>123</v>
      </c>
      <c r="S1818" s="3" t="s">
        <v>78</v>
      </c>
    </row>
    <row r="1819" spans="4:19" ht="17.649999999999999" x14ac:dyDescent="0.5">
      <c r="D1819" s="3" t="s">
        <v>68</v>
      </c>
      <c r="S1819" s="3" t="s">
        <v>68</v>
      </c>
    </row>
    <row r="1820" spans="4:19" ht="17.649999999999999" x14ac:dyDescent="0.5">
      <c r="D1820" s="3" t="s">
        <v>70</v>
      </c>
      <c r="S1820" s="3" t="s">
        <v>103</v>
      </c>
    </row>
    <row r="1821" spans="4:19" ht="17.649999999999999" x14ac:dyDescent="0.5">
      <c r="D1821" s="3" t="s">
        <v>124</v>
      </c>
      <c r="S1821" s="3" t="s">
        <v>124</v>
      </c>
    </row>
    <row r="1822" spans="4:19" ht="17.649999999999999" x14ac:dyDescent="0.5">
      <c r="D1822" s="3" t="s">
        <v>96</v>
      </c>
      <c r="S1822" s="3" t="s">
        <v>96</v>
      </c>
    </row>
    <row r="1823" spans="4:19" ht="17.649999999999999" x14ac:dyDescent="0.5">
      <c r="D1823" s="3" t="s">
        <v>50</v>
      </c>
      <c r="S1823" s="3" t="s">
        <v>59</v>
      </c>
    </row>
    <row r="1824" spans="4:19" ht="17.649999999999999" x14ac:dyDescent="0.5">
      <c r="D1824" s="3" t="s">
        <v>85</v>
      </c>
      <c r="S1824" s="3" t="s">
        <v>41</v>
      </c>
    </row>
    <row r="1825" spans="4:19" ht="17.649999999999999" x14ac:dyDescent="0.5">
      <c r="D1825" s="3" t="s">
        <v>97</v>
      </c>
      <c r="S1825" s="3" t="s">
        <v>97</v>
      </c>
    </row>
    <row r="1826" spans="4:19" ht="17.649999999999999" x14ac:dyDescent="0.5">
      <c r="D1826" s="3" t="s">
        <v>88</v>
      </c>
      <c r="S1826" s="3" t="s">
        <v>107</v>
      </c>
    </row>
    <row r="1827" spans="4:19" ht="17.649999999999999" x14ac:dyDescent="0.5">
      <c r="D1827" s="3" t="s">
        <v>45</v>
      </c>
      <c r="S1827" s="3" t="s">
        <v>114</v>
      </c>
    </row>
    <row r="1828" spans="4:19" ht="17.649999999999999" x14ac:dyDescent="0.5">
      <c r="D1828" s="3" t="s">
        <v>83</v>
      </c>
      <c r="S1828" s="3" t="s">
        <v>83</v>
      </c>
    </row>
    <row r="1829" spans="4:19" ht="17.649999999999999" x14ac:dyDescent="0.5">
      <c r="D1829" s="3" t="s">
        <v>49</v>
      </c>
      <c r="S1829" s="3" t="s">
        <v>49</v>
      </c>
    </row>
    <row r="1830" spans="4:19" ht="17.649999999999999" x14ac:dyDescent="0.5">
      <c r="D1830" s="3" t="s">
        <v>57</v>
      </c>
      <c r="S1830" s="3" t="s">
        <v>57</v>
      </c>
    </row>
    <row r="1831" spans="4:19" ht="17.649999999999999" x14ac:dyDescent="0.5">
      <c r="D1831" s="3" t="s">
        <v>92</v>
      </c>
      <c r="S1831" s="3" t="s">
        <v>92</v>
      </c>
    </row>
    <row r="1832" spans="4:19" ht="17.649999999999999" x14ac:dyDescent="0.5">
      <c r="D1832" s="3" t="s">
        <v>63</v>
      </c>
      <c r="S1832" s="3" t="s">
        <v>63</v>
      </c>
    </row>
    <row r="1833" spans="4:19" ht="17.649999999999999" x14ac:dyDescent="0.5">
      <c r="D1833" s="3" t="s">
        <v>57</v>
      </c>
      <c r="S1833" s="3" t="s">
        <v>57</v>
      </c>
    </row>
    <row r="1834" spans="4:19" ht="17.649999999999999" x14ac:dyDescent="0.5">
      <c r="D1834" s="3" t="s">
        <v>98</v>
      </c>
      <c r="S1834" s="3" t="s">
        <v>98</v>
      </c>
    </row>
    <row r="1835" spans="4:19" ht="17.649999999999999" x14ac:dyDescent="0.5">
      <c r="D1835" s="3" t="s">
        <v>61</v>
      </c>
      <c r="S1835" s="3" t="s">
        <v>61</v>
      </c>
    </row>
    <row r="1836" spans="4:19" ht="17.649999999999999" x14ac:dyDescent="0.5">
      <c r="D1836" s="3" t="s">
        <v>85</v>
      </c>
      <c r="S1836" s="3" t="s">
        <v>85</v>
      </c>
    </row>
    <row r="1837" spans="4:19" ht="17.649999999999999" x14ac:dyDescent="0.5">
      <c r="D1837" s="3" t="s">
        <v>96</v>
      </c>
      <c r="S1837" s="3" t="s">
        <v>96</v>
      </c>
    </row>
    <row r="1838" spans="4:19" ht="17.649999999999999" x14ac:dyDescent="0.5">
      <c r="D1838" s="3" t="s">
        <v>112</v>
      </c>
      <c r="S1838" s="3" t="s">
        <v>112</v>
      </c>
    </row>
    <row r="1839" spans="4:19" ht="17.649999999999999" x14ac:dyDescent="0.5">
      <c r="D1839" s="3" t="s">
        <v>84</v>
      </c>
      <c r="S1839" s="3" t="s">
        <v>84</v>
      </c>
    </row>
    <row r="1840" spans="4:19" ht="17.649999999999999" x14ac:dyDescent="0.5">
      <c r="D1840" s="3" t="s">
        <v>67</v>
      </c>
      <c r="S1840" s="3" t="s">
        <v>67</v>
      </c>
    </row>
    <row r="1841" spans="4:19" ht="17.649999999999999" x14ac:dyDescent="0.5">
      <c r="D1841" s="3" t="s">
        <v>107</v>
      </c>
      <c r="S1841" s="3" t="s">
        <v>107</v>
      </c>
    </row>
    <row r="1842" spans="4:19" ht="17.649999999999999" x14ac:dyDescent="0.5">
      <c r="D1842" s="3" t="s">
        <v>118</v>
      </c>
      <c r="S1842" s="3" t="s">
        <v>57</v>
      </c>
    </row>
    <row r="1843" spans="4:19" ht="17.649999999999999" x14ac:dyDescent="0.5">
      <c r="D1843" s="3" t="s">
        <v>132</v>
      </c>
      <c r="S1843" s="3" t="s">
        <v>132</v>
      </c>
    </row>
    <row r="1844" spans="4:19" ht="17.649999999999999" x14ac:dyDescent="0.5">
      <c r="D1844" s="3" t="s">
        <v>82</v>
      </c>
      <c r="S1844" s="3" t="s">
        <v>94</v>
      </c>
    </row>
    <row r="1845" spans="4:19" ht="17.649999999999999" x14ac:dyDescent="0.5">
      <c r="D1845" s="3" t="s">
        <v>85</v>
      </c>
      <c r="S1845" s="3" t="s">
        <v>85</v>
      </c>
    </row>
    <row r="1846" spans="4:19" ht="17.649999999999999" x14ac:dyDescent="0.5">
      <c r="D1846" s="3" t="s">
        <v>89</v>
      </c>
      <c r="S1846" s="3" t="s">
        <v>69</v>
      </c>
    </row>
    <row r="1847" spans="4:19" ht="17.649999999999999" x14ac:dyDescent="0.5">
      <c r="D1847" s="3" t="s">
        <v>94</v>
      </c>
      <c r="S1847" s="3" t="s">
        <v>94</v>
      </c>
    </row>
    <row r="1848" spans="4:19" ht="17.649999999999999" x14ac:dyDescent="0.5">
      <c r="D1848" s="3" t="s">
        <v>59</v>
      </c>
      <c r="S1848" s="3" t="s">
        <v>59</v>
      </c>
    </row>
    <row r="1849" spans="4:19" ht="17.649999999999999" x14ac:dyDescent="0.5">
      <c r="D1849" s="3" t="s">
        <v>134</v>
      </c>
      <c r="S1849" s="3" t="s">
        <v>134</v>
      </c>
    </row>
    <row r="1850" spans="4:19" ht="17.649999999999999" x14ac:dyDescent="0.5">
      <c r="D1850" s="3" t="s">
        <v>52</v>
      </c>
      <c r="S1850" s="3" t="s">
        <v>51</v>
      </c>
    </row>
    <row r="1851" spans="4:19" ht="17.649999999999999" x14ac:dyDescent="0.5">
      <c r="D1851" s="3" t="s">
        <v>69</v>
      </c>
      <c r="S1851" s="3" t="s">
        <v>69</v>
      </c>
    </row>
    <row r="1852" spans="4:19" ht="17.649999999999999" x14ac:dyDescent="0.5">
      <c r="D1852" s="3" t="s">
        <v>94</v>
      </c>
      <c r="S1852" s="3" t="s">
        <v>94</v>
      </c>
    </row>
    <row r="1853" spans="4:19" ht="17.649999999999999" x14ac:dyDescent="0.5">
      <c r="D1853" s="3" t="s">
        <v>59</v>
      </c>
      <c r="S1853" s="3" t="s">
        <v>59</v>
      </c>
    </row>
    <row r="1854" spans="4:19" ht="17.649999999999999" x14ac:dyDescent="0.5">
      <c r="D1854" s="3" t="s">
        <v>117</v>
      </c>
      <c r="S1854" s="3" t="s">
        <v>117</v>
      </c>
    </row>
    <row r="1855" spans="4:19" ht="17.649999999999999" x14ac:dyDescent="0.5">
      <c r="D1855" s="3" t="s">
        <v>58</v>
      </c>
      <c r="S1855" s="3" t="s">
        <v>133</v>
      </c>
    </row>
    <row r="1856" spans="4:19" ht="17.649999999999999" x14ac:dyDescent="0.5">
      <c r="D1856" s="3" t="s">
        <v>49</v>
      </c>
      <c r="S1856" s="3" t="s">
        <v>49</v>
      </c>
    </row>
    <row r="1857" spans="4:19" ht="17.649999999999999" x14ac:dyDescent="0.5">
      <c r="D1857" s="3" t="s">
        <v>92</v>
      </c>
      <c r="S1857" s="3" t="s">
        <v>92</v>
      </c>
    </row>
    <row r="1858" spans="4:19" ht="17.649999999999999" x14ac:dyDescent="0.5">
      <c r="D1858" s="3" t="s">
        <v>96</v>
      </c>
      <c r="S1858" s="3" t="s">
        <v>96</v>
      </c>
    </row>
    <row r="1859" spans="4:19" ht="17.649999999999999" x14ac:dyDescent="0.5">
      <c r="D1859" s="3" t="s">
        <v>63</v>
      </c>
      <c r="S1859" s="3" t="s">
        <v>87</v>
      </c>
    </row>
    <row r="1860" spans="4:19" ht="17.649999999999999" x14ac:dyDescent="0.5">
      <c r="D1860" s="3" t="s">
        <v>89</v>
      </c>
      <c r="S1860" s="3" t="s">
        <v>73</v>
      </c>
    </row>
    <row r="1861" spans="4:19" ht="17.649999999999999" x14ac:dyDescent="0.5">
      <c r="D1861" s="3" t="s">
        <v>59</v>
      </c>
      <c r="S1861" s="3" t="s">
        <v>59</v>
      </c>
    </row>
    <row r="1862" spans="4:19" ht="17.649999999999999" x14ac:dyDescent="0.5">
      <c r="D1862" s="3" t="s">
        <v>96</v>
      </c>
      <c r="S1862" s="3" t="s">
        <v>43</v>
      </c>
    </row>
    <row r="1863" spans="4:19" ht="17.649999999999999" x14ac:dyDescent="0.5">
      <c r="D1863" s="3" t="s">
        <v>44</v>
      </c>
      <c r="S1863" s="3" t="s">
        <v>135</v>
      </c>
    </row>
    <row r="1864" spans="4:19" ht="17.649999999999999" x14ac:dyDescent="0.5">
      <c r="D1864" s="3" t="s">
        <v>54</v>
      </c>
      <c r="S1864" s="3" t="s">
        <v>54</v>
      </c>
    </row>
    <row r="1865" spans="4:19" ht="17.649999999999999" x14ac:dyDescent="0.5">
      <c r="D1865" s="3" t="s">
        <v>66</v>
      </c>
      <c r="S1865" s="3" t="s">
        <v>66</v>
      </c>
    </row>
    <row r="1866" spans="4:19" ht="17.649999999999999" x14ac:dyDescent="0.5">
      <c r="D1866" s="3" t="s">
        <v>78</v>
      </c>
      <c r="S1866" s="3" t="s">
        <v>78</v>
      </c>
    </row>
    <row r="1867" spans="4:19" ht="17.649999999999999" x14ac:dyDescent="0.5">
      <c r="D1867" s="3" t="s">
        <v>136</v>
      </c>
      <c r="S1867" s="3" t="s">
        <v>56</v>
      </c>
    </row>
    <row r="1868" spans="4:19" ht="17.649999999999999" x14ac:dyDescent="0.5">
      <c r="D1868" s="3" t="s">
        <v>118</v>
      </c>
      <c r="S1868" s="3" t="s">
        <v>109</v>
      </c>
    </row>
    <row r="1869" spans="4:19" ht="17.649999999999999" x14ac:dyDescent="0.5">
      <c r="D1869" s="3" t="s">
        <v>55</v>
      </c>
      <c r="S1869" s="3" t="s">
        <v>55</v>
      </c>
    </row>
    <row r="1870" spans="4:19" ht="17.649999999999999" x14ac:dyDescent="0.5">
      <c r="D1870" s="3" t="s">
        <v>94</v>
      </c>
      <c r="S1870" s="3" t="s">
        <v>94</v>
      </c>
    </row>
    <row r="1871" spans="4:19" ht="17.649999999999999" x14ac:dyDescent="0.5">
      <c r="D1871" s="3" t="s">
        <v>77</v>
      </c>
      <c r="S1871" s="3" t="s">
        <v>77</v>
      </c>
    </row>
    <row r="1872" spans="4:19" ht="17.649999999999999" x14ac:dyDescent="0.5">
      <c r="D1872" s="3" t="s">
        <v>55</v>
      </c>
      <c r="S1872" s="3" t="s">
        <v>66</v>
      </c>
    </row>
    <row r="1873" spans="4:19" ht="17.649999999999999" x14ac:dyDescent="0.5">
      <c r="D1873" s="3" t="s">
        <v>87</v>
      </c>
      <c r="S1873" s="3" t="s">
        <v>87</v>
      </c>
    </row>
    <row r="1874" spans="4:19" ht="17.649999999999999" x14ac:dyDescent="0.5">
      <c r="D1874" s="3" t="s">
        <v>90</v>
      </c>
      <c r="S1874" s="3" t="s">
        <v>130</v>
      </c>
    </row>
    <row r="1875" spans="4:19" ht="17.649999999999999" x14ac:dyDescent="0.5">
      <c r="D1875" s="3" t="s">
        <v>69</v>
      </c>
      <c r="S1875" s="3" t="s">
        <v>73</v>
      </c>
    </row>
    <row r="1876" spans="4:19" ht="17.649999999999999" x14ac:dyDescent="0.5">
      <c r="D1876" s="3" t="s">
        <v>93</v>
      </c>
      <c r="S1876" s="3" t="s">
        <v>66</v>
      </c>
    </row>
    <row r="1877" spans="4:19" ht="17.649999999999999" x14ac:dyDescent="0.5">
      <c r="D1877" s="3" t="s">
        <v>72</v>
      </c>
      <c r="S1877" s="3" t="s">
        <v>115</v>
      </c>
    </row>
    <row r="1878" spans="4:19" ht="17.649999999999999" x14ac:dyDescent="0.5">
      <c r="D1878" s="3" t="s">
        <v>53</v>
      </c>
      <c r="S1878" s="3" t="s">
        <v>57</v>
      </c>
    </row>
    <row r="1879" spans="4:19" ht="17.649999999999999" x14ac:dyDescent="0.5">
      <c r="D1879" s="3" t="s">
        <v>84</v>
      </c>
      <c r="S1879" s="3" t="s">
        <v>92</v>
      </c>
    </row>
    <row r="1880" spans="4:19" ht="17.649999999999999" x14ac:dyDescent="0.5">
      <c r="D1880" s="3" t="s">
        <v>74</v>
      </c>
      <c r="S1880" s="3" t="s">
        <v>74</v>
      </c>
    </row>
    <row r="1881" spans="4:19" ht="17.649999999999999" x14ac:dyDescent="0.5">
      <c r="D1881" s="3" t="s">
        <v>78</v>
      </c>
      <c r="S1881" s="3" t="s">
        <v>81</v>
      </c>
    </row>
    <row r="1882" spans="4:19" ht="17.649999999999999" x14ac:dyDescent="0.5">
      <c r="D1882" s="3" t="s">
        <v>77</v>
      </c>
      <c r="S1882" s="3" t="s">
        <v>65</v>
      </c>
    </row>
    <row r="1883" spans="4:19" ht="17.649999999999999" x14ac:dyDescent="0.5">
      <c r="D1883" s="3" t="s">
        <v>61</v>
      </c>
      <c r="S1883" s="3" t="s">
        <v>61</v>
      </c>
    </row>
    <row r="1884" spans="4:19" ht="17.649999999999999" x14ac:dyDescent="0.5">
      <c r="D1884" s="3" t="s">
        <v>94</v>
      </c>
      <c r="S1884" s="3" t="s">
        <v>54</v>
      </c>
    </row>
    <row r="1885" spans="4:19" ht="17.649999999999999" x14ac:dyDescent="0.5">
      <c r="D1885" s="3" t="s">
        <v>45</v>
      </c>
      <c r="S1885" s="3" t="s">
        <v>114</v>
      </c>
    </row>
    <row r="1886" spans="4:19" ht="17.649999999999999" x14ac:dyDescent="0.5">
      <c r="D1886" s="3" t="s">
        <v>64</v>
      </c>
      <c r="S1886" s="3" t="s">
        <v>64</v>
      </c>
    </row>
    <row r="1887" spans="4:19" ht="17.649999999999999" x14ac:dyDescent="0.5">
      <c r="D1887" s="3" t="s">
        <v>78</v>
      </c>
      <c r="S1887" s="3" t="s">
        <v>81</v>
      </c>
    </row>
    <row r="1888" spans="4:19" ht="17.649999999999999" x14ac:dyDescent="0.5">
      <c r="D1888" s="3" t="s">
        <v>50</v>
      </c>
      <c r="S1888" s="3" t="s">
        <v>50</v>
      </c>
    </row>
    <row r="1889" spans="4:19" ht="17.649999999999999" x14ac:dyDescent="0.5">
      <c r="D1889" s="3" t="s">
        <v>129</v>
      </c>
      <c r="S1889" s="3" t="s">
        <v>59</v>
      </c>
    </row>
    <row r="1890" spans="4:19" ht="17.649999999999999" x14ac:dyDescent="0.5">
      <c r="D1890" s="3" t="s">
        <v>52</v>
      </c>
      <c r="S1890" s="3" t="s">
        <v>122</v>
      </c>
    </row>
    <row r="1891" spans="4:19" ht="17.649999999999999" x14ac:dyDescent="0.5">
      <c r="D1891" s="3" t="s">
        <v>90</v>
      </c>
      <c r="S1891" s="3" t="s">
        <v>90</v>
      </c>
    </row>
    <row r="1892" spans="4:19" ht="17.649999999999999" x14ac:dyDescent="0.5">
      <c r="D1892" s="3" t="s">
        <v>104</v>
      </c>
      <c r="S1892" s="3" t="s">
        <v>91</v>
      </c>
    </row>
    <row r="1893" spans="4:19" ht="17.649999999999999" x14ac:dyDescent="0.5">
      <c r="D1893" s="3" t="s">
        <v>87</v>
      </c>
      <c r="S1893" s="3" t="s">
        <v>63</v>
      </c>
    </row>
    <row r="1894" spans="4:19" ht="17.649999999999999" x14ac:dyDescent="0.5">
      <c r="D1894" s="3" t="s">
        <v>119</v>
      </c>
      <c r="S1894" s="3" t="s">
        <v>77</v>
      </c>
    </row>
    <row r="1895" spans="4:19" ht="17.649999999999999" x14ac:dyDescent="0.5">
      <c r="D1895" s="3" t="s">
        <v>63</v>
      </c>
      <c r="S1895" s="3" t="s">
        <v>63</v>
      </c>
    </row>
    <row r="1896" spans="4:19" ht="17.649999999999999" x14ac:dyDescent="0.5">
      <c r="D1896" s="3" t="s">
        <v>115</v>
      </c>
      <c r="S1896" s="3" t="s">
        <v>72</v>
      </c>
    </row>
    <row r="1897" spans="4:19" ht="17.649999999999999" x14ac:dyDescent="0.5">
      <c r="D1897" s="3" t="s">
        <v>83</v>
      </c>
      <c r="S1897" s="3" t="s">
        <v>83</v>
      </c>
    </row>
    <row r="1898" spans="4:19" ht="17.649999999999999" x14ac:dyDescent="0.5">
      <c r="D1898" s="3" t="s">
        <v>42</v>
      </c>
      <c r="S1898" s="3" t="s">
        <v>101</v>
      </c>
    </row>
    <row r="1899" spans="4:19" ht="17.649999999999999" x14ac:dyDescent="0.5">
      <c r="D1899" s="3" t="s">
        <v>49</v>
      </c>
      <c r="S1899" s="3" t="s">
        <v>99</v>
      </c>
    </row>
    <row r="1900" spans="4:19" ht="17.649999999999999" x14ac:dyDescent="0.5">
      <c r="D1900" s="3" t="s">
        <v>84</v>
      </c>
      <c r="S1900" s="3" t="s">
        <v>125</v>
      </c>
    </row>
    <row r="1901" spans="4:19" ht="17.649999999999999" x14ac:dyDescent="0.5">
      <c r="D1901" s="3" t="s">
        <v>92</v>
      </c>
      <c r="S1901" s="3" t="s">
        <v>84</v>
      </c>
    </row>
    <row r="1902" spans="4:19" ht="17.649999999999999" x14ac:dyDescent="0.5">
      <c r="D1902" s="3" t="s">
        <v>75</v>
      </c>
      <c r="S1902" s="3" t="s">
        <v>68</v>
      </c>
    </row>
    <row r="1903" spans="4:19" ht="17.649999999999999" x14ac:dyDescent="0.5">
      <c r="D1903" s="3" t="s">
        <v>87</v>
      </c>
      <c r="S1903" s="3" t="s">
        <v>87</v>
      </c>
    </row>
    <row r="1904" spans="4:19" ht="17.649999999999999" x14ac:dyDescent="0.5">
      <c r="D1904" s="3" t="s">
        <v>60</v>
      </c>
      <c r="S1904" s="3" t="s">
        <v>69</v>
      </c>
    </row>
    <row r="1905" spans="4:19" ht="17.649999999999999" x14ac:dyDescent="0.5">
      <c r="D1905" s="3" t="s">
        <v>61</v>
      </c>
      <c r="S1905" s="3" t="s">
        <v>61</v>
      </c>
    </row>
    <row r="1906" spans="4:19" ht="17.649999999999999" x14ac:dyDescent="0.5">
      <c r="D1906" s="3" t="s">
        <v>86</v>
      </c>
      <c r="S1906" s="3" t="s">
        <v>86</v>
      </c>
    </row>
    <row r="1907" spans="4:19" ht="17.649999999999999" x14ac:dyDescent="0.5">
      <c r="D1907" s="3" t="s">
        <v>52</v>
      </c>
      <c r="S1907" s="3" t="s">
        <v>97</v>
      </c>
    </row>
    <row r="1908" spans="4:19" ht="17.649999999999999" x14ac:dyDescent="0.5">
      <c r="D1908" s="3" t="s">
        <v>101</v>
      </c>
      <c r="S1908" s="3" t="s">
        <v>91</v>
      </c>
    </row>
    <row r="1909" spans="4:19" ht="17.649999999999999" x14ac:dyDescent="0.5">
      <c r="D1909" s="3" t="s">
        <v>49</v>
      </c>
      <c r="S1909" s="3" t="s">
        <v>46</v>
      </c>
    </row>
    <row r="1910" spans="4:19" ht="17.649999999999999" x14ac:dyDescent="0.5">
      <c r="D1910" s="3" t="s">
        <v>48</v>
      </c>
      <c r="S1910" s="3" t="s">
        <v>98</v>
      </c>
    </row>
    <row r="1911" spans="4:19" ht="17.649999999999999" x14ac:dyDescent="0.5">
      <c r="D1911" s="3" t="s">
        <v>93</v>
      </c>
      <c r="S1911" s="3" t="s">
        <v>55</v>
      </c>
    </row>
    <row r="1912" spans="4:19" ht="17.649999999999999" x14ac:dyDescent="0.5">
      <c r="D1912" s="3" t="s">
        <v>117</v>
      </c>
      <c r="S1912" s="3" t="s">
        <v>105</v>
      </c>
    </row>
    <row r="1913" spans="4:19" ht="17.649999999999999" x14ac:dyDescent="0.5">
      <c r="D1913" s="3" t="s">
        <v>47</v>
      </c>
      <c r="S1913" s="3" t="s">
        <v>44</v>
      </c>
    </row>
    <row r="1914" spans="4:19" ht="17.649999999999999" x14ac:dyDescent="0.5">
      <c r="D1914" s="3" t="s">
        <v>73</v>
      </c>
      <c r="S1914" s="3" t="s">
        <v>73</v>
      </c>
    </row>
    <row r="1915" spans="4:19" ht="17.649999999999999" x14ac:dyDescent="0.5">
      <c r="D1915" s="3" t="s">
        <v>84</v>
      </c>
      <c r="S1915" s="3" t="s">
        <v>92</v>
      </c>
    </row>
    <row r="1916" spans="4:19" ht="17.649999999999999" x14ac:dyDescent="0.5">
      <c r="D1916" s="3" t="s">
        <v>68</v>
      </c>
      <c r="S1916" s="3" t="s">
        <v>133</v>
      </c>
    </row>
    <row r="1917" spans="4:19" ht="17.649999999999999" x14ac:dyDescent="0.5">
      <c r="D1917" s="3" t="s">
        <v>43</v>
      </c>
      <c r="S1917" s="3" t="s">
        <v>43</v>
      </c>
    </row>
    <row r="1918" spans="4:19" ht="17.649999999999999" x14ac:dyDescent="0.5">
      <c r="D1918" s="3" t="s">
        <v>67</v>
      </c>
      <c r="S1918" s="3" t="s">
        <v>107</v>
      </c>
    </row>
    <row r="1919" spans="4:19" ht="17.649999999999999" x14ac:dyDescent="0.5">
      <c r="D1919" s="3" t="s">
        <v>119</v>
      </c>
      <c r="S1919" s="3" t="s">
        <v>113</v>
      </c>
    </row>
    <row r="1920" spans="4:19" ht="17.649999999999999" x14ac:dyDescent="0.5">
      <c r="D1920" s="3" t="s">
        <v>66</v>
      </c>
      <c r="S1920" s="3" t="s">
        <v>66</v>
      </c>
    </row>
    <row r="1921" spans="4:19" ht="17.649999999999999" x14ac:dyDescent="0.5">
      <c r="D1921" s="3" t="s">
        <v>78</v>
      </c>
      <c r="S1921" s="3" t="s">
        <v>78</v>
      </c>
    </row>
    <row r="1922" spans="4:19" ht="17.649999999999999" x14ac:dyDescent="0.5">
      <c r="D1922" s="3" t="s">
        <v>68</v>
      </c>
      <c r="S1922" s="3" t="s">
        <v>68</v>
      </c>
    </row>
    <row r="1923" spans="4:19" ht="17.649999999999999" x14ac:dyDescent="0.5">
      <c r="D1923" s="3" t="s">
        <v>127</v>
      </c>
      <c r="S1923" s="3" t="s">
        <v>127</v>
      </c>
    </row>
    <row r="1924" spans="4:19" ht="17.649999999999999" x14ac:dyDescent="0.5">
      <c r="D1924" s="3" t="s">
        <v>103</v>
      </c>
      <c r="S1924" s="3" t="s">
        <v>112</v>
      </c>
    </row>
    <row r="1925" spans="4:19" ht="17.649999999999999" x14ac:dyDescent="0.5">
      <c r="D1925" s="3" t="s">
        <v>41</v>
      </c>
      <c r="S1925" s="3" t="s">
        <v>85</v>
      </c>
    </row>
    <row r="1926" spans="4:19" ht="17.649999999999999" x14ac:dyDescent="0.5">
      <c r="D1926" s="3" t="s">
        <v>56</v>
      </c>
      <c r="S1926" s="3" t="s">
        <v>83</v>
      </c>
    </row>
    <row r="1927" spans="4:19" ht="17.649999999999999" x14ac:dyDescent="0.5">
      <c r="D1927" s="3" t="s">
        <v>65</v>
      </c>
      <c r="S1927" s="3" t="s">
        <v>77</v>
      </c>
    </row>
    <row r="1928" spans="4:19" ht="17.649999999999999" x14ac:dyDescent="0.5">
      <c r="D1928" s="3" t="s">
        <v>53</v>
      </c>
      <c r="S1928" s="3" t="s">
        <v>57</v>
      </c>
    </row>
    <row r="1929" spans="4:19" ht="17.649999999999999" x14ac:dyDescent="0.5">
      <c r="D1929" s="3" t="s">
        <v>111</v>
      </c>
      <c r="S1929" s="3" t="s">
        <v>132</v>
      </c>
    </row>
    <row r="1930" spans="4:19" ht="17.649999999999999" x14ac:dyDescent="0.5">
      <c r="D1930" s="3" t="s">
        <v>41</v>
      </c>
      <c r="S1930" s="3" t="s">
        <v>85</v>
      </c>
    </row>
    <row r="1931" spans="4:19" ht="17.649999999999999" x14ac:dyDescent="0.5">
      <c r="D1931" s="3" t="s">
        <v>80</v>
      </c>
      <c r="S1931" s="3" t="s">
        <v>61</v>
      </c>
    </row>
    <row r="1932" spans="4:19" ht="17.649999999999999" x14ac:dyDescent="0.5">
      <c r="D1932" s="3" t="s">
        <v>98</v>
      </c>
      <c r="S1932" s="3" t="s">
        <v>48</v>
      </c>
    </row>
    <row r="1933" spans="4:19" ht="17.649999999999999" x14ac:dyDescent="0.5">
      <c r="D1933" s="3" t="s">
        <v>78</v>
      </c>
      <c r="S1933" s="3" t="s">
        <v>81</v>
      </c>
    </row>
    <row r="1934" spans="4:19" ht="17.649999999999999" x14ac:dyDescent="0.5">
      <c r="D1934" s="3" t="s">
        <v>84</v>
      </c>
      <c r="S1934" s="3" t="s">
        <v>92</v>
      </c>
    </row>
    <row r="1935" spans="4:19" ht="17.649999999999999" x14ac:dyDescent="0.5">
      <c r="D1935" s="3" t="s">
        <v>112</v>
      </c>
      <c r="S1935" s="3" t="s">
        <v>103</v>
      </c>
    </row>
    <row r="1936" spans="4:19" ht="17.649999999999999" x14ac:dyDescent="0.5">
      <c r="D1936" s="3" t="s">
        <v>96</v>
      </c>
      <c r="S1936" s="3" t="s">
        <v>43</v>
      </c>
    </row>
    <row r="1937" spans="4:19" ht="17.649999999999999" x14ac:dyDescent="0.5">
      <c r="D1937" s="3" t="s">
        <v>105</v>
      </c>
      <c r="S1937" s="3" t="s">
        <v>117</v>
      </c>
    </row>
    <row r="1938" spans="4:19" ht="17.649999999999999" x14ac:dyDescent="0.5">
      <c r="D1938" s="3" t="s">
        <v>90</v>
      </c>
      <c r="S1938" s="3" t="s">
        <v>64</v>
      </c>
    </row>
    <row r="1939" spans="4:19" ht="17.649999999999999" x14ac:dyDescent="0.5">
      <c r="D1939" s="3" t="s">
        <v>103</v>
      </c>
      <c r="S1939" s="3" t="s">
        <v>112</v>
      </c>
    </row>
    <row r="1940" spans="4:19" ht="17.649999999999999" x14ac:dyDescent="0.5">
      <c r="D1940" s="3" t="s">
        <v>61</v>
      </c>
      <c r="S1940" s="3" t="s">
        <v>80</v>
      </c>
    </row>
    <row r="1941" spans="4:19" ht="17.649999999999999" x14ac:dyDescent="0.5">
      <c r="D1941" s="3" t="s">
        <v>59</v>
      </c>
      <c r="S1941" s="3" t="s">
        <v>50</v>
      </c>
    </row>
    <row r="1942" spans="4:19" ht="17.649999999999999" x14ac:dyDescent="0.5">
      <c r="D1942" s="3" t="s">
        <v>98</v>
      </c>
      <c r="S1942" s="3" t="s">
        <v>48</v>
      </c>
    </row>
    <row r="1943" spans="4:19" ht="17.649999999999999" x14ac:dyDescent="0.5">
      <c r="D1943" s="3" t="s">
        <v>115</v>
      </c>
      <c r="S1943" s="3" t="s">
        <v>74</v>
      </c>
    </row>
    <row r="1944" spans="4:19" ht="17.649999999999999" x14ac:dyDescent="0.5">
      <c r="D1944" s="3" t="s">
        <v>117</v>
      </c>
      <c r="S1944" s="3" t="s">
        <v>105</v>
      </c>
    </row>
    <row r="1945" spans="4:19" ht="17.649999999999999" x14ac:dyDescent="0.5">
      <c r="D1945" s="3" t="s">
        <v>84</v>
      </c>
      <c r="S1945" s="3" t="s">
        <v>92</v>
      </c>
    </row>
    <row r="1946" spans="4:19" ht="17.649999999999999" x14ac:dyDescent="0.5">
      <c r="D1946" s="3" t="s">
        <v>83</v>
      </c>
      <c r="S1946" s="3" t="s">
        <v>56</v>
      </c>
    </row>
    <row r="1947" spans="4:19" ht="17.649999999999999" x14ac:dyDescent="0.5">
      <c r="D1947" s="3" t="s">
        <v>131</v>
      </c>
      <c r="S1947" s="3" t="s">
        <v>72</v>
      </c>
    </row>
    <row r="1948" spans="4:19" ht="17.649999999999999" x14ac:dyDescent="0.5">
      <c r="D1948" s="3" t="s">
        <v>43</v>
      </c>
      <c r="S1948" s="3" t="s">
        <v>96</v>
      </c>
    </row>
    <row r="1949" spans="4:19" ht="17.649999999999999" x14ac:dyDescent="0.5">
      <c r="D1949" s="3" t="s">
        <v>117</v>
      </c>
      <c r="S1949" s="3" t="s">
        <v>105</v>
      </c>
    </row>
    <row r="1950" spans="4:19" ht="17.649999999999999" x14ac:dyDescent="0.5">
      <c r="D1950" s="3" t="s">
        <v>77</v>
      </c>
      <c r="S1950" s="3" t="s">
        <v>65</v>
      </c>
    </row>
    <row r="1951" spans="4:19" ht="17.649999999999999" x14ac:dyDescent="0.5">
      <c r="D1951" s="3" t="s">
        <v>49</v>
      </c>
      <c r="S1951" s="3" t="s">
        <v>46</v>
      </c>
    </row>
    <row r="1952" spans="4:19" ht="17.649999999999999" x14ac:dyDescent="0.5">
      <c r="D1952" s="3" t="s">
        <v>73</v>
      </c>
      <c r="S1952" s="3" t="s">
        <v>69</v>
      </c>
    </row>
    <row r="1953" spans="4:19" ht="17.649999999999999" x14ac:dyDescent="0.5">
      <c r="D1953" s="3" t="s">
        <v>112</v>
      </c>
      <c r="S1953" s="3" t="s">
        <v>112</v>
      </c>
    </row>
    <row r="1954" spans="4:19" ht="17.649999999999999" x14ac:dyDescent="0.5">
      <c r="D1954" s="3" t="s">
        <v>95</v>
      </c>
      <c r="S1954" s="3" t="s">
        <v>43</v>
      </c>
    </row>
    <row r="1955" spans="4:19" ht="17.649999999999999" x14ac:dyDescent="0.5">
      <c r="D1955" s="3" t="s">
        <v>58</v>
      </c>
      <c r="S1955" s="3" t="s">
        <v>133</v>
      </c>
    </row>
    <row r="1956" spans="4:19" ht="17.649999999999999" x14ac:dyDescent="0.5">
      <c r="D1956" s="3" t="s">
        <v>69</v>
      </c>
      <c r="S1956" s="3" t="s">
        <v>60</v>
      </c>
    </row>
    <row r="1957" spans="4:19" ht="17.649999999999999" x14ac:dyDescent="0.5">
      <c r="D1957" s="3" t="s">
        <v>86</v>
      </c>
      <c r="S1957" s="3" t="s">
        <v>99</v>
      </c>
    </row>
    <row r="1958" spans="4:19" ht="17.649999999999999" x14ac:dyDescent="0.5">
      <c r="D1958" s="3" t="s">
        <v>46</v>
      </c>
      <c r="S1958" s="3" t="s">
        <v>49</v>
      </c>
    </row>
    <row r="1959" spans="4:19" ht="17.649999999999999" x14ac:dyDescent="0.5">
      <c r="D1959" s="3" t="s">
        <v>74</v>
      </c>
      <c r="S1959" s="3" t="s">
        <v>115</v>
      </c>
    </row>
    <row r="1960" spans="4:19" ht="17.649999999999999" x14ac:dyDescent="0.5">
      <c r="D1960" s="3" t="s">
        <v>74</v>
      </c>
      <c r="S1960" s="3" t="s">
        <v>74</v>
      </c>
    </row>
    <row r="1961" spans="4:19" ht="17.649999999999999" x14ac:dyDescent="0.5">
      <c r="D1961" s="3" t="s">
        <v>46</v>
      </c>
      <c r="S1961" s="3" t="s">
        <v>86</v>
      </c>
    </row>
    <row r="1962" spans="4:19" ht="17.649999999999999" x14ac:dyDescent="0.5">
      <c r="D1962" s="3" t="s">
        <v>68</v>
      </c>
      <c r="S1962" s="3" t="s">
        <v>68</v>
      </c>
    </row>
    <row r="1963" spans="4:19" ht="17.649999999999999" x14ac:dyDescent="0.5">
      <c r="D1963" s="3" t="s">
        <v>75</v>
      </c>
      <c r="S1963" s="3" t="s">
        <v>133</v>
      </c>
    </row>
    <row r="1964" spans="4:19" ht="17.649999999999999" x14ac:dyDescent="0.5">
      <c r="D1964" s="3" t="s">
        <v>115</v>
      </c>
      <c r="S1964" s="3" t="s">
        <v>115</v>
      </c>
    </row>
    <row r="1965" spans="4:19" ht="17.649999999999999" x14ac:dyDescent="0.5">
      <c r="D1965" s="3" t="s">
        <v>118</v>
      </c>
      <c r="S1965" s="3" t="s">
        <v>57</v>
      </c>
    </row>
    <row r="1966" spans="4:19" ht="17.649999999999999" x14ac:dyDescent="0.5">
      <c r="D1966" s="3" t="s">
        <v>81</v>
      </c>
      <c r="S1966" s="3" t="s">
        <v>110</v>
      </c>
    </row>
    <row r="1967" spans="4:19" ht="17.649999999999999" x14ac:dyDescent="0.5">
      <c r="D1967" s="3" t="s">
        <v>105</v>
      </c>
      <c r="S1967" s="3" t="s">
        <v>105</v>
      </c>
    </row>
    <row r="1968" spans="4:19" ht="17.649999999999999" x14ac:dyDescent="0.5">
      <c r="D1968" s="3" t="s">
        <v>115</v>
      </c>
      <c r="S1968" s="3" t="s">
        <v>74</v>
      </c>
    </row>
    <row r="1969" spans="4:19" ht="17.649999999999999" x14ac:dyDescent="0.5">
      <c r="D1969" s="3" t="s">
        <v>100</v>
      </c>
      <c r="S1969" s="3" t="s">
        <v>56</v>
      </c>
    </row>
    <row r="1970" spans="4:19" ht="17.649999999999999" x14ac:dyDescent="0.5">
      <c r="D1970" s="3" t="s">
        <v>103</v>
      </c>
      <c r="S1970" s="3" t="s">
        <v>121</v>
      </c>
    </row>
    <row r="1971" spans="4:19" ht="17.649999999999999" x14ac:dyDescent="0.5">
      <c r="D1971" s="3" t="s">
        <v>51</v>
      </c>
      <c r="S1971" s="3" t="s">
        <v>51</v>
      </c>
    </row>
    <row r="1972" spans="4:19" ht="17.649999999999999" x14ac:dyDescent="0.5">
      <c r="D1972" s="3" t="s">
        <v>114</v>
      </c>
      <c r="S1972" s="3" t="s">
        <v>117</v>
      </c>
    </row>
    <row r="1973" spans="4:19" ht="17.649999999999999" x14ac:dyDescent="0.5">
      <c r="D1973" s="3" t="s">
        <v>131</v>
      </c>
      <c r="S1973" s="3" t="s">
        <v>74</v>
      </c>
    </row>
    <row r="1974" spans="4:19" ht="17.649999999999999" x14ac:dyDescent="0.5">
      <c r="D1974" s="3" t="s">
        <v>53</v>
      </c>
      <c r="S1974" s="3" t="s">
        <v>53</v>
      </c>
    </row>
    <row r="1975" spans="4:19" ht="17.649999999999999" x14ac:dyDescent="0.5">
      <c r="D1975" s="3" t="s">
        <v>55</v>
      </c>
      <c r="S1975" s="3" t="s">
        <v>93</v>
      </c>
    </row>
    <row r="1976" spans="4:19" ht="17.649999999999999" x14ac:dyDescent="0.5">
      <c r="D1976" s="3" t="s">
        <v>105</v>
      </c>
      <c r="S1976" s="3" t="s">
        <v>105</v>
      </c>
    </row>
    <row r="1977" spans="4:19" ht="17.649999999999999" x14ac:dyDescent="0.5">
      <c r="D1977" s="3" t="s">
        <v>80</v>
      </c>
      <c r="S1977" s="3" t="s">
        <v>80</v>
      </c>
    </row>
    <row r="1978" spans="4:19" ht="17.649999999999999" x14ac:dyDescent="0.5">
      <c r="D1978" s="3" t="s">
        <v>74</v>
      </c>
      <c r="S1978" s="3" t="s">
        <v>72</v>
      </c>
    </row>
    <row r="1979" spans="4:19" ht="17.649999999999999" x14ac:dyDescent="0.5">
      <c r="D1979" s="3" t="s">
        <v>135</v>
      </c>
      <c r="S1979" s="3" t="s">
        <v>47</v>
      </c>
    </row>
    <row r="1980" spans="4:19" ht="17.649999999999999" x14ac:dyDescent="0.5">
      <c r="D1980" s="3" t="s">
        <v>81</v>
      </c>
      <c r="S1980" s="3" t="s">
        <v>78</v>
      </c>
    </row>
    <row r="1981" spans="4:19" ht="17.649999999999999" x14ac:dyDescent="0.5">
      <c r="D1981" s="3" t="s">
        <v>65</v>
      </c>
      <c r="S1981" s="3" t="s">
        <v>77</v>
      </c>
    </row>
    <row r="1982" spans="4:19" ht="17.649999999999999" x14ac:dyDescent="0.5">
      <c r="D1982" s="3" t="s">
        <v>77</v>
      </c>
      <c r="S1982" s="3" t="s">
        <v>113</v>
      </c>
    </row>
    <row r="1983" spans="4:19" ht="17.649999999999999" x14ac:dyDescent="0.5">
      <c r="D1983" s="3" t="s">
        <v>102</v>
      </c>
      <c r="S1983" s="3" t="s">
        <v>102</v>
      </c>
    </row>
    <row r="1984" spans="4:19" ht="17.649999999999999" x14ac:dyDescent="0.5">
      <c r="D1984" s="3" t="s">
        <v>74</v>
      </c>
      <c r="S1984" s="3" t="s">
        <v>115</v>
      </c>
    </row>
    <row r="1985" spans="4:19" ht="17.649999999999999" x14ac:dyDescent="0.5">
      <c r="D1985" s="3" t="s">
        <v>90</v>
      </c>
      <c r="S1985" s="3" t="s">
        <v>64</v>
      </c>
    </row>
    <row r="1986" spans="4:19" ht="17.649999999999999" x14ac:dyDescent="0.5">
      <c r="D1986" s="3" t="s">
        <v>80</v>
      </c>
      <c r="S1986" s="3" t="s">
        <v>61</v>
      </c>
    </row>
    <row r="1987" spans="4:19" ht="17.649999999999999" x14ac:dyDescent="0.5">
      <c r="D1987" s="3" t="s">
        <v>92</v>
      </c>
      <c r="S1987" s="3" t="s">
        <v>84</v>
      </c>
    </row>
    <row r="1988" spans="4:19" ht="17.649999999999999" x14ac:dyDescent="0.5">
      <c r="D1988" s="3" t="s">
        <v>96</v>
      </c>
      <c r="S1988" s="3" t="s">
        <v>43</v>
      </c>
    </row>
    <row r="1989" spans="4:19" ht="17.649999999999999" x14ac:dyDescent="0.5">
      <c r="D1989" s="3" t="s">
        <v>84</v>
      </c>
      <c r="S1989" s="3" t="s">
        <v>92</v>
      </c>
    </row>
    <row r="1990" spans="4:19" ht="17.649999999999999" x14ac:dyDescent="0.5">
      <c r="D1990" s="3" t="s">
        <v>75</v>
      </c>
      <c r="S1990" s="3" t="s">
        <v>68</v>
      </c>
    </row>
    <row r="1991" spans="4:19" ht="17.649999999999999" x14ac:dyDescent="0.5">
      <c r="D1991" s="3" t="s">
        <v>73</v>
      </c>
      <c r="S1991" s="3" t="s">
        <v>69</v>
      </c>
    </row>
    <row r="1992" spans="4:19" ht="17.649999999999999" x14ac:dyDescent="0.5">
      <c r="D1992" s="3" t="s">
        <v>103</v>
      </c>
      <c r="S1992" s="3" t="s">
        <v>112</v>
      </c>
    </row>
    <row r="1993" spans="4:19" ht="17.649999999999999" x14ac:dyDescent="0.5">
      <c r="D1993" s="3" t="s">
        <v>117</v>
      </c>
      <c r="S1993" s="3" t="s">
        <v>105</v>
      </c>
    </row>
    <row r="1994" spans="4:19" ht="17.649999999999999" x14ac:dyDescent="0.5">
      <c r="D1994" s="3" t="s">
        <v>41</v>
      </c>
      <c r="S1994" s="3" t="s">
        <v>85</v>
      </c>
    </row>
    <row r="1995" spans="4:19" ht="17.649999999999999" x14ac:dyDescent="0.5">
      <c r="D1995" s="3" t="s">
        <v>91</v>
      </c>
      <c r="S1995" s="3" t="s">
        <v>101</v>
      </c>
    </row>
    <row r="1996" spans="4:19" ht="17.649999999999999" x14ac:dyDescent="0.5">
      <c r="D1996" s="3" t="s">
        <v>52</v>
      </c>
      <c r="S1996" s="3" t="s">
        <v>51</v>
      </c>
    </row>
    <row r="1997" spans="4:19" ht="17.649999999999999" x14ac:dyDescent="0.5">
      <c r="D1997" s="3" t="s">
        <v>113</v>
      </c>
      <c r="S1997" s="3" t="s">
        <v>119</v>
      </c>
    </row>
    <row r="1998" spans="4:19" ht="17.649999999999999" x14ac:dyDescent="0.5">
      <c r="D1998" s="3" t="s">
        <v>68</v>
      </c>
      <c r="S1998" s="3" t="s">
        <v>75</v>
      </c>
    </row>
    <row r="1999" spans="4:19" ht="17.649999999999999" x14ac:dyDescent="0.5">
      <c r="D1999" s="3" t="s">
        <v>105</v>
      </c>
      <c r="S1999" s="3" t="s">
        <v>117</v>
      </c>
    </row>
    <row r="2000" spans="4:19" ht="17.649999999999999" x14ac:dyDescent="0.5">
      <c r="D2000" s="3" t="s">
        <v>47</v>
      </c>
      <c r="S2000" s="3" t="s">
        <v>47</v>
      </c>
    </row>
    <row r="2001" spans="4:19" ht="17.649999999999999" x14ac:dyDescent="0.5">
      <c r="D2001" s="3" t="s">
        <v>63</v>
      </c>
      <c r="S2001" s="3" t="s">
        <v>87</v>
      </c>
    </row>
    <row r="2002" spans="4:19" ht="17.649999999999999" x14ac:dyDescent="0.5">
      <c r="D2002" s="3" t="s">
        <v>125</v>
      </c>
      <c r="S2002" s="3" t="s">
        <v>128</v>
      </c>
    </row>
    <row r="2003" spans="4:19" ht="17.649999999999999" x14ac:dyDescent="0.5">
      <c r="D2003" s="3" t="s">
        <v>50</v>
      </c>
      <c r="S2003" s="3" t="s">
        <v>50</v>
      </c>
    </row>
    <row r="2004" spans="4:19" ht="17.649999999999999" x14ac:dyDescent="0.5">
      <c r="D2004" s="3" t="s">
        <v>81</v>
      </c>
      <c r="S2004" s="3" t="s">
        <v>81</v>
      </c>
    </row>
    <row r="2005" spans="4:19" ht="17.649999999999999" x14ac:dyDescent="0.5">
      <c r="D2005" s="3" t="s">
        <v>50</v>
      </c>
      <c r="S2005" s="3" t="s">
        <v>59</v>
      </c>
    </row>
    <row r="2006" spans="4:19" ht="17.649999999999999" x14ac:dyDescent="0.5">
      <c r="D2006" s="3" t="s">
        <v>43</v>
      </c>
      <c r="S2006" s="3" t="s">
        <v>76</v>
      </c>
    </row>
    <row r="2007" spans="4:19" ht="17.649999999999999" x14ac:dyDescent="0.5">
      <c r="D2007" s="3" t="s">
        <v>101</v>
      </c>
      <c r="S2007" s="3" t="s">
        <v>101</v>
      </c>
    </row>
    <row r="2008" spans="4:19" ht="17.649999999999999" x14ac:dyDescent="0.5">
      <c r="D2008" s="3" t="s">
        <v>77</v>
      </c>
      <c r="S2008" s="3" t="s">
        <v>65</v>
      </c>
    </row>
    <row r="2009" spans="4:19" ht="17.649999999999999" x14ac:dyDescent="0.5">
      <c r="D2009" s="3" t="s">
        <v>106</v>
      </c>
      <c r="S2009" s="3" t="s">
        <v>124</v>
      </c>
    </row>
    <row r="2010" spans="4:19" ht="17.649999999999999" x14ac:dyDescent="0.5">
      <c r="D2010" s="3" t="s">
        <v>98</v>
      </c>
      <c r="S2010" s="3" t="s">
        <v>48</v>
      </c>
    </row>
    <row r="2011" spans="4:19" ht="17.649999999999999" x14ac:dyDescent="0.5">
      <c r="D2011" s="3" t="s">
        <v>63</v>
      </c>
      <c r="S2011" s="3" t="s">
        <v>63</v>
      </c>
    </row>
    <row r="2012" spans="4:19" ht="17.649999999999999" x14ac:dyDescent="0.5">
      <c r="D2012" s="3" t="s">
        <v>58</v>
      </c>
      <c r="S2012" s="3" t="s">
        <v>133</v>
      </c>
    </row>
    <row r="2013" spans="4:19" ht="17.649999999999999" x14ac:dyDescent="0.5">
      <c r="D2013" s="3" t="s">
        <v>42</v>
      </c>
      <c r="S2013" s="3" t="s">
        <v>42</v>
      </c>
    </row>
    <row r="2014" spans="4:19" ht="17.649999999999999" x14ac:dyDescent="0.5">
      <c r="D2014" s="3" t="s">
        <v>57</v>
      </c>
      <c r="S2014" s="3" t="s">
        <v>118</v>
      </c>
    </row>
    <row r="2015" spans="4:19" ht="17.649999999999999" x14ac:dyDescent="0.5">
      <c r="D2015" s="3" t="s">
        <v>128</v>
      </c>
      <c r="S2015" s="3" t="s">
        <v>92</v>
      </c>
    </row>
    <row r="2016" spans="4:19" ht="17.649999999999999" x14ac:dyDescent="0.5">
      <c r="D2016" s="3" t="s">
        <v>57</v>
      </c>
      <c r="S2016" s="3" t="s">
        <v>57</v>
      </c>
    </row>
    <row r="2017" spans="4:19" ht="17.649999999999999" x14ac:dyDescent="0.5">
      <c r="D2017" s="3" t="s">
        <v>64</v>
      </c>
      <c r="S2017" s="3" t="s">
        <v>64</v>
      </c>
    </row>
    <row r="2018" spans="4:19" ht="17.649999999999999" x14ac:dyDescent="0.5">
      <c r="D2018" s="3" t="s">
        <v>72</v>
      </c>
      <c r="S2018" s="3" t="s">
        <v>72</v>
      </c>
    </row>
    <row r="2019" spans="4:19" ht="17.649999999999999" x14ac:dyDescent="0.5">
      <c r="D2019" s="3" t="s">
        <v>96</v>
      </c>
      <c r="S2019" s="3" t="s">
        <v>43</v>
      </c>
    </row>
    <row r="2020" spans="4:19" ht="17.649999999999999" x14ac:dyDescent="0.5">
      <c r="D2020" s="3" t="s">
        <v>51</v>
      </c>
      <c r="S2020" s="3" t="s">
        <v>122</v>
      </c>
    </row>
    <row r="2021" spans="4:19" ht="17.649999999999999" x14ac:dyDescent="0.5">
      <c r="D2021" s="3" t="s">
        <v>52</v>
      </c>
      <c r="S2021" s="3" t="s">
        <v>52</v>
      </c>
    </row>
    <row r="2022" spans="4:19" ht="17.649999999999999" x14ac:dyDescent="0.5">
      <c r="D2022" s="3" t="s">
        <v>44</v>
      </c>
      <c r="S2022" s="3" t="s">
        <v>135</v>
      </c>
    </row>
    <row r="2023" spans="4:19" ht="17.649999999999999" x14ac:dyDescent="0.5">
      <c r="D2023" s="3" t="s">
        <v>128</v>
      </c>
      <c r="S2023" s="3" t="s">
        <v>128</v>
      </c>
    </row>
    <row r="2024" spans="4:19" ht="17.649999999999999" x14ac:dyDescent="0.5">
      <c r="D2024" s="3" t="s">
        <v>49</v>
      </c>
      <c r="S2024" s="3" t="s">
        <v>49</v>
      </c>
    </row>
    <row r="2025" spans="4:19" ht="17.649999999999999" x14ac:dyDescent="0.5">
      <c r="D2025" s="3" t="s">
        <v>90</v>
      </c>
      <c r="S2025" s="3" t="s">
        <v>90</v>
      </c>
    </row>
    <row r="2026" spans="4:19" ht="17.649999999999999" x14ac:dyDescent="0.5">
      <c r="D2026" s="3" t="s">
        <v>95</v>
      </c>
      <c r="S2026" s="3" t="s">
        <v>96</v>
      </c>
    </row>
    <row r="2027" spans="4:19" ht="17.649999999999999" x14ac:dyDescent="0.5">
      <c r="D2027" s="3" t="s">
        <v>94</v>
      </c>
      <c r="S2027" s="3" t="s">
        <v>94</v>
      </c>
    </row>
    <row r="2028" spans="4:19" ht="17.649999999999999" x14ac:dyDescent="0.5">
      <c r="D2028" s="3" t="s">
        <v>120</v>
      </c>
      <c r="S2028" s="3" t="s">
        <v>120</v>
      </c>
    </row>
    <row r="2029" spans="4:19" ht="17.649999999999999" x14ac:dyDescent="0.5">
      <c r="D2029" s="3" t="s">
        <v>111</v>
      </c>
      <c r="S2029" s="3" t="s">
        <v>61</v>
      </c>
    </row>
    <row r="2030" spans="4:19" ht="17.649999999999999" x14ac:dyDescent="0.5">
      <c r="D2030" s="3" t="s">
        <v>75</v>
      </c>
      <c r="S2030" s="3" t="s">
        <v>133</v>
      </c>
    </row>
    <row r="2031" spans="4:19" ht="17.649999999999999" x14ac:dyDescent="0.5">
      <c r="D2031" s="3" t="s">
        <v>96</v>
      </c>
      <c r="S2031" s="3" t="s">
        <v>43</v>
      </c>
    </row>
    <row r="2032" spans="4:19" ht="17.649999999999999" x14ac:dyDescent="0.5">
      <c r="D2032" s="3" t="s">
        <v>67</v>
      </c>
      <c r="S2032" s="3" t="s">
        <v>126</v>
      </c>
    </row>
    <row r="2033" spans="4:19" ht="17.649999999999999" x14ac:dyDescent="0.5">
      <c r="D2033" s="3" t="s">
        <v>71</v>
      </c>
      <c r="S2033" s="3" t="s">
        <v>85</v>
      </c>
    </row>
    <row r="2034" spans="4:19" ht="17.649999999999999" x14ac:dyDescent="0.5">
      <c r="D2034" s="3" t="s">
        <v>51</v>
      </c>
      <c r="S2034" s="3" t="s">
        <v>52</v>
      </c>
    </row>
    <row r="2035" spans="4:19" ht="17.649999999999999" x14ac:dyDescent="0.5">
      <c r="D2035" s="3" t="s">
        <v>105</v>
      </c>
      <c r="S2035" s="3" t="s">
        <v>117</v>
      </c>
    </row>
    <row r="2036" spans="4:19" ht="17.649999999999999" x14ac:dyDescent="0.5">
      <c r="D2036" s="3" t="s">
        <v>69</v>
      </c>
      <c r="S2036" s="3" t="s">
        <v>60</v>
      </c>
    </row>
    <row r="2037" spans="4:19" ht="17.649999999999999" x14ac:dyDescent="0.5">
      <c r="D2037" s="3" t="s">
        <v>117</v>
      </c>
      <c r="S2037" s="3" t="s">
        <v>105</v>
      </c>
    </row>
    <row r="2038" spans="4:19" ht="17.649999999999999" x14ac:dyDescent="0.5">
      <c r="D2038" s="3" t="s">
        <v>107</v>
      </c>
      <c r="S2038" s="3" t="s">
        <v>88</v>
      </c>
    </row>
    <row r="2039" spans="4:19" ht="17.649999999999999" x14ac:dyDescent="0.5">
      <c r="D2039" s="3" t="s">
        <v>101</v>
      </c>
      <c r="S2039" s="3" t="s">
        <v>104</v>
      </c>
    </row>
    <row r="2040" spans="4:19" ht="17.649999999999999" x14ac:dyDescent="0.5">
      <c r="D2040" s="3" t="s">
        <v>46</v>
      </c>
      <c r="S2040" s="3" t="s">
        <v>49</v>
      </c>
    </row>
    <row r="2041" spans="4:19" ht="17.649999999999999" x14ac:dyDescent="0.5">
      <c r="D2041" s="3" t="s">
        <v>89</v>
      </c>
      <c r="S2041" s="3" t="s">
        <v>73</v>
      </c>
    </row>
    <row r="2042" spans="4:19" ht="17.649999999999999" x14ac:dyDescent="0.5">
      <c r="D2042" s="3" t="s">
        <v>67</v>
      </c>
      <c r="S2042" s="3" t="s">
        <v>67</v>
      </c>
    </row>
    <row r="2043" spans="4:19" ht="17.649999999999999" x14ac:dyDescent="0.5">
      <c r="D2043" s="3" t="s">
        <v>99</v>
      </c>
      <c r="S2043" s="3" t="s">
        <v>49</v>
      </c>
    </row>
    <row r="2044" spans="4:19" ht="17.649999999999999" x14ac:dyDescent="0.5">
      <c r="D2044" s="3" t="s">
        <v>47</v>
      </c>
      <c r="S2044" s="3" t="s">
        <v>44</v>
      </c>
    </row>
    <row r="2045" spans="4:19" ht="17.649999999999999" x14ac:dyDescent="0.5">
      <c r="D2045" s="3" t="s">
        <v>68</v>
      </c>
      <c r="S2045" s="3" t="s">
        <v>68</v>
      </c>
    </row>
    <row r="2046" spans="4:19" ht="17.649999999999999" x14ac:dyDescent="0.5">
      <c r="D2046" s="3" t="s">
        <v>77</v>
      </c>
      <c r="S2046" s="3" t="s">
        <v>77</v>
      </c>
    </row>
    <row r="2047" spans="4:19" ht="17.649999999999999" x14ac:dyDescent="0.5">
      <c r="D2047" s="3" t="s">
        <v>90</v>
      </c>
      <c r="S2047" s="3" t="s">
        <v>130</v>
      </c>
    </row>
    <row r="2048" spans="4:19" ht="17.649999999999999" x14ac:dyDescent="0.5">
      <c r="D2048" s="3" t="s">
        <v>81</v>
      </c>
      <c r="S2048" s="3" t="s">
        <v>81</v>
      </c>
    </row>
    <row r="2049" spans="4:19" ht="17.649999999999999" x14ac:dyDescent="0.5">
      <c r="D2049" s="3" t="s">
        <v>98</v>
      </c>
      <c r="S2049" s="3" t="s">
        <v>48</v>
      </c>
    </row>
    <row r="2050" spans="4:19" ht="17.649999999999999" x14ac:dyDescent="0.5">
      <c r="D2050" s="3" t="s">
        <v>68</v>
      </c>
      <c r="S2050" s="3" t="s">
        <v>133</v>
      </c>
    </row>
    <row r="2051" spans="4:19" ht="17.649999999999999" x14ac:dyDescent="0.5">
      <c r="D2051" s="3" t="s">
        <v>60</v>
      </c>
      <c r="S2051" s="3" t="s">
        <v>89</v>
      </c>
    </row>
    <row r="2052" spans="4:19" ht="17.649999999999999" x14ac:dyDescent="0.5">
      <c r="D2052" s="3" t="s">
        <v>57</v>
      </c>
      <c r="S2052" s="3" t="s">
        <v>53</v>
      </c>
    </row>
    <row r="2053" spans="4:19" ht="17.649999999999999" x14ac:dyDescent="0.5">
      <c r="D2053" s="3" t="s">
        <v>60</v>
      </c>
      <c r="S2053" s="3" t="s">
        <v>69</v>
      </c>
    </row>
    <row r="2054" spans="4:19" ht="17.649999999999999" x14ac:dyDescent="0.5">
      <c r="D2054" s="3" t="s">
        <v>50</v>
      </c>
      <c r="S2054" s="3" t="s">
        <v>59</v>
      </c>
    </row>
    <row r="2055" spans="4:19" ht="17.649999999999999" x14ac:dyDescent="0.5">
      <c r="D2055" s="3" t="s">
        <v>59</v>
      </c>
      <c r="S2055" s="3" t="s">
        <v>50</v>
      </c>
    </row>
    <row r="2056" spans="4:19" ht="17.649999999999999" x14ac:dyDescent="0.5">
      <c r="D2056" s="3" t="s">
        <v>124</v>
      </c>
      <c r="S2056" s="3" t="s">
        <v>48</v>
      </c>
    </row>
    <row r="2057" spans="4:19" ht="17.649999999999999" x14ac:dyDescent="0.5">
      <c r="D2057" s="3" t="s">
        <v>116</v>
      </c>
      <c r="S2057" s="3" t="s">
        <v>63</v>
      </c>
    </row>
    <row r="2058" spans="4:19" ht="17.649999999999999" x14ac:dyDescent="0.5">
      <c r="D2058" s="3" t="s">
        <v>49</v>
      </c>
      <c r="S2058" s="3" t="s">
        <v>49</v>
      </c>
    </row>
    <row r="2059" spans="4:19" ht="17.649999999999999" x14ac:dyDescent="0.5">
      <c r="D2059" s="3" t="s">
        <v>132</v>
      </c>
      <c r="S2059" s="3" t="s">
        <v>111</v>
      </c>
    </row>
    <row r="2060" spans="4:19" ht="17.649999999999999" x14ac:dyDescent="0.5">
      <c r="D2060" s="3" t="s">
        <v>103</v>
      </c>
      <c r="S2060" s="3" t="s">
        <v>103</v>
      </c>
    </row>
    <row r="2061" spans="4:19" ht="17.649999999999999" x14ac:dyDescent="0.5">
      <c r="D2061" s="3" t="s">
        <v>86</v>
      </c>
      <c r="S2061" s="3" t="s">
        <v>86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1:10" ht="25.15" x14ac:dyDescent="0.7">
      <c r="A1" t="s">
        <v>149</v>
      </c>
      <c r="D1" s="1" t="s">
        <v>146</v>
      </c>
    </row>
    <row r="2" spans="1:10" x14ac:dyDescent="0.5">
      <c r="A2" t="s">
        <v>150</v>
      </c>
      <c r="D2" s="2" t="s">
        <v>8</v>
      </c>
      <c r="E2" s="2" t="s">
        <v>9</v>
      </c>
      <c r="F2" s="2" t="s">
        <v>10</v>
      </c>
    </row>
    <row r="3" spans="1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1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1:10" ht="17.649999999999999" x14ac:dyDescent="0.5">
      <c r="D5" s="3"/>
    </row>
    <row r="6" spans="1:10" ht="17.649999999999999" x14ac:dyDescent="0.5">
      <c r="D6" s="3" t="s">
        <v>18</v>
      </c>
    </row>
    <row r="7" spans="1:10" ht="17.649999999999999" x14ac:dyDescent="0.5">
      <c r="D7" s="3" t="s">
        <v>19</v>
      </c>
    </row>
    <row r="8" spans="1:10" ht="17.649999999999999" x14ac:dyDescent="0.5">
      <c r="D8" s="3" t="s">
        <v>20</v>
      </c>
    </row>
    <row r="10" spans="1:10" ht="25.15" x14ac:dyDescent="0.7">
      <c r="D10" s="1" t="s">
        <v>21</v>
      </c>
    </row>
    <row r="11" spans="1:10" x14ac:dyDescent="0.5">
      <c r="D11" s="2" t="s">
        <v>8</v>
      </c>
      <c r="E11" s="2" t="s">
        <v>9</v>
      </c>
      <c r="F11" s="2" t="s">
        <v>10</v>
      </c>
    </row>
    <row r="12" spans="1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1:10" x14ac:dyDescent="0.5">
      <c r="D13" s="2">
        <v>500</v>
      </c>
      <c r="E13" s="2">
        <v>500</v>
      </c>
      <c r="F13" s="2">
        <v>332</v>
      </c>
      <c r="G13" s="2">
        <v>333</v>
      </c>
      <c r="H13" s="2">
        <v>335</v>
      </c>
      <c r="I13" s="2">
        <v>501</v>
      </c>
      <c r="J13" s="2">
        <v>499</v>
      </c>
    </row>
    <row r="14" spans="1:10" ht="17.649999999999999" x14ac:dyDescent="0.5">
      <c r="D14" s="3"/>
    </row>
    <row r="15" spans="1:10" x14ac:dyDescent="0.5">
      <c r="D15" s="2" t="s">
        <v>22</v>
      </c>
    </row>
    <row r="16" spans="1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335</v>
      </c>
      <c r="H23" s="2">
        <v>333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45</v>
      </c>
      <c r="F31" s="2">
        <v>47</v>
      </c>
      <c r="G31" s="2">
        <v>44</v>
      </c>
      <c r="H31" s="2">
        <v>36</v>
      </c>
      <c r="I31" s="2">
        <v>41</v>
      </c>
      <c r="J31" s="2">
        <v>38</v>
      </c>
      <c r="K31" s="2">
        <v>34</v>
      </c>
      <c r="L31" s="2">
        <v>49</v>
      </c>
      <c r="M31" s="2">
        <v>46</v>
      </c>
      <c r="N31" s="2">
        <v>44</v>
      </c>
      <c r="O31" s="2">
        <v>38</v>
      </c>
      <c r="P31" s="2">
        <v>44</v>
      </c>
    </row>
    <row r="32" spans="4:16" x14ac:dyDescent="0.5">
      <c r="D32" s="2">
        <v>2</v>
      </c>
      <c r="E32" s="2">
        <v>42</v>
      </c>
      <c r="F32" s="2">
        <v>33</v>
      </c>
      <c r="G32" s="2">
        <v>42</v>
      </c>
      <c r="H32" s="2">
        <v>49</v>
      </c>
      <c r="I32" s="2">
        <v>41</v>
      </c>
      <c r="J32" s="2">
        <v>42</v>
      </c>
      <c r="K32" s="2">
        <v>43</v>
      </c>
      <c r="L32" s="2">
        <v>39</v>
      </c>
      <c r="M32" s="2">
        <v>37</v>
      </c>
      <c r="N32" s="2">
        <v>35</v>
      </c>
      <c r="O32" s="2">
        <v>48</v>
      </c>
      <c r="P32" s="2">
        <v>43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38</v>
      </c>
      <c r="F37" s="2">
        <v>36</v>
      </c>
      <c r="G37" s="2">
        <v>40</v>
      </c>
      <c r="H37" s="2">
        <v>47</v>
      </c>
      <c r="I37" s="2">
        <v>43</v>
      </c>
      <c r="J37" s="2">
        <v>45</v>
      </c>
      <c r="K37" s="2">
        <v>49</v>
      </c>
      <c r="L37" s="2">
        <v>34</v>
      </c>
      <c r="M37" s="2">
        <v>38</v>
      </c>
      <c r="N37" s="2">
        <v>39</v>
      </c>
      <c r="O37" s="2">
        <v>45</v>
      </c>
      <c r="P37" s="2">
        <v>40</v>
      </c>
    </row>
    <row r="38" spans="4:16" x14ac:dyDescent="0.5">
      <c r="D38" s="2">
        <v>2</v>
      </c>
      <c r="E38" s="2">
        <v>41</v>
      </c>
      <c r="F38" s="2">
        <v>50</v>
      </c>
      <c r="G38" s="2">
        <v>42</v>
      </c>
      <c r="H38" s="2">
        <v>34</v>
      </c>
      <c r="I38" s="2">
        <v>43</v>
      </c>
      <c r="J38" s="2">
        <v>41</v>
      </c>
      <c r="K38" s="2">
        <v>40</v>
      </c>
      <c r="L38" s="2">
        <v>44</v>
      </c>
      <c r="M38" s="2">
        <v>47</v>
      </c>
      <c r="N38" s="2">
        <v>48</v>
      </c>
      <c r="O38" s="2">
        <v>35</v>
      </c>
      <c r="P38" s="2">
        <v>41</v>
      </c>
    </row>
    <row r="39" spans="4:16" ht="17.649999999999999" x14ac:dyDescent="0.5">
      <c r="D39" s="3" t="s">
        <v>137</v>
      </c>
      <c r="E39">
        <f t="shared" ref="E39:P39" si="0">E31-E37</f>
        <v>7</v>
      </c>
      <c r="F39">
        <f t="shared" si="0"/>
        <v>11</v>
      </c>
      <c r="G39">
        <f t="shared" si="0"/>
        <v>4</v>
      </c>
      <c r="H39">
        <f t="shared" si="0"/>
        <v>-11</v>
      </c>
      <c r="I39">
        <f t="shared" si="0"/>
        <v>-2</v>
      </c>
      <c r="J39">
        <f t="shared" si="0"/>
        <v>-7</v>
      </c>
      <c r="K39">
        <f t="shared" si="0"/>
        <v>-15</v>
      </c>
      <c r="L39">
        <f t="shared" si="0"/>
        <v>15</v>
      </c>
      <c r="M39">
        <f t="shared" si="0"/>
        <v>8</v>
      </c>
      <c r="N39">
        <f t="shared" si="0"/>
        <v>5</v>
      </c>
      <c r="O39">
        <f t="shared" si="0"/>
        <v>-7</v>
      </c>
      <c r="P39">
        <f t="shared" si="0"/>
        <v>4</v>
      </c>
    </row>
    <row r="40" spans="4:16" ht="17.649999999999999" x14ac:dyDescent="0.5">
      <c r="D40" s="3" t="s">
        <v>138</v>
      </c>
      <c r="E40">
        <f t="shared" ref="E40:P40" si="1">E32-E38</f>
        <v>1</v>
      </c>
      <c r="F40">
        <f t="shared" si="1"/>
        <v>-17</v>
      </c>
      <c r="G40">
        <f t="shared" si="1"/>
        <v>0</v>
      </c>
      <c r="H40">
        <f t="shared" si="1"/>
        <v>15</v>
      </c>
      <c r="I40">
        <f t="shared" si="1"/>
        <v>-2</v>
      </c>
      <c r="J40">
        <f t="shared" si="1"/>
        <v>1</v>
      </c>
      <c r="K40">
        <f t="shared" si="1"/>
        <v>3</v>
      </c>
      <c r="L40">
        <f t="shared" si="1"/>
        <v>-5</v>
      </c>
      <c r="M40">
        <f t="shared" si="1"/>
        <v>-10</v>
      </c>
      <c r="N40">
        <f t="shared" si="1"/>
        <v>-13</v>
      </c>
      <c r="O40">
        <f t="shared" si="1"/>
        <v>13</v>
      </c>
      <c r="P40">
        <f t="shared" si="1"/>
        <v>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87</v>
      </c>
      <c r="F44" s="2">
        <v>80</v>
      </c>
      <c r="G44" s="2">
        <v>86</v>
      </c>
      <c r="H44" s="2">
        <v>85</v>
      </c>
      <c r="I44" s="2">
        <v>82</v>
      </c>
      <c r="J44" s="2">
        <v>80</v>
      </c>
      <c r="K44" s="2">
        <v>77</v>
      </c>
      <c r="L44" s="2">
        <v>88</v>
      </c>
      <c r="M44" s="2">
        <v>83</v>
      </c>
      <c r="N44" s="2">
        <v>79</v>
      </c>
      <c r="O44" s="2">
        <v>86</v>
      </c>
      <c r="P44" s="2">
        <v>87</v>
      </c>
    </row>
    <row r="45" spans="4:16" x14ac:dyDescent="0.5">
      <c r="D45" s="2" t="s">
        <v>28</v>
      </c>
      <c r="E45" s="2">
        <v>79</v>
      </c>
      <c r="F45" s="2">
        <v>86</v>
      </c>
      <c r="G45" s="2">
        <v>82</v>
      </c>
      <c r="H45" s="2">
        <v>81</v>
      </c>
      <c r="I45" s="2">
        <v>86</v>
      </c>
      <c r="J45" s="2">
        <v>86</v>
      </c>
      <c r="K45" s="2">
        <v>89</v>
      </c>
      <c r="L45" s="2">
        <v>78</v>
      </c>
      <c r="M45" s="2">
        <v>85</v>
      </c>
      <c r="N45" s="2">
        <v>87</v>
      </c>
      <c r="O45" s="2">
        <v>80</v>
      </c>
      <c r="P45" s="2">
        <v>81</v>
      </c>
    </row>
    <row r="46" spans="4:16" x14ac:dyDescent="0.5">
      <c r="D46" s="2" t="s">
        <v>30</v>
      </c>
      <c r="E46" s="2">
        <v>8</v>
      </c>
      <c r="F46" s="2">
        <v>-6</v>
      </c>
      <c r="G46" s="2">
        <v>4</v>
      </c>
      <c r="H46" s="2">
        <v>4</v>
      </c>
      <c r="I46" s="2">
        <v>-4</v>
      </c>
      <c r="J46" s="2">
        <v>-6</v>
      </c>
      <c r="K46" s="2">
        <v>-12</v>
      </c>
      <c r="L46" s="2">
        <v>10</v>
      </c>
      <c r="M46" s="2">
        <v>-2</v>
      </c>
      <c r="N46" s="2">
        <v>-8</v>
      </c>
      <c r="O46" s="2">
        <v>6</v>
      </c>
      <c r="P46" s="2">
        <v>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333</v>
      </c>
      <c r="I51" s="2">
        <v>335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335</v>
      </c>
      <c r="I52" s="2">
        <v>333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-2</v>
      </c>
      <c r="I53" s="2">
        <v>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4</v>
      </c>
      <c r="F56" s="2">
        <v>100</v>
      </c>
      <c r="G56" s="2">
        <v>473</v>
      </c>
      <c r="H56" s="2">
        <v>803</v>
      </c>
      <c r="I56" s="2">
        <v>522</v>
      </c>
      <c r="J56" s="2">
        <v>97</v>
      </c>
      <c r="K56" s="2">
        <v>1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147</v>
      </c>
    </row>
    <row r="61" spans="4:11" ht="17.649999999999999" x14ac:dyDescent="0.5">
      <c r="D61" s="3" t="s">
        <v>148</v>
      </c>
    </row>
    <row r="62" spans="4:11" ht="17.649999999999999" x14ac:dyDescent="0.5">
      <c r="D62" s="3" t="s">
        <v>47</v>
      </c>
    </row>
    <row r="63" spans="4:11" ht="17.649999999999999" x14ac:dyDescent="0.5">
      <c r="D63" s="3" t="s">
        <v>44</v>
      </c>
    </row>
    <row r="64" spans="4:11" ht="17.649999999999999" x14ac:dyDescent="0.5">
      <c r="D64" s="3" t="s">
        <v>47</v>
      </c>
    </row>
    <row r="65" spans="4:4" ht="17.649999999999999" x14ac:dyDescent="0.5">
      <c r="D65" s="3" t="s">
        <v>73</v>
      </c>
    </row>
    <row r="66" spans="4:4" ht="17.649999999999999" x14ac:dyDescent="0.5">
      <c r="D66" s="3" t="s">
        <v>101</v>
      </c>
    </row>
    <row r="67" spans="4:4" ht="17.649999999999999" x14ac:dyDescent="0.5">
      <c r="D67" s="3" t="s">
        <v>87</v>
      </c>
    </row>
    <row r="68" spans="4:4" ht="17.649999999999999" x14ac:dyDescent="0.5">
      <c r="D68" s="3" t="s">
        <v>90</v>
      </c>
    </row>
    <row r="69" spans="4:4" ht="17.649999999999999" x14ac:dyDescent="0.5">
      <c r="D69" s="3" t="s">
        <v>71</v>
      </c>
    </row>
    <row r="70" spans="4:4" ht="17.649999999999999" x14ac:dyDescent="0.5">
      <c r="D70" s="3" t="s">
        <v>81</v>
      </c>
    </row>
    <row r="71" spans="4:4" ht="17.649999999999999" x14ac:dyDescent="0.5">
      <c r="D71" s="3" t="s">
        <v>67</v>
      </c>
    </row>
    <row r="72" spans="4:4" ht="17.649999999999999" x14ac:dyDescent="0.5">
      <c r="D72" s="3" t="s">
        <v>46</v>
      </c>
    </row>
    <row r="73" spans="4:4" ht="17.649999999999999" x14ac:dyDescent="0.5">
      <c r="D73" s="3" t="s">
        <v>87</v>
      </c>
    </row>
    <row r="74" spans="4:4" ht="17.649999999999999" x14ac:dyDescent="0.5">
      <c r="D74" s="3" t="s">
        <v>83</v>
      </c>
    </row>
    <row r="75" spans="4:4" ht="17.649999999999999" x14ac:dyDescent="0.5">
      <c r="D75" s="3" t="s">
        <v>64</v>
      </c>
    </row>
    <row r="76" spans="4:4" ht="17.649999999999999" x14ac:dyDescent="0.5">
      <c r="D76" s="3" t="s">
        <v>63</v>
      </c>
    </row>
    <row r="77" spans="4:4" ht="17.649999999999999" x14ac:dyDescent="0.5">
      <c r="D77" s="3" t="s">
        <v>59</v>
      </c>
    </row>
    <row r="78" spans="4:4" ht="17.649999999999999" x14ac:dyDescent="0.5">
      <c r="D78" s="3" t="s">
        <v>67</v>
      </c>
    </row>
    <row r="79" spans="4:4" ht="17.649999999999999" x14ac:dyDescent="0.5">
      <c r="D79" s="3" t="s">
        <v>103</v>
      </c>
    </row>
    <row r="80" spans="4:4" ht="17.649999999999999" x14ac:dyDescent="0.5">
      <c r="D80" s="3" t="s">
        <v>46</v>
      </c>
    </row>
    <row r="81" spans="4:4" ht="17.649999999999999" x14ac:dyDescent="0.5">
      <c r="D81" s="3" t="s">
        <v>73</v>
      </c>
    </row>
    <row r="82" spans="4:4" ht="17.649999999999999" x14ac:dyDescent="0.5">
      <c r="D82" s="3" t="s">
        <v>59</v>
      </c>
    </row>
    <row r="83" spans="4:4" ht="17.649999999999999" x14ac:dyDescent="0.5">
      <c r="D83" s="3" t="s">
        <v>44</v>
      </c>
    </row>
    <row r="84" spans="4:4" ht="17.649999999999999" x14ac:dyDescent="0.5">
      <c r="D84" s="3" t="s">
        <v>49</v>
      </c>
    </row>
    <row r="85" spans="4:4" ht="17.649999999999999" x14ac:dyDescent="0.5">
      <c r="D85" s="3" t="s">
        <v>47</v>
      </c>
    </row>
    <row r="86" spans="4:4" ht="17.649999999999999" x14ac:dyDescent="0.5">
      <c r="D86" s="3" t="s">
        <v>136</v>
      </c>
    </row>
    <row r="87" spans="4:4" ht="17.649999999999999" x14ac:dyDescent="0.5">
      <c r="D87" s="3" t="s">
        <v>54</v>
      </c>
    </row>
    <row r="88" spans="4:4" ht="17.649999999999999" x14ac:dyDescent="0.5">
      <c r="D88" s="3" t="s">
        <v>130</v>
      </c>
    </row>
    <row r="89" spans="4:4" ht="17.649999999999999" x14ac:dyDescent="0.5">
      <c r="D89" s="3" t="s">
        <v>81</v>
      </c>
    </row>
    <row r="90" spans="4:4" ht="17.649999999999999" x14ac:dyDescent="0.5">
      <c r="D90" s="3" t="s">
        <v>65</v>
      </c>
    </row>
    <row r="91" spans="4:4" ht="17.649999999999999" x14ac:dyDescent="0.5">
      <c r="D91" s="3" t="s">
        <v>101</v>
      </c>
    </row>
    <row r="92" spans="4:4" ht="17.649999999999999" x14ac:dyDescent="0.5">
      <c r="D92" s="3" t="s">
        <v>102</v>
      </c>
    </row>
    <row r="93" spans="4:4" ht="17.649999999999999" x14ac:dyDescent="0.5">
      <c r="D93" s="3" t="s">
        <v>96</v>
      </c>
    </row>
    <row r="94" spans="4:4" ht="17.649999999999999" x14ac:dyDescent="0.5">
      <c r="D94" s="3" t="s">
        <v>99</v>
      </c>
    </row>
    <row r="95" spans="4:4" ht="17.649999999999999" x14ac:dyDescent="0.5">
      <c r="D95" s="3" t="s">
        <v>69</v>
      </c>
    </row>
    <row r="96" spans="4:4" ht="17.649999999999999" x14ac:dyDescent="0.5">
      <c r="D96" s="3" t="s">
        <v>78</v>
      </c>
    </row>
    <row r="97" spans="4:4" ht="17.649999999999999" x14ac:dyDescent="0.5">
      <c r="D97" s="3" t="s">
        <v>136</v>
      </c>
    </row>
    <row r="98" spans="4:4" ht="17.649999999999999" x14ac:dyDescent="0.5">
      <c r="D98" s="3" t="s">
        <v>96</v>
      </c>
    </row>
    <row r="99" spans="4:4" ht="17.649999999999999" x14ac:dyDescent="0.5">
      <c r="D99" s="3" t="s">
        <v>112</v>
      </c>
    </row>
    <row r="100" spans="4:4" ht="17.649999999999999" x14ac:dyDescent="0.5">
      <c r="D100" s="3" t="s">
        <v>95</v>
      </c>
    </row>
    <row r="101" spans="4:4" ht="17.649999999999999" x14ac:dyDescent="0.5">
      <c r="D101" s="3" t="s">
        <v>47</v>
      </c>
    </row>
    <row r="102" spans="4:4" ht="17.649999999999999" x14ac:dyDescent="0.5">
      <c r="D102" s="3" t="s">
        <v>41</v>
      </c>
    </row>
    <row r="103" spans="4:4" ht="17.649999999999999" x14ac:dyDescent="0.5">
      <c r="D103" s="3" t="s">
        <v>119</v>
      </c>
    </row>
    <row r="104" spans="4:4" ht="17.649999999999999" x14ac:dyDescent="0.5">
      <c r="D104" s="3" t="s">
        <v>98</v>
      </c>
    </row>
    <row r="105" spans="4:4" ht="17.649999999999999" x14ac:dyDescent="0.5">
      <c r="D105" s="3" t="s">
        <v>56</v>
      </c>
    </row>
    <row r="106" spans="4:4" ht="17.649999999999999" x14ac:dyDescent="0.5">
      <c r="D106" s="3" t="s">
        <v>82</v>
      </c>
    </row>
    <row r="107" spans="4:4" ht="17.649999999999999" x14ac:dyDescent="0.5">
      <c r="D107" s="3" t="s">
        <v>110</v>
      </c>
    </row>
    <row r="108" spans="4:4" ht="17.649999999999999" x14ac:dyDescent="0.5">
      <c r="D108" s="3" t="s">
        <v>43</v>
      </c>
    </row>
    <row r="109" spans="4:4" ht="17.649999999999999" x14ac:dyDescent="0.5">
      <c r="D109" s="3" t="s">
        <v>72</v>
      </c>
    </row>
    <row r="110" spans="4:4" ht="17.649999999999999" x14ac:dyDescent="0.5">
      <c r="D110" s="3" t="s">
        <v>60</v>
      </c>
    </row>
    <row r="111" spans="4:4" ht="17.649999999999999" x14ac:dyDescent="0.5">
      <c r="D111" s="3" t="s">
        <v>129</v>
      </c>
    </row>
    <row r="112" spans="4:4" ht="17.649999999999999" x14ac:dyDescent="0.5">
      <c r="D112" s="3" t="s">
        <v>49</v>
      </c>
    </row>
    <row r="113" spans="4:4" ht="17.649999999999999" x14ac:dyDescent="0.5">
      <c r="D113" s="3" t="s">
        <v>94</v>
      </c>
    </row>
    <row r="114" spans="4:4" ht="17.649999999999999" x14ac:dyDescent="0.5">
      <c r="D114" s="3" t="s">
        <v>50</v>
      </c>
    </row>
    <row r="115" spans="4:4" ht="17.649999999999999" x14ac:dyDescent="0.5">
      <c r="D115" s="3" t="s">
        <v>120</v>
      </c>
    </row>
    <row r="116" spans="4:4" ht="17.649999999999999" x14ac:dyDescent="0.5">
      <c r="D116" s="3" t="s">
        <v>91</v>
      </c>
    </row>
    <row r="117" spans="4:4" ht="17.649999999999999" x14ac:dyDescent="0.5">
      <c r="D117" s="3" t="s">
        <v>80</v>
      </c>
    </row>
    <row r="118" spans="4:4" ht="17.649999999999999" x14ac:dyDescent="0.5">
      <c r="D118" s="3" t="s">
        <v>67</v>
      </c>
    </row>
    <row r="119" spans="4:4" ht="17.649999999999999" x14ac:dyDescent="0.5">
      <c r="D119" s="3" t="s">
        <v>105</v>
      </c>
    </row>
    <row r="120" spans="4:4" ht="17.649999999999999" x14ac:dyDescent="0.5">
      <c r="D120" s="3" t="s">
        <v>85</v>
      </c>
    </row>
    <row r="121" spans="4:4" ht="17.649999999999999" x14ac:dyDescent="0.5">
      <c r="D121" s="3" t="s">
        <v>110</v>
      </c>
    </row>
    <row r="122" spans="4:4" ht="17.649999999999999" x14ac:dyDescent="0.5">
      <c r="D122" s="3" t="s">
        <v>51</v>
      </c>
    </row>
    <row r="123" spans="4:4" ht="17.649999999999999" x14ac:dyDescent="0.5">
      <c r="D123" s="3" t="s">
        <v>114</v>
      </c>
    </row>
    <row r="124" spans="4:4" ht="17.649999999999999" x14ac:dyDescent="0.5">
      <c r="D124" s="3" t="s">
        <v>80</v>
      </c>
    </row>
    <row r="125" spans="4:4" ht="17.649999999999999" x14ac:dyDescent="0.5">
      <c r="D125" s="3" t="s">
        <v>84</v>
      </c>
    </row>
    <row r="126" spans="4:4" ht="17.649999999999999" x14ac:dyDescent="0.5">
      <c r="D126" s="3" t="s">
        <v>102</v>
      </c>
    </row>
    <row r="127" spans="4:4" ht="17.649999999999999" x14ac:dyDescent="0.5">
      <c r="D127" s="3" t="s">
        <v>106</v>
      </c>
    </row>
    <row r="128" spans="4:4" ht="17.649999999999999" x14ac:dyDescent="0.5">
      <c r="D128" s="3" t="s">
        <v>83</v>
      </c>
    </row>
    <row r="129" spans="4:4" ht="17.649999999999999" x14ac:dyDescent="0.5">
      <c r="D129" s="3" t="s">
        <v>94</v>
      </c>
    </row>
    <row r="130" spans="4:4" ht="17.649999999999999" x14ac:dyDescent="0.5">
      <c r="D130" s="3" t="s">
        <v>125</v>
      </c>
    </row>
    <row r="131" spans="4:4" ht="17.649999999999999" x14ac:dyDescent="0.5">
      <c r="D131" s="3" t="s">
        <v>48</v>
      </c>
    </row>
    <row r="132" spans="4:4" ht="17.649999999999999" x14ac:dyDescent="0.5">
      <c r="D132" s="3" t="s">
        <v>62</v>
      </c>
    </row>
    <row r="133" spans="4:4" ht="17.649999999999999" x14ac:dyDescent="0.5">
      <c r="D133" s="3" t="s">
        <v>52</v>
      </c>
    </row>
    <row r="134" spans="4:4" ht="17.649999999999999" x14ac:dyDescent="0.5">
      <c r="D134" s="3" t="s">
        <v>98</v>
      </c>
    </row>
    <row r="135" spans="4:4" ht="17.649999999999999" x14ac:dyDescent="0.5">
      <c r="D135" s="3" t="s">
        <v>61</v>
      </c>
    </row>
    <row r="136" spans="4:4" ht="17.649999999999999" x14ac:dyDescent="0.5">
      <c r="D136" s="3" t="s">
        <v>54</v>
      </c>
    </row>
    <row r="137" spans="4:4" ht="17.649999999999999" x14ac:dyDescent="0.5">
      <c r="D137" s="3" t="s">
        <v>78</v>
      </c>
    </row>
    <row r="138" spans="4:4" ht="17.649999999999999" x14ac:dyDescent="0.5">
      <c r="D138" s="3" t="s">
        <v>105</v>
      </c>
    </row>
    <row r="139" spans="4:4" ht="17.649999999999999" x14ac:dyDescent="0.5">
      <c r="D139" s="3" t="s">
        <v>63</v>
      </c>
    </row>
    <row r="140" spans="4:4" ht="17.649999999999999" x14ac:dyDescent="0.5">
      <c r="D140" s="3" t="s">
        <v>123</v>
      </c>
    </row>
    <row r="141" spans="4:4" ht="17.649999999999999" x14ac:dyDescent="0.5">
      <c r="D141" s="3" t="s">
        <v>53</v>
      </c>
    </row>
    <row r="142" spans="4:4" ht="17.649999999999999" x14ac:dyDescent="0.5">
      <c r="D142" s="3" t="s">
        <v>81</v>
      </c>
    </row>
    <row r="143" spans="4:4" ht="17.649999999999999" x14ac:dyDescent="0.5">
      <c r="D143" s="3" t="s">
        <v>44</v>
      </c>
    </row>
    <row r="144" spans="4:4" ht="17.649999999999999" x14ac:dyDescent="0.5">
      <c r="D144" s="3" t="s">
        <v>64</v>
      </c>
    </row>
    <row r="145" spans="4:4" ht="17.649999999999999" x14ac:dyDescent="0.5">
      <c r="D145" s="3" t="s">
        <v>41</v>
      </c>
    </row>
    <row r="146" spans="4:4" ht="17.649999999999999" x14ac:dyDescent="0.5">
      <c r="D146" s="3" t="s">
        <v>48</v>
      </c>
    </row>
    <row r="147" spans="4:4" ht="17.649999999999999" x14ac:dyDescent="0.5">
      <c r="D147" s="3" t="s">
        <v>131</v>
      </c>
    </row>
    <row r="148" spans="4:4" ht="17.649999999999999" x14ac:dyDescent="0.5">
      <c r="D148" s="3" t="s">
        <v>98</v>
      </c>
    </row>
    <row r="149" spans="4:4" ht="17.649999999999999" x14ac:dyDescent="0.5">
      <c r="D149" s="3" t="s">
        <v>101</v>
      </c>
    </row>
    <row r="150" spans="4:4" ht="17.649999999999999" x14ac:dyDescent="0.5">
      <c r="D150" s="3" t="s">
        <v>94</v>
      </c>
    </row>
    <row r="151" spans="4:4" ht="17.649999999999999" x14ac:dyDescent="0.5">
      <c r="D151" s="3" t="s">
        <v>54</v>
      </c>
    </row>
    <row r="152" spans="4:4" ht="17.649999999999999" x14ac:dyDescent="0.5">
      <c r="D152" s="3" t="s">
        <v>69</v>
      </c>
    </row>
    <row r="153" spans="4:4" ht="17.649999999999999" x14ac:dyDescent="0.5">
      <c r="D153" s="3" t="s">
        <v>50</v>
      </c>
    </row>
    <row r="154" spans="4:4" ht="17.649999999999999" x14ac:dyDescent="0.5">
      <c r="D154" s="3" t="s">
        <v>68</v>
      </c>
    </row>
    <row r="155" spans="4:4" ht="17.649999999999999" x14ac:dyDescent="0.5">
      <c r="D155" s="3" t="s">
        <v>107</v>
      </c>
    </row>
    <row r="156" spans="4:4" ht="17.649999999999999" x14ac:dyDescent="0.5">
      <c r="D156" s="3" t="s">
        <v>90</v>
      </c>
    </row>
    <row r="157" spans="4:4" ht="17.649999999999999" x14ac:dyDescent="0.5">
      <c r="D157" s="3" t="s">
        <v>62</v>
      </c>
    </row>
    <row r="158" spans="4:4" ht="17.649999999999999" x14ac:dyDescent="0.5">
      <c r="D158" s="3" t="s">
        <v>57</v>
      </c>
    </row>
    <row r="159" spans="4:4" ht="17.649999999999999" x14ac:dyDescent="0.5">
      <c r="D159" s="3" t="s">
        <v>60</v>
      </c>
    </row>
    <row r="160" spans="4:4" ht="17.649999999999999" x14ac:dyDescent="0.5">
      <c r="D160" s="3" t="s">
        <v>61</v>
      </c>
    </row>
    <row r="161" spans="4:4" ht="17.649999999999999" x14ac:dyDescent="0.5">
      <c r="D161" s="3" t="s">
        <v>64</v>
      </c>
    </row>
    <row r="162" spans="4:4" ht="17.649999999999999" x14ac:dyDescent="0.5">
      <c r="D162" s="3" t="s">
        <v>92</v>
      </c>
    </row>
    <row r="163" spans="4:4" ht="17.649999999999999" x14ac:dyDescent="0.5">
      <c r="D163" s="3" t="s">
        <v>75</v>
      </c>
    </row>
    <row r="164" spans="4:4" ht="17.649999999999999" x14ac:dyDescent="0.5">
      <c r="D164" s="3" t="s">
        <v>78</v>
      </c>
    </row>
    <row r="165" spans="4:4" ht="17.649999999999999" x14ac:dyDescent="0.5">
      <c r="D165" s="3" t="s">
        <v>87</v>
      </c>
    </row>
    <row r="166" spans="4:4" ht="17.649999999999999" x14ac:dyDescent="0.5">
      <c r="D166" s="3" t="s">
        <v>81</v>
      </c>
    </row>
    <row r="167" spans="4:4" ht="17.649999999999999" x14ac:dyDescent="0.5">
      <c r="D167" s="3" t="s">
        <v>73</v>
      </c>
    </row>
    <row r="168" spans="4:4" ht="17.649999999999999" x14ac:dyDescent="0.5">
      <c r="D168" s="3" t="s">
        <v>103</v>
      </c>
    </row>
    <row r="169" spans="4:4" ht="17.649999999999999" x14ac:dyDescent="0.5">
      <c r="D169" s="3" t="s">
        <v>55</v>
      </c>
    </row>
    <row r="170" spans="4:4" ht="17.649999999999999" x14ac:dyDescent="0.5">
      <c r="D170" s="3" t="s">
        <v>82</v>
      </c>
    </row>
    <row r="171" spans="4:4" ht="17.649999999999999" x14ac:dyDescent="0.5">
      <c r="D171" s="3" t="s">
        <v>103</v>
      </c>
    </row>
    <row r="172" spans="4:4" ht="17.649999999999999" x14ac:dyDescent="0.5">
      <c r="D172" s="3" t="s">
        <v>56</v>
      </c>
    </row>
    <row r="173" spans="4:4" ht="17.649999999999999" x14ac:dyDescent="0.5">
      <c r="D173" s="3" t="s">
        <v>78</v>
      </c>
    </row>
    <row r="174" spans="4:4" ht="17.649999999999999" x14ac:dyDescent="0.5">
      <c r="D174" s="3" t="s">
        <v>85</v>
      </c>
    </row>
    <row r="175" spans="4:4" ht="17.649999999999999" x14ac:dyDescent="0.5">
      <c r="D175" s="3" t="s">
        <v>48</v>
      </c>
    </row>
    <row r="176" spans="4:4" ht="17.649999999999999" x14ac:dyDescent="0.5">
      <c r="D176" s="3" t="s">
        <v>84</v>
      </c>
    </row>
    <row r="177" spans="4:4" ht="17.649999999999999" x14ac:dyDescent="0.5">
      <c r="D177" s="3" t="s">
        <v>49</v>
      </c>
    </row>
    <row r="178" spans="4:4" ht="17.649999999999999" x14ac:dyDescent="0.5">
      <c r="D178" s="3" t="s">
        <v>86</v>
      </c>
    </row>
    <row r="179" spans="4:4" ht="17.649999999999999" x14ac:dyDescent="0.5">
      <c r="D179" s="3" t="s">
        <v>76</v>
      </c>
    </row>
    <row r="180" spans="4:4" ht="17.649999999999999" x14ac:dyDescent="0.5">
      <c r="D180" s="3" t="s">
        <v>92</v>
      </c>
    </row>
    <row r="181" spans="4:4" ht="17.649999999999999" x14ac:dyDescent="0.5">
      <c r="D181" s="3" t="s">
        <v>56</v>
      </c>
    </row>
    <row r="182" spans="4:4" ht="17.649999999999999" x14ac:dyDescent="0.5">
      <c r="D182" s="3" t="s">
        <v>112</v>
      </c>
    </row>
    <row r="183" spans="4:4" ht="17.649999999999999" x14ac:dyDescent="0.5">
      <c r="D183" s="3" t="s">
        <v>91</v>
      </c>
    </row>
    <row r="184" spans="4:4" ht="17.649999999999999" x14ac:dyDescent="0.5">
      <c r="D184" s="3" t="s">
        <v>55</v>
      </c>
    </row>
    <row r="185" spans="4:4" ht="17.649999999999999" x14ac:dyDescent="0.5">
      <c r="D185" s="3" t="s">
        <v>126</v>
      </c>
    </row>
    <row r="186" spans="4:4" ht="17.649999999999999" x14ac:dyDescent="0.5">
      <c r="D186" s="3" t="s">
        <v>54</v>
      </c>
    </row>
    <row r="187" spans="4:4" ht="17.649999999999999" x14ac:dyDescent="0.5">
      <c r="D187" s="3" t="s">
        <v>103</v>
      </c>
    </row>
    <row r="188" spans="4:4" ht="17.649999999999999" x14ac:dyDescent="0.5">
      <c r="D188" s="3" t="s">
        <v>65</v>
      </c>
    </row>
    <row r="189" spans="4:4" ht="17.649999999999999" x14ac:dyDescent="0.5">
      <c r="D189" s="3" t="s">
        <v>60</v>
      </c>
    </row>
    <row r="190" spans="4:4" ht="17.649999999999999" x14ac:dyDescent="0.5">
      <c r="D190" s="3" t="s">
        <v>84</v>
      </c>
    </row>
    <row r="191" spans="4:4" ht="17.649999999999999" x14ac:dyDescent="0.5">
      <c r="D191" s="3" t="s">
        <v>102</v>
      </c>
    </row>
    <row r="192" spans="4:4" ht="17.649999999999999" x14ac:dyDescent="0.5">
      <c r="D192" s="3" t="s">
        <v>49</v>
      </c>
    </row>
    <row r="193" spans="4:4" ht="17.649999999999999" x14ac:dyDescent="0.5">
      <c r="D193" s="3" t="s">
        <v>98</v>
      </c>
    </row>
    <row r="194" spans="4:4" ht="17.649999999999999" x14ac:dyDescent="0.5">
      <c r="D194" s="3" t="s">
        <v>61</v>
      </c>
    </row>
    <row r="195" spans="4:4" ht="17.649999999999999" x14ac:dyDescent="0.5">
      <c r="D195" s="3" t="s">
        <v>58</v>
      </c>
    </row>
    <row r="196" spans="4:4" ht="17.649999999999999" x14ac:dyDescent="0.5">
      <c r="D196" s="3" t="s">
        <v>96</v>
      </c>
    </row>
    <row r="197" spans="4:4" ht="17.649999999999999" x14ac:dyDescent="0.5">
      <c r="D197" s="3" t="s">
        <v>93</v>
      </c>
    </row>
    <row r="198" spans="4:4" ht="17.649999999999999" x14ac:dyDescent="0.5">
      <c r="D198" s="3" t="s">
        <v>67</v>
      </c>
    </row>
    <row r="199" spans="4:4" ht="17.649999999999999" x14ac:dyDescent="0.5">
      <c r="D199" s="3" t="s">
        <v>52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90</v>
      </c>
    </row>
    <row r="202" spans="4:4" ht="17.649999999999999" x14ac:dyDescent="0.5">
      <c r="D202" s="3" t="s">
        <v>78</v>
      </c>
    </row>
    <row r="203" spans="4:4" ht="17.649999999999999" x14ac:dyDescent="0.5">
      <c r="D203" s="3" t="s">
        <v>98</v>
      </c>
    </row>
    <row r="204" spans="4:4" ht="17.649999999999999" x14ac:dyDescent="0.5">
      <c r="D204" s="3" t="s">
        <v>76</v>
      </c>
    </row>
    <row r="205" spans="4:4" ht="17.649999999999999" x14ac:dyDescent="0.5">
      <c r="D205" s="3" t="s">
        <v>111</v>
      </c>
    </row>
    <row r="206" spans="4:4" ht="17.649999999999999" x14ac:dyDescent="0.5">
      <c r="D206" s="3" t="s">
        <v>112</v>
      </c>
    </row>
    <row r="207" spans="4:4" ht="17.649999999999999" x14ac:dyDescent="0.5">
      <c r="D207" s="3" t="s">
        <v>41</v>
      </c>
    </row>
    <row r="208" spans="4:4" ht="17.649999999999999" x14ac:dyDescent="0.5">
      <c r="D208" s="3" t="s">
        <v>77</v>
      </c>
    </row>
    <row r="209" spans="4:4" ht="17.649999999999999" x14ac:dyDescent="0.5">
      <c r="D209" s="3" t="s">
        <v>59</v>
      </c>
    </row>
    <row r="210" spans="4:4" ht="17.649999999999999" x14ac:dyDescent="0.5">
      <c r="D210" s="3" t="s">
        <v>103</v>
      </c>
    </row>
    <row r="211" spans="4:4" ht="17.649999999999999" x14ac:dyDescent="0.5">
      <c r="D211" s="3" t="s">
        <v>67</v>
      </c>
    </row>
    <row r="212" spans="4:4" ht="17.649999999999999" x14ac:dyDescent="0.5">
      <c r="D212" s="3" t="s">
        <v>123</v>
      </c>
    </row>
    <row r="213" spans="4:4" ht="17.649999999999999" x14ac:dyDescent="0.5">
      <c r="D213" s="3" t="s">
        <v>104</v>
      </c>
    </row>
    <row r="214" spans="4:4" ht="17.649999999999999" x14ac:dyDescent="0.5">
      <c r="D214" s="3" t="s">
        <v>66</v>
      </c>
    </row>
    <row r="215" spans="4:4" ht="17.649999999999999" x14ac:dyDescent="0.5">
      <c r="D215" s="3" t="s">
        <v>55</v>
      </c>
    </row>
    <row r="216" spans="4:4" ht="17.649999999999999" x14ac:dyDescent="0.5">
      <c r="D216" s="3" t="s">
        <v>117</v>
      </c>
    </row>
    <row r="217" spans="4:4" ht="17.649999999999999" x14ac:dyDescent="0.5">
      <c r="D217" s="3" t="s">
        <v>49</v>
      </c>
    </row>
    <row r="218" spans="4:4" ht="17.649999999999999" x14ac:dyDescent="0.5">
      <c r="D218" s="3" t="s">
        <v>86</v>
      </c>
    </row>
    <row r="219" spans="4:4" ht="17.649999999999999" x14ac:dyDescent="0.5">
      <c r="D219" s="3" t="s">
        <v>68</v>
      </c>
    </row>
    <row r="220" spans="4:4" ht="17.649999999999999" x14ac:dyDescent="0.5">
      <c r="D220" s="3" t="s">
        <v>80</v>
      </c>
    </row>
    <row r="221" spans="4:4" ht="17.649999999999999" x14ac:dyDescent="0.5">
      <c r="D221" s="3" t="s">
        <v>62</v>
      </c>
    </row>
    <row r="222" spans="4:4" ht="17.649999999999999" x14ac:dyDescent="0.5">
      <c r="D222" s="3" t="s">
        <v>75</v>
      </c>
    </row>
    <row r="223" spans="4:4" ht="17.649999999999999" x14ac:dyDescent="0.5">
      <c r="D223" s="3" t="s">
        <v>130</v>
      </c>
    </row>
    <row r="224" spans="4:4" ht="17.649999999999999" x14ac:dyDescent="0.5">
      <c r="D224" s="3" t="s">
        <v>61</v>
      </c>
    </row>
    <row r="225" spans="4:4" ht="17.649999999999999" x14ac:dyDescent="0.5">
      <c r="D225" s="3" t="s">
        <v>94</v>
      </c>
    </row>
    <row r="226" spans="4:4" ht="17.649999999999999" x14ac:dyDescent="0.5">
      <c r="D226" s="3" t="s">
        <v>43</v>
      </c>
    </row>
    <row r="227" spans="4:4" ht="17.649999999999999" x14ac:dyDescent="0.5">
      <c r="D227" s="3" t="s">
        <v>96</v>
      </c>
    </row>
    <row r="228" spans="4:4" ht="17.649999999999999" x14ac:dyDescent="0.5">
      <c r="D228" s="3" t="s">
        <v>66</v>
      </c>
    </row>
    <row r="229" spans="4:4" ht="17.649999999999999" x14ac:dyDescent="0.5">
      <c r="D229" s="3" t="s">
        <v>52</v>
      </c>
    </row>
    <row r="230" spans="4:4" ht="17.649999999999999" x14ac:dyDescent="0.5">
      <c r="D230" s="3" t="s">
        <v>79</v>
      </c>
    </row>
    <row r="231" spans="4:4" ht="17.649999999999999" x14ac:dyDescent="0.5">
      <c r="D231" s="3" t="s">
        <v>77</v>
      </c>
    </row>
    <row r="232" spans="4:4" ht="17.649999999999999" x14ac:dyDescent="0.5">
      <c r="D232" s="3" t="s">
        <v>110</v>
      </c>
    </row>
    <row r="233" spans="4:4" ht="17.649999999999999" x14ac:dyDescent="0.5">
      <c r="D233" s="3" t="s">
        <v>61</v>
      </c>
    </row>
    <row r="234" spans="4:4" ht="17.649999999999999" x14ac:dyDescent="0.5">
      <c r="D234" s="3" t="s">
        <v>107</v>
      </c>
    </row>
    <row r="235" spans="4:4" ht="17.649999999999999" x14ac:dyDescent="0.5">
      <c r="D235" s="3" t="s">
        <v>67</v>
      </c>
    </row>
    <row r="236" spans="4:4" ht="17.649999999999999" x14ac:dyDescent="0.5">
      <c r="D236" s="3" t="s">
        <v>68</v>
      </c>
    </row>
    <row r="237" spans="4:4" ht="17.649999999999999" x14ac:dyDescent="0.5">
      <c r="D237" s="3" t="s">
        <v>41</v>
      </c>
    </row>
    <row r="238" spans="4:4" ht="17.649999999999999" x14ac:dyDescent="0.5">
      <c r="D238" s="3" t="s">
        <v>120</v>
      </c>
    </row>
    <row r="239" spans="4:4" ht="17.649999999999999" x14ac:dyDescent="0.5">
      <c r="D239" s="3" t="s">
        <v>98</v>
      </c>
    </row>
    <row r="240" spans="4:4" ht="17.649999999999999" x14ac:dyDescent="0.5">
      <c r="D240" s="3" t="s">
        <v>57</v>
      </c>
    </row>
    <row r="241" spans="4:4" ht="17.649999999999999" x14ac:dyDescent="0.5">
      <c r="D241" s="3" t="s">
        <v>51</v>
      </c>
    </row>
    <row r="242" spans="4:4" ht="17.649999999999999" x14ac:dyDescent="0.5">
      <c r="D242" s="3" t="s">
        <v>72</v>
      </c>
    </row>
    <row r="243" spans="4:4" ht="17.649999999999999" x14ac:dyDescent="0.5">
      <c r="D243" s="3" t="s">
        <v>133</v>
      </c>
    </row>
    <row r="244" spans="4:4" ht="17.649999999999999" x14ac:dyDescent="0.5">
      <c r="D244" s="3" t="s">
        <v>101</v>
      </c>
    </row>
    <row r="245" spans="4:4" ht="17.649999999999999" x14ac:dyDescent="0.5">
      <c r="D245" s="3" t="s">
        <v>80</v>
      </c>
    </row>
    <row r="246" spans="4:4" ht="17.649999999999999" x14ac:dyDescent="0.5">
      <c r="D246" s="3" t="s">
        <v>92</v>
      </c>
    </row>
    <row r="247" spans="4:4" ht="17.649999999999999" x14ac:dyDescent="0.5">
      <c r="D247" s="3" t="s">
        <v>54</v>
      </c>
    </row>
    <row r="248" spans="4:4" ht="17.649999999999999" x14ac:dyDescent="0.5">
      <c r="D248" s="3" t="s">
        <v>112</v>
      </c>
    </row>
    <row r="249" spans="4:4" ht="17.649999999999999" x14ac:dyDescent="0.5">
      <c r="D249" s="3" t="s">
        <v>46</v>
      </c>
    </row>
    <row r="250" spans="4:4" ht="17.649999999999999" x14ac:dyDescent="0.5">
      <c r="D250" s="3" t="s">
        <v>131</v>
      </c>
    </row>
    <row r="251" spans="4:4" ht="17.649999999999999" x14ac:dyDescent="0.5">
      <c r="D251" s="3" t="s">
        <v>93</v>
      </c>
    </row>
    <row r="252" spans="4:4" ht="17.649999999999999" x14ac:dyDescent="0.5">
      <c r="D252" s="3" t="s">
        <v>56</v>
      </c>
    </row>
    <row r="253" spans="4:4" ht="17.649999999999999" x14ac:dyDescent="0.5">
      <c r="D253" s="3" t="s">
        <v>63</v>
      </c>
    </row>
    <row r="254" spans="4:4" ht="17.649999999999999" x14ac:dyDescent="0.5">
      <c r="D254" s="3" t="s">
        <v>67</v>
      </c>
    </row>
    <row r="255" spans="4:4" ht="17.649999999999999" x14ac:dyDescent="0.5">
      <c r="D255" s="3" t="s">
        <v>126</v>
      </c>
    </row>
    <row r="256" spans="4:4" ht="17.649999999999999" x14ac:dyDescent="0.5">
      <c r="D256" s="3" t="s">
        <v>83</v>
      </c>
    </row>
    <row r="257" spans="4:4" ht="17.649999999999999" x14ac:dyDescent="0.5">
      <c r="D257" s="3" t="s">
        <v>95</v>
      </c>
    </row>
    <row r="258" spans="4:4" ht="17.649999999999999" x14ac:dyDescent="0.5">
      <c r="D258" s="3" t="s">
        <v>115</v>
      </c>
    </row>
    <row r="259" spans="4:4" ht="17.649999999999999" x14ac:dyDescent="0.5">
      <c r="D259" s="3" t="s">
        <v>56</v>
      </c>
    </row>
    <row r="260" spans="4:4" ht="17.649999999999999" x14ac:dyDescent="0.5">
      <c r="D260" s="3" t="s">
        <v>81</v>
      </c>
    </row>
    <row r="261" spans="4:4" ht="17.649999999999999" x14ac:dyDescent="0.5">
      <c r="D261" s="3" t="s">
        <v>103</v>
      </c>
    </row>
    <row r="262" spans="4:4" ht="17.649999999999999" x14ac:dyDescent="0.5">
      <c r="D262" s="3" t="s">
        <v>60</v>
      </c>
    </row>
    <row r="263" spans="4:4" ht="17.649999999999999" x14ac:dyDescent="0.5">
      <c r="D263" s="3" t="s">
        <v>132</v>
      </c>
    </row>
    <row r="264" spans="4:4" ht="17.649999999999999" x14ac:dyDescent="0.5">
      <c r="D264" s="3" t="s">
        <v>54</v>
      </c>
    </row>
    <row r="265" spans="4:4" ht="17.649999999999999" x14ac:dyDescent="0.5">
      <c r="D265" s="3" t="s">
        <v>41</v>
      </c>
    </row>
    <row r="266" spans="4:4" ht="17.649999999999999" x14ac:dyDescent="0.5">
      <c r="D266" s="3" t="s">
        <v>94</v>
      </c>
    </row>
    <row r="267" spans="4:4" ht="17.649999999999999" x14ac:dyDescent="0.5">
      <c r="D267" s="3" t="s">
        <v>47</v>
      </c>
    </row>
    <row r="268" spans="4:4" ht="17.649999999999999" x14ac:dyDescent="0.5">
      <c r="D268" s="3" t="s">
        <v>81</v>
      </c>
    </row>
    <row r="269" spans="4:4" ht="17.649999999999999" x14ac:dyDescent="0.5">
      <c r="D269" s="3" t="s">
        <v>115</v>
      </c>
    </row>
    <row r="270" spans="4:4" ht="17.649999999999999" x14ac:dyDescent="0.5">
      <c r="D270" s="3" t="s">
        <v>67</v>
      </c>
    </row>
    <row r="271" spans="4:4" ht="17.649999999999999" x14ac:dyDescent="0.5">
      <c r="D271" s="3" t="s">
        <v>81</v>
      </c>
    </row>
    <row r="272" spans="4:4" ht="17.649999999999999" x14ac:dyDescent="0.5">
      <c r="D272" s="3" t="s">
        <v>103</v>
      </c>
    </row>
    <row r="273" spans="4:4" ht="17.649999999999999" x14ac:dyDescent="0.5">
      <c r="D273" s="3" t="s">
        <v>63</v>
      </c>
    </row>
    <row r="274" spans="4:4" ht="17.649999999999999" x14ac:dyDescent="0.5">
      <c r="D274" s="3" t="s">
        <v>59</v>
      </c>
    </row>
    <row r="275" spans="4:4" ht="17.649999999999999" x14ac:dyDescent="0.5">
      <c r="D275" s="3" t="s">
        <v>96</v>
      </c>
    </row>
    <row r="276" spans="4:4" ht="17.649999999999999" x14ac:dyDescent="0.5">
      <c r="D276" s="3" t="s">
        <v>117</v>
      </c>
    </row>
    <row r="277" spans="4:4" ht="17.649999999999999" x14ac:dyDescent="0.5">
      <c r="D277" s="3" t="s">
        <v>66</v>
      </c>
    </row>
    <row r="278" spans="4:4" ht="17.649999999999999" x14ac:dyDescent="0.5">
      <c r="D278" s="3" t="s">
        <v>122</v>
      </c>
    </row>
    <row r="279" spans="4:4" ht="17.649999999999999" x14ac:dyDescent="0.5">
      <c r="D279" s="3" t="s">
        <v>47</v>
      </c>
    </row>
    <row r="280" spans="4:4" ht="17.649999999999999" x14ac:dyDescent="0.5">
      <c r="D280" s="3" t="s">
        <v>69</v>
      </c>
    </row>
    <row r="281" spans="4:4" ht="17.649999999999999" x14ac:dyDescent="0.5">
      <c r="D281" s="3" t="s">
        <v>106</v>
      </c>
    </row>
    <row r="282" spans="4:4" ht="17.649999999999999" x14ac:dyDescent="0.5">
      <c r="D282" s="3" t="s">
        <v>51</v>
      </c>
    </row>
    <row r="283" spans="4:4" ht="17.649999999999999" x14ac:dyDescent="0.5">
      <c r="D283" s="3" t="s">
        <v>133</v>
      </c>
    </row>
    <row r="284" spans="4:4" ht="17.649999999999999" x14ac:dyDescent="0.5">
      <c r="D284" s="3" t="s">
        <v>96</v>
      </c>
    </row>
    <row r="285" spans="4:4" ht="17.649999999999999" x14ac:dyDescent="0.5">
      <c r="D285" s="3" t="s">
        <v>80</v>
      </c>
    </row>
    <row r="286" spans="4:4" ht="17.649999999999999" x14ac:dyDescent="0.5">
      <c r="D286" s="3" t="s">
        <v>79</v>
      </c>
    </row>
    <row r="287" spans="4:4" ht="17.649999999999999" x14ac:dyDescent="0.5">
      <c r="D287" s="3" t="s">
        <v>44</v>
      </c>
    </row>
    <row r="288" spans="4:4" ht="17.649999999999999" x14ac:dyDescent="0.5">
      <c r="D288" s="3" t="s">
        <v>47</v>
      </c>
    </row>
    <row r="289" spans="4:4" ht="17.649999999999999" x14ac:dyDescent="0.5">
      <c r="D289" s="3" t="s">
        <v>102</v>
      </c>
    </row>
    <row r="290" spans="4:4" ht="17.649999999999999" x14ac:dyDescent="0.5">
      <c r="D290" s="3" t="s">
        <v>132</v>
      </c>
    </row>
    <row r="291" spans="4:4" ht="17.649999999999999" x14ac:dyDescent="0.5">
      <c r="D291" s="3" t="s">
        <v>59</v>
      </c>
    </row>
    <row r="292" spans="4:4" ht="17.649999999999999" x14ac:dyDescent="0.5">
      <c r="D292" s="3" t="s">
        <v>98</v>
      </c>
    </row>
    <row r="293" spans="4:4" ht="17.649999999999999" x14ac:dyDescent="0.5">
      <c r="D293" s="3" t="s">
        <v>115</v>
      </c>
    </row>
    <row r="294" spans="4:4" ht="17.649999999999999" x14ac:dyDescent="0.5">
      <c r="D294" s="3" t="s">
        <v>87</v>
      </c>
    </row>
    <row r="295" spans="4:4" ht="17.649999999999999" x14ac:dyDescent="0.5">
      <c r="D295" s="3" t="s">
        <v>112</v>
      </c>
    </row>
    <row r="296" spans="4:4" ht="17.649999999999999" x14ac:dyDescent="0.5">
      <c r="D296" s="3" t="s">
        <v>78</v>
      </c>
    </row>
    <row r="297" spans="4:4" ht="17.649999999999999" x14ac:dyDescent="0.5">
      <c r="D297" s="3" t="s">
        <v>54</v>
      </c>
    </row>
    <row r="298" spans="4:4" ht="17.649999999999999" x14ac:dyDescent="0.5">
      <c r="D298" s="3" t="s">
        <v>56</v>
      </c>
    </row>
    <row r="299" spans="4:4" ht="17.649999999999999" x14ac:dyDescent="0.5">
      <c r="D299" s="3" t="s">
        <v>48</v>
      </c>
    </row>
    <row r="300" spans="4:4" ht="17.649999999999999" x14ac:dyDescent="0.5">
      <c r="D300" s="3" t="s">
        <v>85</v>
      </c>
    </row>
    <row r="301" spans="4:4" ht="17.649999999999999" x14ac:dyDescent="0.5">
      <c r="D301" s="3" t="s">
        <v>90</v>
      </c>
    </row>
    <row r="302" spans="4:4" ht="17.649999999999999" x14ac:dyDescent="0.5">
      <c r="D302" s="3" t="s">
        <v>50</v>
      </c>
    </row>
    <row r="303" spans="4:4" ht="17.649999999999999" x14ac:dyDescent="0.5">
      <c r="D303" s="3" t="s">
        <v>81</v>
      </c>
    </row>
    <row r="304" spans="4:4" ht="17.649999999999999" x14ac:dyDescent="0.5">
      <c r="D304" s="3" t="s">
        <v>61</v>
      </c>
    </row>
    <row r="305" spans="4:4" ht="17.649999999999999" x14ac:dyDescent="0.5">
      <c r="D305" s="3" t="s">
        <v>105</v>
      </c>
    </row>
    <row r="306" spans="4:4" ht="17.649999999999999" x14ac:dyDescent="0.5">
      <c r="D306" s="3" t="s">
        <v>115</v>
      </c>
    </row>
    <row r="307" spans="4:4" ht="17.649999999999999" x14ac:dyDescent="0.5">
      <c r="D307" s="3" t="s">
        <v>64</v>
      </c>
    </row>
    <row r="308" spans="4:4" ht="17.649999999999999" x14ac:dyDescent="0.5">
      <c r="D308" s="3" t="s">
        <v>43</v>
      </c>
    </row>
    <row r="309" spans="4:4" ht="17.649999999999999" x14ac:dyDescent="0.5">
      <c r="D309" s="3" t="s">
        <v>96</v>
      </c>
    </row>
    <row r="310" spans="4:4" ht="17.649999999999999" x14ac:dyDescent="0.5">
      <c r="D310" s="3" t="s">
        <v>110</v>
      </c>
    </row>
    <row r="311" spans="4:4" ht="17.649999999999999" x14ac:dyDescent="0.5">
      <c r="D311" s="3" t="s">
        <v>47</v>
      </c>
    </row>
    <row r="312" spans="4:4" ht="17.649999999999999" x14ac:dyDescent="0.5">
      <c r="D312" s="3" t="s">
        <v>50</v>
      </c>
    </row>
    <row r="313" spans="4:4" ht="17.649999999999999" x14ac:dyDescent="0.5">
      <c r="D313" s="3" t="s">
        <v>87</v>
      </c>
    </row>
    <row r="314" spans="4:4" ht="17.649999999999999" x14ac:dyDescent="0.5">
      <c r="D314" s="3" t="s">
        <v>64</v>
      </c>
    </row>
    <row r="315" spans="4:4" ht="17.649999999999999" x14ac:dyDescent="0.5">
      <c r="D315" s="3" t="s">
        <v>53</v>
      </c>
    </row>
    <row r="316" spans="4:4" ht="17.649999999999999" x14ac:dyDescent="0.5">
      <c r="D316" s="3" t="s">
        <v>117</v>
      </c>
    </row>
    <row r="317" spans="4:4" ht="17.649999999999999" x14ac:dyDescent="0.5">
      <c r="D317" s="3" t="s">
        <v>78</v>
      </c>
    </row>
    <row r="318" spans="4:4" ht="17.649999999999999" x14ac:dyDescent="0.5">
      <c r="D318" s="3" t="s">
        <v>119</v>
      </c>
    </row>
    <row r="319" spans="4:4" ht="17.649999999999999" x14ac:dyDescent="0.5">
      <c r="D319" s="3" t="s">
        <v>89</v>
      </c>
    </row>
    <row r="320" spans="4:4" ht="17.649999999999999" x14ac:dyDescent="0.5">
      <c r="D320" s="3" t="s">
        <v>69</v>
      </c>
    </row>
    <row r="321" spans="4:4" ht="17.649999999999999" x14ac:dyDescent="0.5">
      <c r="D321" s="3" t="s">
        <v>58</v>
      </c>
    </row>
    <row r="322" spans="4:4" ht="17.649999999999999" x14ac:dyDescent="0.5">
      <c r="D322" s="3" t="s">
        <v>59</v>
      </c>
    </row>
    <row r="323" spans="4:4" ht="17.649999999999999" x14ac:dyDescent="0.5">
      <c r="D323" s="3" t="s">
        <v>53</v>
      </c>
    </row>
    <row r="324" spans="4:4" ht="17.649999999999999" x14ac:dyDescent="0.5">
      <c r="D324" s="3" t="s">
        <v>41</v>
      </c>
    </row>
    <row r="325" spans="4:4" ht="17.649999999999999" x14ac:dyDescent="0.5">
      <c r="D325" s="3" t="s">
        <v>91</v>
      </c>
    </row>
    <row r="326" spans="4:4" ht="17.649999999999999" x14ac:dyDescent="0.5">
      <c r="D326" s="3" t="s">
        <v>51</v>
      </c>
    </row>
    <row r="327" spans="4:4" ht="17.649999999999999" x14ac:dyDescent="0.5">
      <c r="D327" s="3" t="s">
        <v>119</v>
      </c>
    </row>
    <row r="328" spans="4:4" ht="17.649999999999999" x14ac:dyDescent="0.5">
      <c r="D328" s="3" t="s">
        <v>56</v>
      </c>
    </row>
    <row r="329" spans="4:4" ht="17.649999999999999" x14ac:dyDescent="0.5">
      <c r="D329" s="3" t="s">
        <v>41</v>
      </c>
    </row>
    <row r="330" spans="4:4" ht="17.649999999999999" x14ac:dyDescent="0.5">
      <c r="D330" s="3" t="s">
        <v>103</v>
      </c>
    </row>
    <row r="331" spans="4:4" ht="17.649999999999999" x14ac:dyDescent="0.5">
      <c r="D331" s="3" t="s">
        <v>85</v>
      </c>
    </row>
    <row r="332" spans="4:4" ht="17.649999999999999" x14ac:dyDescent="0.5">
      <c r="D332" s="3" t="s">
        <v>102</v>
      </c>
    </row>
    <row r="333" spans="4:4" ht="17.649999999999999" x14ac:dyDescent="0.5">
      <c r="D333" s="3" t="s">
        <v>51</v>
      </c>
    </row>
    <row r="334" spans="4:4" ht="17.649999999999999" x14ac:dyDescent="0.5">
      <c r="D334" s="3" t="s">
        <v>44</v>
      </c>
    </row>
    <row r="335" spans="4:4" ht="17.649999999999999" x14ac:dyDescent="0.5">
      <c r="D335" s="3" t="s">
        <v>101</v>
      </c>
    </row>
    <row r="336" spans="4:4" ht="17.649999999999999" x14ac:dyDescent="0.5">
      <c r="D336" s="3" t="s">
        <v>97</v>
      </c>
    </row>
    <row r="337" spans="4:4" ht="17.649999999999999" x14ac:dyDescent="0.5">
      <c r="D337" s="3" t="s">
        <v>84</v>
      </c>
    </row>
    <row r="338" spans="4:4" ht="17.649999999999999" x14ac:dyDescent="0.5">
      <c r="D338" s="3" t="s">
        <v>101</v>
      </c>
    </row>
    <row r="339" spans="4:4" ht="17.649999999999999" x14ac:dyDescent="0.5">
      <c r="D339" s="3" t="s">
        <v>51</v>
      </c>
    </row>
    <row r="340" spans="4:4" ht="17.649999999999999" x14ac:dyDescent="0.5">
      <c r="D340" s="3" t="s">
        <v>52</v>
      </c>
    </row>
    <row r="341" spans="4:4" ht="17.649999999999999" x14ac:dyDescent="0.5">
      <c r="D341" s="3" t="s">
        <v>45</v>
      </c>
    </row>
    <row r="342" spans="4:4" ht="17.649999999999999" x14ac:dyDescent="0.5">
      <c r="D342" s="3" t="s">
        <v>131</v>
      </c>
    </row>
    <row r="343" spans="4:4" ht="17.649999999999999" x14ac:dyDescent="0.5">
      <c r="D343" s="3" t="s">
        <v>73</v>
      </c>
    </row>
    <row r="344" spans="4:4" ht="17.649999999999999" x14ac:dyDescent="0.5">
      <c r="D344" s="3" t="s">
        <v>65</v>
      </c>
    </row>
    <row r="345" spans="4:4" ht="17.649999999999999" x14ac:dyDescent="0.5">
      <c r="D345" s="3" t="s">
        <v>56</v>
      </c>
    </row>
    <row r="346" spans="4:4" ht="17.649999999999999" x14ac:dyDescent="0.5">
      <c r="D346" s="3" t="s">
        <v>77</v>
      </c>
    </row>
    <row r="347" spans="4:4" ht="17.649999999999999" x14ac:dyDescent="0.5">
      <c r="D347" s="3" t="s">
        <v>130</v>
      </c>
    </row>
    <row r="348" spans="4:4" ht="17.649999999999999" x14ac:dyDescent="0.5">
      <c r="D348" s="3" t="s">
        <v>41</v>
      </c>
    </row>
    <row r="349" spans="4:4" ht="17.649999999999999" x14ac:dyDescent="0.5">
      <c r="D349" s="3" t="s">
        <v>43</v>
      </c>
    </row>
    <row r="350" spans="4:4" ht="17.649999999999999" x14ac:dyDescent="0.5">
      <c r="D350" s="3" t="s">
        <v>66</v>
      </c>
    </row>
    <row r="351" spans="4:4" ht="17.649999999999999" x14ac:dyDescent="0.5">
      <c r="D351" s="3" t="s">
        <v>117</v>
      </c>
    </row>
    <row r="352" spans="4:4" ht="17.649999999999999" x14ac:dyDescent="0.5">
      <c r="D352" s="3" t="s">
        <v>74</v>
      </c>
    </row>
    <row r="353" spans="4:4" ht="17.649999999999999" x14ac:dyDescent="0.5">
      <c r="D353" s="3" t="s">
        <v>91</v>
      </c>
    </row>
    <row r="354" spans="4:4" ht="17.649999999999999" x14ac:dyDescent="0.5">
      <c r="D354" s="3" t="s">
        <v>46</v>
      </c>
    </row>
    <row r="355" spans="4:4" ht="17.649999999999999" x14ac:dyDescent="0.5">
      <c r="D355" s="3" t="s">
        <v>49</v>
      </c>
    </row>
    <row r="356" spans="4:4" ht="17.649999999999999" x14ac:dyDescent="0.5">
      <c r="D356" s="3" t="s">
        <v>90</v>
      </c>
    </row>
    <row r="357" spans="4:4" ht="17.649999999999999" x14ac:dyDescent="0.5">
      <c r="D357" s="3" t="s">
        <v>104</v>
      </c>
    </row>
    <row r="358" spans="4:4" ht="17.649999999999999" x14ac:dyDescent="0.5">
      <c r="D358" s="3" t="s">
        <v>120</v>
      </c>
    </row>
    <row r="359" spans="4:4" ht="17.649999999999999" x14ac:dyDescent="0.5">
      <c r="D359" s="3" t="s">
        <v>80</v>
      </c>
    </row>
    <row r="360" spans="4:4" ht="17.649999999999999" x14ac:dyDescent="0.5">
      <c r="D360" s="3" t="s">
        <v>128</v>
      </c>
    </row>
    <row r="361" spans="4:4" ht="17.649999999999999" x14ac:dyDescent="0.5">
      <c r="D361" s="3" t="s">
        <v>90</v>
      </c>
    </row>
    <row r="362" spans="4:4" ht="17.649999999999999" x14ac:dyDescent="0.5">
      <c r="D362" s="3" t="s">
        <v>135</v>
      </c>
    </row>
    <row r="363" spans="4:4" ht="17.649999999999999" x14ac:dyDescent="0.5">
      <c r="D363" s="3" t="s">
        <v>101</v>
      </c>
    </row>
    <row r="364" spans="4:4" ht="17.649999999999999" x14ac:dyDescent="0.5">
      <c r="D364" s="3" t="s">
        <v>124</v>
      </c>
    </row>
    <row r="365" spans="4:4" ht="17.649999999999999" x14ac:dyDescent="0.5">
      <c r="D365" s="3" t="s">
        <v>127</v>
      </c>
    </row>
    <row r="366" spans="4:4" ht="17.649999999999999" x14ac:dyDescent="0.5">
      <c r="D366" s="3" t="s">
        <v>122</v>
      </c>
    </row>
    <row r="367" spans="4:4" ht="17.649999999999999" x14ac:dyDescent="0.5">
      <c r="D367" s="3" t="s">
        <v>54</v>
      </c>
    </row>
    <row r="368" spans="4:4" ht="17.649999999999999" x14ac:dyDescent="0.5">
      <c r="D368" s="3" t="s">
        <v>43</v>
      </c>
    </row>
    <row r="369" spans="4:4" ht="17.649999999999999" x14ac:dyDescent="0.5">
      <c r="D369" s="3" t="s">
        <v>63</v>
      </c>
    </row>
    <row r="370" spans="4:4" ht="17.649999999999999" x14ac:dyDescent="0.5">
      <c r="D370" s="3" t="s">
        <v>87</v>
      </c>
    </row>
    <row r="371" spans="4:4" ht="17.649999999999999" x14ac:dyDescent="0.5">
      <c r="D371" s="3" t="s">
        <v>65</v>
      </c>
    </row>
    <row r="372" spans="4:4" ht="17.649999999999999" x14ac:dyDescent="0.5">
      <c r="D372" s="3" t="s">
        <v>115</v>
      </c>
    </row>
    <row r="373" spans="4:4" ht="17.649999999999999" x14ac:dyDescent="0.5">
      <c r="D373" s="3" t="s">
        <v>105</v>
      </c>
    </row>
    <row r="374" spans="4:4" ht="17.649999999999999" x14ac:dyDescent="0.5">
      <c r="D374" s="3" t="s">
        <v>44</v>
      </c>
    </row>
    <row r="375" spans="4:4" ht="17.649999999999999" x14ac:dyDescent="0.5">
      <c r="D375" s="3" t="s">
        <v>64</v>
      </c>
    </row>
    <row r="376" spans="4:4" ht="17.649999999999999" x14ac:dyDescent="0.5">
      <c r="D376" s="3" t="s">
        <v>85</v>
      </c>
    </row>
    <row r="377" spans="4:4" ht="17.649999999999999" x14ac:dyDescent="0.5">
      <c r="D377" s="3" t="s">
        <v>51</v>
      </c>
    </row>
    <row r="378" spans="4:4" ht="17.649999999999999" x14ac:dyDescent="0.5">
      <c r="D378" s="3" t="s">
        <v>77</v>
      </c>
    </row>
    <row r="379" spans="4:4" ht="17.649999999999999" x14ac:dyDescent="0.5">
      <c r="D379" s="3" t="s">
        <v>63</v>
      </c>
    </row>
    <row r="380" spans="4:4" ht="17.649999999999999" x14ac:dyDescent="0.5">
      <c r="D380" s="3" t="s">
        <v>113</v>
      </c>
    </row>
    <row r="381" spans="4:4" ht="17.649999999999999" x14ac:dyDescent="0.5">
      <c r="D381" s="3" t="s">
        <v>74</v>
      </c>
    </row>
    <row r="382" spans="4:4" ht="17.649999999999999" x14ac:dyDescent="0.5">
      <c r="D382" s="3" t="s">
        <v>43</v>
      </c>
    </row>
    <row r="383" spans="4:4" ht="17.649999999999999" x14ac:dyDescent="0.5">
      <c r="D383" s="3" t="s">
        <v>94</v>
      </c>
    </row>
    <row r="384" spans="4:4" ht="17.649999999999999" x14ac:dyDescent="0.5">
      <c r="D384" s="3" t="s">
        <v>51</v>
      </c>
    </row>
    <row r="385" spans="4:4" ht="17.649999999999999" x14ac:dyDescent="0.5">
      <c r="D385" s="3" t="s">
        <v>54</v>
      </c>
    </row>
    <row r="386" spans="4:4" ht="17.649999999999999" x14ac:dyDescent="0.5">
      <c r="D386" s="3" t="s">
        <v>112</v>
      </c>
    </row>
    <row r="387" spans="4:4" ht="17.649999999999999" x14ac:dyDescent="0.5">
      <c r="D387" s="3" t="s">
        <v>107</v>
      </c>
    </row>
    <row r="388" spans="4:4" ht="17.649999999999999" x14ac:dyDescent="0.5">
      <c r="D388" s="3" t="s">
        <v>56</v>
      </c>
    </row>
    <row r="389" spans="4:4" ht="17.649999999999999" x14ac:dyDescent="0.5">
      <c r="D389" s="3" t="s">
        <v>68</v>
      </c>
    </row>
    <row r="390" spans="4:4" ht="17.649999999999999" x14ac:dyDescent="0.5">
      <c r="D390" s="3" t="s">
        <v>87</v>
      </c>
    </row>
    <row r="391" spans="4:4" ht="17.649999999999999" x14ac:dyDescent="0.5">
      <c r="D391" s="3" t="s">
        <v>90</v>
      </c>
    </row>
    <row r="392" spans="4:4" ht="17.649999999999999" x14ac:dyDescent="0.5">
      <c r="D392" s="3" t="s">
        <v>91</v>
      </c>
    </row>
    <row r="393" spans="4:4" ht="17.649999999999999" x14ac:dyDescent="0.5">
      <c r="D393" s="3" t="s">
        <v>44</v>
      </c>
    </row>
    <row r="394" spans="4:4" ht="17.649999999999999" x14ac:dyDescent="0.5">
      <c r="D394" s="3" t="s">
        <v>75</v>
      </c>
    </row>
    <row r="395" spans="4:4" ht="17.649999999999999" x14ac:dyDescent="0.5">
      <c r="D395" s="3" t="s">
        <v>73</v>
      </c>
    </row>
    <row r="396" spans="4:4" ht="17.649999999999999" x14ac:dyDescent="0.5">
      <c r="D396" s="3" t="s">
        <v>117</v>
      </c>
    </row>
    <row r="397" spans="4:4" ht="17.649999999999999" x14ac:dyDescent="0.5">
      <c r="D397" s="3" t="s">
        <v>56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74</v>
      </c>
    </row>
    <row r="400" spans="4:4" ht="17.649999999999999" x14ac:dyDescent="0.5">
      <c r="D400" s="3" t="s">
        <v>107</v>
      </c>
    </row>
    <row r="401" spans="4:4" ht="17.649999999999999" x14ac:dyDescent="0.5">
      <c r="D401" s="3" t="s">
        <v>128</v>
      </c>
    </row>
    <row r="402" spans="4:4" ht="17.649999999999999" x14ac:dyDescent="0.5">
      <c r="D402" s="3" t="s">
        <v>107</v>
      </c>
    </row>
    <row r="403" spans="4:4" ht="17.649999999999999" x14ac:dyDescent="0.5">
      <c r="D403" s="3" t="s">
        <v>47</v>
      </c>
    </row>
    <row r="404" spans="4:4" ht="17.649999999999999" x14ac:dyDescent="0.5">
      <c r="D404" s="3" t="s">
        <v>121</v>
      </c>
    </row>
    <row r="405" spans="4:4" ht="17.649999999999999" x14ac:dyDescent="0.5">
      <c r="D405" s="3" t="s">
        <v>55</v>
      </c>
    </row>
    <row r="406" spans="4:4" ht="17.649999999999999" x14ac:dyDescent="0.5">
      <c r="D406" s="3" t="s">
        <v>78</v>
      </c>
    </row>
    <row r="407" spans="4:4" ht="17.649999999999999" x14ac:dyDescent="0.5">
      <c r="D407" s="3" t="s">
        <v>80</v>
      </c>
    </row>
    <row r="408" spans="4:4" ht="17.649999999999999" x14ac:dyDescent="0.5">
      <c r="D408" s="3" t="s">
        <v>52</v>
      </c>
    </row>
    <row r="409" spans="4:4" ht="17.649999999999999" x14ac:dyDescent="0.5">
      <c r="D409" s="3" t="s">
        <v>94</v>
      </c>
    </row>
    <row r="410" spans="4:4" ht="17.649999999999999" x14ac:dyDescent="0.5">
      <c r="D410" s="3" t="s">
        <v>91</v>
      </c>
    </row>
    <row r="411" spans="4:4" ht="17.649999999999999" x14ac:dyDescent="0.5">
      <c r="D411" s="3" t="s">
        <v>63</v>
      </c>
    </row>
    <row r="412" spans="4:4" ht="17.649999999999999" x14ac:dyDescent="0.5">
      <c r="D412" s="3" t="s">
        <v>59</v>
      </c>
    </row>
    <row r="413" spans="4:4" ht="17.649999999999999" x14ac:dyDescent="0.5">
      <c r="D413" s="3" t="s">
        <v>53</v>
      </c>
    </row>
    <row r="414" spans="4:4" ht="17.649999999999999" x14ac:dyDescent="0.5">
      <c r="D414" s="3" t="s">
        <v>123</v>
      </c>
    </row>
    <row r="415" spans="4:4" ht="17.649999999999999" x14ac:dyDescent="0.5">
      <c r="D415" s="3" t="s">
        <v>113</v>
      </c>
    </row>
    <row r="416" spans="4:4" ht="17.649999999999999" x14ac:dyDescent="0.5">
      <c r="D416" s="3" t="s">
        <v>68</v>
      </c>
    </row>
    <row r="417" spans="4:4" ht="17.649999999999999" x14ac:dyDescent="0.5">
      <c r="D417" s="3" t="s">
        <v>120</v>
      </c>
    </row>
    <row r="418" spans="4:4" ht="17.649999999999999" x14ac:dyDescent="0.5">
      <c r="D418" s="3" t="s">
        <v>43</v>
      </c>
    </row>
    <row r="419" spans="4:4" ht="17.649999999999999" x14ac:dyDescent="0.5">
      <c r="D419" s="3" t="s">
        <v>101</v>
      </c>
    </row>
    <row r="420" spans="4:4" ht="17.649999999999999" x14ac:dyDescent="0.5">
      <c r="D420" s="3" t="s">
        <v>43</v>
      </c>
    </row>
    <row r="421" spans="4:4" ht="17.649999999999999" x14ac:dyDescent="0.5">
      <c r="D421" s="3" t="s">
        <v>50</v>
      </c>
    </row>
    <row r="422" spans="4:4" ht="17.649999999999999" x14ac:dyDescent="0.5">
      <c r="D422" s="3" t="s">
        <v>54</v>
      </c>
    </row>
    <row r="423" spans="4:4" ht="17.649999999999999" x14ac:dyDescent="0.5">
      <c r="D423" s="3" t="s">
        <v>53</v>
      </c>
    </row>
    <row r="424" spans="4:4" ht="17.649999999999999" x14ac:dyDescent="0.5">
      <c r="D424" s="3" t="s">
        <v>68</v>
      </c>
    </row>
    <row r="425" spans="4:4" ht="17.649999999999999" x14ac:dyDescent="0.5">
      <c r="D425" s="3" t="s">
        <v>98</v>
      </c>
    </row>
    <row r="426" spans="4:4" ht="17.649999999999999" x14ac:dyDescent="0.5">
      <c r="D426" s="3" t="s">
        <v>52</v>
      </c>
    </row>
    <row r="427" spans="4:4" ht="17.649999999999999" x14ac:dyDescent="0.5">
      <c r="D427" s="3" t="s">
        <v>54</v>
      </c>
    </row>
    <row r="428" spans="4:4" ht="17.649999999999999" x14ac:dyDescent="0.5">
      <c r="D428" s="3" t="s">
        <v>53</v>
      </c>
    </row>
    <row r="429" spans="4:4" ht="17.649999999999999" x14ac:dyDescent="0.5">
      <c r="D429" s="3" t="s">
        <v>112</v>
      </c>
    </row>
    <row r="430" spans="4:4" ht="17.649999999999999" x14ac:dyDescent="0.5">
      <c r="D430" s="3" t="s">
        <v>83</v>
      </c>
    </row>
    <row r="431" spans="4:4" ht="17.649999999999999" x14ac:dyDescent="0.5">
      <c r="D431" s="3" t="s">
        <v>54</v>
      </c>
    </row>
    <row r="432" spans="4:4" ht="17.649999999999999" x14ac:dyDescent="0.5">
      <c r="D432" s="3" t="s">
        <v>65</v>
      </c>
    </row>
    <row r="433" spans="4:4" ht="17.649999999999999" x14ac:dyDescent="0.5">
      <c r="D433" s="3" t="s">
        <v>63</v>
      </c>
    </row>
    <row r="434" spans="4:4" ht="17.649999999999999" x14ac:dyDescent="0.5">
      <c r="D434" s="3" t="s">
        <v>103</v>
      </c>
    </row>
    <row r="435" spans="4:4" ht="17.649999999999999" x14ac:dyDescent="0.5">
      <c r="D435" s="3" t="s">
        <v>119</v>
      </c>
    </row>
    <row r="436" spans="4:4" ht="17.649999999999999" x14ac:dyDescent="0.5">
      <c r="D436" s="3" t="s">
        <v>72</v>
      </c>
    </row>
    <row r="437" spans="4:4" ht="17.649999999999999" x14ac:dyDescent="0.5">
      <c r="D437" s="3" t="s">
        <v>125</v>
      </c>
    </row>
    <row r="438" spans="4:4" ht="17.649999999999999" x14ac:dyDescent="0.5">
      <c r="D438" s="3" t="s">
        <v>67</v>
      </c>
    </row>
    <row r="439" spans="4:4" ht="17.649999999999999" x14ac:dyDescent="0.5">
      <c r="D439" s="3" t="s">
        <v>107</v>
      </c>
    </row>
    <row r="440" spans="4:4" ht="17.649999999999999" x14ac:dyDescent="0.5">
      <c r="D440" s="3" t="s">
        <v>91</v>
      </c>
    </row>
    <row r="441" spans="4:4" ht="17.649999999999999" x14ac:dyDescent="0.5">
      <c r="D441" s="3" t="s">
        <v>130</v>
      </c>
    </row>
    <row r="442" spans="4:4" ht="17.649999999999999" x14ac:dyDescent="0.5">
      <c r="D442" s="3" t="s">
        <v>80</v>
      </c>
    </row>
    <row r="443" spans="4:4" ht="17.649999999999999" x14ac:dyDescent="0.5">
      <c r="D443" s="3" t="s">
        <v>115</v>
      </c>
    </row>
    <row r="444" spans="4:4" ht="17.649999999999999" x14ac:dyDescent="0.5">
      <c r="D444" s="3" t="s">
        <v>41</v>
      </c>
    </row>
    <row r="445" spans="4:4" ht="17.649999999999999" x14ac:dyDescent="0.5">
      <c r="D445" s="3" t="s">
        <v>74</v>
      </c>
    </row>
    <row r="446" spans="4:4" ht="17.649999999999999" x14ac:dyDescent="0.5">
      <c r="D446" s="3" t="s">
        <v>41</v>
      </c>
    </row>
    <row r="447" spans="4:4" ht="17.649999999999999" x14ac:dyDescent="0.5">
      <c r="D447" s="3" t="s">
        <v>43</v>
      </c>
    </row>
    <row r="448" spans="4:4" ht="17.649999999999999" x14ac:dyDescent="0.5">
      <c r="D448" s="3" t="s">
        <v>46</v>
      </c>
    </row>
    <row r="449" spans="4:4" ht="17.649999999999999" x14ac:dyDescent="0.5">
      <c r="D449" s="3" t="s">
        <v>66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56</v>
      </c>
    </row>
    <row r="452" spans="4:4" ht="17.649999999999999" x14ac:dyDescent="0.5">
      <c r="D452" s="3" t="s">
        <v>105</v>
      </c>
    </row>
    <row r="453" spans="4:4" ht="17.649999999999999" x14ac:dyDescent="0.5">
      <c r="D453" s="3" t="s">
        <v>94</v>
      </c>
    </row>
    <row r="454" spans="4:4" ht="17.649999999999999" x14ac:dyDescent="0.5">
      <c r="D454" s="3" t="s">
        <v>92</v>
      </c>
    </row>
    <row r="455" spans="4:4" ht="17.649999999999999" x14ac:dyDescent="0.5">
      <c r="D455" s="3" t="s">
        <v>57</v>
      </c>
    </row>
    <row r="456" spans="4:4" ht="17.649999999999999" x14ac:dyDescent="0.5">
      <c r="D456" s="3" t="s">
        <v>81</v>
      </c>
    </row>
    <row r="457" spans="4:4" ht="17.649999999999999" x14ac:dyDescent="0.5">
      <c r="D457" s="3" t="s">
        <v>116</v>
      </c>
    </row>
    <row r="458" spans="4:4" ht="17.649999999999999" x14ac:dyDescent="0.5">
      <c r="D458" s="3" t="s">
        <v>115</v>
      </c>
    </row>
    <row r="459" spans="4:4" ht="17.649999999999999" x14ac:dyDescent="0.5">
      <c r="D459" s="3" t="s">
        <v>101</v>
      </c>
    </row>
    <row r="460" spans="4:4" ht="17.649999999999999" x14ac:dyDescent="0.5">
      <c r="D460" s="3" t="s">
        <v>84</v>
      </c>
    </row>
    <row r="461" spans="4:4" ht="17.649999999999999" x14ac:dyDescent="0.5">
      <c r="D461" s="3" t="s">
        <v>59</v>
      </c>
    </row>
    <row r="462" spans="4:4" ht="17.649999999999999" x14ac:dyDescent="0.5">
      <c r="D462" s="3" t="s">
        <v>88</v>
      </c>
    </row>
    <row r="463" spans="4:4" ht="17.649999999999999" x14ac:dyDescent="0.5">
      <c r="D463" s="3" t="s">
        <v>63</v>
      </c>
    </row>
    <row r="464" spans="4:4" ht="17.649999999999999" x14ac:dyDescent="0.5">
      <c r="D464" s="3" t="s">
        <v>62</v>
      </c>
    </row>
    <row r="465" spans="4:4" ht="17.649999999999999" x14ac:dyDescent="0.5">
      <c r="D465" s="3" t="s">
        <v>119</v>
      </c>
    </row>
    <row r="466" spans="4:4" ht="17.649999999999999" x14ac:dyDescent="0.5">
      <c r="D466" s="3" t="s">
        <v>120</v>
      </c>
    </row>
    <row r="467" spans="4:4" ht="17.649999999999999" x14ac:dyDescent="0.5">
      <c r="D467" s="3" t="s">
        <v>74</v>
      </c>
    </row>
    <row r="468" spans="4:4" ht="17.649999999999999" x14ac:dyDescent="0.5">
      <c r="D468" s="3" t="s">
        <v>68</v>
      </c>
    </row>
    <row r="469" spans="4:4" ht="17.649999999999999" x14ac:dyDescent="0.5">
      <c r="D469" s="3" t="s">
        <v>78</v>
      </c>
    </row>
    <row r="470" spans="4:4" ht="17.649999999999999" x14ac:dyDescent="0.5">
      <c r="D470" s="3" t="s">
        <v>98</v>
      </c>
    </row>
    <row r="471" spans="4:4" ht="17.649999999999999" x14ac:dyDescent="0.5">
      <c r="D471" s="3" t="s">
        <v>90</v>
      </c>
    </row>
    <row r="472" spans="4:4" ht="17.649999999999999" x14ac:dyDescent="0.5">
      <c r="D472" s="3" t="s">
        <v>87</v>
      </c>
    </row>
    <row r="473" spans="4:4" ht="17.649999999999999" x14ac:dyDescent="0.5">
      <c r="D473" s="3" t="s">
        <v>51</v>
      </c>
    </row>
    <row r="474" spans="4:4" ht="17.649999999999999" x14ac:dyDescent="0.5">
      <c r="D474" s="3" t="s">
        <v>119</v>
      </c>
    </row>
    <row r="475" spans="4:4" ht="17.649999999999999" x14ac:dyDescent="0.5">
      <c r="D475" s="3" t="s">
        <v>75</v>
      </c>
    </row>
    <row r="476" spans="4:4" ht="17.649999999999999" x14ac:dyDescent="0.5">
      <c r="D476" s="3" t="s">
        <v>60</v>
      </c>
    </row>
    <row r="477" spans="4:4" ht="17.649999999999999" x14ac:dyDescent="0.5">
      <c r="D477" s="3" t="s">
        <v>102</v>
      </c>
    </row>
    <row r="478" spans="4:4" ht="17.649999999999999" x14ac:dyDescent="0.5">
      <c r="D478" s="3" t="s">
        <v>59</v>
      </c>
    </row>
    <row r="479" spans="4:4" ht="17.649999999999999" x14ac:dyDescent="0.5">
      <c r="D479" s="3" t="s">
        <v>43</v>
      </c>
    </row>
    <row r="480" spans="4:4" ht="17.649999999999999" x14ac:dyDescent="0.5">
      <c r="D480" s="3" t="s">
        <v>55</v>
      </c>
    </row>
    <row r="481" spans="4:4" ht="17.649999999999999" x14ac:dyDescent="0.5">
      <c r="D481" s="3" t="s">
        <v>72</v>
      </c>
    </row>
    <row r="482" spans="4:4" ht="17.649999999999999" x14ac:dyDescent="0.5">
      <c r="D482" s="3" t="s">
        <v>53</v>
      </c>
    </row>
    <row r="483" spans="4:4" ht="17.649999999999999" x14ac:dyDescent="0.5">
      <c r="D483" s="3" t="s">
        <v>87</v>
      </c>
    </row>
    <row r="484" spans="4:4" ht="17.649999999999999" x14ac:dyDescent="0.5">
      <c r="D484" s="3" t="s">
        <v>90</v>
      </c>
    </row>
    <row r="485" spans="4:4" ht="17.649999999999999" x14ac:dyDescent="0.5">
      <c r="D485" s="3" t="s">
        <v>71</v>
      </c>
    </row>
    <row r="486" spans="4:4" ht="17.649999999999999" x14ac:dyDescent="0.5">
      <c r="D486" s="3" t="s">
        <v>84</v>
      </c>
    </row>
    <row r="487" spans="4:4" ht="17.649999999999999" x14ac:dyDescent="0.5">
      <c r="D487" s="3" t="s">
        <v>91</v>
      </c>
    </row>
    <row r="488" spans="4:4" ht="17.649999999999999" x14ac:dyDescent="0.5">
      <c r="D488" s="3" t="s">
        <v>68</v>
      </c>
    </row>
    <row r="489" spans="4:4" ht="17.649999999999999" x14ac:dyDescent="0.5">
      <c r="D489" s="3" t="s">
        <v>60</v>
      </c>
    </row>
    <row r="490" spans="4:4" ht="17.649999999999999" x14ac:dyDescent="0.5">
      <c r="D490" s="3" t="s">
        <v>46</v>
      </c>
    </row>
    <row r="491" spans="4:4" ht="17.649999999999999" x14ac:dyDescent="0.5">
      <c r="D491" s="3" t="s">
        <v>127</v>
      </c>
    </row>
    <row r="492" spans="4:4" ht="17.649999999999999" x14ac:dyDescent="0.5">
      <c r="D492" s="3" t="s">
        <v>91</v>
      </c>
    </row>
    <row r="493" spans="4:4" ht="17.649999999999999" x14ac:dyDescent="0.5">
      <c r="D493" s="3" t="s">
        <v>46</v>
      </c>
    </row>
    <row r="494" spans="4:4" ht="17.649999999999999" x14ac:dyDescent="0.5">
      <c r="D494" s="3" t="s">
        <v>46</v>
      </c>
    </row>
    <row r="495" spans="4:4" ht="17.649999999999999" x14ac:dyDescent="0.5">
      <c r="D495" s="3" t="s">
        <v>43</v>
      </c>
    </row>
    <row r="496" spans="4:4" ht="17.649999999999999" x14ac:dyDescent="0.5">
      <c r="D496" s="3" t="s">
        <v>83</v>
      </c>
    </row>
    <row r="497" spans="4:4" ht="17.649999999999999" x14ac:dyDescent="0.5">
      <c r="D497" s="3" t="s">
        <v>80</v>
      </c>
    </row>
    <row r="498" spans="4:4" ht="17.649999999999999" x14ac:dyDescent="0.5">
      <c r="D498" s="3" t="s">
        <v>41</v>
      </c>
    </row>
    <row r="499" spans="4:4" ht="17.649999999999999" x14ac:dyDescent="0.5">
      <c r="D499" s="3" t="s">
        <v>131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41</v>
      </c>
    </row>
    <row r="502" spans="4:4" ht="17.649999999999999" x14ac:dyDescent="0.5">
      <c r="D502" s="3" t="s">
        <v>43</v>
      </c>
    </row>
    <row r="503" spans="4:4" ht="17.649999999999999" x14ac:dyDescent="0.5">
      <c r="D503" s="3" t="s">
        <v>72</v>
      </c>
    </row>
    <row r="504" spans="4:4" ht="17.649999999999999" x14ac:dyDescent="0.5">
      <c r="D504" s="3" t="s">
        <v>117</v>
      </c>
    </row>
    <row r="505" spans="4:4" ht="17.649999999999999" x14ac:dyDescent="0.5">
      <c r="D505" s="3" t="s">
        <v>105</v>
      </c>
    </row>
    <row r="506" spans="4:4" ht="17.649999999999999" x14ac:dyDescent="0.5">
      <c r="D506" s="3" t="s">
        <v>73</v>
      </c>
    </row>
    <row r="507" spans="4:4" ht="17.649999999999999" x14ac:dyDescent="0.5">
      <c r="D507" s="3" t="s">
        <v>112</v>
      </c>
    </row>
    <row r="508" spans="4:4" ht="17.649999999999999" x14ac:dyDescent="0.5">
      <c r="D508" s="3" t="s">
        <v>96</v>
      </c>
    </row>
    <row r="509" spans="4:4" ht="17.649999999999999" x14ac:dyDescent="0.5">
      <c r="D509" s="3" t="s">
        <v>84</v>
      </c>
    </row>
    <row r="510" spans="4:4" ht="17.649999999999999" x14ac:dyDescent="0.5">
      <c r="D510" s="3" t="s">
        <v>71</v>
      </c>
    </row>
    <row r="511" spans="4:4" ht="17.649999999999999" x14ac:dyDescent="0.5">
      <c r="D511" s="3" t="s">
        <v>67</v>
      </c>
    </row>
    <row r="512" spans="4:4" ht="17.649999999999999" x14ac:dyDescent="0.5">
      <c r="D512" s="3" t="s">
        <v>71</v>
      </c>
    </row>
    <row r="513" spans="4:4" ht="17.649999999999999" x14ac:dyDescent="0.5">
      <c r="D513" s="3" t="s">
        <v>92</v>
      </c>
    </row>
    <row r="514" spans="4:4" ht="17.649999999999999" x14ac:dyDescent="0.5">
      <c r="D514" s="3" t="s">
        <v>64</v>
      </c>
    </row>
    <row r="515" spans="4:4" ht="17.649999999999999" x14ac:dyDescent="0.5">
      <c r="D515" s="3" t="s">
        <v>49</v>
      </c>
    </row>
    <row r="516" spans="4:4" ht="17.649999999999999" x14ac:dyDescent="0.5">
      <c r="D516" s="3" t="s">
        <v>56</v>
      </c>
    </row>
    <row r="517" spans="4:4" ht="17.649999999999999" x14ac:dyDescent="0.5">
      <c r="D517" s="3" t="s">
        <v>88</v>
      </c>
    </row>
    <row r="518" spans="4:4" ht="17.649999999999999" x14ac:dyDescent="0.5">
      <c r="D518" s="3" t="s">
        <v>65</v>
      </c>
    </row>
    <row r="519" spans="4:4" ht="17.649999999999999" x14ac:dyDescent="0.5">
      <c r="D519" s="3" t="s">
        <v>80</v>
      </c>
    </row>
    <row r="520" spans="4:4" ht="17.649999999999999" x14ac:dyDescent="0.5">
      <c r="D520" s="3" t="s">
        <v>56</v>
      </c>
    </row>
    <row r="521" spans="4:4" ht="17.649999999999999" x14ac:dyDescent="0.5">
      <c r="D521" s="3" t="s">
        <v>128</v>
      </c>
    </row>
    <row r="522" spans="4:4" ht="17.649999999999999" x14ac:dyDescent="0.5">
      <c r="D522" s="3" t="s">
        <v>87</v>
      </c>
    </row>
    <row r="523" spans="4:4" ht="17.649999999999999" x14ac:dyDescent="0.5">
      <c r="D523" s="3" t="s">
        <v>68</v>
      </c>
    </row>
    <row r="524" spans="4:4" ht="17.649999999999999" x14ac:dyDescent="0.5">
      <c r="D524" s="3" t="s">
        <v>103</v>
      </c>
    </row>
    <row r="525" spans="4:4" ht="17.649999999999999" x14ac:dyDescent="0.5">
      <c r="D525" s="3" t="s">
        <v>60</v>
      </c>
    </row>
    <row r="526" spans="4:4" ht="17.649999999999999" x14ac:dyDescent="0.5">
      <c r="D526" s="3" t="s">
        <v>96</v>
      </c>
    </row>
    <row r="527" spans="4:4" ht="17.649999999999999" x14ac:dyDescent="0.5">
      <c r="D527" s="3" t="s">
        <v>87</v>
      </c>
    </row>
    <row r="528" spans="4:4" ht="17.649999999999999" x14ac:dyDescent="0.5">
      <c r="D528" s="3" t="s">
        <v>74</v>
      </c>
    </row>
    <row r="529" spans="4:4" ht="17.649999999999999" x14ac:dyDescent="0.5">
      <c r="D529" s="3" t="s">
        <v>112</v>
      </c>
    </row>
    <row r="530" spans="4:4" ht="17.649999999999999" x14ac:dyDescent="0.5">
      <c r="D530" s="3" t="s">
        <v>115</v>
      </c>
    </row>
    <row r="531" spans="4:4" ht="17.649999999999999" x14ac:dyDescent="0.5">
      <c r="D531" s="3" t="s">
        <v>70</v>
      </c>
    </row>
    <row r="532" spans="4:4" ht="17.649999999999999" x14ac:dyDescent="0.5">
      <c r="D532" s="3" t="s">
        <v>50</v>
      </c>
    </row>
    <row r="533" spans="4:4" ht="17.649999999999999" x14ac:dyDescent="0.5">
      <c r="D533" s="3" t="s">
        <v>87</v>
      </c>
    </row>
    <row r="534" spans="4:4" ht="17.649999999999999" x14ac:dyDescent="0.5">
      <c r="D534" s="3" t="s">
        <v>103</v>
      </c>
    </row>
    <row r="535" spans="4:4" ht="17.649999999999999" x14ac:dyDescent="0.5">
      <c r="D535" s="3" t="s">
        <v>96</v>
      </c>
    </row>
    <row r="536" spans="4:4" ht="17.649999999999999" x14ac:dyDescent="0.5">
      <c r="D536" s="3" t="s">
        <v>41</v>
      </c>
    </row>
    <row r="537" spans="4:4" ht="17.649999999999999" x14ac:dyDescent="0.5">
      <c r="D537" s="3" t="s">
        <v>97</v>
      </c>
    </row>
    <row r="538" spans="4:4" ht="17.649999999999999" x14ac:dyDescent="0.5">
      <c r="D538" s="3" t="s">
        <v>47</v>
      </c>
    </row>
    <row r="539" spans="4:4" ht="17.649999999999999" x14ac:dyDescent="0.5">
      <c r="D539" s="3" t="s">
        <v>61</v>
      </c>
    </row>
    <row r="540" spans="4:4" ht="17.649999999999999" x14ac:dyDescent="0.5">
      <c r="D540" s="3" t="s">
        <v>77</v>
      </c>
    </row>
    <row r="541" spans="4:4" ht="17.649999999999999" x14ac:dyDescent="0.5">
      <c r="D541" s="3" t="s">
        <v>67</v>
      </c>
    </row>
    <row r="542" spans="4:4" ht="17.649999999999999" x14ac:dyDescent="0.5">
      <c r="D542" s="3" t="s">
        <v>85</v>
      </c>
    </row>
    <row r="543" spans="4:4" ht="17.649999999999999" x14ac:dyDescent="0.5">
      <c r="D543" s="3" t="s">
        <v>46</v>
      </c>
    </row>
    <row r="544" spans="4:4" ht="17.649999999999999" x14ac:dyDescent="0.5">
      <c r="D544" s="3" t="s">
        <v>41</v>
      </c>
    </row>
    <row r="545" spans="4:4" ht="17.649999999999999" x14ac:dyDescent="0.5">
      <c r="D545" s="3" t="s">
        <v>111</v>
      </c>
    </row>
    <row r="546" spans="4:4" ht="17.649999999999999" x14ac:dyDescent="0.5">
      <c r="D546" s="3" t="s">
        <v>90</v>
      </c>
    </row>
    <row r="547" spans="4:4" ht="17.649999999999999" x14ac:dyDescent="0.5">
      <c r="D547" s="3" t="s">
        <v>85</v>
      </c>
    </row>
    <row r="548" spans="4:4" ht="17.649999999999999" x14ac:dyDescent="0.5">
      <c r="D548" s="3" t="s">
        <v>127</v>
      </c>
    </row>
    <row r="549" spans="4:4" ht="17.649999999999999" x14ac:dyDescent="0.5">
      <c r="D549" s="3" t="s">
        <v>112</v>
      </c>
    </row>
    <row r="550" spans="4:4" ht="17.649999999999999" x14ac:dyDescent="0.5">
      <c r="D550" s="3" t="s">
        <v>91</v>
      </c>
    </row>
    <row r="551" spans="4:4" ht="17.649999999999999" x14ac:dyDescent="0.5">
      <c r="D551" s="3" t="s">
        <v>117</v>
      </c>
    </row>
    <row r="552" spans="4:4" ht="17.649999999999999" x14ac:dyDescent="0.5">
      <c r="D552" s="3" t="s">
        <v>103</v>
      </c>
    </row>
    <row r="553" spans="4:4" ht="17.649999999999999" x14ac:dyDescent="0.5">
      <c r="D553" s="3" t="s">
        <v>78</v>
      </c>
    </row>
    <row r="554" spans="4:4" ht="17.649999999999999" x14ac:dyDescent="0.5">
      <c r="D554" s="3" t="s">
        <v>105</v>
      </c>
    </row>
    <row r="555" spans="4:4" ht="17.649999999999999" x14ac:dyDescent="0.5">
      <c r="D555" s="3" t="s">
        <v>134</v>
      </c>
    </row>
    <row r="556" spans="4:4" ht="17.649999999999999" x14ac:dyDescent="0.5">
      <c r="D556" s="3" t="s">
        <v>44</v>
      </c>
    </row>
    <row r="557" spans="4:4" ht="17.649999999999999" x14ac:dyDescent="0.5">
      <c r="D557" s="3" t="s">
        <v>126</v>
      </c>
    </row>
    <row r="558" spans="4:4" ht="17.649999999999999" x14ac:dyDescent="0.5">
      <c r="D558" s="3" t="s">
        <v>46</v>
      </c>
    </row>
    <row r="559" spans="4:4" ht="17.649999999999999" x14ac:dyDescent="0.5">
      <c r="D559" s="3" t="s">
        <v>43</v>
      </c>
    </row>
    <row r="560" spans="4:4" ht="17.649999999999999" x14ac:dyDescent="0.5">
      <c r="D560" s="3" t="s">
        <v>80</v>
      </c>
    </row>
    <row r="561" spans="4:4" ht="17.649999999999999" x14ac:dyDescent="0.5">
      <c r="D561" s="3" t="s">
        <v>91</v>
      </c>
    </row>
    <row r="562" spans="4:4" ht="17.649999999999999" x14ac:dyDescent="0.5">
      <c r="D562" s="3" t="s">
        <v>104</v>
      </c>
    </row>
    <row r="563" spans="4:4" ht="17.649999999999999" x14ac:dyDescent="0.5">
      <c r="D563" s="3" t="s">
        <v>61</v>
      </c>
    </row>
    <row r="564" spans="4:4" ht="17.649999999999999" x14ac:dyDescent="0.5">
      <c r="D564" s="3" t="s">
        <v>49</v>
      </c>
    </row>
    <row r="565" spans="4:4" ht="17.649999999999999" x14ac:dyDescent="0.5">
      <c r="D565" s="3" t="s">
        <v>41</v>
      </c>
    </row>
    <row r="566" spans="4:4" ht="17.649999999999999" x14ac:dyDescent="0.5">
      <c r="D566" s="3" t="s">
        <v>96</v>
      </c>
    </row>
    <row r="567" spans="4:4" ht="17.649999999999999" x14ac:dyDescent="0.5">
      <c r="D567" s="3" t="s">
        <v>52</v>
      </c>
    </row>
    <row r="568" spans="4:4" ht="17.649999999999999" x14ac:dyDescent="0.5">
      <c r="D568" s="3" t="s">
        <v>47</v>
      </c>
    </row>
    <row r="569" spans="4:4" ht="17.649999999999999" x14ac:dyDescent="0.5">
      <c r="D569" s="3" t="s">
        <v>115</v>
      </c>
    </row>
    <row r="570" spans="4:4" ht="17.649999999999999" x14ac:dyDescent="0.5">
      <c r="D570" s="3" t="s">
        <v>112</v>
      </c>
    </row>
    <row r="571" spans="4:4" ht="17.649999999999999" x14ac:dyDescent="0.5">
      <c r="D571" s="3" t="s">
        <v>62</v>
      </c>
    </row>
    <row r="572" spans="4:4" ht="17.649999999999999" x14ac:dyDescent="0.5">
      <c r="D572" s="3" t="s">
        <v>78</v>
      </c>
    </row>
    <row r="573" spans="4:4" ht="17.649999999999999" x14ac:dyDescent="0.5">
      <c r="D573" s="3" t="s">
        <v>57</v>
      </c>
    </row>
    <row r="574" spans="4:4" ht="17.649999999999999" x14ac:dyDescent="0.5">
      <c r="D574" s="3" t="s">
        <v>81</v>
      </c>
    </row>
    <row r="575" spans="4:4" ht="17.649999999999999" x14ac:dyDescent="0.5">
      <c r="D575" s="3" t="s">
        <v>60</v>
      </c>
    </row>
    <row r="576" spans="4:4" ht="17.649999999999999" x14ac:dyDescent="0.5">
      <c r="D576" s="3" t="s">
        <v>94</v>
      </c>
    </row>
    <row r="577" spans="4:4" ht="17.649999999999999" x14ac:dyDescent="0.5">
      <c r="D577" s="3" t="s">
        <v>85</v>
      </c>
    </row>
    <row r="578" spans="4:4" ht="17.649999999999999" x14ac:dyDescent="0.5">
      <c r="D578" s="3" t="s">
        <v>43</v>
      </c>
    </row>
    <row r="579" spans="4:4" ht="17.649999999999999" x14ac:dyDescent="0.5">
      <c r="D579" s="3" t="s">
        <v>60</v>
      </c>
    </row>
    <row r="580" spans="4:4" ht="17.649999999999999" x14ac:dyDescent="0.5">
      <c r="D580" s="3" t="s">
        <v>42</v>
      </c>
    </row>
    <row r="581" spans="4:4" ht="17.649999999999999" x14ac:dyDescent="0.5">
      <c r="D581" s="3" t="s">
        <v>67</v>
      </c>
    </row>
    <row r="582" spans="4:4" ht="17.649999999999999" x14ac:dyDescent="0.5">
      <c r="D582" s="3" t="s">
        <v>41</v>
      </c>
    </row>
    <row r="583" spans="4:4" ht="17.649999999999999" x14ac:dyDescent="0.5">
      <c r="D583" s="3" t="s">
        <v>98</v>
      </c>
    </row>
    <row r="584" spans="4:4" ht="17.649999999999999" x14ac:dyDescent="0.5">
      <c r="D584" s="3" t="s">
        <v>115</v>
      </c>
    </row>
    <row r="585" spans="4:4" ht="17.649999999999999" x14ac:dyDescent="0.5">
      <c r="D585" s="3" t="s">
        <v>107</v>
      </c>
    </row>
    <row r="586" spans="4:4" ht="17.649999999999999" x14ac:dyDescent="0.5">
      <c r="D586" s="3" t="s">
        <v>91</v>
      </c>
    </row>
    <row r="587" spans="4:4" ht="17.649999999999999" x14ac:dyDescent="0.5">
      <c r="D587" s="3" t="s">
        <v>122</v>
      </c>
    </row>
    <row r="588" spans="4:4" ht="17.649999999999999" x14ac:dyDescent="0.5">
      <c r="D588" s="3" t="s">
        <v>115</v>
      </c>
    </row>
    <row r="589" spans="4:4" ht="17.649999999999999" x14ac:dyDescent="0.5">
      <c r="D589" s="3" t="s">
        <v>47</v>
      </c>
    </row>
    <row r="590" spans="4:4" ht="17.649999999999999" x14ac:dyDescent="0.5">
      <c r="D590" s="3" t="s">
        <v>55</v>
      </c>
    </row>
    <row r="591" spans="4:4" ht="17.649999999999999" x14ac:dyDescent="0.5">
      <c r="D591" s="3" t="s">
        <v>52</v>
      </c>
    </row>
    <row r="592" spans="4:4" ht="17.649999999999999" x14ac:dyDescent="0.5">
      <c r="D592" s="3" t="s">
        <v>83</v>
      </c>
    </row>
    <row r="593" spans="4:4" ht="17.649999999999999" x14ac:dyDescent="0.5">
      <c r="D593" s="3" t="s">
        <v>85</v>
      </c>
    </row>
    <row r="594" spans="4:4" ht="17.649999999999999" x14ac:dyDescent="0.5">
      <c r="D594" s="3" t="s">
        <v>87</v>
      </c>
    </row>
    <row r="595" spans="4:4" ht="17.649999999999999" x14ac:dyDescent="0.5">
      <c r="D595" s="3" t="s">
        <v>51</v>
      </c>
    </row>
    <row r="596" spans="4:4" ht="17.649999999999999" x14ac:dyDescent="0.5">
      <c r="D596" s="3" t="s">
        <v>61</v>
      </c>
    </row>
    <row r="597" spans="4:4" ht="17.649999999999999" x14ac:dyDescent="0.5">
      <c r="D597" s="3" t="s">
        <v>80</v>
      </c>
    </row>
    <row r="598" spans="4:4" ht="17.649999999999999" x14ac:dyDescent="0.5">
      <c r="D598" s="3" t="s">
        <v>63</v>
      </c>
    </row>
    <row r="599" spans="4:4" ht="17.649999999999999" x14ac:dyDescent="0.5">
      <c r="D599" s="3" t="s">
        <v>117</v>
      </c>
    </row>
    <row r="600" spans="4:4" ht="17.649999999999999" x14ac:dyDescent="0.5">
      <c r="D600" s="3" t="s">
        <v>42</v>
      </c>
    </row>
    <row r="601" spans="4:4" ht="17.649999999999999" x14ac:dyDescent="0.5">
      <c r="D601" s="3" t="s">
        <v>49</v>
      </c>
    </row>
    <row r="602" spans="4:4" ht="17.649999999999999" x14ac:dyDescent="0.5">
      <c r="D602" s="3" t="s">
        <v>52</v>
      </c>
    </row>
    <row r="603" spans="4:4" ht="17.649999999999999" x14ac:dyDescent="0.5">
      <c r="D603" s="3" t="s">
        <v>46</v>
      </c>
    </row>
    <row r="604" spans="4:4" ht="17.649999999999999" x14ac:dyDescent="0.5">
      <c r="D604" s="3" t="s">
        <v>84</v>
      </c>
    </row>
    <row r="605" spans="4:4" ht="17.649999999999999" x14ac:dyDescent="0.5">
      <c r="D605" s="3" t="s">
        <v>44</v>
      </c>
    </row>
    <row r="606" spans="4:4" ht="17.649999999999999" x14ac:dyDescent="0.5">
      <c r="D606" s="3" t="s">
        <v>103</v>
      </c>
    </row>
    <row r="607" spans="4:4" ht="17.649999999999999" x14ac:dyDescent="0.5">
      <c r="D607" s="3" t="s">
        <v>53</v>
      </c>
    </row>
    <row r="608" spans="4:4" ht="17.649999999999999" x14ac:dyDescent="0.5">
      <c r="D608" s="3" t="s">
        <v>105</v>
      </c>
    </row>
    <row r="609" spans="4:4" ht="17.649999999999999" x14ac:dyDescent="0.5">
      <c r="D609" s="3" t="s">
        <v>78</v>
      </c>
    </row>
    <row r="610" spans="4:4" ht="17.649999999999999" x14ac:dyDescent="0.5">
      <c r="D610" s="3" t="s">
        <v>84</v>
      </c>
    </row>
    <row r="611" spans="4:4" ht="17.649999999999999" x14ac:dyDescent="0.5">
      <c r="D611" s="3" t="s">
        <v>44</v>
      </c>
    </row>
    <row r="612" spans="4:4" ht="17.649999999999999" x14ac:dyDescent="0.5">
      <c r="D612" s="3" t="s">
        <v>59</v>
      </c>
    </row>
    <row r="613" spans="4:4" ht="17.649999999999999" x14ac:dyDescent="0.5">
      <c r="D613" s="3" t="s">
        <v>48</v>
      </c>
    </row>
    <row r="614" spans="4:4" ht="17.649999999999999" x14ac:dyDescent="0.5">
      <c r="D614" s="3" t="s">
        <v>69</v>
      </c>
    </row>
    <row r="615" spans="4:4" ht="17.649999999999999" x14ac:dyDescent="0.5">
      <c r="D615" s="3" t="s">
        <v>109</v>
      </c>
    </row>
    <row r="616" spans="4:4" ht="17.649999999999999" x14ac:dyDescent="0.5">
      <c r="D616" s="3" t="s">
        <v>66</v>
      </c>
    </row>
    <row r="617" spans="4:4" ht="17.649999999999999" x14ac:dyDescent="0.5">
      <c r="D617" s="3" t="s">
        <v>68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121</v>
      </c>
    </row>
    <row r="620" spans="4:4" ht="17.649999999999999" x14ac:dyDescent="0.5">
      <c r="D620" s="3" t="s">
        <v>132</v>
      </c>
    </row>
    <row r="621" spans="4:4" ht="17.649999999999999" x14ac:dyDescent="0.5">
      <c r="D621" s="3" t="s">
        <v>75</v>
      </c>
    </row>
    <row r="622" spans="4:4" ht="17.649999999999999" x14ac:dyDescent="0.5">
      <c r="D622" s="3" t="s">
        <v>87</v>
      </c>
    </row>
    <row r="623" spans="4:4" ht="17.649999999999999" x14ac:dyDescent="0.5">
      <c r="D623" s="3" t="s">
        <v>61</v>
      </c>
    </row>
    <row r="624" spans="4:4" ht="17.649999999999999" x14ac:dyDescent="0.5">
      <c r="D624" s="3" t="s">
        <v>87</v>
      </c>
    </row>
    <row r="625" spans="4:4" ht="17.649999999999999" x14ac:dyDescent="0.5">
      <c r="D625" s="3" t="s">
        <v>90</v>
      </c>
    </row>
    <row r="626" spans="4:4" ht="17.649999999999999" x14ac:dyDescent="0.5">
      <c r="D626" s="3" t="s">
        <v>101</v>
      </c>
    </row>
    <row r="627" spans="4:4" ht="17.649999999999999" x14ac:dyDescent="0.5">
      <c r="D627" s="3" t="s">
        <v>133</v>
      </c>
    </row>
    <row r="628" spans="4:4" ht="17.649999999999999" x14ac:dyDescent="0.5">
      <c r="D628" s="3" t="s">
        <v>122</v>
      </c>
    </row>
    <row r="629" spans="4:4" ht="17.649999999999999" x14ac:dyDescent="0.5">
      <c r="D629" s="3" t="s">
        <v>84</v>
      </c>
    </row>
    <row r="630" spans="4:4" ht="17.649999999999999" x14ac:dyDescent="0.5">
      <c r="D630" s="3" t="s">
        <v>49</v>
      </c>
    </row>
    <row r="631" spans="4:4" ht="17.649999999999999" x14ac:dyDescent="0.5">
      <c r="D631" s="3" t="s">
        <v>60</v>
      </c>
    </row>
    <row r="632" spans="4:4" ht="17.649999999999999" x14ac:dyDescent="0.5">
      <c r="D632" s="3" t="s">
        <v>91</v>
      </c>
    </row>
    <row r="633" spans="4:4" ht="17.649999999999999" x14ac:dyDescent="0.5">
      <c r="D633" s="3" t="s">
        <v>44</v>
      </c>
    </row>
    <row r="634" spans="4:4" ht="17.649999999999999" x14ac:dyDescent="0.5">
      <c r="D634" s="3" t="s">
        <v>48</v>
      </c>
    </row>
    <row r="635" spans="4:4" ht="17.649999999999999" x14ac:dyDescent="0.5">
      <c r="D635" s="3" t="s">
        <v>53</v>
      </c>
    </row>
    <row r="636" spans="4:4" ht="17.649999999999999" x14ac:dyDescent="0.5">
      <c r="D636" s="3" t="s">
        <v>80</v>
      </c>
    </row>
    <row r="637" spans="4:4" ht="17.649999999999999" x14ac:dyDescent="0.5">
      <c r="D637" s="3" t="s">
        <v>52</v>
      </c>
    </row>
    <row r="638" spans="4:4" ht="17.649999999999999" x14ac:dyDescent="0.5">
      <c r="D638" s="3" t="s">
        <v>94</v>
      </c>
    </row>
    <row r="639" spans="4:4" ht="17.649999999999999" x14ac:dyDescent="0.5">
      <c r="D639" s="3" t="s">
        <v>124</v>
      </c>
    </row>
    <row r="640" spans="4:4" ht="17.649999999999999" x14ac:dyDescent="0.5">
      <c r="D640" s="3" t="s">
        <v>99</v>
      </c>
    </row>
    <row r="641" spans="4:4" ht="17.649999999999999" x14ac:dyDescent="0.5">
      <c r="D641" s="3" t="s">
        <v>105</v>
      </c>
    </row>
    <row r="642" spans="4:4" ht="17.649999999999999" x14ac:dyDescent="0.5">
      <c r="D642" s="3" t="s">
        <v>116</v>
      </c>
    </row>
    <row r="643" spans="4:4" ht="17.649999999999999" x14ac:dyDescent="0.5">
      <c r="D643" s="3" t="s">
        <v>113</v>
      </c>
    </row>
    <row r="644" spans="4:4" ht="17.649999999999999" x14ac:dyDescent="0.5">
      <c r="D644" s="3" t="s">
        <v>54</v>
      </c>
    </row>
    <row r="645" spans="4:4" ht="17.649999999999999" x14ac:dyDescent="0.5">
      <c r="D645" s="3" t="s">
        <v>90</v>
      </c>
    </row>
    <row r="646" spans="4:4" ht="17.649999999999999" x14ac:dyDescent="0.5">
      <c r="D646" s="3" t="s">
        <v>98</v>
      </c>
    </row>
    <row r="647" spans="4:4" ht="17.649999999999999" x14ac:dyDescent="0.5">
      <c r="D647" s="3" t="s">
        <v>48</v>
      </c>
    </row>
    <row r="648" spans="4:4" ht="17.649999999999999" x14ac:dyDescent="0.5">
      <c r="D648" s="3" t="s">
        <v>52</v>
      </c>
    </row>
    <row r="649" spans="4:4" ht="17.649999999999999" x14ac:dyDescent="0.5">
      <c r="D649" s="3" t="s">
        <v>73</v>
      </c>
    </row>
    <row r="650" spans="4:4" ht="17.649999999999999" x14ac:dyDescent="0.5">
      <c r="D650" s="3" t="s">
        <v>83</v>
      </c>
    </row>
    <row r="651" spans="4:4" ht="17.649999999999999" x14ac:dyDescent="0.5">
      <c r="D651" s="3" t="s">
        <v>56</v>
      </c>
    </row>
    <row r="652" spans="4:4" ht="17.649999999999999" x14ac:dyDescent="0.5">
      <c r="D652" s="3" t="s">
        <v>55</v>
      </c>
    </row>
    <row r="653" spans="4:4" ht="17.649999999999999" x14ac:dyDescent="0.5">
      <c r="D653" s="3" t="s">
        <v>131</v>
      </c>
    </row>
    <row r="654" spans="4:4" ht="17.649999999999999" x14ac:dyDescent="0.5">
      <c r="D654" s="3" t="s">
        <v>65</v>
      </c>
    </row>
    <row r="655" spans="4:4" ht="17.649999999999999" x14ac:dyDescent="0.5">
      <c r="D655" s="3" t="s">
        <v>55</v>
      </c>
    </row>
    <row r="656" spans="4:4" ht="17.649999999999999" x14ac:dyDescent="0.5">
      <c r="D656" s="3" t="s">
        <v>103</v>
      </c>
    </row>
    <row r="657" spans="4:4" ht="17.649999999999999" x14ac:dyDescent="0.5">
      <c r="D657" s="3" t="s">
        <v>74</v>
      </c>
    </row>
    <row r="658" spans="4:4" ht="17.649999999999999" x14ac:dyDescent="0.5">
      <c r="D658" s="3" t="s">
        <v>111</v>
      </c>
    </row>
    <row r="659" spans="4:4" ht="17.649999999999999" x14ac:dyDescent="0.5">
      <c r="D659" s="3" t="s">
        <v>46</v>
      </c>
    </row>
    <row r="660" spans="4:4" ht="17.649999999999999" x14ac:dyDescent="0.5">
      <c r="D660" s="3" t="s">
        <v>81</v>
      </c>
    </row>
    <row r="661" spans="4:4" ht="17.649999999999999" x14ac:dyDescent="0.5">
      <c r="D661" s="3" t="s">
        <v>121</v>
      </c>
    </row>
    <row r="662" spans="4:4" ht="17.649999999999999" x14ac:dyDescent="0.5">
      <c r="D662" s="3" t="s">
        <v>96</v>
      </c>
    </row>
    <row r="663" spans="4:4" ht="17.649999999999999" x14ac:dyDescent="0.5">
      <c r="D663" s="3" t="s">
        <v>43</v>
      </c>
    </row>
    <row r="664" spans="4:4" ht="17.649999999999999" x14ac:dyDescent="0.5">
      <c r="D664" s="3" t="s">
        <v>92</v>
      </c>
    </row>
    <row r="665" spans="4:4" ht="17.649999999999999" x14ac:dyDescent="0.5">
      <c r="D665" s="3" t="s">
        <v>66</v>
      </c>
    </row>
    <row r="666" spans="4:4" ht="17.649999999999999" x14ac:dyDescent="0.5">
      <c r="D666" s="3" t="s">
        <v>41</v>
      </c>
    </row>
    <row r="667" spans="4:4" ht="17.649999999999999" x14ac:dyDescent="0.5">
      <c r="D667" s="3" t="s">
        <v>84</v>
      </c>
    </row>
    <row r="668" spans="4:4" ht="17.649999999999999" x14ac:dyDescent="0.5">
      <c r="D668" s="3" t="s">
        <v>83</v>
      </c>
    </row>
    <row r="669" spans="4:4" ht="17.649999999999999" x14ac:dyDescent="0.5">
      <c r="D669" s="3" t="s">
        <v>52</v>
      </c>
    </row>
    <row r="670" spans="4:4" ht="17.649999999999999" x14ac:dyDescent="0.5">
      <c r="D670" s="3" t="s">
        <v>52</v>
      </c>
    </row>
    <row r="671" spans="4:4" ht="17.649999999999999" x14ac:dyDescent="0.5">
      <c r="D671" s="3" t="s">
        <v>60</v>
      </c>
    </row>
    <row r="672" spans="4:4" ht="17.649999999999999" x14ac:dyDescent="0.5">
      <c r="D672" s="3" t="s">
        <v>83</v>
      </c>
    </row>
    <row r="673" spans="4:4" ht="17.649999999999999" x14ac:dyDescent="0.5">
      <c r="D673" s="3" t="s">
        <v>57</v>
      </c>
    </row>
    <row r="674" spans="4:4" ht="17.649999999999999" x14ac:dyDescent="0.5">
      <c r="D674" s="3" t="s">
        <v>66</v>
      </c>
    </row>
    <row r="675" spans="4:4" ht="17.649999999999999" x14ac:dyDescent="0.5">
      <c r="D675" s="3" t="s">
        <v>51</v>
      </c>
    </row>
    <row r="676" spans="4:4" ht="17.649999999999999" x14ac:dyDescent="0.5">
      <c r="D676" s="3" t="s">
        <v>98</v>
      </c>
    </row>
    <row r="677" spans="4:4" ht="17.649999999999999" x14ac:dyDescent="0.5">
      <c r="D677" s="3" t="s">
        <v>90</v>
      </c>
    </row>
    <row r="678" spans="4:4" ht="17.649999999999999" x14ac:dyDescent="0.5">
      <c r="D678" s="3" t="s">
        <v>57</v>
      </c>
    </row>
    <row r="679" spans="4:4" ht="17.649999999999999" x14ac:dyDescent="0.5">
      <c r="D679" s="3" t="s">
        <v>78</v>
      </c>
    </row>
    <row r="680" spans="4:4" ht="17.649999999999999" x14ac:dyDescent="0.5">
      <c r="D680" s="3" t="s">
        <v>75</v>
      </c>
    </row>
    <row r="681" spans="4:4" ht="17.649999999999999" x14ac:dyDescent="0.5">
      <c r="D681" s="3" t="s">
        <v>83</v>
      </c>
    </row>
    <row r="682" spans="4:4" ht="17.649999999999999" x14ac:dyDescent="0.5">
      <c r="D682" s="3" t="s">
        <v>94</v>
      </c>
    </row>
    <row r="683" spans="4:4" ht="17.649999999999999" x14ac:dyDescent="0.5">
      <c r="D683" s="3" t="s">
        <v>112</v>
      </c>
    </row>
    <row r="684" spans="4:4" ht="17.649999999999999" x14ac:dyDescent="0.5">
      <c r="D684" s="3" t="s">
        <v>107</v>
      </c>
    </row>
    <row r="685" spans="4:4" ht="17.649999999999999" x14ac:dyDescent="0.5">
      <c r="D685" s="3" t="s">
        <v>89</v>
      </c>
    </row>
    <row r="686" spans="4:4" ht="17.649999999999999" x14ac:dyDescent="0.5">
      <c r="D686" s="3" t="s">
        <v>84</v>
      </c>
    </row>
    <row r="687" spans="4:4" ht="17.649999999999999" x14ac:dyDescent="0.5">
      <c r="D687" s="3" t="s">
        <v>74</v>
      </c>
    </row>
    <row r="688" spans="4:4" ht="17.649999999999999" x14ac:dyDescent="0.5">
      <c r="D688" s="3" t="s">
        <v>115</v>
      </c>
    </row>
    <row r="689" spans="4:4" ht="17.649999999999999" x14ac:dyDescent="0.5">
      <c r="D689" s="3" t="s">
        <v>88</v>
      </c>
    </row>
    <row r="690" spans="4:4" ht="17.649999999999999" x14ac:dyDescent="0.5">
      <c r="D690" s="3" t="s">
        <v>103</v>
      </c>
    </row>
    <row r="691" spans="4:4" ht="17.649999999999999" x14ac:dyDescent="0.5">
      <c r="D691" s="3" t="s">
        <v>49</v>
      </c>
    </row>
    <row r="692" spans="4:4" ht="17.649999999999999" x14ac:dyDescent="0.5">
      <c r="D692" s="3" t="s">
        <v>86</v>
      </c>
    </row>
    <row r="693" spans="4:4" ht="17.649999999999999" x14ac:dyDescent="0.5">
      <c r="D693" s="3" t="s">
        <v>49</v>
      </c>
    </row>
    <row r="694" spans="4:4" ht="17.649999999999999" x14ac:dyDescent="0.5">
      <c r="D694" s="3" t="s">
        <v>41</v>
      </c>
    </row>
    <row r="695" spans="4:4" ht="17.649999999999999" x14ac:dyDescent="0.5">
      <c r="D695" s="3" t="s">
        <v>82</v>
      </c>
    </row>
    <row r="696" spans="4:4" ht="17.649999999999999" x14ac:dyDescent="0.5">
      <c r="D696" s="3" t="s">
        <v>91</v>
      </c>
    </row>
    <row r="697" spans="4:4" ht="17.649999999999999" x14ac:dyDescent="0.5">
      <c r="D697" s="3" t="s">
        <v>135</v>
      </c>
    </row>
    <row r="698" spans="4:4" ht="17.649999999999999" x14ac:dyDescent="0.5">
      <c r="D698" s="3" t="s">
        <v>73</v>
      </c>
    </row>
    <row r="699" spans="4:4" ht="17.649999999999999" x14ac:dyDescent="0.5">
      <c r="D699" s="3" t="s">
        <v>53</v>
      </c>
    </row>
    <row r="700" spans="4:4" ht="17.649999999999999" x14ac:dyDescent="0.5">
      <c r="D700" s="3" t="s">
        <v>126</v>
      </c>
    </row>
    <row r="701" spans="4:4" ht="17.649999999999999" x14ac:dyDescent="0.5">
      <c r="D701" s="3" t="s">
        <v>105</v>
      </c>
    </row>
    <row r="702" spans="4:4" ht="17.649999999999999" x14ac:dyDescent="0.5">
      <c r="D702" s="3" t="s">
        <v>50</v>
      </c>
    </row>
    <row r="703" spans="4:4" ht="17.649999999999999" x14ac:dyDescent="0.5">
      <c r="D703" s="3" t="s">
        <v>66</v>
      </c>
    </row>
    <row r="704" spans="4:4" ht="17.649999999999999" x14ac:dyDescent="0.5">
      <c r="D704" s="3" t="s">
        <v>87</v>
      </c>
    </row>
    <row r="705" spans="4:4" ht="17.649999999999999" x14ac:dyDescent="0.5">
      <c r="D705" s="3" t="s">
        <v>132</v>
      </c>
    </row>
    <row r="706" spans="4:4" ht="17.649999999999999" x14ac:dyDescent="0.5">
      <c r="D706" s="3" t="s">
        <v>43</v>
      </c>
    </row>
    <row r="707" spans="4:4" ht="17.649999999999999" x14ac:dyDescent="0.5">
      <c r="D707" s="3" t="s">
        <v>53</v>
      </c>
    </row>
    <row r="708" spans="4:4" ht="17.649999999999999" x14ac:dyDescent="0.5">
      <c r="D708" s="3" t="s">
        <v>73</v>
      </c>
    </row>
    <row r="709" spans="4:4" ht="17.649999999999999" x14ac:dyDescent="0.5">
      <c r="D709" s="3" t="s">
        <v>83</v>
      </c>
    </row>
    <row r="710" spans="4:4" ht="17.649999999999999" x14ac:dyDescent="0.5">
      <c r="D710" s="3" t="s">
        <v>64</v>
      </c>
    </row>
    <row r="711" spans="4:4" ht="17.649999999999999" x14ac:dyDescent="0.5">
      <c r="D711" s="3" t="s">
        <v>74</v>
      </c>
    </row>
    <row r="712" spans="4:4" ht="17.649999999999999" x14ac:dyDescent="0.5">
      <c r="D712" s="3" t="s">
        <v>115</v>
      </c>
    </row>
    <row r="713" spans="4:4" ht="17.649999999999999" x14ac:dyDescent="0.5">
      <c r="D713" s="3" t="s">
        <v>59</v>
      </c>
    </row>
    <row r="714" spans="4:4" ht="17.649999999999999" x14ac:dyDescent="0.5">
      <c r="D714" s="3" t="s">
        <v>85</v>
      </c>
    </row>
    <row r="715" spans="4:4" ht="17.649999999999999" x14ac:dyDescent="0.5">
      <c r="D715" s="3" t="s">
        <v>46</v>
      </c>
    </row>
    <row r="716" spans="4:4" ht="17.649999999999999" x14ac:dyDescent="0.5">
      <c r="D716" s="3" t="s">
        <v>134</v>
      </c>
    </row>
    <row r="717" spans="4:4" ht="17.649999999999999" x14ac:dyDescent="0.5">
      <c r="D717" s="3" t="s">
        <v>84</v>
      </c>
    </row>
    <row r="718" spans="4:4" ht="17.649999999999999" x14ac:dyDescent="0.5">
      <c r="D718" s="3" t="s">
        <v>55</v>
      </c>
    </row>
    <row r="719" spans="4:4" ht="17.649999999999999" x14ac:dyDescent="0.5">
      <c r="D719" s="3" t="s">
        <v>66</v>
      </c>
    </row>
    <row r="720" spans="4:4" ht="17.649999999999999" x14ac:dyDescent="0.5">
      <c r="D720" s="3" t="s">
        <v>89</v>
      </c>
    </row>
    <row r="721" spans="4:4" ht="17.649999999999999" x14ac:dyDescent="0.5">
      <c r="D721" s="3" t="s">
        <v>88</v>
      </c>
    </row>
    <row r="722" spans="4:4" ht="17.649999999999999" x14ac:dyDescent="0.5">
      <c r="D722" s="3" t="s">
        <v>80</v>
      </c>
    </row>
    <row r="723" spans="4:4" ht="17.649999999999999" x14ac:dyDescent="0.5">
      <c r="D723" s="3" t="s">
        <v>65</v>
      </c>
    </row>
    <row r="724" spans="4:4" ht="17.649999999999999" x14ac:dyDescent="0.5">
      <c r="D724" s="3" t="s">
        <v>91</v>
      </c>
    </row>
    <row r="725" spans="4:4" ht="17.649999999999999" x14ac:dyDescent="0.5">
      <c r="D725" s="3" t="s">
        <v>94</v>
      </c>
    </row>
    <row r="726" spans="4:4" ht="17.649999999999999" x14ac:dyDescent="0.5">
      <c r="D726" s="3" t="s">
        <v>49</v>
      </c>
    </row>
    <row r="727" spans="4:4" ht="17.649999999999999" x14ac:dyDescent="0.5">
      <c r="D727" s="3" t="s">
        <v>83</v>
      </c>
    </row>
    <row r="728" spans="4:4" ht="17.649999999999999" x14ac:dyDescent="0.5">
      <c r="D728" s="3" t="s">
        <v>101</v>
      </c>
    </row>
    <row r="729" spans="4:4" ht="17.649999999999999" x14ac:dyDescent="0.5">
      <c r="D729" s="3" t="s">
        <v>81</v>
      </c>
    </row>
    <row r="730" spans="4:4" ht="17.649999999999999" x14ac:dyDescent="0.5">
      <c r="D730" s="3" t="s">
        <v>69</v>
      </c>
    </row>
    <row r="731" spans="4:4" ht="17.649999999999999" x14ac:dyDescent="0.5">
      <c r="D731" s="3" t="s">
        <v>90</v>
      </c>
    </row>
    <row r="732" spans="4:4" ht="17.649999999999999" x14ac:dyDescent="0.5">
      <c r="D732" s="3" t="s">
        <v>85</v>
      </c>
    </row>
    <row r="733" spans="4:4" ht="17.649999999999999" x14ac:dyDescent="0.5">
      <c r="D733" s="3" t="s">
        <v>64</v>
      </c>
    </row>
    <row r="734" spans="4:4" ht="17.649999999999999" x14ac:dyDescent="0.5">
      <c r="D734" s="3" t="s">
        <v>109</v>
      </c>
    </row>
    <row r="735" spans="4:4" ht="17.649999999999999" x14ac:dyDescent="0.5">
      <c r="D735" s="3" t="s">
        <v>83</v>
      </c>
    </row>
    <row r="736" spans="4:4" ht="17.649999999999999" x14ac:dyDescent="0.5">
      <c r="D736" s="3" t="s">
        <v>50</v>
      </c>
    </row>
    <row r="737" spans="4:4" ht="17.649999999999999" x14ac:dyDescent="0.5">
      <c r="D737" s="3" t="s">
        <v>92</v>
      </c>
    </row>
    <row r="738" spans="4:4" ht="17.649999999999999" x14ac:dyDescent="0.5">
      <c r="D738" s="3" t="s">
        <v>66</v>
      </c>
    </row>
    <row r="739" spans="4:4" ht="17.649999999999999" x14ac:dyDescent="0.5">
      <c r="D739" s="3" t="s">
        <v>89</v>
      </c>
    </row>
    <row r="740" spans="4:4" ht="17.649999999999999" x14ac:dyDescent="0.5">
      <c r="D740" s="3" t="s">
        <v>120</v>
      </c>
    </row>
    <row r="741" spans="4:4" ht="17.649999999999999" x14ac:dyDescent="0.5">
      <c r="D741" s="3" t="s">
        <v>48</v>
      </c>
    </row>
    <row r="742" spans="4:4" ht="17.649999999999999" x14ac:dyDescent="0.5">
      <c r="D742" s="3" t="s">
        <v>98</v>
      </c>
    </row>
    <row r="743" spans="4:4" ht="17.649999999999999" x14ac:dyDescent="0.5">
      <c r="D743" s="3" t="s">
        <v>83</v>
      </c>
    </row>
    <row r="744" spans="4:4" ht="17.649999999999999" x14ac:dyDescent="0.5">
      <c r="D744" s="3" t="s">
        <v>77</v>
      </c>
    </row>
    <row r="745" spans="4:4" ht="17.649999999999999" x14ac:dyDescent="0.5">
      <c r="D745" s="3" t="s">
        <v>114</v>
      </c>
    </row>
    <row r="746" spans="4:4" ht="17.649999999999999" x14ac:dyDescent="0.5">
      <c r="D746" s="3" t="s">
        <v>115</v>
      </c>
    </row>
    <row r="747" spans="4:4" ht="17.649999999999999" x14ac:dyDescent="0.5">
      <c r="D747" s="3" t="s">
        <v>41</v>
      </c>
    </row>
    <row r="748" spans="4:4" ht="17.649999999999999" x14ac:dyDescent="0.5">
      <c r="D748" s="3" t="s">
        <v>77</v>
      </c>
    </row>
    <row r="749" spans="4:4" ht="17.649999999999999" x14ac:dyDescent="0.5">
      <c r="D749" s="3" t="s">
        <v>59</v>
      </c>
    </row>
    <row r="750" spans="4:4" ht="17.649999999999999" x14ac:dyDescent="0.5">
      <c r="D750" s="3" t="s">
        <v>89</v>
      </c>
    </row>
    <row r="751" spans="4:4" ht="17.649999999999999" x14ac:dyDescent="0.5">
      <c r="D751" s="3" t="s">
        <v>65</v>
      </c>
    </row>
    <row r="752" spans="4:4" ht="17.649999999999999" x14ac:dyDescent="0.5">
      <c r="D752" s="3" t="s">
        <v>57</v>
      </c>
    </row>
    <row r="753" spans="4:4" ht="17.649999999999999" x14ac:dyDescent="0.5">
      <c r="D753" s="3" t="s">
        <v>98</v>
      </c>
    </row>
    <row r="754" spans="4:4" ht="17.649999999999999" x14ac:dyDescent="0.5">
      <c r="D754" s="3" t="s">
        <v>60</v>
      </c>
    </row>
    <row r="755" spans="4:4" ht="17.649999999999999" x14ac:dyDescent="0.5">
      <c r="D755" s="3" t="s">
        <v>61</v>
      </c>
    </row>
    <row r="756" spans="4:4" ht="17.649999999999999" x14ac:dyDescent="0.5">
      <c r="D756" s="3" t="s">
        <v>115</v>
      </c>
    </row>
    <row r="757" spans="4:4" ht="17.649999999999999" x14ac:dyDescent="0.5">
      <c r="D757" s="3" t="s">
        <v>43</v>
      </c>
    </row>
    <row r="758" spans="4:4" ht="17.649999999999999" x14ac:dyDescent="0.5">
      <c r="D758" s="3" t="s">
        <v>52</v>
      </c>
    </row>
    <row r="759" spans="4:4" ht="17.649999999999999" x14ac:dyDescent="0.5">
      <c r="D759" s="3" t="s">
        <v>68</v>
      </c>
    </row>
    <row r="760" spans="4:4" ht="17.649999999999999" x14ac:dyDescent="0.5">
      <c r="D760" s="3" t="s">
        <v>81</v>
      </c>
    </row>
    <row r="761" spans="4:4" ht="17.649999999999999" x14ac:dyDescent="0.5">
      <c r="D761" s="3" t="s">
        <v>67</v>
      </c>
    </row>
    <row r="762" spans="4:4" ht="17.649999999999999" x14ac:dyDescent="0.5">
      <c r="D762" s="3" t="s">
        <v>109</v>
      </c>
    </row>
    <row r="763" spans="4:4" ht="17.649999999999999" x14ac:dyDescent="0.5">
      <c r="D763" s="3" t="s">
        <v>105</v>
      </c>
    </row>
    <row r="764" spans="4:4" ht="17.649999999999999" x14ac:dyDescent="0.5">
      <c r="D764" s="3" t="s">
        <v>77</v>
      </c>
    </row>
    <row r="765" spans="4:4" ht="17.649999999999999" x14ac:dyDescent="0.5">
      <c r="D765" s="3" t="s">
        <v>90</v>
      </c>
    </row>
    <row r="766" spans="4:4" ht="17.649999999999999" x14ac:dyDescent="0.5">
      <c r="D766" s="3" t="s">
        <v>57</v>
      </c>
    </row>
    <row r="767" spans="4:4" ht="17.649999999999999" x14ac:dyDescent="0.5">
      <c r="D767" s="3" t="s">
        <v>112</v>
      </c>
    </row>
    <row r="768" spans="4:4" ht="17.649999999999999" x14ac:dyDescent="0.5">
      <c r="D768" s="3" t="s">
        <v>124</v>
      </c>
    </row>
    <row r="769" spans="4:4" ht="17.649999999999999" x14ac:dyDescent="0.5">
      <c r="D769" s="3" t="s">
        <v>117</v>
      </c>
    </row>
    <row r="770" spans="4:4" ht="17.649999999999999" x14ac:dyDescent="0.5">
      <c r="D770" s="3" t="s">
        <v>53</v>
      </c>
    </row>
    <row r="771" spans="4:4" ht="17.649999999999999" x14ac:dyDescent="0.5">
      <c r="D771" s="3" t="s">
        <v>83</v>
      </c>
    </row>
    <row r="772" spans="4:4" ht="17.649999999999999" x14ac:dyDescent="0.5">
      <c r="D772" s="3" t="s">
        <v>54</v>
      </c>
    </row>
    <row r="773" spans="4:4" ht="17.649999999999999" x14ac:dyDescent="0.5">
      <c r="D773" s="3" t="s">
        <v>59</v>
      </c>
    </row>
    <row r="774" spans="4:4" ht="17.649999999999999" x14ac:dyDescent="0.5">
      <c r="D774" s="3" t="s">
        <v>71</v>
      </c>
    </row>
    <row r="775" spans="4:4" ht="17.649999999999999" x14ac:dyDescent="0.5">
      <c r="D775" s="3" t="s">
        <v>68</v>
      </c>
    </row>
    <row r="776" spans="4:4" ht="17.649999999999999" x14ac:dyDescent="0.5">
      <c r="D776" s="3" t="s">
        <v>103</v>
      </c>
    </row>
    <row r="777" spans="4:4" ht="17.649999999999999" x14ac:dyDescent="0.5">
      <c r="D777" s="3" t="s">
        <v>65</v>
      </c>
    </row>
    <row r="778" spans="4:4" ht="17.649999999999999" x14ac:dyDescent="0.5">
      <c r="D778" s="3" t="s">
        <v>119</v>
      </c>
    </row>
    <row r="779" spans="4:4" ht="17.649999999999999" x14ac:dyDescent="0.5">
      <c r="D779" s="3" t="s">
        <v>73</v>
      </c>
    </row>
    <row r="780" spans="4:4" ht="17.649999999999999" x14ac:dyDescent="0.5">
      <c r="D780" s="3" t="s">
        <v>69</v>
      </c>
    </row>
    <row r="781" spans="4:4" ht="17.649999999999999" x14ac:dyDescent="0.5">
      <c r="D781" s="3" t="s">
        <v>96</v>
      </c>
    </row>
    <row r="782" spans="4:4" ht="17.649999999999999" x14ac:dyDescent="0.5">
      <c r="D782" s="3" t="s">
        <v>46</v>
      </c>
    </row>
    <row r="783" spans="4:4" ht="17.649999999999999" x14ac:dyDescent="0.5">
      <c r="D783" s="3" t="s">
        <v>64</v>
      </c>
    </row>
    <row r="784" spans="4:4" ht="17.649999999999999" x14ac:dyDescent="0.5">
      <c r="D784" s="3" t="s">
        <v>94</v>
      </c>
    </row>
    <row r="785" spans="4:4" ht="17.649999999999999" x14ac:dyDescent="0.5">
      <c r="D785" s="3" t="s">
        <v>56</v>
      </c>
    </row>
    <row r="786" spans="4:4" ht="17.649999999999999" x14ac:dyDescent="0.5">
      <c r="D786" s="3" t="s">
        <v>91</v>
      </c>
    </row>
    <row r="787" spans="4:4" ht="17.649999999999999" x14ac:dyDescent="0.5">
      <c r="D787" s="3" t="s">
        <v>49</v>
      </c>
    </row>
    <row r="788" spans="4:4" ht="17.649999999999999" x14ac:dyDescent="0.5">
      <c r="D788" s="3" t="s">
        <v>73</v>
      </c>
    </row>
    <row r="789" spans="4:4" ht="17.649999999999999" x14ac:dyDescent="0.5">
      <c r="D789" s="3" t="s">
        <v>112</v>
      </c>
    </row>
    <row r="790" spans="4:4" ht="17.649999999999999" x14ac:dyDescent="0.5">
      <c r="D790" s="3" t="s">
        <v>48</v>
      </c>
    </row>
    <row r="791" spans="4:4" ht="17.649999999999999" x14ac:dyDescent="0.5">
      <c r="D791" s="3" t="s">
        <v>57</v>
      </c>
    </row>
    <row r="792" spans="4:4" ht="17.649999999999999" x14ac:dyDescent="0.5">
      <c r="D792" s="3" t="s">
        <v>92</v>
      </c>
    </row>
    <row r="793" spans="4:4" ht="17.649999999999999" x14ac:dyDescent="0.5">
      <c r="D793" s="3" t="s">
        <v>80</v>
      </c>
    </row>
    <row r="794" spans="4:4" ht="17.649999999999999" x14ac:dyDescent="0.5">
      <c r="D794" s="3" t="s">
        <v>66</v>
      </c>
    </row>
    <row r="795" spans="4:4" ht="17.649999999999999" x14ac:dyDescent="0.5">
      <c r="D795" s="3" t="s">
        <v>98</v>
      </c>
    </row>
    <row r="796" spans="4:4" ht="17.649999999999999" x14ac:dyDescent="0.5">
      <c r="D796" s="3" t="s">
        <v>44</v>
      </c>
    </row>
    <row r="797" spans="4:4" ht="17.649999999999999" x14ac:dyDescent="0.5">
      <c r="D797" s="3" t="s">
        <v>114</v>
      </c>
    </row>
    <row r="798" spans="4:4" ht="17.649999999999999" x14ac:dyDescent="0.5">
      <c r="D798" s="3" t="s">
        <v>79</v>
      </c>
    </row>
    <row r="799" spans="4:4" ht="17.649999999999999" x14ac:dyDescent="0.5">
      <c r="D799" s="3" t="s">
        <v>41</v>
      </c>
    </row>
    <row r="800" spans="4:4" ht="17.649999999999999" x14ac:dyDescent="0.5">
      <c r="D800" s="3" t="s">
        <v>53</v>
      </c>
    </row>
    <row r="801" spans="4:4" ht="17.649999999999999" x14ac:dyDescent="0.5">
      <c r="D801" s="3" t="s">
        <v>45</v>
      </c>
    </row>
    <row r="802" spans="4:4" ht="17.649999999999999" x14ac:dyDescent="0.5">
      <c r="D802" s="3" t="s">
        <v>128</v>
      </c>
    </row>
    <row r="803" spans="4:4" ht="17.649999999999999" x14ac:dyDescent="0.5">
      <c r="D803" s="3" t="s">
        <v>118</v>
      </c>
    </row>
    <row r="804" spans="4:4" ht="17.649999999999999" x14ac:dyDescent="0.5">
      <c r="D804" s="3" t="s">
        <v>61</v>
      </c>
    </row>
    <row r="805" spans="4:4" ht="17.649999999999999" x14ac:dyDescent="0.5">
      <c r="D805" s="3" t="s">
        <v>95</v>
      </c>
    </row>
    <row r="806" spans="4:4" ht="17.649999999999999" x14ac:dyDescent="0.5">
      <c r="D806" s="3" t="s">
        <v>75</v>
      </c>
    </row>
    <row r="807" spans="4:4" ht="17.649999999999999" x14ac:dyDescent="0.5">
      <c r="D807" s="3" t="s">
        <v>92</v>
      </c>
    </row>
    <row r="808" spans="4:4" ht="17.649999999999999" x14ac:dyDescent="0.5">
      <c r="D808" s="3" t="s">
        <v>56</v>
      </c>
    </row>
    <row r="809" spans="4:4" ht="17.649999999999999" x14ac:dyDescent="0.5">
      <c r="D809" s="3" t="s">
        <v>63</v>
      </c>
    </row>
    <row r="810" spans="4:4" ht="17.649999999999999" x14ac:dyDescent="0.5">
      <c r="D810" s="3" t="s">
        <v>84</v>
      </c>
    </row>
    <row r="811" spans="4:4" ht="17.649999999999999" x14ac:dyDescent="0.5">
      <c r="D811" s="3" t="s">
        <v>92</v>
      </c>
    </row>
    <row r="812" spans="4:4" ht="17.649999999999999" x14ac:dyDescent="0.5">
      <c r="D812" s="3" t="s">
        <v>106</v>
      </c>
    </row>
    <row r="813" spans="4:4" ht="17.649999999999999" x14ac:dyDescent="0.5">
      <c r="D813" s="3" t="s">
        <v>87</v>
      </c>
    </row>
    <row r="814" spans="4:4" ht="17.649999999999999" x14ac:dyDescent="0.5">
      <c r="D814" s="3" t="s">
        <v>66</v>
      </c>
    </row>
    <row r="815" spans="4:4" ht="17.649999999999999" x14ac:dyDescent="0.5">
      <c r="D815" s="3" t="s">
        <v>73</v>
      </c>
    </row>
    <row r="816" spans="4:4" ht="17.649999999999999" x14ac:dyDescent="0.5">
      <c r="D816" s="3" t="s">
        <v>94</v>
      </c>
    </row>
    <row r="817" spans="4:4" ht="17.649999999999999" x14ac:dyDescent="0.5">
      <c r="D817" s="3" t="s">
        <v>77</v>
      </c>
    </row>
    <row r="818" spans="4:4" ht="17.649999999999999" x14ac:dyDescent="0.5">
      <c r="D818" s="3" t="s">
        <v>54</v>
      </c>
    </row>
    <row r="819" spans="4:4" ht="17.649999999999999" x14ac:dyDescent="0.5">
      <c r="D819" s="3" t="s">
        <v>101</v>
      </c>
    </row>
    <row r="820" spans="4:4" ht="17.649999999999999" x14ac:dyDescent="0.5">
      <c r="D820" s="3" t="s">
        <v>50</v>
      </c>
    </row>
    <row r="821" spans="4:4" ht="17.649999999999999" x14ac:dyDescent="0.5">
      <c r="D821" s="3" t="s">
        <v>107</v>
      </c>
    </row>
    <row r="822" spans="4:4" ht="17.649999999999999" x14ac:dyDescent="0.5">
      <c r="D822" s="3" t="s">
        <v>62</v>
      </c>
    </row>
    <row r="823" spans="4:4" ht="17.649999999999999" x14ac:dyDescent="0.5">
      <c r="D823" s="3" t="s">
        <v>108</v>
      </c>
    </row>
    <row r="824" spans="4:4" ht="17.649999999999999" x14ac:dyDescent="0.5">
      <c r="D824" s="3" t="s">
        <v>46</v>
      </c>
    </row>
    <row r="825" spans="4:4" ht="17.649999999999999" x14ac:dyDescent="0.5">
      <c r="D825" s="3" t="s">
        <v>42</v>
      </c>
    </row>
    <row r="826" spans="4:4" ht="17.649999999999999" x14ac:dyDescent="0.5">
      <c r="D826" s="3" t="s">
        <v>43</v>
      </c>
    </row>
    <row r="827" spans="4:4" ht="17.649999999999999" x14ac:dyDescent="0.5">
      <c r="D827" s="3" t="s">
        <v>55</v>
      </c>
    </row>
    <row r="828" spans="4:4" ht="17.649999999999999" x14ac:dyDescent="0.5">
      <c r="D828" s="3" t="s">
        <v>101</v>
      </c>
    </row>
    <row r="829" spans="4:4" ht="17.649999999999999" x14ac:dyDescent="0.5">
      <c r="D829" s="3" t="s">
        <v>87</v>
      </c>
    </row>
    <row r="830" spans="4:4" ht="17.649999999999999" x14ac:dyDescent="0.5">
      <c r="D830" s="3" t="s">
        <v>117</v>
      </c>
    </row>
    <row r="831" spans="4:4" ht="17.649999999999999" x14ac:dyDescent="0.5">
      <c r="D831" s="3" t="s">
        <v>80</v>
      </c>
    </row>
    <row r="832" spans="4:4" ht="17.649999999999999" x14ac:dyDescent="0.5">
      <c r="D832" s="3" t="s">
        <v>62</v>
      </c>
    </row>
    <row r="833" spans="4:4" ht="17.649999999999999" x14ac:dyDescent="0.5">
      <c r="D833" s="3" t="s">
        <v>66</v>
      </c>
    </row>
    <row r="834" spans="4:4" ht="17.649999999999999" x14ac:dyDescent="0.5">
      <c r="D834" s="3" t="s">
        <v>106</v>
      </c>
    </row>
    <row r="835" spans="4:4" ht="17.649999999999999" x14ac:dyDescent="0.5">
      <c r="D835" s="3" t="s">
        <v>88</v>
      </c>
    </row>
    <row r="836" spans="4:4" ht="17.649999999999999" x14ac:dyDescent="0.5">
      <c r="D836" s="3" t="s">
        <v>65</v>
      </c>
    </row>
    <row r="837" spans="4:4" ht="17.649999999999999" x14ac:dyDescent="0.5">
      <c r="D837" s="3" t="s">
        <v>50</v>
      </c>
    </row>
    <row r="838" spans="4:4" ht="17.649999999999999" x14ac:dyDescent="0.5">
      <c r="D838" s="3" t="s">
        <v>124</v>
      </c>
    </row>
    <row r="839" spans="4:4" ht="17.649999999999999" x14ac:dyDescent="0.5">
      <c r="D839" s="3" t="s">
        <v>126</v>
      </c>
    </row>
    <row r="840" spans="4:4" ht="17.649999999999999" x14ac:dyDescent="0.5">
      <c r="D840" s="3" t="s">
        <v>41</v>
      </c>
    </row>
    <row r="841" spans="4:4" ht="17.649999999999999" x14ac:dyDescent="0.5">
      <c r="D841" s="3" t="s">
        <v>83</v>
      </c>
    </row>
    <row r="842" spans="4:4" ht="17.649999999999999" x14ac:dyDescent="0.5">
      <c r="D842" s="3" t="s">
        <v>45</v>
      </c>
    </row>
    <row r="843" spans="4:4" ht="17.649999999999999" x14ac:dyDescent="0.5">
      <c r="D843" s="3" t="s">
        <v>107</v>
      </c>
    </row>
    <row r="844" spans="4:4" ht="17.649999999999999" x14ac:dyDescent="0.5">
      <c r="D844" s="3" t="s">
        <v>117</v>
      </c>
    </row>
    <row r="845" spans="4:4" ht="17.649999999999999" x14ac:dyDescent="0.5">
      <c r="D845" s="3" t="s">
        <v>78</v>
      </c>
    </row>
    <row r="846" spans="4:4" ht="17.649999999999999" x14ac:dyDescent="0.5">
      <c r="D846" s="3" t="s">
        <v>85</v>
      </c>
    </row>
    <row r="847" spans="4:4" ht="17.649999999999999" x14ac:dyDescent="0.5">
      <c r="D847" s="3" t="s">
        <v>98</v>
      </c>
    </row>
    <row r="848" spans="4:4" ht="17.649999999999999" x14ac:dyDescent="0.5">
      <c r="D848" s="3" t="s">
        <v>84</v>
      </c>
    </row>
    <row r="849" spans="4:4" ht="17.649999999999999" x14ac:dyDescent="0.5">
      <c r="D849" s="3" t="s">
        <v>58</v>
      </c>
    </row>
    <row r="850" spans="4:4" ht="17.649999999999999" x14ac:dyDescent="0.5">
      <c r="D850" s="3" t="s">
        <v>59</v>
      </c>
    </row>
    <row r="851" spans="4:4" ht="17.649999999999999" x14ac:dyDescent="0.5">
      <c r="D851" s="3" t="s">
        <v>114</v>
      </c>
    </row>
    <row r="852" spans="4:4" ht="17.649999999999999" x14ac:dyDescent="0.5">
      <c r="D852" s="3" t="s">
        <v>69</v>
      </c>
    </row>
    <row r="853" spans="4:4" ht="17.649999999999999" x14ac:dyDescent="0.5">
      <c r="D853" s="3" t="s">
        <v>53</v>
      </c>
    </row>
    <row r="854" spans="4:4" ht="17.649999999999999" x14ac:dyDescent="0.5">
      <c r="D854" s="3" t="s">
        <v>69</v>
      </c>
    </row>
    <row r="855" spans="4:4" ht="17.649999999999999" x14ac:dyDescent="0.5">
      <c r="D855" s="3" t="s">
        <v>101</v>
      </c>
    </row>
    <row r="856" spans="4:4" ht="17.649999999999999" x14ac:dyDescent="0.5">
      <c r="D856" s="3" t="s">
        <v>59</v>
      </c>
    </row>
    <row r="857" spans="4:4" ht="17.649999999999999" x14ac:dyDescent="0.5">
      <c r="D857" s="3" t="s">
        <v>90</v>
      </c>
    </row>
    <row r="858" spans="4:4" ht="17.649999999999999" x14ac:dyDescent="0.5">
      <c r="D858" s="3" t="s">
        <v>51</v>
      </c>
    </row>
    <row r="859" spans="4:4" ht="17.649999999999999" x14ac:dyDescent="0.5">
      <c r="D859" s="3" t="s">
        <v>99</v>
      </c>
    </row>
    <row r="860" spans="4:4" ht="17.649999999999999" x14ac:dyDescent="0.5">
      <c r="D860" s="3" t="s">
        <v>81</v>
      </c>
    </row>
    <row r="861" spans="4:4" ht="17.649999999999999" x14ac:dyDescent="0.5">
      <c r="D861" s="3" t="s">
        <v>116</v>
      </c>
    </row>
    <row r="862" spans="4:4" ht="17.649999999999999" x14ac:dyDescent="0.5">
      <c r="D862" s="3" t="s">
        <v>117</v>
      </c>
    </row>
    <row r="863" spans="4:4" ht="17.649999999999999" x14ac:dyDescent="0.5">
      <c r="D863" s="3" t="s">
        <v>57</v>
      </c>
    </row>
    <row r="864" spans="4:4" ht="17.649999999999999" x14ac:dyDescent="0.5">
      <c r="D864" s="3" t="s">
        <v>98</v>
      </c>
    </row>
    <row r="865" spans="4:4" ht="17.649999999999999" x14ac:dyDescent="0.5">
      <c r="D865" s="3" t="s">
        <v>108</v>
      </c>
    </row>
    <row r="866" spans="4:4" ht="17.649999999999999" x14ac:dyDescent="0.5">
      <c r="D866" s="3" t="s">
        <v>63</v>
      </c>
    </row>
    <row r="867" spans="4:4" ht="17.649999999999999" x14ac:dyDescent="0.5">
      <c r="D867" s="3" t="s">
        <v>120</v>
      </c>
    </row>
    <row r="868" spans="4:4" ht="17.649999999999999" x14ac:dyDescent="0.5">
      <c r="D868" s="3" t="s">
        <v>81</v>
      </c>
    </row>
    <row r="869" spans="4:4" ht="17.649999999999999" x14ac:dyDescent="0.5">
      <c r="D869" s="3" t="s">
        <v>51</v>
      </c>
    </row>
    <row r="870" spans="4:4" ht="17.649999999999999" x14ac:dyDescent="0.5">
      <c r="D870" s="3" t="s">
        <v>52</v>
      </c>
    </row>
    <row r="871" spans="4:4" ht="17.649999999999999" x14ac:dyDescent="0.5">
      <c r="D871" s="3" t="s">
        <v>51</v>
      </c>
    </row>
    <row r="872" spans="4:4" ht="17.649999999999999" x14ac:dyDescent="0.5">
      <c r="D872" s="3" t="s">
        <v>63</v>
      </c>
    </row>
    <row r="873" spans="4:4" ht="17.649999999999999" x14ac:dyDescent="0.5">
      <c r="D873" s="3" t="s">
        <v>84</v>
      </c>
    </row>
    <row r="874" spans="4:4" ht="17.649999999999999" x14ac:dyDescent="0.5">
      <c r="D874" s="3" t="s">
        <v>47</v>
      </c>
    </row>
    <row r="875" spans="4:4" ht="17.649999999999999" x14ac:dyDescent="0.5">
      <c r="D875" s="3" t="s">
        <v>52</v>
      </c>
    </row>
    <row r="876" spans="4:4" ht="17.649999999999999" x14ac:dyDescent="0.5">
      <c r="D876" s="3" t="s">
        <v>117</v>
      </c>
    </row>
    <row r="877" spans="4:4" ht="17.649999999999999" x14ac:dyDescent="0.5">
      <c r="D877" s="3" t="s">
        <v>108</v>
      </c>
    </row>
    <row r="878" spans="4:4" ht="17.649999999999999" x14ac:dyDescent="0.5">
      <c r="D878" s="3" t="s">
        <v>74</v>
      </c>
    </row>
    <row r="879" spans="4:4" ht="17.649999999999999" x14ac:dyDescent="0.5">
      <c r="D879" s="3" t="s">
        <v>73</v>
      </c>
    </row>
    <row r="880" spans="4:4" ht="17.649999999999999" x14ac:dyDescent="0.5">
      <c r="D880" s="3" t="s">
        <v>48</v>
      </c>
    </row>
    <row r="881" spans="4:4" ht="17.649999999999999" x14ac:dyDescent="0.5">
      <c r="D881" s="3" t="s">
        <v>54</v>
      </c>
    </row>
    <row r="882" spans="4:4" ht="17.649999999999999" x14ac:dyDescent="0.5">
      <c r="D882" s="3" t="s">
        <v>91</v>
      </c>
    </row>
    <row r="883" spans="4:4" ht="17.649999999999999" x14ac:dyDescent="0.5">
      <c r="D883" s="3" t="s">
        <v>63</v>
      </c>
    </row>
    <row r="884" spans="4:4" ht="17.649999999999999" x14ac:dyDescent="0.5">
      <c r="D884" s="3" t="s">
        <v>68</v>
      </c>
    </row>
    <row r="885" spans="4:4" ht="17.649999999999999" x14ac:dyDescent="0.5">
      <c r="D885" s="3" t="s">
        <v>47</v>
      </c>
    </row>
    <row r="886" spans="4:4" ht="17.649999999999999" x14ac:dyDescent="0.5">
      <c r="D886" s="3" t="s">
        <v>115</v>
      </c>
    </row>
    <row r="887" spans="4:4" ht="17.649999999999999" x14ac:dyDescent="0.5">
      <c r="D887" s="3" t="s">
        <v>117</v>
      </c>
    </row>
    <row r="888" spans="4:4" ht="17.649999999999999" x14ac:dyDescent="0.5">
      <c r="D888" s="3" t="s">
        <v>45</v>
      </c>
    </row>
    <row r="889" spans="4:4" ht="17.649999999999999" x14ac:dyDescent="0.5">
      <c r="D889" s="3" t="s">
        <v>43</v>
      </c>
    </row>
    <row r="890" spans="4:4" ht="17.649999999999999" x14ac:dyDescent="0.5">
      <c r="D890" s="3" t="s">
        <v>47</v>
      </c>
    </row>
    <row r="891" spans="4:4" ht="17.649999999999999" x14ac:dyDescent="0.5">
      <c r="D891" s="3" t="s">
        <v>76</v>
      </c>
    </row>
    <row r="892" spans="4:4" ht="17.649999999999999" x14ac:dyDescent="0.5">
      <c r="D892" s="3" t="s">
        <v>112</v>
      </c>
    </row>
    <row r="893" spans="4:4" ht="17.649999999999999" x14ac:dyDescent="0.5">
      <c r="D893" s="3" t="s">
        <v>103</v>
      </c>
    </row>
    <row r="894" spans="4:4" ht="17.649999999999999" x14ac:dyDescent="0.5">
      <c r="D894" s="3" t="s">
        <v>64</v>
      </c>
    </row>
    <row r="895" spans="4:4" ht="17.649999999999999" x14ac:dyDescent="0.5">
      <c r="D895" s="3" t="s">
        <v>112</v>
      </c>
    </row>
    <row r="896" spans="4:4" ht="17.649999999999999" x14ac:dyDescent="0.5">
      <c r="D896" s="3" t="s">
        <v>115</v>
      </c>
    </row>
    <row r="897" spans="4:4" ht="17.649999999999999" x14ac:dyDescent="0.5">
      <c r="D897" s="3" t="s">
        <v>81</v>
      </c>
    </row>
    <row r="898" spans="4:4" ht="17.649999999999999" x14ac:dyDescent="0.5">
      <c r="D898" s="3" t="s">
        <v>113</v>
      </c>
    </row>
    <row r="899" spans="4:4" ht="17.649999999999999" x14ac:dyDescent="0.5">
      <c r="D899" s="3" t="s">
        <v>66</v>
      </c>
    </row>
    <row r="900" spans="4:4" ht="17.649999999999999" x14ac:dyDescent="0.5">
      <c r="D900" s="3" t="s">
        <v>83</v>
      </c>
    </row>
    <row r="901" spans="4:4" ht="17.649999999999999" x14ac:dyDescent="0.5">
      <c r="D901" s="3" t="s">
        <v>133</v>
      </c>
    </row>
    <row r="902" spans="4:4" ht="17.649999999999999" x14ac:dyDescent="0.5">
      <c r="D902" s="3" t="s">
        <v>90</v>
      </c>
    </row>
    <row r="903" spans="4:4" ht="17.649999999999999" x14ac:dyDescent="0.5">
      <c r="D903" s="3" t="s">
        <v>52</v>
      </c>
    </row>
    <row r="904" spans="4:4" ht="17.649999999999999" x14ac:dyDescent="0.5">
      <c r="D904" s="3" t="s">
        <v>61</v>
      </c>
    </row>
    <row r="905" spans="4:4" ht="17.649999999999999" x14ac:dyDescent="0.5">
      <c r="D905" s="3" t="s">
        <v>43</v>
      </c>
    </row>
    <row r="906" spans="4:4" ht="17.649999999999999" x14ac:dyDescent="0.5">
      <c r="D906" s="3" t="s">
        <v>105</v>
      </c>
    </row>
    <row r="907" spans="4:4" ht="17.649999999999999" x14ac:dyDescent="0.5">
      <c r="D907" s="3" t="s">
        <v>92</v>
      </c>
    </row>
    <row r="908" spans="4:4" ht="17.649999999999999" x14ac:dyDescent="0.5">
      <c r="D908" s="3" t="s">
        <v>119</v>
      </c>
    </row>
    <row r="909" spans="4:4" ht="17.649999999999999" x14ac:dyDescent="0.5">
      <c r="D909" s="3" t="s">
        <v>77</v>
      </c>
    </row>
    <row r="910" spans="4:4" ht="17.649999999999999" x14ac:dyDescent="0.5">
      <c r="D910" s="3" t="s">
        <v>72</v>
      </c>
    </row>
    <row r="911" spans="4:4" ht="17.649999999999999" x14ac:dyDescent="0.5">
      <c r="D911" s="3" t="s">
        <v>90</v>
      </c>
    </row>
    <row r="912" spans="4:4" ht="17.649999999999999" x14ac:dyDescent="0.5">
      <c r="D912" s="3" t="s">
        <v>78</v>
      </c>
    </row>
    <row r="913" spans="4:4" ht="17.649999999999999" x14ac:dyDescent="0.5">
      <c r="D913" s="3" t="s">
        <v>56</v>
      </c>
    </row>
    <row r="914" spans="4:4" ht="17.649999999999999" x14ac:dyDescent="0.5">
      <c r="D914" s="3" t="s">
        <v>91</v>
      </c>
    </row>
    <row r="915" spans="4:4" ht="17.649999999999999" x14ac:dyDescent="0.5">
      <c r="D915" s="3" t="s">
        <v>49</v>
      </c>
    </row>
    <row r="916" spans="4:4" ht="17.649999999999999" x14ac:dyDescent="0.5">
      <c r="D916" s="3" t="s">
        <v>58</v>
      </c>
    </row>
    <row r="917" spans="4:4" ht="17.649999999999999" x14ac:dyDescent="0.5">
      <c r="D917" s="3" t="s">
        <v>94</v>
      </c>
    </row>
    <row r="918" spans="4:4" ht="17.649999999999999" x14ac:dyDescent="0.5">
      <c r="D918" s="3" t="s">
        <v>121</v>
      </c>
    </row>
    <row r="919" spans="4:4" ht="17.649999999999999" x14ac:dyDescent="0.5">
      <c r="D919" s="3" t="s">
        <v>69</v>
      </c>
    </row>
    <row r="920" spans="4:4" ht="17.649999999999999" x14ac:dyDescent="0.5">
      <c r="D920" s="3" t="s">
        <v>127</v>
      </c>
    </row>
    <row r="921" spans="4:4" ht="17.649999999999999" x14ac:dyDescent="0.5">
      <c r="D921" s="3" t="s">
        <v>53</v>
      </c>
    </row>
    <row r="922" spans="4:4" ht="17.649999999999999" x14ac:dyDescent="0.5">
      <c r="D922" s="3" t="s">
        <v>83</v>
      </c>
    </row>
    <row r="923" spans="4:4" ht="17.649999999999999" x14ac:dyDescent="0.5">
      <c r="D923" s="3" t="s">
        <v>64</v>
      </c>
    </row>
    <row r="924" spans="4:4" ht="17.649999999999999" x14ac:dyDescent="0.5">
      <c r="D924" s="3" t="s">
        <v>43</v>
      </c>
    </row>
    <row r="925" spans="4:4" ht="17.649999999999999" x14ac:dyDescent="0.5">
      <c r="D925" s="3" t="s">
        <v>51</v>
      </c>
    </row>
    <row r="926" spans="4:4" ht="17.649999999999999" x14ac:dyDescent="0.5">
      <c r="D926" s="3" t="s">
        <v>68</v>
      </c>
    </row>
    <row r="927" spans="4:4" ht="17.649999999999999" x14ac:dyDescent="0.5">
      <c r="D927" s="3" t="s">
        <v>77</v>
      </c>
    </row>
    <row r="928" spans="4:4" ht="17.649999999999999" x14ac:dyDescent="0.5">
      <c r="D928" s="3" t="s">
        <v>84</v>
      </c>
    </row>
    <row r="929" spans="4:4" ht="17.649999999999999" x14ac:dyDescent="0.5">
      <c r="D929" s="3" t="s">
        <v>56</v>
      </c>
    </row>
    <row r="930" spans="4:4" ht="17.649999999999999" x14ac:dyDescent="0.5">
      <c r="D930" s="3" t="s">
        <v>102</v>
      </c>
    </row>
    <row r="931" spans="4:4" ht="17.649999999999999" x14ac:dyDescent="0.5">
      <c r="D931" s="3" t="s">
        <v>51</v>
      </c>
    </row>
    <row r="932" spans="4:4" ht="17.649999999999999" x14ac:dyDescent="0.5">
      <c r="D932" s="3" t="s">
        <v>43</v>
      </c>
    </row>
    <row r="933" spans="4:4" ht="17.649999999999999" x14ac:dyDescent="0.5">
      <c r="D933" s="3" t="s">
        <v>90</v>
      </c>
    </row>
    <row r="934" spans="4:4" ht="17.649999999999999" x14ac:dyDescent="0.5">
      <c r="D934" s="3" t="s">
        <v>61</v>
      </c>
    </row>
    <row r="935" spans="4:4" ht="17.649999999999999" x14ac:dyDescent="0.5">
      <c r="D935" s="3" t="s">
        <v>119</v>
      </c>
    </row>
    <row r="936" spans="4:4" ht="17.649999999999999" x14ac:dyDescent="0.5">
      <c r="D936" s="3" t="s">
        <v>73</v>
      </c>
    </row>
    <row r="937" spans="4:4" ht="17.649999999999999" x14ac:dyDescent="0.5">
      <c r="D937" s="3" t="s">
        <v>111</v>
      </c>
    </row>
    <row r="938" spans="4:4" ht="17.649999999999999" x14ac:dyDescent="0.5">
      <c r="D938" s="3" t="s">
        <v>69</v>
      </c>
    </row>
    <row r="939" spans="4:4" ht="17.649999999999999" x14ac:dyDescent="0.5">
      <c r="D939" s="3" t="s">
        <v>61</v>
      </c>
    </row>
    <row r="940" spans="4:4" ht="17.649999999999999" x14ac:dyDescent="0.5">
      <c r="D940" s="3" t="s">
        <v>93</v>
      </c>
    </row>
    <row r="941" spans="4:4" ht="17.649999999999999" x14ac:dyDescent="0.5">
      <c r="D941" s="3" t="s">
        <v>53</v>
      </c>
    </row>
    <row r="942" spans="4:4" ht="17.649999999999999" x14ac:dyDescent="0.5">
      <c r="D942" s="3" t="s">
        <v>48</v>
      </c>
    </row>
    <row r="943" spans="4:4" ht="17.649999999999999" x14ac:dyDescent="0.5">
      <c r="D943" s="3" t="s">
        <v>63</v>
      </c>
    </row>
    <row r="944" spans="4:4" ht="17.649999999999999" x14ac:dyDescent="0.5">
      <c r="D944" s="3" t="s">
        <v>66</v>
      </c>
    </row>
    <row r="945" spans="4:4" ht="17.649999999999999" x14ac:dyDescent="0.5">
      <c r="D945" s="3" t="s">
        <v>41</v>
      </c>
    </row>
    <row r="946" spans="4:4" ht="17.649999999999999" x14ac:dyDescent="0.5">
      <c r="D946" s="3" t="s">
        <v>85</v>
      </c>
    </row>
    <row r="947" spans="4:4" ht="17.649999999999999" x14ac:dyDescent="0.5">
      <c r="D947" s="3" t="s">
        <v>80</v>
      </c>
    </row>
    <row r="948" spans="4:4" ht="17.649999999999999" x14ac:dyDescent="0.5">
      <c r="D948" s="3" t="s">
        <v>79</v>
      </c>
    </row>
    <row r="949" spans="4:4" ht="17.649999999999999" x14ac:dyDescent="0.5">
      <c r="D949" s="3" t="s">
        <v>44</v>
      </c>
    </row>
    <row r="950" spans="4:4" ht="17.649999999999999" x14ac:dyDescent="0.5">
      <c r="D950" s="3" t="s">
        <v>54</v>
      </c>
    </row>
    <row r="951" spans="4:4" ht="17.649999999999999" x14ac:dyDescent="0.5">
      <c r="D951" s="3" t="s">
        <v>98</v>
      </c>
    </row>
    <row r="952" spans="4:4" ht="17.649999999999999" x14ac:dyDescent="0.5">
      <c r="D952" s="3" t="s">
        <v>104</v>
      </c>
    </row>
    <row r="953" spans="4:4" ht="17.649999999999999" x14ac:dyDescent="0.5">
      <c r="D953" s="3" t="s">
        <v>51</v>
      </c>
    </row>
    <row r="954" spans="4:4" ht="17.649999999999999" x14ac:dyDescent="0.5">
      <c r="D954" s="3" t="s">
        <v>67</v>
      </c>
    </row>
    <row r="955" spans="4:4" ht="17.649999999999999" x14ac:dyDescent="0.5">
      <c r="D955" s="3" t="s">
        <v>81</v>
      </c>
    </row>
    <row r="956" spans="4:4" ht="17.649999999999999" x14ac:dyDescent="0.5">
      <c r="D956" s="3" t="s">
        <v>46</v>
      </c>
    </row>
    <row r="957" spans="4:4" ht="17.649999999999999" x14ac:dyDescent="0.5">
      <c r="D957" s="3" t="s">
        <v>45</v>
      </c>
    </row>
    <row r="958" spans="4:4" ht="17.649999999999999" x14ac:dyDescent="0.5">
      <c r="D958" s="3" t="s">
        <v>47</v>
      </c>
    </row>
    <row r="959" spans="4:4" ht="17.649999999999999" x14ac:dyDescent="0.5">
      <c r="D959" s="3" t="s">
        <v>68</v>
      </c>
    </row>
    <row r="960" spans="4:4" ht="17.649999999999999" x14ac:dyDescent="0.5">
      <c r="D960" s="3" t="s">
        <v>75</v>
      </c>
    </row>
    <row r="961" spans="4:4" ht="17.649999999999999" x14ac:dyDescent="0.5">
      <c r="D961" s="3" t="s">
        <v>69</v>
      </c>
    </row>
    <row r="962" spans="4:4" ht="17.649999999999999" x14ac:dyDescent="0.5">
      <c r="D962" s="3" t="s">
        <v>132</v>
      </c>
    </row>
    <row r="963" spans="4:4" ht="17.649999999999999" x14ac:dyDescent="0.5">
      <c r="D963" s="3" t="s">
        <v>77</v>
      </c>
    </row>
    <row r="964" spans="4:4" ht="17.649999999999999" x14ac:dyDescent="0.5">
      <c r="D964" s="3" t="s">
        <v>109</v>
      </c>
    </row>
    <row r="965" spans="4:4" ht="17.649999999999999" x14ac:dyDescent="0.5">
      <c r="D965" s="3" t="s">
        <v>54</v>
      </c>
    </row>
    <row r="966" spans="4:4" ht="17.649999999999999" x14ac:dyDescent="0.5">
      <c r="D966" s="3" t="s">
        <v>112</v>
      </c>
    </row>
    <row r="967" spans="4:4" ht="17.649999999999999" x14ac:dyDescent="0.5">
      <c r="D967" s="3" t="s">
        <v>106</v>
      </c>
    </row>
    <row r="968" spans="4:4" ht="17.649999999999999" x14ac:dyDescent="0.5">
      <c r="D968" s="3" t="s">
        <v>51</v>
      </c>
    </row>
    <row r="969" spans="4:4" ht="17.649999999999999" x14ac:dyDescent="0.5">
      <c r="D969" s="3" t="s">
        <v>92</v>
      </c>
    </row>
    <row r="970" spans="4:4" ht="17.649999999999999" x14ac:dyDescent="0.5">
      <c r="D970" s="3" t="s">
        <v>77</v>
      </c>
    </row>
    <row r="971" spans="4:4" ht="17.649999999999999" x14ac:dyDescent="0.5">
      <c r="D971" s="3" t="s">
        <v>107</v>
      </c>
    </row>
    <row r="972" spans="4:4" ht="17.649999999999999" x14ac:dyDescent="0.5">
      <c r="D972" s="3" t="s">
        <v>78</v>
      </c>
    </row>
    <row r="973" spans="4:4" ht="17.649999999999999" x14ac:dyDescent="0.5">
      <c r="D973" s="3" t="s">
        <v>93</v>
      </c>
    </row>
    <row r="974" spans="4:4" ht="17.649999999999999" x14ac:dyDescent="0.5">
      <c r="D974" s="3" t="s">
        <v>130</v>
      </c>
    </row>
    <row r="975" spans="4:4" ht="17.649999999999999" x14ac:dyDescent="0.5">
      <c r="D975" s="3" t="s">
        <v>46</v>
      </c>
    </row>
    <row r="976" spans="4:4" ht="17.649999999999999" x14ac:dyDescent="0.5">
      <c r="D976" s="3" t="s">
        <v>75</v>
      </c>
    </row>
    <row r="977" spans="4:4" ht="17.649999999999999" x14ac:dyDescent="0.5">
      <c r="D977" s="3" t="s">
        <v>59</v>
      </c>
    </row>
    <row r="978" spans="4:4" ht="17.649999999999999" x14ac:dyDescent="0.5">
      <c r="D978" s="3" t="s">
        <v>67</v>
      </c>
    </row>
    <row r="979" spans="4:4" ht="17.649999999999999" x14ac:dyDescent="0.5">
      <c r="D979" s="3" t="s">
        <v>80</v>
      </c>
    </row>
    <row r="980" spans="4:4" ht="17.649999999999999" x14ac:dyDescent="0.5">
      <c r="D980" s="3" t="s">
        <v>84</v>
      </c>
    </row>
    <row r="981" spans="4:4" ht="17.649999999999999" x14ac:dyDescent="0.5">
      <c r="D981" s="3" t="s">
        <v>94</v>
      </c>
    </row>
    <row r="982" spans="4:4" ht="17.649999999999999" x14ac:dyDescent="0.5">
      <c r="D982" s="3" t="s">
        <v>88</v>
      </c>
    </row>
    <row r="983" spans="4:4" ht="17.649999999999999" x14ac:dyDescent="0.5">
      <c r="D983" s="3" t="s">
        <v>89</v>
      </c>
    </row>
    <row r="984" spans="4:4" ht="17.649999999999999" x14ac:dyDescent="0.5">
      <c r="D984" s="3" t="s">
        <v>83</v>
      </c>
    </row>
    <row r="985" spans="4:4" ht="17.649999999999999" x14ac:dyDescent="0.5">
      <c r="D985" s="3" t="s">
        <v>43</v>
      </c>
    </row>
    <row r="986" spans="4:4" ht="17.649999999999999" x14ac:dyDescent="0.5">
      <c r="D986" s="3" t="s">
        <v>77</v>
      </c>
    </row>
    <row r="987" spans="4:4" ht="17.649999999999999" x14ac:dyDescent="0.5">
      <c r="D987" s="3" t="s">
        <v>87</v>
      </c>
    </row>
    <row r="988" spans="4:4" ht="17.649999999999999" x14ac:dyDescent="0.5">
      <c r="D988" s="3" t="s">
        <v>68</v>
      </c>
    </row>
    <row r="989" spans="4:4" ht="17.649999999999999" x14ac:dyDescent="0.5">
      <c r="D989" s="3" t="s">
        <v>116</v>
      </c>
    </row>
    <row r="990" spans="4:4" ht="17.649999999999999" x14ac:dyDescent="0.5">
      <c r="D990" s="3" t="s">
        <v>66</v>
      </c>
    </row>
    <row r="991" spans="4:4" ht="17.649999999999999" x14ac:dyDescent="0.5">
      <c r="D991" s="3" t="s">
        <v>53</v>
      </c>
    </row>
    <row r="992" spans="4:4" ht="17.649999999999999" x14ac:dyDescent="0.5">
      <c r="D992" s="3" t="s">
        <v>79</v>
      </c>
    </row>
    <row r="993" spans="4:4" ht="17.649999999999999" x14ac:dyDescent="0.5">
      <c r="D993" s="3" t="s">
        <v>115</v>
      </c>
    </row>
    <row r="994" spans="4:4" ht="17.649999999999999" x14ac:dyDescent="0.5">
      <c r="D994" s="3" t="s">
        <v>112</v>
      </c>
    </row>
    <row r="995" spans="4:4" ht="17.649999999999999" x14ac:dyDescent="0.5">
      <c r="D995" s="3" t="s">
        <v>98</v>
      </c>
    </row>
    <row r="996" spans="4:4" ht="17.649999999999999" x14ac:dyDescent="0.5">
      <c r="D996" s="3" t="s">
        <v>49</v>
      </c>
    </row>
    <row r="997" spans="4:4" ht="17.649999999999999" x14ac:dyDescent="0.5">
      <c r="D997" s="3" t="s">
        <v>56</v>
      </c>
    </row>
    <row r="998" spans="4:4" ht="17.649999999999999" x14ac:dyDescent="0.5">
      <c r="D998" s="3" t="s">
        <v>122</v>
      </c>
    </row>
    <row r="999" spans="4:4" ht="17.649999999999999" x14ac:dyDescent="0.5">
      <c r="D999" s="3" t="s">
        <v>78</v>
      </c>
    </row>
    <row r="1000" spans="4:4" ht="17.649999999999999" x14ac:dyDescent="0.5">
      <c r="D1000" s="3" t="s">
        <v>84</v>
      </c>
    </row>
    <row r="1001" spans="4:4" ht="17.649999999999999" x14ac:dyDescent="0.5">
      <c r="D1001" s="3" t="s">
        <v>73</v>
      </c>
    </row>
    <row r="1002" spans="4:4" ht="17.649999999999999" x14ac:dyDescent="0.5">
      <c r="D1002" s="3" t="s">
        <v>118</v>
      </c>
    </row>
    <row r="1003" spans="4:4" ht="17.649999999999999" x14ac:dyDescent="0.5">
      <c r="D1003" s="3" t="s">
        <v>115</v>
      </c>
    </row>
    <row r="1004" spans="4:4" ht="17.649999999999999" x14ac:dyDescent="0.5">
      <c r="D1004" s="3" t="s">
        <v>62</v>
      </c>
    </row>
    <row r="1005" spans="4:4" ht="17.649999999999999" x14ac:dyDescent="0.5">
      <c r="D1005" s="3" t="s">
        <v>108</v>
      </c>
    </row>
    <row r="1006" spans="4:4" ht="17.649999999999999" x14ac:dyDescent="0.5">
      <c r="D1006" s="3" t="s">
        <v>65</v>
      </c>
    </row>
    <row r="1007" spans="4:4" ht="17.649999999999999" x14ac:dyDescent="0.5">
      <c r="D1007" s="3" t="s">
        <v>77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50</v>
      </c>
    </row>
    <row r="1010" spans="4:4" ht="17.649999999999999" x14ac:dyDescent="0.5">
      <c r="D1010" s="3" t="s">
        <v>107</v>
      </c>
    </row>
    <row r="1011" spans="4:4" ht="17.649999999999999" x14ac:dyDescent="0.5">
      <c r="D1011" s="3" t="s">
        <v>87</v>
      </c>
    </row>
    <row r="1012" spans="4:4" ht="17.649999999999999" x14ac:dyDescent="0.5">
      <c r="D1012" s="3" t="s">
        <v>53</v>
      </c>
    </row>
    <row r="1013" spans="4:4" ht="17.649999999999999" x14ac:dyDescent="0.5">
      <c r="D1013" s="3" t="s">
        <v>70</v>
      </c>
    </row>
    <row r="1014" spans="4:4" ht="17.649999999999999" x14ac:dyDescent="0.5">
      <c r="D1014" s="3" t="s">
        <v>98</v>
      </c>
    </row>
    <row r="1015" spans="4:4" ht="17.649999999999999" x14ac:dyDescent="0.5">
      <c r="D1015" s="3" t="s">
        <v>101</v>
      </c>
    </row>
    <row r="1016" spans="4:4" ht="17.649999999999999" x14ac:dyDescent="0.5">
      <c r="D1016" s="3" t="s">
        <v>113</v>
      </c>
    </row>
    <row r="1017" spans="4:4" ht="17.649999999999999" x14ac:dyDescent="0.5">
      <c r="D1017" s="3" t="s">
        <v>133</v>
      </c>
    </row>
    <row r="1018" spans="4:4" ht="17.649999999999999" x14ac:dyDescent="0.5">
      <c r="D1018" s="3" t="s">
        <v>57</v>
      </c>
    </row>
    <row r="1019" spans="4:4" ht="17.649999999999999" x14ac:dyDescent="0.5">
      <c r="D1019" s="3" t="s">
        <v>43</v>
      </c>
    </row>
    <row r="1020" spans="4:4" ht="17.649999999999999" x14ac:dyDescent="0.5">
      <c r="D1020" s="3" t="s">
        <v>68</v>
      </c>
    </row>
    <row r="1021" spans="4:4" ht="17.649999999999999" x14ac:dyDescent="0.5">
      <c r="D1021" s="3" t="s">
        <v>86</v>
      </c>
    </row>
    <row r="1022" spans="4:4" ht="17.649999999999999" x14ac:dyDescent="0.5">
      <c r="D1022" s="3" t="s">
        <v>92</v>
      </c>
    </row>
    <row r="1023" spans="4:4" ht="17.649999999999999" x14ac:dyDescent="0.5">
      <c r="D1023" s="3" t="s">
        <v>119</v>
      </c>
    </row>
    <row r="1024" spans="4:4" ht="17.649999999999999" x14ac:dyDescent="0.5">
      <c r="D1024" s="3" t="s">
        <v>112</v>
      </c>
    </row>
    <row r="1025" spans="4:4" ht="17.649999999999999" x14ac:dyDescent="0.5">
      <c r="D1025" s="3" t="s">
        <v>85</v>
      </c>
    </row>
    <row r="1026" spans="4:4" ht="17.649999999999999" x14ac:dyDescent="0.5">
      <c r="D1026" s="3" t="s">
        <v>69</v>
      </c>
    </row>
    <row r="1027" spans="4:4" ht="17.649999999999999" x14ac:dyDescent="0.5">
      <c r="D1027" s="3" t="s">
        <v>103</v>
      </c>
    </row>
    <row r="1028" spans="4:4" ht="17.649999999999999" x14ac:dyDescent="0.5">
      <c r="D1028" s="3" t="s">
        <v>109</v>
      </c>
    </row>
    <row r="1029" spans="4:4" ht="17.649999999999999" x14ac:dyDescent="0.5">
      <c r="D1029" s="3" t="s">
        <v>98</v>
      </c>
    </row>
    <row r="1030" spans="4:4" ht="17.649999999999999" x14ac:dyDescent="0.5">
      <c r="D1030" s="3" t="s">
        <v>78</v>
      </c>
    </row>
    <row r="1031" spans="4:4" ht="17.649999999999999" x14ac:dyDescent="0.5">
      <c r="D1031" s="3" t="s">
        <v>106</v>
      </c>
    </row>
    <row r="1032" spans="4:4" ht="17.649999999999999" x14ac:dyDescent="0.5">
      <c r="D1032" s="3" t="s">
        <v>49</v>
      </c>
    </row>
    <row r="1033" spans="4:4" ht="17.649999999999999" x14ac:dyDescent="0.5">
      <c r="D1033" s="3" t="s">
        <v>134</v>
      </c>
    </row>
    <row r="1034" spans="4:4" ht="17.649999999999999" x14ac:dyDescent="0.5">
      <c r="D1034" s="3" t="s">
        <v>117</v>
      </c>
    </row>
    <row r="1035" spans="4:4" ht="17.649999999999999" x14ac:dyDescent="0.5">
      <c r="D1035" s="3" t="s">
        <v>80</v>
      </c>
    </row>
    <row r="1036" spans="4:4" ht="17.649999999999999" x14ac:dyDescent="0.5">
      <c r="D1036" s="3" t="s">
        <v>64</v>
      </c>
    </row>
    <row r="1037" spans="4:4" ht="17.649999999999999" x14ac:dyDescent="0.5">
      <c r="D1037" s="3" t="s">
        <v>115</v>
      </c>
    </row>
    <row r="1038" spans="4:4" ht="17.649999999999999" x14ac:dyDescent="0.5">
      <c r="D1038" s="3" t="s">
        <v>57</v>
      </c>
    </row>
    <row r="1039" spans="4:4" ht="17.649999999999999" x14ac:dyDescent="0.5">
      <c r="D1039" s="3" t="s">
        <v>91</v>
      </c>
    </row>
    <row r="1040" spans="4:4" ht="17.649999999999999" x14ac:dyDescent="0.5">
      <c r="D1040" s="3" t="s">
        <v>116</v>
      </c>
    </row>
    <row r="1041" spans="4:4" ht="17.649999999999999" x14ac:dyDescent="0.5">
      <c r="D1041" s="3" t="s">
        <v>113</v>
      </c>
    </row>
    <row r="1042" spans="4:4" ht="17.649999999999999" x14ac:dyDescent="0.5">
      <c r="D1042" s="3" t="s">
        <v>87</v>
      </c>
    </row>
    <row r="1043" spans="4:4" ht="17.649999999999999" x14ac:dyDescent="0.5">
      <c r="D1043" s="3" t="s">
        <v>68</v>
      </c>
    </row>
    <row r="1044" spans="4:4" ht="17.649999999999999" x14ac:dyDescent="0.5">
      <c r="D1044" s="3" t="s">
        <v>53</v>
      </c>
    </row>
    <row r="1045" spans="4:4" ht="17.649999999999999" x14ac:dyDescent="0.5">
      <c r="D1045" s="3" t="s">
        <v>43</v>
      </c>
    </row>
    <row r="1046" spans="4:4" ht="17.649999999999999" x14ac:dyDescent="0.5">
      <c r="D1046" s="3" t="s">
        <v>64</v>
      </c>
    </row>
    <row r="1047" spans="4:4" ht="17.649999999999999" x14ac:dyDescent="0.5">
      <c r="D1047" s="3" t="s">
        <v>78</v>
      </c>
    </row>
    <row r="1048" spans="4:4" ht="17.649999999999999" x14ac:dyDescent="0.5">
      <c r="D1048" s="3" t="s">
        <v>117</v>
      </c>
    </row>
    <row r="1049" spans="4:4" ht="17.649999999999999" x14ac:dyDescent="0.5">
      <c r="D1049" s="3" t="s">
        <v>107</v>
      </c>
    </row>
    <row r="1050" spans="4:4" ht="17.649999999999999" x14ac:dyDescent="0.5">
      <c r="D1050" s="3" t="s">
        <v>115</v>
      </c>
    </row>
    <row r="1051" spans="4:4" ht="17.649999999999999" x14ac:dyDescent="0.5">
      <c r="D1051" s="3" t="s">
        <v>75</v>
      </c>
    </row>
    <row r="1052" spans="4:4" ht="17.649999999999999" x14ac:dyDescent="0.5">
      <c r="D1052" s="3" t="s">
        <v>83</v>
      </c>
    </row>
    <row r="1053" spans="4:4" ht="17.649999999999999" x14ac:dyDescent="0.5">
      <c r="D1053" s="3" t="s">
        <v>81</v>
      </c>
    </row>
    <row r="1054" spans="4:4" ht="17.649999999999999" x14ac:dyDescent="0.5">
      <c r="D1054" s="3" t="s">
        <v>68</v>
      </c>
    </row>
    <row r="1055" spans="4:4" ht="17.649999999999999" x14ac:dyDescent="0.5">
      <c r="D1055" s="3" t="s">
        <v>67</v>
      </c>
    </row>
    <row r="1056" spans="4:4" ht="17.649999999999999" x14ac:dyDescent="0.5">
      <c r="D1056" s="3" t="s">
        <v>77</v>
      </c>
    </row>
    <row r="1057" spans="4:4" ht="17.649999999999999" x14ac:dyDescent="0.5">
      <c r="D1057" s="3" t="s">
        <v>66</v>
      </c>
    </row>
    <row r="1058" spans="4:4" ht="17.649999999999999" x14ac:dyDescent="0.5">
      <c r="D1058" s="3" t="s">
        <v>66</v>
      </c>
    </row>
    <row r="1059" spans="4:4" ht="17.649999999999999" x14ac:dyDescent="0.5">
      <c r="D1059" s="3" t="s">
        <v>102</v>
      </c>
    </row>
    <row r="1060" spans="4:4" ht="17.649999999999999" x14ac:dyDescent="0.5">
      <c r="D1060" s="3" t="s">
        <v>92</v>
      </c>
    </row>
    <row r="1061" spans="4:4" ht="17.649999999999999" x14ac:dyDescent="0.5">
      <c r="D1061" s="3" t="s">
        <v>103</v>
      </c>
    </row>
    <row r="1062" spans="4:4" ht="17.649999999999999" x14ac:dyDescent="0.5">
      <c r="D1062" s="3" t="s">
        <v>95</v>
      </c>
    </row>
    <row r="1063" spans="4:4" ht="17.649999999999999" x14ac:dyDescent="0.5">
      <c r="D1063" s="3" t="s">
        <v>65</v>
      </c>
    </row>
    <row r="1064" spans="4:4" ht="17.649999999999999" x14ac:dyDescent="0.5">
      <c r="D1064" s="3" t="s">
        <v>105</v>
      </c>
    </row>
    <row r="1065" spans="4:4" ht="17.649999999999999" x14ac:dyDescent="0.5">
      <c r="D1065" s="3" t="s">
        <v>102</v>
      </c>
    </row>
    <row r="1066" spans="4:4" ht="17.649999999999999" x14ac:dyDescent="0.5">
      <c r="D1066" s="3" t="s">
        <v>99</v>
      </c>
    </row>
    <row r="1067" spans="4:4" ht="17.649999999999999" x14ac:dyDescent="0.5">
      <c r="D1067" s="3" t="s">
        <v>114</v>
      </c>
    </row>
    <row r="1068" spans="4:4" ht="17.649999999999999" x14ac:dyDescent="0.5">
      <c r="D1068" s="3" t="s">
        <v>108</v>
      </c>
    </row>
    <row r="1069" spans="4:4" ht="17.649999999999999" x14ac:dyDescent="0.5">
      <c r="D1069" s="3" t="s">
        <v>105</v>
      </c>
    </row>
    <row r="1070" spans="4:4" ht="17.649999999999999" x14ac:dyDescent="0.5">
      <c r="D1070" s="3" t="s">
        <v>77</v>
      </c>
    </row>
    <row r="1071" spans="4:4" ht="17.649999999999999" x14ac:dyDescent="0.5">
      <c r="D1071" s="3" t="s">
        <v>68</v>
      </c>
    </row>
    <row r="1072" spans="4:4" ht="17.649999999999999" x14ac:dyDescent="0.5">
      <c r="D1072" s="3" t="s">
        <v>117</v>
      </c>
    </row>
    <row r="1073" spans="4:4" ht="17.649999999999999" x14ac:dyDescent="0.5">
      <c r="D1073" s="3" t="s">
        <v>66</v>
      </c>
    </row>
    <row r="1074" spans="4:4" ht="17.649999999999999" x14ac:dyDescent="0.5">
      <c r="D1074" s="3" t="s">
        <v>96</v>
      </c>
    </row>
    <row r="1075" spans="4:4" ht="17.649999999999999" x14ac:dyDescent="0.5">
      <c r="D1075" s="3" t="s">
        <v>56</v>
      </c>
    </row>
    <row r="1076" spans="4:4" ht="17.649999999999999" x14ac:dyDescent="0.5">
      <c r="D1076" s="3" t="s">
        <v>54</v>
      </c>
    </row>
    <row r="1077" spans="4:4" ht="17.649999999999999" x14ac:dyDescent="0.5">
      <c r="D1077" s="3" t="s">
        <v>90</v>
      </c>
    </row>
    <row r="1078" spans="4:4" ht="17.649999999999999" x14ac:dyDescent="0.5">
      <c r="D1078" s="3" t="s">
        <v>64</v>
      </c>
    </row>
    <row r="1079" spans="4:4" ht="17.649999999999999" x14ac:dyDescent="0.5">
      <c r="D1079" s="3" t="s">
        <v>106</v>
      </c>
    </row>
    <row r="1080" spans="4:4" ht="17.649999999999999" x14ac:dyDescent="0.5">
      <c r="D1080" s="3" t="s">
        <v>117</v>
      </c>
    </row>
    <row r="1081" spans="4:4" ht="17.649999999999999" x14ac:dyDescent="0.5">
      <c r="D1081" s="3" t="s">
        <v>79</v>
      </c>
    </row>
    <row r="1082" spans="4:4" ht="17.649999999999999" x14ac:dyDescent="0.5">
      <c r="D1082" s="3" t="s">
        <v>80</v>
      </c>
    </row>
    <row r="1083" spans="4:4" ht="17.649999999999999" x14ac:dyDescent="0.5">
      <c r="D1083" s="3" t="s">
        <v>90</v>
      </c>
    </row>
    <row r="1084" spans="4:4" ht="17.649999999999999" x14ac:dyDescent="0.5">
      <c r="D1084" s="3" t="s">
        <v>56</v>
      </c>
    </row>
    <row r="1085" spans="4:4" ht="17.649999999999999" x14ac:dyDescent="0.5">
      <c r="D1085" s="3" t="s">
        <v>53</v>
      </c>
    </row>
    <row r="1086" spans="4:4" ht="17.649999999999999" x14ac:dyDescent="0.5">
      <c r="D1086" s="3" t="s">
        <v>48</v>
      </c>
    </row>
    <row r="1087" spans="4:4" ht="17.649999999999999" x14ac:dyDescent="0.5">
      <c r="D1087" s="3" t="s">
        <v>42</v>
      </c>
    </row>
    <row r="1088" spans="4:4" ht="17.649999999999999" x14ac:dyDescent="0.5">
      <c r="D1088" s="3" t="s">
        <v>48</v>
      </c>
    </row>
    <row r="1089" spans="4:4" ht="17.649999999999999" x14ac:dyDescent="0.5">
      <c r="D1089" s="3" t="s">
        <v>87</v>
      </c>
    </row>
    <row r="1090" spans="4:4" ht="17.649999999999999" x14ac:dyDescent="0.5">
      <c r="D1090" s="3" t="s">
        <v>44</v>
      </c>
    </row>
    <row r="1091" spans="4:4" ht="17.649999999999999" x14ac:dyDescent="0.5">
      <c r="D1091" s="3" t="s">
        <v>42</v>
      </c>
    </row>
    <row r="1092" spans="4:4" ht="17.649999999999999" x14ac:dyDescent="0.5">
      <c r="D1092" s="3" t="s">
        <v>96</v>
      </c>
    </row>
    <row r="1093" spans="4:4" ht="17.649999999999999" x14ac:dyDescent="0.5">
      <c r="D1093" s="3" t="s">
        <v>117</v>
      </c>
    </row>
    <row r="1094" spans="4:4" ht="17.649999999999999" x14ac:dyDescent="0.5">
      <c r="D1094" s="3" t="s">
        <v>43</v>
      </c>
    </row>
    <row r="1095" spans="4:4" ht="17.649999999999999" x14ac:dyDescent="0.5">
      <c r="D1095" s="3" t="s">
        <v>78</v>
      </c>
    </row>
    <row r="1096" spans="4:4" ht="17.649999999999999" x14ac:dyDescent="0.5">
      <c r="D1096" s="3" t="s">
        <v>52</v>
      </c>
    </row>
    <row r="1097" spans="4:4" ht="17.649999999999999" x14ac:dyDescent="0.5">
      <c r="D1097" s="3" t="s">
        <v>99</v>
      </c>
    </row>
    <row r="1098" spans="4:4" ht="17.649999999999999" x14ac:dyDescent="0.5">
      <c r="D1098" s="3" t="s">
        <v>76</v>
      </c>
    </row>
    <row r="1099" spans="4:4" ht="17.649999999999999" x14ac:dyDescent="0.5">
      <c r="D1099" s="3" t="s">
        <v>52</v>
      </c>
    </row>
    <row r="1100" spans="4:4" ht="17.649999999999999" x14ac:dyDescent="0.5">
      <c r="D1100" s="3" t="s">
        <v>107</v>
      </c>
    </row>
    <row r="1101" spans="4:4" ht="17.649999999999999" x14ac:dyDescent="0.5">
      <c r="D1101" s="3" t="s">
        <v>94</v>
      </c>
    </row>
    <row r="1102" spans="4:4" ht="17.649999999999999" x14ac:dyDescent="0.5">
      <c r="D1102" s="3" t="s">
        <v>105</v>
      </c>
    </row>
    <row r="1103" spans="4:4" ht="17.649999999999999" x14ac:dyDescent="0.5">
      <c r="D1103" s="3" t="s">
        <v>100</v>
      </c>
    </row>
    <row r="1104" spans="4:4" ht="17.649999999999999" x14ac:dyDescent="0.5">
      <c r="D1104" s="3" t="s">
        <v>56</v>
      </c>
    </row>
    <row r="1105" spans="4:4" ht="17.649999999999999" x14ac:dyDescent="0.5">
      <c r="D1105" s="3" t="s">
        <v>108</v>
      </c>
    </row>
    <row r="1106" spans="4:4" ht="17.649999999999999" x14ac:dyDescent="0.5">
      <c r="D1106" s="3" t="s">
        <v>51</v>
      </c>
    </row>
    <row r="1107" spans="4:4" ht="17.649999999999999" x14ac:dyDescent="0.5">
      <c r="D1107" s="3" t="s">
        <v>44</v>
      </c>
    </row>
    <row r="1108" spans="4:4" ht="17.649999999999999" x14ac:dyDescent="0.5">
      <c r="D1108" s="3" t="s">
        <v>54</v>
      </c>
    </row>
    <row r="1109" spans="4:4" ht="17.649999999999999" x14ac:dyDescent="0.5">
      <c r="D1109" s="3" t="s">
        <v>53</v>
      </c>
    </row>
    <row r="1110" spans="4:4" ht="17.649999999999999" x14ac:dyDescent="0.5">
      <c r="D1110" s="3" t="s">
        <v>42</v>
      </c>
    </row>
    <row r="1111" spans="4:4" ht="17.649999999999999" x14ac:dyDescent="0.5">
      <c r="D1111" s="3" t="s">
        <v>84</v>
      </c>
    </row>
    <row r="1112" spans="4:4" ht="17.649999999999999" x14ac:dyDescent="0.5">
      <c r="D1112" s="3" t="s">
        <v>66</v>
      </c>
    </row>
    <row r="1113" spans="4:4" ht="17.649999999999999" x14ac:dyDescent="0.5">
      <c r="D1113" s="3" t="s">
        <v>87</v>
      </c>
    </row>
    <row r="1114" spans="4:4" ht="17.649999999999999" x14ac:dyDescent="0.5">
      <c r="D1114" s="3" t="s">
        <v>101</v>
      </c>
    </row>
    <row r="1115" spans="4:4" ht="17.649999999999999" x14ac:dyDescent="0.5">
      <c r="D1115" s="3" t="s">
        <v>51</v>
      </c>
    </row>
    <row r="1116" spans="4:4" ht="17.649999999999999" x14ac:dyDescent="0.5">
      <c r="D1116" s="3" t="s">
        <v>69</v>
      </c>
    </row>
    <row r="1117" spans="4:4" ht="17.649999999999999" x14ac:dyDescent="0.5">
      <c r="D1117" s="3" t="s">
        <v>82</v>
      </c>
    </row>
    <row r="1118" spans="4:4" ht="17.649999999999999" x14ac:dyDescent="0.5">
      <c r="D1118" s="3" t="s">
        <v>75</v>
      </c>
    </row>
    <row r="1119" spans="4:4" ht="17.649999999999999" x14ac:dyDescent="0.5">
      <c r="D1119" s="3" t="s">
        <v>65</v>
      </c>
    </row>
    <row r="1120" spans="4:4" ht="17.649999999999999" x14ac:dyDescent="0.5">
      <c r="D1120" s="3" t="s">
        <v>44</v>
      </c>
    </row>
    <row r="1121" spans="4:4" ht="17.649999999999999" x14ac:dyDescent="0.5">
      <c r="D1121" s="3" t="s">
        <v>131</v>
      </c>
    </row>
    <row r="1122" spans="4:4" ht="17.649999999999999" x14ac:dyDescent="0.5">
      <c r="D1122" s="3" t="s">
        <v>53</v>
      </c>
    </row>
    <row r="1123" spans="4:4" ht="17.649999999999999" x14ac:dyDescent="0.5">
      <c r="D1123" s="3" t="s">
        <v>107</v>
      </c>
    </row>
    <row r="1124" spans="4:4" ht="17.649999999999999" x14ac:dyDescent="0.5">
      <c r="D1124" s="3" t="s">
        <v>51</v>
      </c>
    </row>
    <row r="1125" spans="4:4" ht="17.649999999999999" x14ac:dyDescent="0.5">
      <c r="D1125" s="3" t="s">
        <v>105</v>
      </c>
    </row>
    <row r="1126" spans="4:4" ht="17.649999999999999" x14ac:dyDescent="0.5">
      <c r="D1126" s="3" t="s">
        <v>69</v>
      </c>
    </row>
    <row r="1127" spans="4:4" ht="17.649999999999999" x14ac:dyDescent="0.5">
      <c r="D1127" s="3" t="s">
        <v>102</v>
      </c>
    </row>
    <row r="1128" spans="4:4" ht="17.649999999999999" x14ac:dyDescent="0.5">
      <c r="D1128" s="3" t="s">
        <v>54</v>
      </c>
    </row>
    <row r="1129" spans="4:4" ht="17.649999999999999" x14ac:dyDescent="0.5">
      <c r="D1129" s="3" t="s">
        <v>81</v>
      </c>
    </row>
    <row r="1130" spans="4:4" ht="17.649999999999999" x14ac:dyDescent="0.5">
      <c r="D1130" s="3" t="s">
        <v>101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51</v>
      </c>
    </row>
    <row r="1133" spans="4:4" ht="17.649999999999999" x14ac:dyDescent="0.5">
      <c r="D1133" s="3" t="s">
        <v>66</v>
      </c>
    </row>
    <row r="1134" spans="4:4" ht="17.649999999999999" x14ac:dyDescent="0.5">
      <c r="D1134" s="3" t="s">
        <v>113</v>
      </c>
    </row>
    <row r="1135" spans="4:4" ht="17.649999999999999" x14ac:dyDescent="0.5">
      <c r="D1135" s="3" t="s">
        <v>115</v>
      </c>
    </row>
    <row r="1136" spans="4:4" ht="17.649999999999999" x14ac:dyDescent="0.5">
      <c r="D1136" s="3" t="s">
        <v>102</v>
      </c>
    </row>
    <row r="1137" spans="4:4" ht="17.649999999999999" x14ac:dyDescent="0.5">
      <c r="D1137" s="3" t="s">
        <v>120</v>
      </c>
    </row>
    <row r="1138" spans="4:4" ht="17.649999999999999" x14ac:dyDescent="0.5">
      <c r="D1138" s="3" t="s">
        <v>77</v>
      </c>
    </row>
    <row r="1139" spans="4:4" ht="17.649999999999999" x14ac:dyDescent="0.5">
      <c r="D1139" s="3" t="s">
        <v>44</v>
      </c>
    </row>
    <row r="1140" spans="4:4" ht="17.649999999999999" x14ac:dyDescent="0.5">
      <c r="D1140" s="3" t="s">
        <v>66</v>
      </c>
    </row>
    <row r="1141" spans="4:4" ht="17.649999999999999" x14ac:dyDescent="0.5">
      <c r="D1141" s="3" t="s">
        <v>102</v>
      </c>
    </row>
    <row r="1142" spans="4:4" ht="17.649999999999999" x14ac:dyDescent="0.5">
      <c r="D1142" s="3" t="s">
        <v>88</v>
      </c>
    </row>
    <row r="1143" spans="4:4" ht="17.649999999999999" x14ac:dyDescent="0.5">
      <c r="D1143" s="3" t="s">
        <v>92</v>
      </c>
    </row>
    <row r="1144" spans="4:4" ht="17.649999999999999" x14ac:dyDescent="0.5">
      <c r="D1144" s="3" t="s">
        <v>56</v>
      </c>
    </row>
    <row r="1145" spans="4:4" ht="17.649999999999999" x14ac:dyDescent="0.5">
      <c r="D1145" s="3" t="s">
        <v>83</v>
      </c>
    </row>
    <row r="1146" spans="4:4" ht="17.649999999999999" x14ac:dyDescent="0.5">
      <c r="D1146" s="3" t="s">
        <v>42</v>
      </c>
    </row>
    <row r="1147" spans="4:4" ht="17.649999999999999" x14ac:dyDescent="0.5">
      <c r="D1147" s="3" t="s">
        <v>85</v>
      </c>
    </row>
    <row r="1148" spans="4:4" ht="17.649999999999999" x14ac:dyDescent="0.5">
      <c r="D1148" s="3" t="s">
        <v>54</v>
      </c>
    </row>
    <row r="1149" spans="4:4" ht="17.649999999999999" x14ac:dyDescent="0.5">
      <c r="D1149" s="3" t="s">
        <v>50</v>
      </c>
    </row>
    <row r="1150" spans="4:4" ht="17.649999999999999" x14ac:dyDescent="0.5">
      <c r="D1150" s="3" t="s">
        <v>113</v>
      </c>
    </row>
    <row r="1151" spans="4:4" ht="17.649999999999999" x14ac:dyDescent="0.5">
      <c r="D1151" s="3" t="s">
        <v>120</v>
      </c>
    </row>
    <row r="1152" spans="4:4" ht="17.649999999999999" x14ac:dyDescent="0.5">
      <c r="D1152" s="3" t="s">
        <v>41</v>
      </c>
    </row>
    <row r="1153" spans="4:4" ht="17.649999999999999" x14ac:dyDescent="0.5">
      <c r="D1153" s="3" t="s">
        <v>45</v>
      </c>
    </row>
    <row r="1154" spans="4:4" ht="17.649999999999999" x14ac:dyDescent="0.5">
      <c r="D1154" s="3" t="s">
        <v>81</v>
      </c>
    </row>
    <row r="1155" spans="4:4" ht="17.649999999999999" x14ac:dyDescent="0.5">
      <c r="D1155" s="3" t="s">
        <v>66</v>
      </c>
    </row>
    <row r="1156" spans="4:4" ht="17.649999999999999" x14ac:dyDescent="0.5">
      <c r="D1156" s="3" t="s">
        <v>50</v>
      </c>
    </row>
    <row r="1157" spans="4:4" ht="17.649999999999999" x14ac:dyDescent="0.5">
      <c r="D1157" s="3" t="s">
        <v>130</v>
      </c>
    </row>
    <row r="1158" spans="4:4" ht="17.649999999999999" x14ac:dyDescent="0.5">
      <c r="D1158" s="3" t="s">
        <v>46</v>
      </c>
    </row>
    <row r="1159" spans="4:4" ht="17.649999999999999" x14ac:dyDescent="0.5">
      <c r="D1159" s="3" t="s">
        <v>43</v>
      </c>
    </row>
    <row r="1160" spans="4:4" ht="17.649999999999999" x14ac:dyDescent="0.5">
      <c r="D1160" s="3" t="s">
        <v>48</v>
      </c>
    </row>
    <row r="1161" spans="4:4" ht="17.649999999999999" x14ac:dyDescent="0.5">
      <c r="D1161" s="3" t="s">
        <v>73</v>
      </c>
    </row>
    <row r="1162" spans="4:4" ht="17.649999999999999" x14ac:dyDescent="0.5">
      <c r="D1162" s="3" t="s">
        <v>118</v>
      </c>
    </row>
    <row r="1163" spans="4:4" ht="17.649999999999999" x14ac:dyDescent="0.5">
      <c r="D1163" s="3" t="s">
        <v>66</v>
      </c>
    </row>
    <row r="1164" spans="4:4" ht="17.649999999999999" x14ac:dyDescent="0.5">
      <c r="D1164" s="3" t="s">
        <v>49</v>
      </c>
    </row>
    <row r="1165" spans="4:4" ht="17.649999999999999" x14ac:dyDescent="0.5">
      <c r="D1165" s="3" t="s">
        <v>46</v>
      </c>
    </row>
    <row r="1166" spans="4:4" ht="17.649999999999999" x14ac:dyDescent="0.5">
      <c r="D1166" s="3" t="s">
        <v>48</v>
      </c>
    </row>
    <row r="1167" spans="4:4" ht="17.649999999999999" x14ac:dyDescent="0.5">
      <c r="D1167" s="3" t="s">
        <v>73</v>
      </c>
    </row>
    <row r="1168" spans="4:4" ht="17.649999999999999" x14ac:dyDescent="0.5">
      <c r="D1168" s="3" t="s">
        <v>107</v>
      </c>
    </row>
    <row r="1169" spans="4:4" ht="17.649999999999999" x14ac:dyDescent="0.5">
      <c r="D1169" s="3" t="s">
        <v>120</v>
      </c>
    </row>
    <row r="1170" spans="4:4" ht="17.649999999999999" x14ac:dyDescent="0.5">
      <c r="D1170" s="3" t="s">
        <v>98</v>
      </c>
    </row>
    <row r="1171" spans="4:4" ht="17.649999999999999" x14ac:dyDescent="0.5">
      <c r="D1171" s="3" t="s">
        <v>117</v>
      </c>
    </row>
    <row r="1172" spans="4:4" ht="17.649999999999999" x14ac:dyDescent="0.5">
      <c r="D1172" s="3" t="s">
        <v>55</v>
      </c>
    </row>
    <row r="1173" spans="4:4" ht="17.649999999999999" x14ac:dyDescent="0.5">
      <c r="D1173" s="3" t="s">
        <v>73</v>
      </c>
    </row>
    <row r="1174" spans="4:4" ht="17.649999999999999" x14ac:dyDescent="0.5">
      <c r="D1174" s="3" t="s">
        <v>136</v>
      </c>
    </row>
    <row r="1175" spans="4:4" ht="17.649999999999999" x14ac:dyDescent="0.5">
      <c r="D1175" s="3" t="s">
        <v>94</v>
      </c>
    </row>
    <row r="1176" spans="4:4" ht="17.649999999999999" x14ac:dyDescent="0.5">
      <c r="D1176" s="3" t="s">
        <v>78</v>
      </c>
    </row>
    <row r="1177" spans="4:4" ht="17.649999999999999" x14ac:dyDescent="0.5">
      <c r="D1177" s="3" t="s">
        <v>66</v>
      </c>
    </row>
    <row r="1178" spans="4:4" ht="17.649999999999999" x14ac:dyDescent="0.5">
      <c r="D1178" s="3" t="s">
        <v>47</v>
      </c>
    </row>
    <row r="1179" spans="4:4" ht="17.649999999999999" x14ac:dyDescent="0.5">
      <c r="D1179" s="3" t="s">
        <v>83</v>
      </c>
    </row>
    <row r="1180" spans="4:4" ht="17.649999999999999" x14ac:dyDescent="0.5">
      <c r="D1180" s="3" t="s">
        <v>127</v>
      </c>
    </row>
    <row r="1181" spans="4:4" ht="17.649999999999999" x14ac:dyDescent="0.5">
      <c r="D1181" s="3" t="s">
        <v>61</v>
      </c>
    </row>
    <row r="1182" spans="4:4" ht="17.649999999999999" x14ac:dyDescent="0.5">
      <c r="D1182" s="3" t="s">
        <v>56</v>
      </c>
    </row>
    <row r="1183" spans="4:4" ht="17.649999999999999" x14ac:dyDescent="0.5">
      <c r="D1183" s="3" t="s">
        <v>48</v>
      </c>
    </row>
    <row r="1184" spans="4:4" ht="17.649999999999999" x14ac:dyDescent="0.5">
      <c r="D1184" s="3" t="s">
        <v>85</v>
      </c>
    </row>
    <row r="1185" spans="4:4" ht="17.649999999999999" x14ac:dyDescent="0.5">
      <c r="D1185" s="3" t="s">
        <v>134</v>
      </c>
    </row>
    <row r="1186" spans="4:4" ht="17.649999999999999" x14ac:dyDescent="0.5">
      <c r="D1186" s="3" t="s">
        <v>52</v>
      </c>
    </row>
    <row r="1187" spans="4:4" ht="17.649999999999999" x14ac:dyDescent="0.5">
      <c r="D1187" s="3" t="s">
        <v>119</v>
      </c>
    </row>
    <row r="1188" spans="4:4" ht="17.649999999999999" x14ac:dyDescent="0.5">
      <c r="D1188" s="3" t="s">
        <v>106</v>
      </c>
    </row>
    <row r="1189" spans="4:4" ht="17.649999999999999" x14ac:dyDescent="0.5">
      <c r="D1189" s="3" t="s">
        <v>79</v>
      </c>
    </row>
    <row r="1190" spans="4:4" ht="17.649999999999999" x14ac:dyDescent="0.5">
      <c r="D1190" s="3" t="s">
        <v>78</v>
      </c>
    </row>
    <row r="1191" spans="4:4" ht="17.649999999999999" x14ac:dyDescent="0.5">
      <c r="D1191" s="3" t="s">
        <v>98</v>
      </c>
    </row>
    <row r="1192" spans="4:4" ht="17.649999999999999" x14ac:dyDescent="0.5">
      <c r="D1192" s="3" t="s">
        <v>87</v>
      </c>
    </row>
    <row r="1193" spans="4:4" ht="17.649999999999999" x14ac:dyDescent="0.5">
      <c r="D1193" s="3" t="s">
        <v>53</v>
      </c>
    </row>
    <row r="1194" spans="4:4" ht="17.649999999999999" x14ac:dyDescent="0.5">
      <c r="D1194" s="3" t="s">
        <v>81</v>
      </c>
    </row>
    <row r="1195" spans="4:4" ht="17.649999999999999" x14ac:dyDescent="0.5">
      <c r="D1195" s="3" t="s">
        <v>91</v>
      </c>
    </row>
    <row r="1196" spans="4:4" ht="17.649999999999999" x14ac:dyDescent="0.5">
      <c r="D1196" s="3" t="s">
        <v>113</v>
      </c>
    </row>
    <row r="1197" spans="4:4" ht="17.649999999999999" x14ac:dyDescent="0.5">
      <c r="D1197" s="3" t="s">
        <v>115</v>
      </c>
    </row>
    <row r="1198" spans="4:4" ht="17.649999999999999" x14ac:dyDescent="0.5">
      <c r="D1198" s="3" t="s">
        <v>77</v>
      </c>
    </row>
    <row r="1199" spans="4:4" ht="17.649999999999999" x14ac:dyDescent="0.5">
      <c r="D1199" s="3" t="s">
        <v>80</v>
      </c>
    </row>
    <row r="1200" spans="4:4" ht="17.649999999999999" x14ac:dyDescent="0.5">
      <c r="D1200" s="3" t="s">
        <v>106</v>
      </c>
    </row>
    <row r="1201" spans="4:4" ht="17.649999999999999" x14ac:dyDescent="0.5">
      <c r="D1201" s="3" t="s">
        <v>53</v>
      </c>
    </row>
    <row r="1202" spans="4:4" ht="17.649999999999999" x14ac:dyDescent="0.5">
      <c r="D1202" s="3" t="s">
        <v>57</v>
      </c>
    </row>
    <row r="1203" spans="4:4" ht="17.649999999999999" x14ac:dyDescent="0.5">
      <c r="D1203" s="3" t="s">
        <v>112</v>
      </c>
    </row>
    <row r="1204" spans="4:4" ht="17.649999999999999" x14ac:dyDescent="0.5">
      <c r="D1204" s="3" t="s">
        <v>113</v>
      </c>
    </row>
    <row r="1205" spans="4:4" ht="17.649999999999999" x14ac:dyDescent="0.5">
      <c r="D1205" s="3" t="s">
        <v>62</v>
      </c>
    </row>
    <row r="1206" spans="4:4" ht="17.649999999999999" x14ac:dyDescent="0.5">
      <c r="D1206" s="3" t="s">
        <v>78</v>
      </c>
    </row>
    <row r="1207" spans="4:4" ht="17.649999999999999" x14ac:dyDescent="0.5">
      <c r="D1207" s="3" t="s">
        <v>87</v>
      </c>
    </row>
    <row r="1208" spans="4:4" ht="17.649999999999999" x14ac:dyDescent="0.5">
      <c r="D1208" s="3" t="s">
        <v>117</v>
      </c>
    </row>
    <row r="1209" spans="4:4" ht="17.649999999999999" x14ac:dyDescent="0.5">
      <c r="D1209" s="3" t="s">
        <v>75</v>
      </c>
    </row>
    <row r="1210" spans="4:4" ht="17.649999999999999" x14ac:dyDescent="0.5">
      <c r="D1210" s="3" t="s">
        <v>64</v>
      </c>
    </row>
    <row r="1211" spans="4:4" ht="17.649999999999999" x14ac:dyDescent="0.5">
      <c r="D1211" s="3" t="s">
        <v>110</v>
      </c>
    </row>
    <row r="1212" spans="4:4" ht="17.649999999999999" x14ac:dyDescent="0.5">
      <c r="D1212" s="3" t="s">
        <v>107</v>
      </c>
    </row>
    <row r="1213" spans="4:4" ht="17.649999999999999" x14ac:dyDescent="0.5">
      <c r="D1213" s="3" t="s">
        <v>57</v>
      </c>
    </row>
    <row r="1214" spans="4:4" ht="17.649999999999999" x14ac:dyDescent="0.5">
      <c r="D1214" s="3" t="s">
        <v>44</v>
      </c>
    </row>
    <row r="1215" spans="4:4" ht="17.649999999999999" x14ac:dyDescent="0.5">
      <c r="D1215" s="3" t="s">
        <v>122</v>
      </c>
    </row>
    <row r="1216" spans="4:4" ht="17.649999999999999" x14ac:dyDescent="0.5">
      <c r="D1216" s="3" t="s">
        <v>47</v>
      </c>
    </row>
    <row r="1217" spans="4:4" ht="17.649999999999999" x14ac:dyDescent="0.5">
      <c r="D1217" s="3" t="s">
        <v>46</v>
      </c>
    </row>
    <row r="1218" spans="4:4" ht="17.649999999999999" x14ac:dyDescent="0.5">
      <c r="D1218" s="3" t="s">
        <v>56</v>
      </c>
    </row>
    <row r="1219" spans="4:4" ht="17.649999999999999" x14ac:dyDescent="0.5">
      <c r="D1219" s="3" t="s">
        <v>132</v>
      </c>
    </row>
    <row r="1220" spans="4:4" ht="17.649999999999999" x14ac:dyDescent="0.5">
      <c r="D1220" s="3" t="s">
        <v>59</v>
      </c>
    </row>
    <row r="1221" spans="4:4" ht="17.649999999999999" x14ac:dyDescent="0.5">
      <c r="D1221" s="3" t="s">
        <v>108</v>
      </c>
    </row>
    <row r="1222" spans="4:4" ht="17.649999999999999" x14ac:dyDescent="0.5">
      <c r="D1222" s="3" t="s">
        <v>98</v>
      </c>
    </row>
    <row r="1223" spans="4:4" ht="17.649999999999999" x14ac:dyDescent="0.5">
      <c r="D1223" s="3" t="s">
        <v>73</v>
      </c>
    </row>
    <row r="1224" spans="4:4" ht="17.649999999999999" x14ac:dyDescent="0.5">
      <c r="D1224" s="3" t="s">
        <v>56</v>
      </c>
    </row>
    <row r="1225" spans="4:4" ht="17.649999999999999" x14ac:dyDescent="0.5">
      <c r="D1225" s="3" t="s">
        <v>65</v>
      </c>
    </row>
    <row r="1226" spans="4:4" ht="17.649999999999999" x14ac:dyDescent="0.5">
      <c r="D1226" s="3" t="s">
        <v>77</v>
      </c>
    </row>
    <row r="1227" spans="4:4" ht="17.649999999999999" x14ac:dyDescent="0.5">
      <c r="D1227" s="3" t="s">
        <v>73</v>
      </c>
    </row>
    <row r="1228" spans="4:4" ht="17.649999999999999" x14ac:dyDescent="0.5">
      <c r="D1228" s="3" t="s">
        <v>59</v>
      </c>
    </row>
    <row r="1229" spans="4:4" ht="17.649999999999999" x14ac:dyDescent="0.5">
      <c r="D1229" s="3" t="s">
        <v>68</v>
      </c>
    </row>
    <row r="1230" spans="4:4" ht="17.649999999999999" x14ac:dyDescent="0.5">
      <c r="D1230" s="3" t="s">
        <v>88</v>
      </c>
    </row>
    <row r="1231" spans="4:4" ht="17.649999999999999" x14ac:dyDescent="0.5">
      <c r="D1231" s="3" t="s">
        <v>43</v>
      </c>
    </row>
    <row r="1232" spans="4:4" ht="17.649999999999999" x14ac:dyDescent="0.5">
      <c r="D1232" s="3" t="s">
        <v>64</v>
      </c>
    </row>
    <row r="1233" spans="4:4" ht="17.649999999999999" x14ac:dyDescent="0.5">
      <c r="D1233" s="3" t="s">
        <v>83</v>
      </c>
    </row>
    <row r="1234" spans="4:4" ht="17.649999999999999" x14ac:dyDescent="0.5">
      <c r="D1234" s="3" t="s">
        <v>92</v>
      </c>
    </row>
    <row r="1235" spans="4:4" ht="17.649999999999999" x14ac:dyDescent="0.5">
      <c r="D1235" s="3" t="s">
        <v>69</v>
      </c>
    </row>
    <row r="1236" spans="4:4" ht="17.649999999999999" x14ac:dyDescent="0.5">
      <c r="D1236" s="3" t="s">
        <v>101</v>
      </c>
    </row>
    <row r="1237" spans="4:4" ht="17.649999999999999" x14ac:dyDescent="0.5">
      <c r="D1237" s="3" t="s">
        <v>49</v>
      </c>
    </row>
    <row r="1238" spans="4:4" ht="17.649999999999999" x14ac:dyDescent="0.5">
      <c r="D1238" s="3" t="s">
        <v>98</v>
      </c>
    </row>
    <row r="1239" spans="4:4" ht="17.649999999999999" x14ac:dyDescent="0.5">
      <c r="D1239" s="3" t="s">
        <v>48</v>
      </c>
    </row>
    <row r="1240" spans="4:4" ht="17.649999999999999" x14ac:dyDescent="0.5">
      <c r="D1240" s="3" t="s">
        <v>75</v>
      </c>
    </row>
    <row r="1241" spans="4:4" ht="17.649999999999999" x14ac:dyDescent="0.5">
      <c r="D1241" s="3" t="s">
        <v>86</v>
      </c>
    </row>
    <row r="1242" spans="4:4" ht="17.649999999999999" x14ac:dyDescent="0.5">
      <c r="D1242" s="3" t="s">
        <v>75</v>
      </c>
    </row>
    <row r="1243" spans="4:4" ht="17.649999999999999" x14ac:dyDescent="0.5">
      <c r="D1243" s="3" t="s">
        <v>92</v>
      </c>
    </row>
    <row r="1244" spans="4:4" ht="17.649999999999999" x14ac:dyDescent="0.5">
      <c r="D1244" s="3" t="s">
        <v>68</v>
      </c>
    </row>
    <row r="1245" spans="4:4" ht="17.649999999999999" x14ac:dyDescent="0.5">
      <c r="D1245" s="3" t="s">
        <v>56</v>
      </c>
    </row>
    <row r="1246" spans="4:4" ht="17.649999999999999" x14ac:dyDescent="0.5">
      <c r="D1246" s="3" t="s">
        <v>84</v>
      </c>
    </row>
    <row r="1247" spans="4:4" ht="17.649999999999999" x14ac:dyDescent="0.5">
      <c r="D1247" s="3" t="s">
        <v>78</v>
      </c>
    </row>
    <row r="1248" spans="4:4" ht="17.649999999999999" x14ac:dyDescent="0.5">
      <c r="D1248" s="3" t="s">
        <v>101</v>
      </c>
    </row>
    <row r="1249" spans="4:4" ht="17.649999999999999" x14ac:dyDescent="0.5">
      <c r="D1249" s="3" t="s">
        <v>120</v>
      </c>
    </row>
    <row r="1250" spans="4:4" ht="17.649999999999999" x14ac:dyDescent="0.5">
      <c r="D1250" s="3" t="s">
        <v>65</v>
      </c>
    </row>
    <row r="1251" spans="4:4" ht="17.649999999999999" x14ac:dyDescent="0.5">
      <c r="D1251" s="3" t="s">
        <v>112</v>
      </c>
    </row>
    <row r="1252" spans="4:4" ht="17.649999999999999" x14ac:dyDescent="0.5">
      <c r="D1252" s="3" t="s">
        <v>133</v>
      </c>
    </row>
    <row r="1253" spans="4:4" ht="17.649999999999999" x14ac:dyDescent="0.5">
      <c r="D1253" s="3" t="s">
        <v>66</v>
      </c>
    </row>
    <row r="1254" spans="4:4" ht="17.649999999999999" x14ac:dyDescent="0.5">
      <c r="D1254" s="3" t="s">
        <v>41</v>
      </c>
    </row>
    <row r="1255" spans="4:4" ht="17.649999999999999" x14ac:dyDescent="0.5">
      <c r="D1255" s="3" t="s">
        <v>92</v>
      </c>
    </row>
    <row r="1256" spans="4:4" ht="17.649999999999999" x14ac:dyDescent="0.5">
      <c r="D1256" s="3" t="s">
        <v>69</v>
      </c>
    </row>
    <row r="1257" spans="4:4" ht="17.649999999999999" x14ac:dyDescent="0.5">
      <c r="D1257" s="3" t="s">
        <v>85</v>
      </c>
    </row>
    <row r="1258" spans="4:4" ht="17.649999999999999" x14ac:dyDescent="0.5">
      <c r="D1258" s="3" t="s">
        <v>96</v>
      </c>
    </row>
    <row r="1259" spans="4:4" ht="17.649999999999999" x14ac:dyDescent="0.5">
      <c r="D1259" s="3" t="s">
        <v>55</v>
      </c>
    </row>
    <row r="1260" spans="4:4" ht="17.649999999999999" x14ac:dyDescent="0.5">
      <c r="D1260" s="3" t="s">
        <v>66</v>
      </c>
    </row>
    <row r="1261" spans="4:4" ht="17.649999999999999" x14ac:dyDescent="0.5">
      <c r="D1261" s="3" t="s">
        <v>115</v>
      </c>
    </row>
    <row r="1262" spans="4:4" ht="17.649999999999999" x14ac:dyDescent="0.5">
      <c r="D1262" s="3" t="s">
        <v>123</v>
      </c>
    </row>
    <row r="1263" spans="4:4" ht="17.649999999999999" x14ac:dyDescent="0.5">
      <c r="D1263" s="3" t="s">
        <v>47</v>
      </c>
    </row>
    <row r="1264" spans="4:4" ht="17.649999999999999" x14ac:dyDescent="0.5">
      <c r="D1264" s="3" t="s">
        <v>74</v>
      </c>
    </row>
    <row r="1265" spans="4:4" ht="17.649999999999999" x14ac:dyDescent="0.5">
      <c r="D1265" s="3" t="s">
        <v>121</v>
      </c>
    </row>
    <row r="1266" spans="4:4" ht="17.649999999999999" x14ac:dyDescent="0.5">
      <c r="D1266" s="3" t="s">
        <v>41</v>
      </c>
    </row>
    <row r="1267" spans="4:4" ht="17.649999999999999" x14ac:dyDescent="0.5">
      <c r="D1267" s="3" t="s">
        <v>129</v>
      </c>
    </row>
    <row r="1268" spans="4:4" ht="17.649999999999999" x14ac:dyDescent="0.5">
      <c r="D1268" s="3" t="s">
        <v>54</v>
      </c>
    </row>
    <row r="1269" spans="4:4" ht="17.649999999999999" x14ac:dyDescent="0.5">
      <c r="D1269" s="3" t="s">
        <v>90</v>
      </c>
    </row>
    <row r="1270" spans="4:4" ht="17.649999999999999" x14ac:dyDescent="0.5">
      <c r="D1270" s="3" t="s">
        <v>117</v>
      </c>
    </row>
    <row r="1271" spans="4:4" ht="17.649999999999999" x14ac:dyDescent="0.5">
      <c r="D1271" s="3" t="s">
        <v>105</v>
      </c>
    </row>
    <row r="1272" spans="4:4" ht="17.649999999999999" x14ac:dyDescent="0.5">
      <c r="D1272" s="3" t="s">
        <v>84</v>
      </c>
    </row>
    <row r="1273" spans="4:4" ht="17.649999999999999" x14ac:dyDescent="0.5">
      <c r="D1273" s="3" t="s">
        <v>112</v>
      </c>
    </row>
    <row r="1274" spans="4:4" ht="17.649999999999999" x14ac:dyDescent="0.5">
      <c r="D1274" s="3" t="s">
        <v>46</v>
      </c>
    </row>
    <row r="1275" spans="4:4" ht="17.649999999999999" x14ac:dyDescent="0.5">
      <c r="D1275" s="3" t="s">
        <v>63</v>
      </c>
    </row>
    <row r="1276" spans="4:4" ht="17.649999999999999" x14ac:dyDescent="0.5">
      <c r="D1276" s="3" t="s">
        <v>66</v>
      </c>
    </row>
    <row r="1277" spans="4:4" ht="17.649999999999999" x14ac:dyDescent="0.5">
      <c r="D1277" s="3" t="s">
        <v>47</v>
      </c>
    </row>
    <row r="1278" spans="4:4" ht="17.649999999999999" x14ac:dyDescent="0.5">
      <c r="D1278" s="3" t="s">
        <v>108</v>
      </c>
    </row>
    <row r="1279" spans="4:4" ht="17.649999999999999" x14ac:dyDescent="0.5">
      <c r="D1279" s="3" t="s">
        <v>120</v>
      </c>
    </row>
    <row r="1280" spans="4:4" ht="17.649999999999999" x14ac:dyDescent="0.5">
      <c r="D1280" s="3" t="s">
        <v>73</v>
      </c>
    </row>
    <row r="1281" spans="4:4" ht="17.649999999999999" x14ac:dyDescent="0.5">
      <c r="D1281" s="3" t="s">
        <v>59</v>
      </c>
    </row>
    <row r="1282" spans="4:4" ht="17.649999999999999" x14ac:dyDescent="0.5">
      <c r="D1282" s="3" t="s">
        <v>81</v>
      </c>
    </row>
    <row r="1283" spans="4:4" ht="17.649999999999999" x14ac:dyDescent="0.5">
      <c r="D1283" s="3" t="s">
        <v>44</v>
      </c>
    </row>
    <row r="1284" spans="4:4" ht="17.649999999999999" x14ac:dyDescent="0.5">
      <c r="D1284" s="3" t="s">
        <v>66</v>
      </c>
    </row>
    <row r="1285" spans="4:4" ht="17.649999999999999" x14ac:dyDescent="0.5">
      <c r="D1285" s="3" t="s">
        <v>108</v>
      </c>
    </row>
    <row r="1286" spans="4:4" ht="17.649999999999999" x14ac:dyDescent="0.5">
      <c r="D1286" s="3" t="s">
        <v>89</v>
      </c>
    </row>
    <row r="1287" spans="4:4" ht="17.649999999999999" x14ac:dyDescent="0.5">
      <c r="D1287" s="3" t="s">
        <v>109</v>
      </c>
    </row>
    <row r="1288" spans="4:4" ht="17.649999999999999" x14ac:dyDescent="0.5">
      <c r="D1288" s="3" t="s">
        <v>92</v>
      </c>
    </row>
    <row r="1289" spans="4:4" ht="17.649999999999999" x14ac:dyDescent="0.5">
      <c r="D1289" s="3" t="s">
        <v>74</v>
      </c>
    </row>
    <row r="1290" spans="4:4" ht="17.649999999999999" x14ac:dyDescent="0.5">
      <c r="D1290" s="3" t="s">
        <v>66</v>
      </c>
    </row>
    <row r="1291" spans="4:4" ht="17.649999999999999" x14ac:dyDescent="0.5">
      <c r="D1291" s="3" t="s">
        <v>101</v>
      </c>
    </row>
    <row r="1292" spans="4:4" ht="17.649999999999999" x14ac:dyDescent="0.5">
      <c r="D1292" s="3" t="s">
        <v>59</v>
      </c>
    </row>
    <row r="1293" spans="4:4" ht="17.649999999999999" x14ac:dyDescent="0.5">
      <c r="D1293" s="3" t="s">
        <v>44</v>
      </c>
    </row>
    <row r="1294" spans="4:4" ht="17.649999999999999" x14ac:dyDescent="0.5">
      <c r="D1294" s="3" t="s">
        <v>132</v>
      </c>
    </row>
    <row r="1295" spans="4:4" ht="17.649999999999999" x14ac:dyDescent="0.5">
      <c r="D1295" s="3" t="s">
        <v>91</v>
      </c>
    </row>
    <row r="1296" spans="4:4" ht="17.649999999999999" x14ac:dyDescent="0.5">
      <c r="D1296" s="3" t="s">
        <v>55</v>
      </c>
    </row>
    <row r="1297" spans="4:4" ht="17.649999999999999" x14ac:dyDescent="0.5">
      <c r="D1297" s="3" t="s">
        <v>97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55</v>
      </c>
    </row>
    <row r="1300" spans="4:4" ht="17.649999999999999" x14ac:dyDescent="0.5">
      <c r="D1300" s="3" t="s">
        <v>115</v>
      </c>
    </row>
    <row r="1301" spans="4:4" ht="17.649999999999999" x14ac:dyDescent="0.5">
      <c r="D1301" s="3" t="s">
        <v>67</v>
      </c>
    </row>
    <row r="1302" spans="4:4" ht="17.649999999999999" x14ac:dyDescent="0.5">
      <c r="D1302" s="3" t="s">
        <v>70</v>
      </c>
    </row>
    <row r="1303" spans="4:4" ht="17.649999999999999" x14ac:dyDescent="0.5">
      <c r="D1303" s="3" t="s">
        <v>44</v>
      </c>
    </row>
    <row r="1304" spans="4:4" ht="17.649999999999999" x14ac:dyDescent="0.5">
      <c r="D1304" s="3" t="s">
        <v>70</v>
      </c>
    </row>
    <row r="1305" spans="4:4" ht="17.649999999999999" x14ac:dyDescent="0.5">
      <c r="D1305" s="3" t="s">
        <v>75</v>
      </c>
    </row>
    <row r="1306" spans="4:4" ht="17.649999999999999" x14ac:dyDescent="0.5">
      <c r="D1306" s="3" t="s">
        <v>105</v>
      </c>
    </row>
    <row r="1307" spans="4:4" ht="17.649999999999999" x14ac:dyDescent="0.5">
      <c r="D1307" s="3" t="s">
        <v>135</v>
      </c>
    </row>
    <row r="1308" spans="4:4" ht="17.649999999999999" x14ac:dyDescent="0.5">
      <c r="D1308" s="3" t="s">
        <v>63</v>
      </c>
    </row>
    <row r="1309" spans="4:4" ht="17.649999999999999" x14ac:dyDescent="0.5">
      <c r="D1309" s="3" t="s">
        <v>66</v>
      </c>
    </row>
    <row r="1310" spans="4:4" ht="17.649999999999999" x14ac:dyDescent="0.5">
      <c r="D1310" s="3" t="s">
        <v>115</v>
      </c>
    </row>
    <row r="1311" spans="4:4" ht="17.649999999999999" x14ac:dyDescent="0.5">
      <c r="D1311" s="3" t="s">
        <v>103</v>
      </c>
    </row>
    <row r="1312" spans="4:4" ht="17.649999999999999" x14ac:dyDescent="0.5">
      <c r="D1312" s="3" t="s">
        <v>49</v>
      </c>
    </row>
    <row r="1313" spans="4:4" ht="17.649999999999999" x14ac:dyDescent="0.5">
      <c r="D1313" s="3" t="s">
        <v>94</v>
      </c>
    </row>
    <row r="1314" spans="4:4" ht="17.649999999999999" x14ac:dyDescent="0.5">
      <c r="D1314" s="3" t="s">
        <v>80</v>
      </c>
    </row>
    <row r="1315" spans="4:4" ht="17.649999999999999" x14ac:dyDescent="0.5">
      <c r="D1315" s="3" t="s">
        <v>57</v>
      </c>
    </row>
    <row r="1316" spans="4:4" ht="17.649999999999999" x14ac:dyDescent="0.5">
      <c r="D1316" s="3" t="s">
        <v>51</v>
      </c>
    </row>
    <row r="1317" spans="4:4" ht="17.649999999999999" x14ac:dyDescent="0.5">
      <c r="D1317" s="3" t="s">
        <v>46</v>
      </c>
    </row>
    <row r="1318" spans="4:4" ht="17.649999999999999" x14ac:dyDescent="0.5">
      <c r="D1318" s="3" t="s">
        <v>74</v>
      </c>
    </row>
    <row r="1319" spans="4:4" ht="17.649999999999999" x14ac:dyDescent="0.5">
      <c r="D1319" s="3" t="s">
        <v>134</v>
      </c>
    </row>
    <row r="1320" spans="4:4" ht="17.649999999999999" x14ac:dyDescent="0.5">
      <c r="D1320" s="3" t="s">
        <v>43</v>
      </c>
    </row>
    <row r="1321" spans="4:4" ht="17.649999999999999" x14ac:dyDescent="0.5">
      <c r="D1321" s="3" t="s">
        <v>53</v>
      </c>
    </row>
    <row r="1322" spans="4:4" ht="17.649999999999999" x14ac:dyDescent="0.5">
      <c r="D1322" s="3" t="s">
        <v>56</v>
      </c>
    </row>
    <row r="1323" spans="4:4" ht="17.649999999999999" x14ac:dyDescent="0.5">
      <c r="D1323" s="3" t="s">
        <v>134</v>
      </c>
    </row>
    <row r="1324" spans="4:4" ht="17.649999999999999" x14ac:dyDescent="0.5">
      <c r="D1324" s="3" t="s">
        <v>44</v>
      </c>
    </row>
    <row r="1325" spans="4:4" ht="17.649999999999999" x14ac:dyDescent="0.5">
      <c r="D1325" s="3" t="s">
        <v>64</v>
      </c>
    </row>
    <row r="1326" spans="4:4" ht="17.649999999999999" x14ac:dyDescent="0.5">
      <c r="D1326" s="3" t="s">
        <v>107</v>
      </c>
    </row>
    <row r="1327" spans="4:4" ht="17.649999999999999" x14ac:dyDescent="0.5">
      <c r="D1327" s="3" t="s">
        <v>130</v>
      </c>
    </row>
    <row r="1328" spans="4:4" ht="17.649999999999999" x14ac:dyDescent="0.5">
      <c r="D1328" s="3" t="s">
        <v>103</v>
      </c>
    </row>
    <row r="1329" spans="4:4" ht="17.649999999999999" x14ac:dyDescent="0.5">
      <c r="D1329" s="3" t="s">
        <v>84</v>
      </c>
    </row>
    <row r="1330" spans="4:4" ht="17.649999999999999" x14ac:dyDescent="0.5">
      <c r="D1330" s="3" t="s">
        <v>88</v>
      </c>
    </row>
    <row r="1331" spans="4:4" ht="17.649999999999999" x14ac:dyDescent="0.5">
      <c r="D1331" s="3" t="s">
        <v>101</v>
      </c>
    </row>
    <row r="1332" spans="4:4" ht="17.649999999999999" x14ac:dyDescent="0.5">
      <c r="D1332" s="3" t="s">
        <v>63</v>
      </c>
    </row>
    <row r="1333" spans="4:4" ht="17.649999999999999" x14ac:dyDescent="0.5">
      <c r="D1333" s="3" t="s">
        <v>59</v>
      </c>
    </row>
    <row r="1334" spans="4:4" ht="17.649999999999999" x14ac:dyDescent="0.5">
      <c r="D1334" s="3" t="s">
        <v>117</v>
      </c>
    </row>
    <row r="1335" spans="4:4" ht="17.649999999999999" x14ac:dyDescent="0.5">
      <c r="D1335" s="3" t="s">
        <v>51</v>
      </c>
    </row>
    <row r="1336" spans="4:4" ht="17.649999999999999" x14ac:dyDescent="0.5">
      <c r="D1336" s="3" t="s">
        <v>42</v>
      </c>
    </row>
    <row r="1337" spans="4:4" ht="17.649999999999999" x14ac:dyDescent="0.5">
      <c r="D1337" s="3" t="s">
        <v>115</v>
      </c>
    </row>
    <row r="1338" spans="4:4" ht="17.649999999999999" x14ac:dyDescent="0.5">
      <c r="D1338" s="3" t="s">
        <v>103</v>
      </c>
    </row>
    <row r="1339" spans="4:4" ht="17.649999999999999" x14ac:dyDescent="0.5">
      <c r="D1339" s="3" t="s">
        <v>54</v>
      </c>
    </row>
    <row r="1340" spans="4:4" ht="17.649999999999999" x14ac:dyDescent="0.5">
      <c r="D1340" s="3" t="s">
        <v>84</v>
      </c>
    </row>
    <row r="1341" spans="4:4" ht="17.649999999999999" x14ac:dyDescent="0.5">
      <c r="D1341" s="3" t="s">
        <v>41</v>
      </c>
    </row>
    <row r="1342" spans="4:4" ht="17.649999999999999" x14ac:dyDescent="0.5">
      <c r="D1342" s="3" t="s">
        <v>117</v>
      </c>
    </row>
    <row r="1343" spans="4:4" ht="17.649999999999999" x14ac:dyDescent="0.5">
      <c r="D1343" s="3" t="s">
        <v>80</v>
      </c>
    </row>
    <row r="1344" spans="4:4" ht="17.649999999999999" x14ac:dyDescent="0.5">
      <c r="D1344" s="3" t="s">
        <v>75</v>
      </c>
    </row>
    <row r="1345" spans="4:4" ht="17.649999999999999" x14ac:dyDescent="0.5">
      <c r="D1345" s="3" t="s">
        <v>67</v>
      </c>
    </row>
    <row r="1346" spans="4:4" ht="17.649999999999999" x14ac:dyDescent="0.5">
      <c r="D1346" s="3" t="s">
        <v>115</v>
      </c>
    </row>
    <row r="1347" spans="4:4" ht="17.649999999999999" x14ac:dyDescent="0.5">
      <c r="D1347" s="3" t="s">
        <v>74</v>
      </c>
    </row>
    <row r="1348" spans="4:4" ht="17.649999999999999" x14ac:dyDescent="0.5">
      <c r="D1348" s="3" t="s">
        <v>48</v>
      </c>
    </row>
    <row r="1349" spans="4:4" ht="17.649999999999999" x14ac:dyDescent="0.5">
      <c r="D1349" s="3" t="s">
        <v>43</v>
      </c>
    </row>
    <row r="1350" spans="4:4" ht="17.649999999999999" x14ac:dyDescent="0.5">
      <c r="D1350" s="3" t="s">
        <v>80</v>
      </c>
    </row>
    <row r="1351" spans="4:4" ht="17.649999999999999" x14ac:dyDescent="0.5">
      <c r="D1351" s="3" t="s">
        <v>90</v>
      </c>
    </row>
    <row r="1352" spans="4:4" ht="17.649999999999999" x14ac:dyDescent="0.5">
      <c r="D1352" s="3" t="s">
        <v>107</v>
      </c>
    </row>
    <row r="1353" spans="4:4" ht="17.649999999999999" x14ac:dyDescent="0.5">
      <c r="D1353" s="3" t="s">
        <v>114</v>
      </c>
    </row>
    <row r="1354" spans="4:4" ht="17.649999999999999" x14ac:dyDescent="0.5">
      <c r="D1354" s="3" t="s">
        <v>50</v>
      </c>
    </row>
    <row r="1355" spans="4:4" ht="17.649999999999999" x14ac:dyDescent="0.5">
      <c r="D1355" s="3" t="s">
        <v>80</v>
      </c>
    </row>
    <row r="1356" spans="4:4" ht="17.649999999999999" x14ac:dyDescent="0.5">
      <c r="D1356" s="3" t="s">
        <v>92</v>
      </c>
    </row>
    <row r="1357" spans="4:4" ht="17.649999999999999" x14ac:dyDescent="0.5">
      <c r="D1357" s="3" t="s">
        <v>91</v>
      </c>
    </row>
    <row r="1358" spans="4:4" ht="17.649999999999999" x14ac:dyDescent="0.5">
      <c r="D1358" s="3" t="s">
        <v>47</v>
      </c>
    </row>
    <row r="1359" spans="4:4" ht="17.649999999999999" x14ac:dyDescent="0.5">
      <c r="D1359" s="3" t="s">
        <v>48</v>
      </c>
    </row>
    <row r="1360" spans="4:4" ht="17.649999999999999" x14ac:dyDescent="0.5">
      <c r="D1360" s="3" t="s">
        <v>87</v>
      </c>
    </row>
    <row r="1361" spans="4:4" ht="17.649999999999999" x14ac:dyDescent="0.5">
      <c r="D1361" s="3" t="s">
        <v>48</v>
      </c>
    </row>
    <row r="1362" spans="4:4" ht="17.649999999999999" x14ac:dyDescent="0.5">
      <c r="D1362" s="3" t="s">
        <v>84</v>
      </c>
    </row>
    <row r="1363" spans="4:4" ht="17.649999999999999" x14ac:dyDescent="0.5">
      <c r="D1363" s="3" t="s">
        <v>110</v>
      </c>
    </row>
    <row r="1364" spans="4:4" ht="17.649999999999999" x14ac:dyDescent="0.5">
      <c r="D1364" s="3" t="s">
        <v>109</v>
      </c>
    </row>
    <row r="1365" spans="4:4" ht="17.649999999999999" x14ac:dyDescent="0.5">
      <c r="D1365" s="3" t="s">
        <v>125</v>
      </c>
    </row>
    <row r="1366" spans="4:4" ht="17.649999999999999" x14ac:dyDescent="0.5">
      <c r="D1366" s="3" t="s">
        <v>127</v>
      </c>
    </row>
    <row r="1367" spans="4:4" ht="17.649999999999999" x14ac:dyDescent="0.5">
      <c r="D1367" s="3" t="s">
        <v>44</v>
      </c>
    </row>
    <row r="1368" spans="4:4" ht="17.649999999999999" x14ac:dyDescent="0.5">
      <c r="D1368" s="3" t="s">
        <v>53</v>
      </c>
    </row>
    <row r="1369" spans="4:4" ht="17.649999999999999" x14ac:dyDescent="0.5">
      <c r="D1369" s="3" t="s">
        <v>43</v>
      </c>
    </row>
    <row r="1370" spans="4:4" ht="17.649999999999999" x14ac:dyDescent="0.5">
      <c r="D1370" s="3" t="s">
        <v>105</v>
      </c>
    </row>
    <row r="1371" spans="4:4" ht="17.649999999999999" x14ac:dyDescent="0.5">
      <c r="D1371" s="3" t="s">
        <v>67</v>
      </c>
    </row>
    <row r="1372" spans="4:4" ht="17.649999999999999" x14ac:dyDescent="0.5">
      <c r="D1372" s="3" t="s">
        <v>75</v>
      </c>
    </row>
    <row r="1373" spans="4:4" ht="17.649999999999999" x14ac:dyDescent="0.5">
      <c r="D1373" s="3" t="s">
        <v>112</v>
      </c>
    </row>
    <row r="1374" spans="4:4" ht="17.649999999999999" x14ac:dyDescent="0.5">
      <c r="D1374" s="3" t="s">
        <v>66</v>
      </c>
    </row>
    <row r="1375" spans="4:4" ht="17.649999999999999" x14ac:dyDescent="0.5">
      <c r="D1375" s="3" t="s">
        <v>68</v>
      </c>
    </row>
    <row r="1376" spans="4:4" ht="17.649999999999999" x14ac:dyDescent="0.5">
      <c r="D1376" s="3" t="s">
        <v>51</v>
      </c>
    </row>
    <row r="1377" spans="4:4" ht="17.649999999999999" x14ac:dyDescent="0.5">
      <c r="D1377" s="3" t="s">
        <v>84</v>
      </c>
    </row>
    <row r="1378" spans="4:4" ht="17.649999999999999" x14ac:dyDescent="0.5">
      <c r="D1378" s="3" t="s">
        <v>75</v>
      </c>
    </row>
    <row r="1379" spans="4:4" ht="17.649999999999999" x14ac:dyDescent="0.5">
      <c r="D1379" s="3" t="s">
        <v>128</v>
      </c>
    </row>
    <row r="1380" spans="4:4" ht="17.649999999999999" x14ac:dyDescent="0.5">
      <c r="D1380" s="3" t="s">
        <v>81</v>
      </c>
    </row>
    <row r="1381" spans="4:4" ht="17.649999999999999" x14ac:dyDescent="0.5">
      <c r="D1381" s="3" t="s">
        <v>98</v>
      </c>
    </row>
    <row r="1382" spans="4:4" ht="17.649999999999999" x14ac:dyDescent="0.5">
      <c r="D1382" s="3" t="s">
        <v>63</v>
      </c>
    </row>
    <row r="1383" spans="4:4" ht="17.649999999999999" x14ac:dyDescent="0.5">
      <c r="D1383" s="3" t="s">
        <v>47</v>
      </c>
    </row>
    <row r="1384" spans="4:4" ht="17.649999999999999" x14ac:dyDescent="0.5">
      <c r="D1384" s="3" t="s">
        <v>72</v>
      </c>
    </row>
    <row r="1385" spans="4:4" ht="17.649999999999999" x14ac:dyDescent="0.5">
      <c r="D1385" s="3" t="s">
        <v>122</v>
      </c>
    </row>
    <row r="1386" spans="4:4" ht="17.649999999999999" x14ac:dyDescent="0.5">
      <c r="D1386" s="3" t="s">
        <v>68</v>
      </c>
    </row>
    <row r="1387" spans="4:4" ht="17.649999999999999" x14ac:dyDescent="0.5">
      <c r="D1387" s="3" t="s">
        <v>90</v>
      </c>
    </row>
    <row r="1388" spans="4:4" ht="17.649999999999999" x14ac:dyDescent="0.5">
      <c r="D1388" s="3" t="s">
        <v>80</v>
      </c>
    </row>
    <row r="1389" spans="4:4" ht="17.649999999999999" x14ac:dyDescent="0.5">
      <c r="D1389" s="3" t="s">
        <v>84</v>
      </c>
    </row>
    <row r="1390" spans="4:4" ht="17.649999999999999" x14ac:dyDescent="0.5">
      <c r="D1390" s="3" t="s">
        <v>69</v>
      </c>
    </row>
    <row r="1391" spans="4:4" ht="17.649999999999999" x14ac:dyDescent="0.5">
      <c r="D1391" s="3" t="s">
        <v>103</v>
      </c>
    </row>
    <row r="1392" spans="4:4" ht="17.649999999999999" x14ac:dyDescent="0.5">
      <c r="D1392" s="3" t="s">
        <v>109</v>
      </c>
    </row>
    <row r="1393" spans="4:4" ht="17.649999999999999" x14ac:dyDescent="0.5">
      <c r="D1393" s="3" t="s">
        <v>91</v>
      </c>
    </row>
    <row r="1394" spans="4:4" ht="17.649999999999999" x14ac:dyDescent="0.5">
      <c r="D1394" s="3" t="s">
        <v>106</v>
      </c>
    </row>
    <row r="1395" spans="4:4" ht="17.649999999999999" x14ac:dyDescent="0.5">
      <c r="D1395" s="3" t="s">
        <v>53</v>
      </c>
    </row>
    <row r="1396" spans="4:4" ht="17.649999999999999" x14ac:dyDescent="0.5">
      <c r="D1396" s="3" t="s">
        <v>135</v>
      </c>
    </row>
    <row r="1397" spans="4:4" ht="17.649999999999999" x14ac:dyDescent="0.5">
      <c r="D1397" s="3" t="s">
        <v>79</v>
      </c>
    </row>
    <row r="1398" spans="4:4" ht="17.649999999999999" x14ac:dyDescent="0.5">
      <c r="D1398" s="3" t="s">
        <v>98</v>
      </c>
    </row>
    <row r="1399" spans="4:4" ht="17.649999999999999" x14ac:dyDescent="0.5">
      <c r="D1399" s="3" t="s">
        <v>50</v>
      </c>
    </row>
    <row r="1400" spans="4:4" ht="17.649999999999999" x14ac:dyDescent="0.5">
      <c r="D1400" s="3" t="s">
        <v>67</v>
      </c>
    </row>
    <row r="1401" spans="4:4" ht="17.649999999999999" x14ac:dyDescent="0.5">
      <c r="D1401" s="3" t="s">
        <v>66</v>
      </c>
    </row>
    <row r="1402" spans="4:4" ht="17.649999999999999" x14ac:dyDescent="0.5">
      <c r="D1402" s="3" t="s">
        <v>91</v>
      </c>
    </row>
    <row r="1403" spans="4:4" ht="17.649999999999999" x14ac:dyDescent="0.5">
      <c r="D1403" s="3" t="s">
        <v>122</v>
      </c>
    </row>
    <row r="1404" spans="4:4" ht="17.649999999999999" x14ac:dyDescent="0.5">
      <c r="D1404" s="3" t="s">
        <v>51</v>
      </c>
    </row>
    <row r="1405" spans="4:4" ht="17.649999999999999" x14ac:dyDescent="0.5">
      <c r="D1405" s="3" t="s">
        <v>119</v>
      </c>
    </row>
    <row r="1406" spans="4:4" ht="17.649999999999999" x14ac:dyDescent="0.5">
      <c r="D1406" s="3" t="s">
        <v>118</v>
      </c>
    </row>
    <row r="1407" spans="4:4" ht="17.649999999999999" x14ac:dyDescent="0.5">
      <c r="D1407" s="3" t="s">
        <v>61</v>
      </c>
    </row>
    <row r="1408" spans="4:4" ht="17.649999999999999" x14ac:dyDescent="0.5">
      <c r="D1408" s="3" t="s">
        <v>125</v>
      </c>
    </row>
    <row r="1409" spans="4:4" ht="17.649999999999999" x14ac:dyDescent="0.5">
      <c r="D1409" s="3" t="s">
        <v>48</v>
      </c>
    </row>
    <row r="1410" spans="4:4" ht="17.649999999999999" x14ac:dyDescent="0.5">
      <c r="D1410" s="3" t="s">
        <v>87</v>
      </c>
    </row>
    <row r="1411" spans="4:4" ht="17.649999999999999" x14ac:dyDescent="0.5">
      <c r="D1411" s="3" t="s">
        <v>92</v>
      </c>
    </row>
    <row r="1412" spans="4:4" ht="17.649999999999999" x14ac:dyDescent="0.5">
      <c r="D1412" s="3" t="s">
        <v>96</v>
      </c>
    </row>
    <row r="1413" spans="4:4" ht="17.649999999999999" x14ac:dyDescent="0.5">
      <c r="D1413" s="3" t="s">
        <v>59</v>
      </c>
    </row>
    <row r="1414" spans="4:4" ht="17.649999999999999" x14ac:dyDescent="0.5">
      <c r="D1414" s="3" t="s">
        <v>124</v>
      </c>
    </row>
    <row r="1415" spans="4:4" ht="17.649999999999999" x14ac:dyDescent="0.5">
      <c r="D1415" s="3" t="s">
        <v>56</v>
      </c>
    </row>
    <row r="1416" spans="4:4" ht="17.649999999999999" x14ac:dyDescent="0.5">
      <c r="D1416" s="3" t="s">
        <v>116</v>
      </c>
    </row>
    <row r="1417" spans="4:4" ht="17.649999999999999" x14ac:dyDescent="0.5">
      <c r="D1417" s="3" t="s">
        <v>46</v>
      </c>
    </row>
    <row r="1418" spans="4:4" ht="17.649999999999999" x14ac:dyDescent="0.5">
      <c r="D1418" s="3" t="s">
        <v>87</v>
      </c>
    </row>
    <row r="1419" spans="4:4" ht="17.649999999999999" x14ac:dyDescent="0.5">
      <c r="D1419" s="3" t="s">
        <v>83</v>
      </c>
    </row>
    <row r="1420" spans="4:4" ht="17.649999999999999" x14ac:dyDescent="0.5">
      <c r="D1420" s="3" t="s">
        <v>101</v>
      </c>
    </row>
    <row r="1421" spans="4:4" ht="17.649999999999999" x14ac:dyDescent="0.5">
      <c r="D1421" s="3" t="s">
        <v>92</v>
      </c>
    </row>
    <row r="1422" spans="4:4" ht="17.649999999999999" x14ac:dyDescent="0.5">
      <c r="D1422" s="3" t="s">
        <v>71</v>
      </c>
    </row>
    <row r="1423" spans="4:4" ht="17.649999999999999" x14ac:dyDescent="0.5">
      <c r="D1423" s="3" t="s">
        <v>79</v>
      </c>
    </row>
    <row r="1424" spans="4:4" ht="17.649999999999999" x14ac:dyDescent="0.5">
      <c r="D1424" s="3" t="s">
        <v>84</v>
      </c>
    </row>
    <row r="1425" spans="4:4" ht="17.649999999999999" x14ac:dyDescent="0.5">
      <c r="D1425" s="3" t="s">
        <v>52</v>
      </c>
    </row>
    <row r="1426" spans="4:4" ht="17.649999999999999" x14ac:dyDescent="0.5">
      <c r="D1426" s="3" t="s">
        <v>76</v>
      </c>
    </row>
    <row r="1427" spans="4:4" ht="17.649999999999999" x14ac:dyDescent="0.5">
      <c r="D1427" s="3" t="s">
        <v>53</v>
      </c>
    </row>
    <row r="1428" spans="4:4" ht="17.649999999999999" x14ac:dyDescent="0.5">
      <c r="D1428" s="3" t="s">
        <v>94</v>
      </c>
    </row>
    <row r="1429" spans="4:4" ht="17.649999999999999" x14ac:dyDescent="0.5">
      <c r="D1429" s="3" t="s">
        <v>108</v>
      </c>
    </row>
    <row r="1430" spans="4:4" ht="17.649999999999999" x14ac:dyDescent="0.5">
      <c r="D1430" s="3" t="s">
        <v>127</v>
      </c>
    </row>
    <row r="1431" spans="4:4" ht="17.649999999999999" x14ac:dyDescent="0.5">
      <c r="D1431" s="3" t="s">
        <v>61</v>
      </c>
    </row>
    <row r="1432" spans="4:4" ht="17.649999999999999" x14ac:dyDescent="0.5">
      <c r="D1432" s="3" t="s">
        <v>85</v>
      </c>
    </row>
    <row r="1433" spans="4:4" ht="17.649999999999999" x14ac:dyDescent="0.5">
      <c r="D1433" s="3" t="s">
        <v>61</v>
      </c>
    </row>
    <row r="1434" spans="4:4" ht="17.649999999999999" x14ac:dyDescent="0.5">
      <c r="D1434" s="3" t="s">
        <v>131</v>
      </c>
    </row>
    <row r="1435" spans="4:4" ht="17.649999999999999" x14ac:dyDescent="0.5">
      <c r="D1435" s="3" t="s">
        <v>120</v>
      </c>
    </row>
    <row r="1436" spans="4:4" ht="17.649999999999999" x14ac:dyDescent="0.5">
      <c r="D1436" s="3" t="s">
        <v>64</v>
      </c>
    </row>
    <row r="1437" spans="4:4" ht="17.649999999999999" x14ac:dyDescent="0.5">
      <c r="D1437" s="3" t="s">
        <v>41</v>
      </c>
    </row>
    <row r="1438" spans="4:4" ht="17.649999999999999" x14ac:dyDescent="0.5">
      <c r="D1438" s="3" t="s">
        <v>47</v>
      </c>
    </row>
    <row r="1439" spans="4:4" ht="17.649999999999999" x14ac:dyDescent="0.5">
      <c r="D1439" s="3" t="s">
        <v>58</v>
      </c>
    </row>
    <row r="1440" spans="4:4" ht="17.649999999999999" x14ac:dyDescent="0.5">
      <c r="D1440" s="3" t="s">
        <v>73</v>
      </c>
    </row>
    <row r="1441" spans="4:4" ht="17.649999999999999" x14ac:dyDescent="0.5">
      <c r="D1441" s="3" t="s">
        <v>67</v>
      </c>
    </row>
    <row r="1442" spans="4:4" ht="17.649999999999999" x14ac:dyDescent="0.5">
      <c r="D1442" s="3" t="s">
        <v>124</v>
      </c>
    </row>
    <row r="1443" spans="4:4" ht="17.649999999999999" x14ac:dyDescent="0.5">
      <c r="D1443" s="3" t="s">
        <v>68</v>
      </c>
    </row>
    <row r="1444" spans="4:4" ht="17.649999999999999" x14ac:dyDescent="0.5">
      <c r="D1444" s="3" t="s">
        <v>89</v>
      </c>
    </row>
    <row r="1445" spans="4:4" ht="17.649999999999999" x14ac:dyDescent="0.5">
      <c r="D1445" s="3" t="s">
        <v>101</v>
      </c>
    </row>
    <row r="1446" spans="4:4" ht="17.649999999999999" x14ac:dyDescent="0.5">
      <c r="D1446" s="3" t="s">
        <v>54</v>
      </c>
    </row>
    <row r="1447" spans="4:4" ht="17.649999999999999" x14ac:dyDescent="0.5">
      <c r="D1447" s="3" t="s">
        <v>123</v>
      </c>
    </row>
    <row r="1448" spans="4:4" ht="17.649999999999999" x14ac:dyDescent="0.5">
      <c r="D1448" s="3" t="s">
        <v>52</v>
      </c>
    </row>
    <row r="1449" spans="4:4" ht="17.649999999999999" x14ac:dyDescent="0.5">
      <c r="D1449" s="3" t="s">
        <v>44</v>
      </c>
    </row>
    <row r="1450" spans="4:4" ht="17.649999999999999" x14ac:dyDescent="0.5">
      <c r="D1450" s="3" t="s">
        <v>53</v>
      </c>
    </row>
    <row r="1451" spans="4:4" ht="17.649999999999999" x14ac:dyDescent="0.5">
      <c r="D1451" s="3" t="s">
        <v>71</v>
      </c>
    </row>
    <row r="1452" spans="4:4" ht="17.649999999999999" x14ac:dyDescent="0.5">
      <c r="D1452" s="3" t="s">
        <v>65</v>
      </c>
    </row>
    <row r="1453" spans="4:4" ht="17.649999999999999" x14ac:dyDescent="0.5">
      <c r="D1453" s="3" t="s">
        <v>129</v>
      </c>
    </row>
    <row r="1454" spans="4:4" ht="17.649999999999999" x14ac:dyDescent="0.5">
      <c r="D1454" s="3" t="s">
        <v>50</v>
      </c>
    </row>
    <row r="1455" spans="4:4" ht="17.649999999999999" x14ac:dyDescent="0.5">
      <c r="D1455" s="3" t="s">
        <v>45</v>
      </c>
    </row>
    <row r="1456" spans="4:4" ht="17.649999999999999" x14ac:dyDescent="0.5">
      <c r="D1456" s="3" t="s">
        <v>81</v>
      </c>
    </row>
    <row r="1457" spans="4:4" ht="17.649999999999999" x14ac:dyDescent="0.5">
      <c r="D1457" s="3" t="s">
        <v>61</v>
      </c>
    </row>
    <row r="1458" spans="4:4" ht="17.649999999999999" x14ac:dyDescent="0.5">
      <c r="D1458" s="3" t="s">
        <v>49</v>
      </c>
    </row>
    <row r="1459" spans="4:4" ht="17.649999999999999" x14ac:dyDescent="0.5">
      <c r="D1459" s="3" t="s">
        <v>115</v>
      </c>
    </row>
    <row r="1460" spans="4:4" ht="17.649999999999999" x14ac:dyDescent="0.5">
      <c r="D1460" s="3" t="s">
        <v>91</v>
      </c>
    </row>
    <row r="1461" spans="4:4" ht="17.649999999999999" x14ac:dyDescent="0.5">
      <c r="D1461" s="3" t="s">
        <v>48</v>
      </c>
    </row>
    <row r="1462" spans="4:4" ht="17.649999999999999" x14ac:dyDescent="0.5">
      <c r="D1462" s="3" t="s">
        <v>117</v>
      </c>
    </row>
    <row r="1463" spans="4:4" ht="17.649999999999999" x14ac:dyDescent="0.5">
      <c r="D1463" s="3" t="s">
        <v>126</v>
      </c>
    </row>
    <row r="1464" spans="4:4" ht="17.649999999999999" x14ac:dyDescent="0.5">
      <c r="D1464" s="3" t="s">
        <v>61</v>
      </c>
    </row>
    <row r="1465" spans="4:4" ht="17.649999999999999" x14ac:dyDescent="0.5">
      <c r="D1465" s="3" t="s">
        <v>126</v>
      </c>
    </row>
    <row r="1466" spans="4:4" ht="17.649999999999999" x14ac:dyDescent="0.5">
      <c r="D1466" s="3" t="s">
        <v>75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92</v>
      </c>
    </row>
    <row r="1469" spans="4:4" ht="17.649999999999999" x14ac:dyDescent="0.5">
      <c r="D1469" s="3" t="s">
        <v>66</v>
      </c>
    </row>
    <row r="1470" spans="4:4" ht="17.649999999999999" x14ac:dyDescent="0.5">
      <c r="D1470" s="3" t="s">
        <v>83</v>
      </c>
    </row>
    <row r="1471" spans="4:4" ht="17.649999999999999" x14ac:dyDescent="0.5">
      <c r="D1471" s="3" t="s">
        <v>49</v>
      </c>
    </row>
    <row r="1472" spans="4:4" ht="17.649999999999999" x14ac:dyDescent="0.5">
      <c r="D1472" s="3" t="s">
        <v>61</v>
      </c>
    </row>
    <row r="1473" spans="4:4" ht="17.649999999999999" x14ac:dyDescent="0.5">
      <c r="D1473" s="3" t="s">
        <v>68</v>
      </c>
    </row>
    <row r="1474" spans="4:4" ht="17.649999999999999" x14ac:dyDescent="0.5">
      <c r="D1474" s="3" t="s">
        <v>127</v>
      </c>
    </row>
    <row r="1475" spans="4:4" ht="17.649999999999999" x14ac:dyDescent="0.5">
      <c r="D1475" s="3" t="s">
        <v>111</v>
      </c>
    </row>
    <row r="1476" spans="4:4" ht="17.649999999999999" x14ac:dyDescent="0.5">
      <c r="D1476" s="3" t="s">
        <v>69</v>
      </c>
    </row>
    <row r="1477" spans="4:4" ht="17.649999999999999" x14ac:dyDescent="0.5">
      <c r="D1477" s="3" t="s">
        <v>130</v>
      </c>
    </row>
    <row r="1478" spans="4:4" ht="17.649999999999999" x14ac:dyDescent="0.5">
      <c r="D1478" s="3" t="s">
        <v>101</v>
      </c>
    </row>
    <row r="1479" spans="4:4" ht="17.649999999999999" x14ac:dyDescent="0.5">
      <c r="D1479" s="3" t="s">
        <v>91</v>
      </c>
    </row>
    <row r="1480" spans="4:4" ht="17.649999999999999" x14ac:dyDescent="0.5">
      <c r="D1480" s="3" t="s">
        <v>80</v>
      </c>
    </row>
    <row r="1481" spans="4:4" ht="17.649999999999999" x14ac:dyDescent="0.5">
      <c r="D1481" s="3" t="s">
        <v>86</v>
      </c>
    </row>
    <row r="1482" spans="4:4" ht="17.649999999999999" x14ac:dyDescent="0.5">
      <c r="D1482" s="3" t="s">
        <v>75</v>
      </c>
    </row>
    <row r="1483" spans="4:4" ht="17.649999999999999" x14ac:dyDescent="0.5">
      <c r="D1483" s="3" t="s">
        <v>78</v>
      </c>
    </row>
    <row r="1484" spans="4:4" ht="17.649999999999999" x14ac:dyDescent="0.5">
      <c r="D1484" s="3" t="s">
        <v>115</v>
      </c>
    </row>
    <row r="1485" spans="4:4" ht="17.649999999999999" x14ac:dyDescent="0.5">
      <c r="D1485" s="3" t="s">
        <v>81</v>
      </c>
    </row>
    <row r="1486" spans="4:4" ht="17.649999999999999" x14ac:dyDescent="0.5">
      <c r="D1486" s="3" t="s">
        <v>48</v>
      </c>
    </row>
    <row r="1487" spans="4:4" ht="17.649999999999999" x14ac:dyDescent="0.5">
      <c r="D1487" s="3" t="s">
        <v>42</v>
      </c>
    </row>
    <row r="1488" spans="4:4" ht="17.649999999999999" x14ac:dyDescent="0.5">
      <c r="D1488" s="3" t="s">
        <v>105</v>
      </c>
    </row>
    <row r="1489" spans="4:4" ht="17.649999999999999" x14ac:dyDescent="0.5">
      <c r="D1489" s="3" t="s">
        <v>75</v>
      </c>
    </row>
    <row r="1490" spans="4:4" ht="17.649999999999999" x14ac:dyDescent="0.5">
      <c r="D1490" s="3" t="s">
        <v>51</v>
      </c>
    </row>
    <row r="1491" spans="4:4" ht="17.649999999999999" x14ac:dyDescent="0.5">
      <c r="D1491" s="3" t="s">
        <v>65</v>
      </c>
    </row>
    <row r="1492" spans="4:4" ht="17.649999999999999" x14ac:dyDescent="0.5">
      <c r="D1492" s="3" t="s">
        <v>69</v>
      </c>
    </row>
    <row r="1493" spans="4:4" ht="17.649999999999999" x14ac:dyDescent="0.5">
      <c r="D1493" s="3" t="s">
        <v>53</v>
      </c>
    </row>
    <row r="1494" spans="4:4" ht="17.649999999999999" x14ac:dyDescent="0.5">
      <c r="D1494" s="3" t="s">
        <v>125</v>
      </c>
    </row>
    <row r="1495" spans="4:4" ht="17.649999999999999" x14ac:dyDescent="0.5">
      <c r="D1495" s="3" t="s">
        <v>56</v>
      </c>
    </row>
    <row r="1496" spans="4:4" ht="17.649999999999999" x14ac:dyDescent="0.5">
      <c r="D1496" s="3" t="s">
        <v>117</v>
      </c>
    </row>
    <row r="1497" spans="4:4" ht="17.649999999999999" x14ac:dyDescent="0.5">
      <c r="D1497" s="3" t="s">
        <v>134</v>
      </c>
    </row>
    <row r="1498" spans="4:4" ht="17.649999999999999" x14ac:dyDescent="0.5">
      <c r="D1498" s="3" t="s">
        <v>68</v>
      </c>
    </row>
    <row r="1499" spans="4:4" ht="17.649999999999999" x14ac:dyDescent="0.5">
      <c r="D1499" s="3" t="s">
        <v>78</v>
      </c>
    </row>
    <row r="1500" spans="4:4" ht="17.649999999999999" x14ac:dyDescent="0.5">
      <c r="D1500" s="3" t="s">
        <v>120</v>
      </c>
    </row>
    <row r="1501" spans="4:4" ht="17.649999999999999" x14ac:dyDescent="0.5">
      <c r="D1501" s="3" t="s">
        <v>56</v>
      </c>
    </row>
    <row r="1502" spans="4:4" ht="17.649999999999999" x14ac:dyDescent="0.5">
      <c r="D1502" s="3" t="s">
        <v>77</v>
      </c>
    </row>
    <row r="1503" spans="4:4" ht="17.649999999999999" x14ac:dyDescent="0.5">
      <c r="D1503" s="3" t="s">
        <v>46</v>
      </c>
    </row>
    <row r="1504" spans="4:4" ht="17.649999999999999" x14ac:dyDescent="0.5">
      <c r="D1504" s="3" t="s">
        <v>96</v>
      </c>
    </row>
    <row r="1505" spans="4:4" ht="17.649999999999999" x14ac:dyDescent="0.5">
      <c r="D1505" s="3" t="s">
        <v>57</v>
      </c>
    </row>
    <row r="1506" spans="4:4" ht="17.649999999999999" x14ac:dyDescent="0.5">
      <c r="D1506" s="3" t="s">
        <v>61</v>
      </c>
    </row>
    <row r="1507" spans="4:4" ht="17.649999999999999" x14ac:dyDescent="0.5">
      <c r="D1507" s="3" t="s">
        <v>115</v>
      </c>
    </row>
    <row r="1508" spans="4:4" ht="17.649999999999999" x14ac:dyDescent="0.5">
      <c r="D1508" s="3" t="s">
        <v>42</v>
      </c>
    </row>
    <row r="1509" spans="4:4" ht="17.649999999999999" x14ac:dyDescent="0.5">
      <c r="D1509" s="3" t="s">
        <v>84</v>
      </c>
    </row>
    <row r="1510" spans="4:4" ht="17.649999999999999" x14ac:dyDescent="0.5">
      <c r="D1510" s="3" t="s">
        <v>43</v>
      </c>
    </row>
    <row r="1511" spans="4:4" ht="17.649999999999999" x14ac:dyDescent="0.5">
      <c r="D1511" s="3" t="s">
        <v>109</v>
      </c>
    </row>
    <row r="1512" spans="4:4" ht="17.649999999999999" x14ac:dyDescent="0.5">
      <c r="D1512" s="3" t="s">
        <v>129</v>
      </c>
    </row>
    <row r="1513" spans="4:4" ht="17.649999999999999" x14ac:dyDescent="0.5">
      <c r="D1513" s="3" t="s">
        <v>117</v>
      </c>
    </row>
    <row r="1514" spans="4:4" ht="17.649999999999999" x14ac:dyDescent="0.5">
      <c r="D1514" s="3" t="s">
        <v>60</v>
      </c>
    </row>
    <row r="1515" spans="4:4" ht="17.649999999999999" x14ac:dyDescent="0.5">
      <c r="D1515" s="3" t="s">
        <v>70</v>
      </c>
    </row>
    <row r="1516" spans="4:4" ht="17.649999999999999" x14ac:dyDescent="0.5">
      <c r="D1516" s="3" t="s">
        <v>96</v>
      </c>
    </row>
    <row r="1517" spans="4:4" ht="17.649999999999999" x14ac:dyDescent="0.5">
      <c r="D1517" s="3" t="s">
        <v>107</v>
      </c>
    </row>
    <row r="1518" spans="4:4" ht="17.649999999999999" x14ac:dyDescent="0.5">
      <c r="D1518" s="3" t="s">
        <v>57</v>
      </c>
    </row>
    <row r="1519" spans="4:4" ht="17.649999999999999" x14ac:dyDescent="0.5">
      <c r="D1519" s="3" t="s">
        <v>59</v>
      </c>
    </row>
    <row r="1520" spans="4:4" ht="17.649999999999999" x14ac:dyDescent="0.5">
      <c r="D1520" s="3" t="s">
        <v>55</v>
      </c>
    </row>
    <row r="1521" spans="4:4" ht="17.649999999999999" x14ac:dyDescent="0.5">
      <c r="D1521" s="3" t="s">
        <v>73</v>
      </c>
    </row>
    <row r="1522" spans="4:4" ht="17.649999999999999" x14ac:dyDescent="0.5">
      <c r="D1522" s="3" t="s">
        <v>53</v>
      </c>
    </row>
    <row r="1523" spans="4:4" ht="17.649999999999999" x14ac:dyDescent="0.5">
      <c r="D1523" s="3" t="s">
        <v>98</v>
      </c>
    </row>
    <row r="1524" spans="4:4" ht="17.649999999999999" x14ac:dyDescent="0.5">
      <c r="D1524" s="3" t="s">
        <v>95</v>
      </c>
    </row>
    <row r="1525" spans="4:4" ht="17.649999999999999" x14ac:dyDescent="0.5">
      <c r="D1525" s="3" t="s">
        <v>78</v>
      </c>
    </row>
    <row r="1526" spans="4:4" ht="17.649999999999999" x14ac:dyDescent="0.5">
      <c r="D1526" s="3" t="s">
        <v>47</v>
      </c>
    </row>
    <row r="1527" spans="4:4" ht="17.649999999999999" x14ac:dyDescent="0.5">
      <c r="D1527" s="3" t="s">
        <v>46</v>
      </c>
    </row>
    <row r="1528" spans="4:4" ht="17.649999999999999" x14ac:dyDescent="0.5">
      <c r="D1528" s="3" t="s">
        <v>57</v>
      </c>
    </row>
    <row r="1529" spans="4:4" ht="17.649999999999999" x14ac:dyDescent="0.5">
      <c r="D1529" s="3" t="s">
        <v>68</v>
      </c>
    </row>
    <row r="1530" spans="4:4" ht="17.649999999999999" x14ac:dyDescent="0.5">
      <c r="D1530" s="3" t="s">
        <v>52</v>
      </c>
    </row>
    <row r="1531" spans="4:4" ht="17.649999999999999" x14ac:dyDescent="0.5">
      <c r="D1531" s="3" t="s">
        <v>83</v>
      </c>
    </row>
    <row r="1532" spans="4:4" ht="17.649999999999999" x14ac:dyDescent="0.5">
      <c r="D1532" s="3" t="s">
        <v>98</v>
      </c>
    </row>
    <row r="1533" spans="4:4" ht="17.649999999999999" x14ac:dyDescent="0.5">
      <c r="D1533" s="3" t="s">
        <v>92</v>
      </c>
    </row>
    <row r="1534" spans="4:4" ht="17.649999999999999" x14ac:dyDescent="0.5">
      <c r="D1534" s="3" t="s">
        <v>107</v>
      </c>
    </row>
    <row r="1535" spans="4:4" ht="17.649999999999999" x14ac:dyDescent="0.5">
      <c r="D1535" s="3" t="s">
        <v>67</v>
      </c>
    </row>
    <row r="1536" spans="4:4" ht="17.649999999999999" x14ac:dyDescent="0.5">
      <c r="D1536" s="3" t="s">
        <v>125</v>
      </c>
    </row>
    <row r="1537" spans="4:4" ht="17.649999999999999" x14ac:dyDescent="0.5">
      <c r="D1537" s="3" t="s">
        <v>81</v>
      </c>
    </row>
    <row r="1538" spans="4:4" ht="17.649999999999999" x14ac:dyDescent="0.5">
      <c r="D1538" s="3" t="s">
        <v>65</v>
      </c>
    </row>
    <row r="1539" spans="4:4" ht="17.649999999999999" x14ac:dyDescent="0.5">
      <c r="D1539" s="3" t="s">
        <v>75</v>
      </c>
    </row>
    <row r="1540" spans="4:4" ht="17.649999999999999" x14ac:dyDescent="0.5">
      <c r="D1540" s="3" t="s">
        <v>117</v>
      </c>
    </row>
    <row r="1541" spans="4:4" ht="17.649999999999999" x14ac:dyDescent="0.5">
      <c r="D1541" s="3" t="s">
        <v>63</v>
      </c>
    </row>
    <row r="1542" spans="4:4" ht="17.649999999999999" x14ac:dyDescent="0.5">
      <c r="D1542" s="3" t="s">
        <v>74</v>
      </c>
    </row>
    <row r="1543" spans="4:4" ht="17.649999999999999" x14ac:dyDescent="0.5">
      <c r="D1543" s="3" t="s">
        <v>94</v>
      </c>
    </row>
    <row r="1544" spans="4:4" ht="17.649999999999999" x14ac:dyDescent="0.5">
      <c r="D1544" s="3" t="s">
        <v>44</v>
      </c>
    </row>
    <row r="1545" spans="4:4" ht="17.649999999999999" x14ac:dyDescent="0.5">
      <c r="D1545" s="3" t="s">
        <v>74</v>
      </c>
    </row>
    <row r="1546" spans="4:4" ht="17.649999999999999" x14ac:dyDescent="0.5">
      <c r="D1546" s="3" t="s">
        <v>79</v>
      </c>
    </row>
    <row r="1547" spans="4:4" ht="17.649999999999999" x14ac:dyDescent="0.5">
      <c r="D1547" s="3" t="s">
        <v>65</v>
      </c>
    </row>
    <row r="1548" spans="4:4" ht="17.649999999999999" x14ac:dyDescent="0.5">
      <c r="D1548" s="3" t="s">
        <v>129</v>
      </c>
    </row>
    <row r="1549" spans="4:4" ht="17.649999999999999" x14ac:dyDescent="0.5">
      <c r="D1549" s="3" t="s">
        <v>104</v>
      </c>
    </row>
    <row r="1550" spans="4:4" ht="17.649999999999999" x14ac:dyDescent="0.5">
      <c r="D1550" s="3" t="s">
        <v>81</v>
      </c>
    </row>
    <row r="1551" spans="4:4" ht="17.649999999999999" x14ac:dyDescent="0.5">
      <c r="D1551" s="3" t="s">
        <v>110</v>
      </c>
    </row>
    <row r="1552" spans="4:4" ht="17.649999999999999" x14ac:dyDescent="0.5">
      <c r="D1552" s="3" t="s">
        <v>127</v>
      </c>
    </row>
    <row r="1553" spans="4:4" ht="17.649999999999999" x14ac:dyDescent="0.5">
      <c r="D1553" s="3" t="s">
        <v>90</v>
      </c>
    </row>
    <row r="1554" spans="4:4" ht="17.649999999999999" x14ac:dyDescent="0.5">
      <c r="D1554" s="3" t="s">
        <v>122</v>
      </c>
    </row>
    <row r="1555" spans="4:4" ht="17.649999999999999" x14ac:dyDescent="0.5">
      <c r="D1555" s="3" t="s">
        <v>112</v>
      </c>
    </row>
    <row r="1556" spans="4:4" ht="17.649999999999999" x14ac:dyDescent="0.5">
      <c r="D1556" s="3" t="s">
        <v>98</v>
      </c>
    </row>
    <row r="1557" spans="4:4" ht="17.649999999999999" x14ac:dyDescent="0.5">
      <c r="D1557" s="3" t="s">
        <v>51</v>
      </c>
    </row>
    <row r="1558" spans="4:4" ht="17.649999999999999" x14ac:dyDescent="0.5">
      <c r="D1558" s="3" t="s">
        <v>119</v>
      </c>
    </row>
    <row r="1559" spans="4:4" ht="17.649999999999999" x14ac:dyDescent="0.5">
      <c r="D1559" s="3" t="s">
        <v>69</v>
      </c>
    </row>
    <row r="1560" spans="4:4" ht="17.649999999999999" x14ac:dyDescent="0.5">
      <c r="D1560" s="3" t="s">
        <v>59</v>
      </c>
    </row>
    <row r="1561" spans="4:4" ht="17.649999999999999" x14ac:dyDescent="0.5">
      <c r="D1561" s="3" t="s">
        <v>51</v>
      </c>
    </row>
    <row r="1562" spans="4:4" ht="17.649999999999999" x14ac:dyDescent="0.5">
      <c r="D1562" s="3" t="s">
        <v>107</v>
      </c>
    </row>
    <row r="1563" spans="4:4" ht="17.649999999999999" x14ac:dyDescent="0.5">
      <c r="D1563" s="3" t="s">
        <v>78</v>
      </c>
    </row>
    <row r="1564" spans="4:4" ht="17.649999999999999" x14ac:dyDescent="0.5">
      <c r="D1564" s="3" t="s">
        <v>123</v>
      </c>
    </row>
    <row r="1565" spans="4:4" ht="17.649999999999999" x14ac:dyDescent="0.5">
      <c r="D1565" s="3" t="s">
        <v>53</v>
      </c>
    </row>
    <row r="1566" spans="4:4" ht="17.649999999999999" x14ac:dyDescent="0.5">
      <c r="D1566" s="3" t="s">
        <v>112</v>
      </c>
    </row>
    <row r="1567" spans="4:4" ht="17.649999999999999" x14ac:dyDescent="0.5">
      <c r="D1567" s="3" t="s">
        <v>47</v>
      </c>
    </row>
    <row r="1568" spans="4:4" ht="17.649999999999999" x14ac:dyDescent="0.5">
      <c r="D1568" s="3" t="s">
        <v>69</v>
      </c>
    </row>
    <row r="1569" spans="4:4" ht="17.649999999999999" x14ac:dyDescent="0.5">
      <c r="D1569" s="3" t="s">
        <v>117</v>
      </c>
    </row>
    <row r="1570" spans="4:4" ht="17.649999999999999" x14ac:dyDescent="0.5">
      <c r="D1570" s="3" t="s">
        <v>85</v>
      </c>
    </row>
    <row r="1571" spans="4:4" ht="17.649999999999999" x14ac:dyDescent="0.5">
      <c r="D1571" s="3" t="s">
        <v>43</v>
      </c>
    </row>
    <row r="1572" spans="4:4" ht="17.649999999999999" x14ac:dyDescent="0.5">
      <c r="D1572" s="3" t="s">
        <v>100</v>
      </c>
    </row>
    <row r="1573" spans="4:4" ht="17.649999999999999" x14ac:dyDescent="0.5">
      <c r="D1573" s="3" t="s">
        <v>46</v>
      </c>
    </row>
    <row r="1574" spans="4:4" ht="17.649999999999999" x14ac:dyDescent="0.5">
      <c r="D1574" s="3" t="s">
        <v>107</v>
      </c>
    </row>
    <row r="1575" spans="4:4" ht="17.649999999999999" x14ac:dyDescent="0.5">
      <c r="D1575" s="3" t="s">
        <v>57</v>
      </c>
    </row>
    <row r="1576" spans="4:4" ht="17.649999999999999" x14ac:dyDescent="0.5">
      <c r="D1576" s="3" t="s">
        <v>102</v>
      </c>
    </row>
    <row r="1577" spans="4:4" ht="17.649999999999999" x14ac:dyDescent="0.5">
      <c r="D1577" s="3" t="s">
        <v>105</v>
      </c>
    </row>
    <row r="1578" spans="4:4" ht="17.649999999999999" x14ac:dyDescent="0.5">
      <c r="D1578" s="3" t="s">
        <v>72</v>
      </c>
    </row>
    <row r="1579" spans="4:4" ht="17.649999999999999" x14ac:dyDescent="0.5">
      <c r="D1579" s="3" t="s">
        <v>50</v>
      </c>
    </row>
    <row r="1580" spans="4:4" ht="17.649999999999999" x14ac:dyDescent="0.5">
      <c r="D1580" s="3" t="s">
        <v>99</v>
      </c>
    </row>
    <row r="1581" spans="4:4" ht="17.649999999999999" x14ac:dyDescent="0.5">
      <c r="D1581" s="3" t="s">
        <v>44</v>
      </c>
    </row>
    <row r="1582" spans="4:4" ht="17.649999999999999" x14ac:dyDescent="0.5">
      <c r="D1582" s="3" t="s">
        <v>67</v>
      </c>
    </row>
    <row r="1583" spans="4:4" ht="17.649999999999999" x14ac:dyDescent="0.5">
      <c r="D1583" s="3" t="s">
        <v>87</v>
      </c>
    </row>
    <row r="1584" spans="4:4" ht="17.649999999999999" x14ac:dyDescent="0.5">
      <c r="D1584" s="3" t="s">
        <v>73</v>
      </c>
    </row>
    <row r="1585" spans="4:4" ht="17.649999999999999" x14ac:dyDescent="0.5">
      <c r="D1585" s="3" t="s">
        <v>98</v>
      </c>
    </row>
    <row r="1586" spans="4:4" ht="17.649999999999999" x14ac:dyDescent="0.5">
      <c r="D1586" s="3" t="s">
        <v>68</v>
      </c>
    </row>
    <row r="1587" spans="4:4" ht="17.649999999999999" x14ac:dyDescent="0.5">
      <c r="D1587" s="3" t="s">
        <v>59</v>
      </c>
    </row>
    <row r="1588" spans="4:4" ht="17.649999999999999" x14ac:dyDescent="0.5">
      <c r="D1588" s="3" t="s">
        <v>85</v>
      </c>
    </row>
    <row r="1589" spans="4:4" ht="17.649999999999999" x14ac:dyDescent="0.5">
      <c r="D1589" s="3" t="s">
        <v>43</v>
      </c>
    </row>
    <row r="1590" spans="4:4" ht="17.649999999999999" x14ac:dyDescent="0.5">
      <c r="D1590" s="3" t="s">
        <v>135</v>
      </c>
    </row>
    <row r="1591" spans="4:4" ht="17.649999999999999" x14ac:dyDescent="0.5">
      <c r="D1591" s="3" t="s">
        <v>112</v>
      </c>
    </row>
    <row r="1592" spans="4:4" ht="17.649999999999999" x14ac:dyDescent="0.5">
      <c r="D1592" s="3" t="s">
        <v>128</v>
      </c>
    </row>
    <row r="1593" spans="4:4" ht="17.649999999999999" x14ac:dyDescent="0.5">
      <c r="D1593" s="3" t="s">
        <v>98</v>
      </c>
    </row>
    <row r="1594" spans="4:4" ht="17.649999999999999" x14ac:dyDescent="0.5">
      <c r="D1594" s="3" t="s">
        <v>65</v>
      </c>
    </row>
    <row r="1595" spans="4:4" ht="17.649999999999999" x14ac:dyDescent="0.5">
      <c r="D1595" s="3" t="s">
        <v>80</v>
      </c>
    </row>
    <row r="1596" spans="4:4" ht="17.649999999999999" x14ac:dyDescent="0.5">
      <c r="D1596" s="3" t="s">
        <v>46</v>
      </c>
    </row>
    <row r="1597" spans="4:4" ht="17.649999999999999" x14ac:dyDescent="0.5">
      <c r="D1597" s="3" t="s">
        <v>42</v>
      </c>
    </row>
    <row r="1598" spans="4:4" ht="17.649999999999999" x14ac:dyDescent="0.5">
      <c r="D1598" s="3" t="s">
        <v>74</v>
      </c>
    </row>
    <row r="1599" spans="4:4" ht="17.649999999999999" x14ac:dyDescent="0.5">
      <c r="D1599" s="3" t="s">
        <v>94</v>
      </c>
    </row>
    <row r="1600" spans="4:4" ht="17.649999999999999" x14ac:dyDescent="0.5">
      <c r="D1600" s="3" t="s">
        <v>63</v>
      </c>
    </row>
    <row r="1601" spans="4:4" ht="17.649999999999999" x14ac:dyDescent="0.5">
      <c r="D1601" s="3" t="s">
        <v>95</v>
      </c>
    </row>
    <row r="1602" spans="4:4" ht="17.649999999999999" x14ac:dyDescent="0.5">
      <c r="D1602" s="3" t="s">
        <v>101</v>
      </c>
    </row>
    <row r="1603" spans="4:4" ht="17.649999999999999" x14ac:dyDescent="0.5">
      <c r="D1603" s="3" t="s">
        <v>80</v>
      </c>
    </row>
    <row r="1604" spans="4:4" ht="17.649999999999999" x14ac:dyDescent="0.5">
      <c r="D1604" s="3" t="s">
        <v>96</v>
      </c>
    </row>
    <row r="1605" spans="4:4" ht="17.649999999999999" x14ac:dyDescent="0.5">
      <c r="D1605" s="3" t="s">
        <v>125</v>
      </c>
    </row>
    <row r="1606" spans="4:4" ht="17.649999999999999" x14ac:dyDescent="0.5">
      <c r="D1606" s="3" t="s">
        <v>122</v>
      </c>
    </row>
    <row r="1607" spans="4:4" ht="17.649999999999999" x14ac:dyDescent="0.5">
      <c r="D1607" s="3" t="s">
        <v>44</v>
      </c>
    </row>
    <row r="1608" spans="4:4" ht="17.649999999999999" x14ac:dyDescent="0.5">
      <c r="D1608" s="3" t="s">
        <v>81</v>
      </c>
    </row>
    <row r="1609" spans="4:4" ht="17.649999999999999" x14ac:dyDescent="0.5">
      <c r="D1609" s="3" t="s">
        <v>120</v>
      </c>
    </row>
    <row r="1610" spans="4:4" ht="17.649999999999999" x14ac:dyDescent="0.5">
      <c r="D1610" s="3" t="s">
        <v>52</v>
      </c>
    </row>
    <row r="1611" spans="4:4" ht="17.649999999999999" x14ac:dyDescent="0.5">
      <c r="D1611" s="3" t="s">
        <v>113</v>
      </c>
    </row>
    <row r="1612" spans="4:4" ht="17.649999999999999" x14ac:dyDescent="0.5">
      <c r="D1612" s="3" t="s">
        <v>103</v>
      </c>
    </row>
    <row r="1613" spans="4:4" ht="17.649999999999999" x14ac:dyDescent="0.5">
      <c r="D1613" s="3" t="s">
        <v>99</v>
      </c>
    </row>
    <row r="1614" spans="4:4" ht="17.649999999999999" x14ac:dyDescent="0.5">
      <c r="D1614" s="3" t="s">
        <v>53</v>
      </c>
    </row>
    <row r="1615" spans="4:4" ht="17.649999999999999" x14ac:dyDescent="0.5">
      <c r="D1615" s="3" t="s">
        <v>57</v>
      </c>
    </row>
    <row r="1616" spans="4:4" ht="17.649999999999999" x14ac:dyDescent="0.5">
      <c r="D1616" s="3" t="s">
        <v>112</v>
      </c>
    </row>
    <row r="1617" spans="4:4" ht="17.649999999999999" x14ac:dyDescent="0.5">
      <c r="D1617" s="3" t="s">
        <v>113</v>
      </c>
    </row>
    <row r="1618" spans="4:4" ht="17.649999999999999" x14ac:dyDescent="0.5">
      <c r="D1618" s="3" t="s">
        <v>110</v>
      </c>
    </row>
    <row r="1619" spans="4:4" ht="17.649999999999999" x14ac:dyDescent="0.5">
      <c r="D1619" s="3" t="s">
        <v>129</v>
      </c>
    </row>
    <row r="1620" spans="4:4" ht="17.649999999999999" x14ac:dyDescent="0.5">
      <c r="D1620" s="3" t="s">
        <v>44</v>
      </c>
    </row>
    <row r="1621" spans="4:4" ht="17.649999999999999" x14ac:dyDescent="0.5">
      <c r="D1621" s="3" t="s">
        <v>73</v>
      </c>
    </row>
    <row r="1622" spans="4:4" ht="17.649999999999999" x14ac:dyDescent="0.5">
      <c r="D1622" s="3" t="s">
        <v>99</v>
      </c>
    </row>
    <row r="1623" spans="4:4" ht="17.649999999999999" x14ac:dyDescent="0.5">
      <c r="D1623" s="3" t="s">
        <v>75</v>
      </c>
    </row>
    <row r="1624" spans="4:4" ht="17.649999999999999" x14ac:dyDescent="0.5">
      <c r="D1624" s="3" t="s">
        <v>88</v>
      </c>
    </row>
    <row r="1625" spans="4:4" ht="17.649999999999999" x14ac:dyDescent="0.5">
      <c r="D1625" s="3" t="s">
        <v>85</v>
      </c>
    </row>
    <row r="1626" spans="4:4" ht="17.649999999999999" x14ac:dyDescent="0.5">
      <c r="D1626" s="3" t="s">
        <v>130</v>
      </c>
    </row>
    <row r="1627" spans="4:4" ht="17.649999999999999" x14ac:dyDescent="0.5">
      <c r="D1627" s="3" t="s">
        <v>80</v>
      </c>
    </row>
    <row r="1628" spans="4:4" ht="17.649999999999999" x14ac:dyDescent="0.5">
      <c r="D1628" s="3" t="s">
        <v>118</v>
      </c>
    </row>
    <row r="1629" spans="4:4" ht="17.649999999999999" x14ac:dyDescent="0.5">
      <c r="D1629" s="3" t="s">
        <v>110</v>
      </c>
    </row>
    <row r="1630" spans="4:4" ht="17.649999999999999" x14ac:dyDescent="0.5">
      <c r="D1630" s="3" t="s">
        <v>115</v>
      </c>
    </row>
    <row r="1631" spans="4:4" ht="17.649999999999999" x14ac:dyDescent="0.5">
      <c r="D1631" s="3" t="s">
        <v>70</v>
      </c>
    </row>
    <row r="1632" spans="4:4" ht="17.649999999999999" x14ac:dyDescent="0.5">
      <c r="D1632" s="3" t="s">
        <v>132</v>
      </c>
    </row>
    <row r="1633" spans="4:4" ht="17.649999999999999" x14ac:dyDescent="0.5">
      <c r="D1633" s="3" t="s">
        <v>41</v>
      </c>
    </row>
    <row r="1634" spans="4:4" ht="17.649999999999999" x14ac:dyDescent="0.5">
      <c r="D1634" s="3" t="s">
        <v>103</v>
      </c>
    </row>
    <row r="1635" spans="4:4" ht="17.649999999999999" x14ac:dyDescent="0.5">
      <c r="D1635" s="3" t="s">
        <v>123</v>
      </c>
    </row>
    <row r="1636" spans="4:4" ht="17.649999999999999" x14ac:dyDescent="0.5">
      <c r="D1636" s="3" t="s">
        <v>84</v>
      </c>
    </row>
    <row r="1637" spans="4:4" ht="17.649999999999999" x14ac:dyDescent="0.5">
      <c r="D1637" s="3" t="s">
        <v>74</v>
      </c>
    </row>
    <row r="1638" spans="4:4" ht="17.649999999999999" x14ac:dyDescent="0.5">
      <c r="D1638" s="3" t="s">
        <v>115</v>
      </c>
    </row>
    <row r="1639" spans="4:4" ht="17.649999999999999" x14ac:dyDescent="0.5">
      <c r="D1639" s="3" t="s">
        <v>98</v>
      </c>
    </row>
    <row r="1640" spans="4:4" ht="17.649999999999999" x14ac:dyDescent="0.5">
      <c r="D1640" s="3" t="s">
        <v>50</v>
      </c>
    </row>
    <row r="1641" spans="4:4" ht="17.649999999999999" x14ac:dyDescent="0.5">
      <c r="D1641" s="3" t="s">
        <v>54</v>
      </c>
    </row>
    <row r="1642" spans="4:4" ht="17.649999999999999" x14ac:dyDescent="0.5">
      <c r="D1642" s="3" t="s">
        <v>132</v>
      </c>
    </row>
    <row r="1643" spans="4:4" ht="17.649999999999999" x14ac:dyDescent="0.5">
      <c r="D1643" s="3" t="s">
        <v>63</v>
      </c>
    </row>
    <row r="1644" spans="4:4" ht="17.649999999999999" x14ac:dyDescent="0.5">
      <c r="D1644" s="3" t="s">
        <v>58</v>
      </c>
    </row>
    <row r="1645" spans="4:4" ht="17.649999999999999" x14ac:dyDescent="0.5">
      <c r="D1645" s="3" t="s">
        <v>56</v>
      </c>
    </row>
    <row r="1646" spans="4:4" ht="17.649999999999999" x14ac:dyDescent="0.5">
      <c r="D1646" s="3" t="s">
        <v>129</v>
      </c>
    </row>
    <row r="1647" spans="4:4" ht="17.649999999999999" x14ac:dyDescent="0.5">
      <c r="D1647" s="3" t="s">
        <v>68</v>
      </c>
    </row>
    <row r="1648" spans="4:4" ht="17.649999999999999" x14ac:dyDescent="0.5">
      <c r="D1648" s="3" t="s">
        <v>75</v>
      </c>
    </row>
    <row r="1649" spans="4:4" ht="17.649999999999999" x14ac:dyDescent="0.5">
      <c r="D1649" s="3" t="s">
        <v>67</v>
      </c>
    </row>
    <row r="1650" spans="4:4" ht="17.649999999999999" x14ac:dyDescent="0.5">
      <c r="D1650" s="3" t="s">
        <v>96</v>
      </c>
    </row>
    <row r="1651" spans="4:4" ht="17.649999999999999" x14ac:dyDescent="0.5">
      <c r="D1651" s="3" t="s">
        <v>47</v>
      </c>
    </row>
    <row r="1652" spans="4:4" ht="17.649999999999999" x14ac:dyDescent="0.5">
      <c r="D1652" s="3" t="s">
        <v>84</v>
      </c>
    </row>
    <row r="1653" spans="4:4" ht="17.649999999999999" x14ac:dyDescent="0.5">
      <c r="D1653" s="3" t="s">
        <v>117</v>
      </c>
    </row>
    <row r="1654" spans="4:4" ht="17.649999999999999" x14ac:dyDescent="0.5">
      <c r="D1654" s="3" t="s">
        <v>66</v>
      </c>
    </row>
    <row r="1655" spans="4:4" ht="17.649999999999999" x14ac:dyDescent="0.5">
      <c r="D1655" s="3" t="s">
        <v>54</v>
      </c>
    </row>
    <row r="1656" spans="4:4" ht="17.649999999999999" x14ac:dyDescent="0.5">
      <c r="D1656" s="3" t="s">
        <v>130</v>
      </c>
    </row>
    <row r="1657" spans="4:4" ht="17.649999999999999" x14ac:dyDescent="0.5">
      <c r="D1657" s="3" t="s">
        <v>92</v>
      </c>
    </row>
    <row r="1658" spans="4:4" ht="17.649999999999999" x14ac:dyDescent="0.5">
      <c r="D1658" s="3" t="s">
        <v>55</v>
      </c>
    </row>
    <row r="1659" spans="4:4" ht="17.649999999999999" x14ac:dyDescent="0.5">
      <c r="D1659" s="3" t="s">
        <v>66</v>
      </c>
    </row>
    <row r="1660" spans="4:4" ht="17.649999999999999" x14ac:dyDescent="0.5">
      <c r="D1660" s="3" t="s">
        <v>80</v>
      </c>
    </row>
    <row r="1661" spans="4:4" ht="17.649999999999999" x14ac:dyDescent="0.5">
      <c r="D1661" s="3" t="s">
        <v>121</v>
      </c>
    </row>
    <row r="1662" spans="4:4" ht="17.649999999999999" x14ac:dyDescent="0.5">
      <c r="D1662" s="3" t="s">
        <v>48</v>
      </c>
    </row>
    <row r="1663" spans="4:4" ht="17.649999999999999" x14ac:dyDescent="0.5">
      <c r="D1663" s="3" t="s">
        <v>64</v>
      </c>
    </row>
    <row r="1664" spans="4:4" ht="17.649999999999999" x14ac:dyDescent="0.5">
      <c r="D1664" s="3" t="s">
        <v>59</v>
      </c>
    </row>
    <row r="1665" spans="4:4" ht="17.649999999999999" x14ac:dyDescent="0.5">
      <c r="D1665" s="3" t="s">
        <v>55</v>
      </c>
    </row>
    <row r="1666" spans="4:4" ht="17.649999999999999" x14ac:dyDescent="0.5">
      <c r="D1666" s="3" t="s">
        <v>41</v>
      </c>
    </row>
    <row r="1667" spans="4:4" ht="17.649999999999999" x14ac:dyDescent="0.5">
      <c r="D1667" s="3" t="s">
        <v>136</v>
      </c>
    </row>
    <row r="1668" spans="4:4" ht="17.649999999999999" x14ac:dyDescent="0.5">
      <c r="D1668" s="3" t="s">
        <v>53</v>
      </c>
    </row>
    <row r="1669" spans="4:4" ht="17.649999999999999" x14ac:dyDescent="0.5">
      <c r="D1669" s="3" t="s">
        <v>105</v>
      </c>
    </row>
    <row r="1670" spans="4:4" ht="17.649999999999999" x14ac:dyDescent="0.5">
      <c r="D1670" s="3" t="s">
        <v>66</v>
      </c>
    </row>
    <row r="1671" spans="4:4" ht="17.649999999999999" x14ac:dyDescent="0.5">
      <c r="D1671" s="3" t="s">
        <v>88</v>
      </c>
    </row>
    <row r="1672" spans="4:4" ht="17.649999999999999" x14ac:dyDescent="0.5">
      <c r="D1672" s="3" t="s">
        <v>51</v>
      </c>
    </row>
    <row r="1673" spans="4:4" ht="17.649999999999999" x14ac:dyDescent="0.5">
      <c r="D1673" s="3" t="s">
        <v>87</v>
      </c>
    </row>
    <row r="1674" spans="4:4" ht="17.649999999999999" x14ac:dyDescent="0.5">
      <c r="D1674" s="3" t="s">
        <v>56</v>
      </c>
    </row>
    <row r="1675" spans="4:4" ht="17.649999999999999" x14ac:dyDescent="0.5">
      <c r="D1675" s="3" t="s">
        <v>50</v>
      </c>
    </row>
    <row r="1676" spans="4:4" ht="17.649999999999999" x14ac:dyDescent="0.5">
      <c r="D1676" s="3" t="s">
        <v>80</v>
      </c>
    </row>
    <row r="1677" spans="4:4" ht="17.649999999999999" x14ac:dyDescent="0.5">
      <c r="D1677" s="3" t="s">
        <v>68</v>
      </c>
    </row>
    <row r="1678" spans="4:4" ht="17.649999999999999" x14ac:dyDescent="0.5">
      <c r="D1678" s="3" t="s">
        <v>117</v>
      </c>
    </row>
    <row r="1679" spans="4:4" ht="17.649999999999999" x14ac:dyDescent="0.5">
      <c r="D1679" s="3" t="s">
        <v>85</v>
      </c>
    </row>
    <row r="1680" spans="4:4" ht="17.649999999999999" x14ac:dyDescent="0.5">
      <c r="D1680" s="3" t="s">
        <v>44</v>
      </c>
    </row>
    <row r="1681" spans="4:4" ht="17.649999999999999" x14ac:dyDescent="0.5">
      <c r="D1681" s="3" t="s">
        <v>51</v>
      </c>
    </row>
    <row r="1682" spans="4:4" ht="17.649999999999999" x14ac:dyDescent="0.5">
      <c r="D1682" s="3" t="s">
        <v>45</v>
      </c>
    </row>
    <row r="1683" spans="4:4" ht="17.649999999999999" x14ac:dyDescent="0.5">
      <c r="D1683" s="3" t="s">
        <v>83</v>
      </c>
    </row>
    <row r="1684" spans="4:4" ht="17.649999999999999" x14ac:dyDescent="0.5">
      <c r="D1684" s="3" t="s">
        <v>67</v>
      </c>
    </row>
    <row r="1685" spans="4:4" ht="17.649999999999999" x14ac:dyDescent="0.5">
      <c r="D1685" s="3" t="s">
        <v>87</v>
      </c>
    </row>
    <row r="1686" spans="4:4" ht="17.649999999999999" x14ac:dyDescent="0.5">
      <c r="D1686" s="3" t="s">
        <v>70</v>
      </c>
    </row>
    <row r="1687" spans="4:4" ht="17.649999999999999" x14ac:dyDescent="0.5">
      <c r="D1687" s="3" t="s">
        <v>103</v>
      </c>
    </row>
    <row r="1688" spans="4:4" ht="17.649999999999999" x14ac:dyDescent="0.5">
      <c r="D1688" s="3" t="s">
        <v>74</v>
      </c>
    </row>
    <row r="1689" spans="4:4" ht="17.649999999999999" x14ac:dyDescent="0.5">
      <c r="D1689" s="3" t="s">
        <v>86</v>
      </c>
    </row>
    <row r="1690" spans="4:4" ht="17.649999999999999" x14ac:dyDescent="0.5">
      <c r="D1690" s="3" t="s">
        <v>119</v>
      </c>
    </row>
    <row r="1691" spans="4:4" ht="17.649999999999999" x14ac:dyDescent="0.5">
      <c r="D1691" s="3" t="s">
        <v>73</v>
      </c>
    </row>
    <row r="1692" spans="4:4" ht="17.649999999999999" x14ac:dyDescent="0.5">
      <c r="D1692" s="3" t="s">
        <v>61</v>
      </c>
    </row>
    <row r="1693" spans="4:4" ht="17.649999999999999" x14ac:dyDescent="0.5">
      <c r="D1693" s="3" t="s">
        <v>55</v>
      </c>
    </row>
    <row r="1694" spans="4:4" ht="17.649999999999999" x14ac:dyDescent="0.5">
      <c r="D1694" s="3" t="s">
        <v>94</v>
      </c>
    </row>
    <row r="1695" spans="4:4" ht="17.649999999999999" x14ac:dyDescent="0.5">
      <c r="D1695" s="3" t="s">
        <v>57</v>
      </c>
    </row>
    <row r="1696" spans="4:4" ht="17.649999999999999" x14ac:dyDescent="0.5">
      <c r="D1696" s="3" t="s">
        <v>70</v>
      </c>
    </row>
    <row r="1697" spans="4:4" ht="17.649999999999999" x14ac:dyDescent="0.5">
      <c r="D1697" s="3" t="s">
        <v>71</v>
      </c>
    </row>
    <row r="1698" spans="4:4" ht="17.649999999999999" x14ac:dyDescent="0.5">
      <c r="D1698" s="3" t="s">
        <v>114</v>
      </c>
    </row>
    <row r="1699" spans="4:4" ht="17.649999999999999" x14ac:dyDescent="0.5">
      <c r="D1699" s="3" t="s">
        <v>85</v>
      </c>
    </row>
    <row r="1700" spans="4:4" ht="17.649999999999999" x14ac:dyDescent="0.5">
      <c r="D1700" s="3" t="s">
        <v>127</v>
      </c>
    </row>
    <row r="1701" spans="4:4" ht="17.649999999999999" x14ac:dyDescent="0.5">
      <c r="D1701" s="3" t="s">
        <v>98</v>
      </c>
    </row>
    <row r="1702" spans="4:4" ht="17.649999999999999" x14ac:dyDescent="0.5">
      <c r="D1702" s="3" t="s">
        <v>46</v>
      </c>
    </row>
    <row r="1703" spans="4:4" ht="17.649999999999999" x14ac:dyDescent="0.5">
      <c r="D1703" s="3" t="s">
        <v>135</v>
      </c>
    </row>
    <row r="1704" spans="4:4" ht="17.649999999999999" x14ac:dyDescent="0.5">
      <c r="D1704" s="3" t="s">
        <v>61</v>
      </c>
    </row>
    <row r="1705" spans="4:4" ht="17.649999999999999" x14ac:dyDescent="0.5">
      <c r="D1705" s="3" t="s">
        <v>79</v>
      </c>
    </row>
    <row r="1706" spans="4:4" ht="17.649999999999999" x14ac:dyDescent="0.5">
      <c r="D1706" s="3" t="s">
        <v>55</v>
      </c>
    </row>
    <row r="1707" spans="4:4" ht="17.649999999999999" x14ac:dyDescent="0.5">
      <c r="D1707" s="3" t="s">
        <v>45</v>
      </c>
    </row>
    <row r="1708" spans="4:4" ht="17.649999999999999" x14ac:dyDescent="0.5">
      <c r="D1708" s="3" t="s">
        <v>64</v>
      </c>
    </row>
    <row r="1709" spans="4:4" ht="17.649999999999999" x14ac:dyDescent="0.5">
      <c r="D1709" s="3" t="s">
        <v>90</v>
      </c>
    </row>
    <row r="1710" spans="4:4" ht="17.649999999999999" x14ac:dyDescent="0.5">
      <c r="D1710" s="3" t="s">
        <v>85</v>
      </c>
    </row>
    <row r="1711" spans="4:4" ht="17.649999999999999" x14ac:dyDescent="0.5">
      <c r="D1711" s="3" t="s">
        <v>51</v>
      </c>
    </row>
    <row r="1712" spans="4:4" ht="17.649999999999999" x14ac:dyDescent="0.5">
      <c r="D1712" s="3" t="s">
        <v>52</v>
      </c>
    </row>
    <row r="1713" spans="4:4" ht="17.649999999999999" x14ac:dyDescent="0.5">
      <c r="D1713" s="3" t="s">
        <v>112</v>
      </c>
    </row>
    <row r="1714" spans="4:4" ht="17.649999999999999" x14ac:dyDescent="0.5">
      <c r="D1714" s="3" t="s">
        <v>63</v>
      </c>
    </row>
    <row r="1715" spans="4:4" ht="17.649999999999999" x14ac:dyDescent="0.5">
      <c r="D1715" s="3" t="s">
        <v>115</v>
      </c>
    </row>
    <row r="1716" spans="4:4" ht="17.649999999999999" x14ac:dyDescent="0.5">
      <c r="D1716" s="3" t="s">
        <v>107</v>
      </c>
    </row>
    <row r="1717" spans="4:4" ht="17.649999999999999" x14ac:dyDescent="0.5">
      <c r="D1717" s="3" t="s">
        <v>62</v>
      </c>
    </row>
    <row r="1718" spans="4:4" ht="17.649999999999999" x14ac:dyDescent="0.5">
      <c r="D1718" s="3" t="s">
        <v>41</v>
      </c>
    </row>
    <row r="1719" spans="4:4" ht="17.649999999999999" x14ac:dyDescent="0.5">
      <c r="D1719" s="3" t="s">
        <v>49</v>
      </c>
    </row>
    <row r="1720" spans="4:4" ht="17.649999999999999" x14ac:dyDescent="0.5">
      <c r="D1720" s="3" t="s">
        <v>115</v>
      </c>
    </row>
    <row r="1721" spans="4:4" ht="17.649999999999999" x14ac:dyDescent="0.5">
      <c r="D1721" s="3" t="s">
        <v>70</v>
      </c>
    </row>
    <row r="1722" spans="4:4" ht="17.649999999999999" x14ac:dyDescent="0.5">
      <c r="D1722" s="3" t="s">
        <v>92</v>
      </c>
    </row>
    <row r="1723" spans="4:4" ht="17.649999999999999" x14ac:dyDescent="0.5">
      <c r="D1723" s="3" t="s">
        <v>54</v>
      </c>
    </row>
    <row r="1724" spans="4:4" ht="17.649999999999999" x14ac:dyDescent="0.5">
      <c r="D1724" s="3" t="s">
        <v>46</v>
      </c>
    </row>
    <row r="1725" spans="4:4" ht="17.649999999999999" x14ac:dyDescent="0.5">
      <c r="D1725" s="3" t="s">
        <v>77</v>
      </c>
    </row>
    <row r="1726" spans="4:4" ht="17.649999999999999" x14ac:dyDescent="0.5">
      <c r="D1726" s="3" t="s">
        <v>50</v>
      </c>
    </row>
    <row r="1727" spans="4:4" ht="17.649999999999999" x14ac:dyDescent="0.5">
      <c r="D1727" s="3" t="s">
        <v>91</v>
      </c>
    </row>
    <row r="1728" spans="4:4" ht="17.649999999999999" x14ac:dyDescent="0.5">
      <c r="D1728" s="3" t="s">
        <v>91</v>
      </c>
    </row>
    <row r="1729" spans="4:4" ht="17.649999999999999" x14ac:dyDescent="0.5">
      <c r="D1729" s="3" t="s">
        <v>96</v>
      </c>
    </row>
    <row r="1730" spans="4:4" ht="17.649999999999999" x14ac:dyDescent="0.5">
      <c r="D1730" s="3" t="s">
        <v>81</v>
      </c>
    </row>
    <row r="1731" spans="4:4" ht="17.649999999999999" x14ac:dyDescent="0.5">
      <c r="D1731" s="3" t="s">
        <v>105</v>
      </c>
    </row>
    <row r="1732" spans="4:4" ht="17.649999999999999" x14ac:dyDescent="0.5">
      <c r="D1732" s="3" t="s">
        <v>116</v>
      </c>
    </row>
    <row r="1733" spans="4:4" ht="17.649999999999999" x14ac:dyDescent="0.5">
      <c r="D1733" s="3" t="s">
        <v>92</v>
      </c>
    </row>
    <row r="1734" spans="4:4" ht="17.649999999999999" x14ac:dyDescent="0.5">
      <c r="D1734" s="3" t="s">
        <v>84</v>
      </c>
    </row>
    <row r="1735" spans="4:4" ht="17.649999999999999" x14ac:dyDescent="0.5">
      <c r="D1735" s="3" t="s">
        <v>92</v>
      </c>
    </row>
    <row r="1736" spans="4:4" ht="17.649999999999999" x14ac:dyDescent="0.5">
      <c r="D1736" s="3" t="s">
        <v>81</v>
      </c>
    </row>
    <row r="1737" spans="4:4" ht="17.649999999999999" x14ac:dyDescent="0.5">
      <c r="D1737" s="3" t="s">
        <v>69</v>
      </c>
    </row>
    <row r="1738" spans="4:4" ht="17.649999999999999" x14ac:dyDescent="0.5">
      <c r="D1738" s="3" t="s">
        <v>134</v>
      </c>
    </row>
    <row r="1739" spans="4:4" ht="17.649999999999999" x14ac:dyDescent="0.5">
      <c r="D1739" s="3" t="s">
        <v>73</v>
      </c>
    </row>
    <row r="1740" spans="4:4" ht="17.649999999999999" x14ac:dyDescent="0.5">
      <c r="D1740" s="3" t="s">
        <v>66</v>
      </c>
    </row>
    <row r="1741" spans="4:4" ht="17.649999999999999" x14ac:dyDescent="0.5">
      <c r="D1741" s="3" t="s">
        <v>58</v>
      </c>
    </row>
    <row r="1742" spans="4:4" ht="17.649999999999999" x14ac:dyDescent="0.5">
      <c r="D1742" s="3" t="s">
        <v>61</v>
      </c>
    </row>
    <row r="1743" spans="4:4" ht="17.649999999999999" x14ac:dyDescent="0.5">
      <c r="D1743" s="3" t="s">
        <v>98</v>
      </c>
    </row>
    <row r="1744" spans="4:4" ht="17.649999999999999" x14ac:dyDescent="0.5">
      <c r="D1744" s="3" t="s">
        <v>68</v>
      </c>
    </row>
    <row r="1745" spans="4:4" ht="17.649999999999999" x14ac:dyDescent="0.5">
      <c r="D1745" s="3" t="s">
        <v>125</v>
      </c>
    </row>
    <row r="1746" spans="4:4" ht="17.649999999999999" x14ac:dyDescent="0.5">
      <c r="D1746" s="3" t="s">
        <v>66</v>
      </c>
    </row>
    <row r="1747" spans="4:4" ht="17.649999999999999" x14ac:dyDescent="0.5">
      <c r="D1747" s="3" t="s">
        <v>92</v>
      </c>
    </row>
    <row r="1748" spans="4:4" ht="17.649999999999999" x14ac:dyDescent="0.5">
      <c r="D1748" s="3" t="s">
        <v>84</v>
      </c>
    </row>
    <row r="1749" spans="4:4" ht="17.649999999999999" x14ac:dyDescent="0.5">
      <c r="D1749" s="3" t="s">
        <v>132</v>
      </c>
    </row>
    <row r="1750" spans="4:4" ht="17.649999999999999" x14ac:dyDescent="0.5">
      <c r="D1750" s="3" t="s">
        <v>85</v>
      </c>
    </row>
    <row r="1751" spans="4:4" ht="17.649999999999999" x14ac:dyDescent="0.5">
      <c r="D1751" s="3" t="s">
        <v>74</v>
      </c>
    </row>
    <row r="1752" spans="4:4" ht="17.649999999999999" x14ac:dyDescent="0.5">
      <c r="D1752" s="3" t="s">
        <v>60</v>
      </c>
    </row>
    <row r="1753" spans="4:4" ht="17.649999999999999" x14ac:dyDescent="0.5">
      <c r="D1753" s="3" t="s">
        <v>94</v>
      </c>
    </row>
    <row r="1754" spans="4:4" ht="17.649999999999999" x14ac:dyDescent="0.5">
      <c r="D1754" s="3" t="s">
        <v>51</v>
      </c>
    </row>
    <row r="1755" spans="4:4" ht="17.649999999999999" x14ac:dyDescent="0.5">
      <c r="D1755" s="3" t="s">
        <v>95</v>
      </c>
    </row>
    <row r="1756" spans="4:4" ht="17.649999999999999" x14ac:dyDescent="0.5">
      <c r="D1756" s="3" t="s">
        <v>69</v>
      </c>
    </row>
    <row r="1757" spans="4:4" ht="17.649999999999999" x14ac:dyDescent="0.5">
      <c r="D1757" s="3" t="s">
        <v>83</v>
      </c>
    </row>
    <row r="1758" spans="4:4" ht="17.649999999999999" x14ac:dyDescent="0.5">
      <c r="D1758" s="3" t="s">
        <v>107</v>
      </c>
    </row>
    <row r="1759" spans="4:4" ht="17.649999999999999" x14ac:dyDescent="0.5">
      <c r="D1759" s="3" t="s">
        <v>68</v>
      </c>
    </row>
    <row r="1760" spans="4:4" ht="17.649999999999999" x14ac:dyDescent="0.5">
      <c r="D1760" s="3" t="s">
        <v>64</v>
      </c>
    </row>
    <row r="1761" spans="4:4" ht="17.649999999999999" x14ac:dyDescent="0.5">
      <c r="D1761" s="3" t="s">
        <v>55</v>
      </c>
    </row>
    <row r="1762" spans="4:4" ht="17.649999999999999" x14ac:dyDescent="0.5">
      <c r="D1762" s="3" t="s">
        <v>85</v>
      </c>
    </row>
    <row r="1763" spans="4:4" ht="17.649999999999999" x14ac:dyDescent="0.5">
      <c r="D1763" s="3" t="s">
        <v>132</v>
      </c>
    </row>
    <row r="1764" spans="4:4" ht="17.649999999999999" x14ac:dyDescent="0.5">
      <c r="D1764" s="3" t="s">
        <v>50</v>
      </c>
    </row>
    <row r="1765" spans="4:4" ht="17.649999999999999" x14ac:dyDescent="0.5">
      <c r="D1765" s="3" t="s">
        <v>69</v>
      </c>
    </row>
    <row r="1766" spans="4:4" ht="17.649999999999999" x14ac:dyDescent="0.5">
      <c r="D1766" s="3" t="s">
        <v>56</v>
      </c>
    </row>
    <row r="1767" spans="4:4" ht="17.649999999999999" x14ac:dyDescent="0.5">
      <c r="D1767" s="3" t="s">
        <v>117</v>
      </c>
    </row>
    <row r="1768" spans="4:4" ht="17.649999999999999" x14ac:dyDescent="0.5">
      <c r="D1768" s="3" t="s">
        <v>126</v>
      </c>
    </row>
    <row r="1769" spans="4:4" ht="17.649999999999999" x14ac:dyDescent="0.5">
      <c r="D1769" s="3" t="s">
        <v>104</v>
      </c>
    </row>
    <row r="1770" spans="4:4" ht="17.649999999999999" x14ac:dyDescent="0.5">
      <c r="D1770" s="3" t="s">
        <v>69</v>
      </c>
    </row>
    <row r="1771" spans="4:4" ht="17.649999999999999" x14ac:dyDescent="0.5">
      <c r="D1771" s="3" t="s">
        <v>112</v>
      </c>
    </row>
    <row r="1772" spans="4:4" ht="17.649999999999999" x14ac:dyDescent="0.5">
      <c r="D1772" s="3" t="s">
        <v>49</v>
      </c>
    </row>
    <row r="1773" spans="4:4" ht="17.649999999999999" x14ac:dyDescent="0.5">
      <c r="D1773" s="3" t="s">
        <v>58</v>
      </c>
    </row>
    <row r="1774" spans="4:4" ht="17.649999999999999" x14ac:dyDescent="0.5">
      <c r="D1774" s="3" t="s">
        <v>83</v>
      </c>
    </row>
    <row r="1775" spans="4:4" ht="17.649999999999999" x14ac:dyDescent="0.5">
      <c r="D1775" s="3" t="s">
        <v>81</v>
      </c>
    </row>
    <row r="1776" spans="4:4" ht="17.649999999999999" x14ac:dyDescent="0.5">
      <c r="D1776" s="3" t="s">
        <v>101</v>
      </c>
    </row>
    <row r="1777" spans="4:4" ht="17.649999999999999" x14ac:dyDescent="0.5">
      <c r="D1777" s="3" t="s">
        <v>63</v>
      </c>
    </row>
    <row r="1778" spans="4:4" ht="17.649999999999999" x14ac:dyDescent="0.5">
      <c r="D1778" s="3" t="s">
        <v>93</v>
      </c>
    </row>
    <row r="1779" spans="4:4" ht="17.649999999999999" x14ac:dyDescent="0.5">
      <c r="D1779" s="3" t="s">
        <v>89</v>
      </c>
    </row>
    <row r="1780" spans="4:4" ht="17.649999999999999" x14ac:dyDescent="0.5">
      <c r="D1780" s="3" t="s">
        <v>51</v>
      </c>
    </row>
    <row r="1781" spans="4:4" ht="17.649999999999999" x14ac:dyDescent="0.5">
      <c r="D1781" s="3" t="s">
        <v>49</v>
      </c>
    </row>
    <row r="1782" spans="4:4" ht="17.649999999999999" x14ac:dyDescent="0.5">
      <c r="D1782" s="3" t="s">
        <v>52</v>
      </c>
    </row>
    <row r="1783" spans="4:4" ht="17.649999999999999" x14ac:dyDescent="0.5">
      <c r="D1783" s="3" t="s">
        <v>46</v>
      </c>
    </row>
    <row r="1784" spans="4:4" ht="17.649999999999999" x14ac:dyDescent="0.5">
      <c r="D1784" s="3" t="s">
        <v>105</v>
      </c>
    </row>
    <row r="1785" spans="4:4" ht="17.649999999999999" x14ac:dyDescent="0.5">
      <c r="D1785" s="3" t="s">
        <v>83</v>
      </c>
    </row>
    <row r="1786" spans="4:4" ht="17.649999999999999" x14ac:dyDescent="0.5">
      <c r="D1786" s="3" t="s">
        <v>50</v>
      </c>
    </row>
    <row r="1787" spans="4:4" ht="17.649999999999999" x14ac:dyDescent="0.5">
      <c r="D1787" s="3" t="s">
        <v>75</v>
      </c>
    </row>
    <row r="1788" spans="4:4" ht="17.649999999999999" x14ac:dyDescent="0.5">
      <c r="D1788" s="3" t="s">
        <v>49</v>
      </c>
    </row>
    <row r="1789" spans="4:4" ht="17.649999999999999" x14ac:dyDescent="0.5">
      <c r="D1789" s="3" t="s">
        <v>43</v>
      </c>
    </row>
    <row r="1790" spans="4:4" ht="17.649999999999999" x14ac:dyDescent="0.5">
      <c r="D1790" s="3" t="s">
        <v>128</v>
      </c>
    </row>
    <row r="1791" spans="4:4" ht="17.649999999999999" x14ac:dyDescent="0.5">
      <c r="D1791" s="3" t="s">
        <v>68</v>
      </c>
    </row>
    <row r="1792" spans="4:4" ht="17.649999999999999" x14ac:dyDescent="0.5">
      <c r="D1792" s="3" t="s">
        <v>101</v>
      </c>
    </row>
    <row r="1793" spans="4:4" ht="17.649999999999999" x14ac:dyDescent="0.5">
      <c r="D1793" s="3" t="s">
        <v>103</v>
      </c>
    </row>
    <row r="1794" spans="4:4" ht="17.649999999999999" x14ac:dyDescent="0.5">
      <c r="D1794" s="3" t="s">
        <v>96</v>
      </c>
    </row>
    <row r="1795" spans="4:4" ht="17.649999999999999" x14ac:dyDescent="0.5">
      <c r="D1795" s="3" t="s">
        <v>107</v>
      </c>
    </row>
    <row r="1796" spans="4:4" ht="17.649999999999999" x14ac:dyDescent="0.5">
      <c r="D1796" s="3" t="s">
        <v>112</v>
      </c>
    </row>
    <row r="1797" spans="4:4" ht="17.649999999999999" x14ac:dyDescent="0.5">
      <c r="D1797" s="3" t="s">
        <v>67</v>
      </c>
    </row>
    <row r="1798" spans="4:4" ht="17.649999999999999" x14ac:dyDescent="0.5">
      <c r="D1798" s="3" t="s">
        <v>57</v>
      </c>
    </row>
    <row r="1799" spans="4:4" ht="17.649999999999999" x14ac:dyDescent="0.5">
      <c r="D1799" s="3" t="s">
        <v>103</v>
      </c>
    </row>
    <row r="1800" spans="4:4" ht="17.649999999999999" x14ac:dyDescent="0.5">
      <c r="D1800" s="3" t="s">
        <v>133</v>
      </c>
    </row>
    <row r="1801" spans="4:4" ht="17.649999999999999" x14ac:dyDescent="0.5">
      <c r="D1801" s="3" t="s">
        <v>46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96</v>
      </c>
    </row>
    <row r="1804" spans="4:4" ht="17.649999999999999" x14ac:dyDescent="0.5">
      <c r="D1804" s="3" t="s">
        <v>43</v>
      </c>
    </row>
    <row r="1805" spans="4:4" ht="17.649999999999999" x14ac:dyDescent="0.5">
      <c r="D1805" s="3" t="s">
        <v>83</v>
      </c>
    </row>
    <row r="1806" spans="4:4" ht="17.649999999999999" x14ac:dyDescent="0.5">
      <c r="D1806" s="3" t="s">
        <v>74</v>
      </c>
    </row>
    <row r="1807" spans="4:4" ht="17.649999999999999" x14ac:dyDescent="0.5">
      <c r="D1807" s="3" t="s">
        <v>46</v>
      </c>
    </row>
    <row r="1808" spans="4:4" ht="17.649999999999999" x14ac:dyDescent="0.5">
      <c r="D1808" s="3" t="s">
        <v>77</v>
      </c>
    </row>
    <row r="1809" spans="4:4" ht="17.649999999999999" x14ac:dyDescent="0.5">
      <c r="D1809" s="3" t="s">
        <v>108</v>
      </c>
    </row>
    <row r="1810" spans="4:4" ht="17.649999999999999" x14ac:dyDescent="0.5">
      <c r="D1810" s="3" t="s">
        <v>55</v>
      </c>
    </row>
    <row r="1811" spans="4:4" ht="17.649999999999999" x14ac:dyDescent="0.5">
      <c r="D1811" s="3" t="s">
        <v>46</v>
      </c>
    </row>
    <row r="1812" spans="4:4" ht="17.649999999999999" x14ac:dyDescent="0.5">
      <c r="D1812" s="3" t="s">
        <v>64</v>
      </c>
    </row>
    <row r="1813" spans="4:4" ht="17.649999999999999" x14ac:dyDescent="0.5">
      <c r="D1813" s="3" t="s">
        <v>85</v>
      </c>
    </row>
    <row r="1814" spans="4:4" ht="17.649999999999999" x14ac:dyDescent="0.5">
      <c r="D1814" s="3" t="s">
        <v>47</v>
      </c>
    </row>
    <row r="1815" spans="4:4" ht="17.649999999999999" x14ac:dyDescent="0.5">
      <c r="D1815" s="3" t="s">
        <v>90</v>
      </c>
    </row>
    <row r="1816" spans="4:4" ht="17.649999999999999" x14ac:dyDescent="0.5">
      <c r="D1816" s="3" t="s">
        <v>57</v>
      </c>
    </row>
    <row r="1817" spans="4:4" ht="17.649999999999999" x14ac:dyDescent="0.5">
      <c r="D1817" s="3" t="s">
        <v>83</v>
      </c>
    </row>
    <row r="1818" spans="4:4" ht="17.649999999999999" x14ac:dyDescent="0.5">
      <c r="D1818" s="3" t="s">
        <v>56</v>
      </c>
    </row>
    <row r="1819" spans="4:4" ht="17.649999999999999" x14ac:dyDescent="0.5">
      <c r="D1819" s="3" t="s">
        <v>101</v>
      </c>
    </row>
    <row r="1820" spans="4:4" ht="17.649999999999999" x14ac:dyDescent="0.5">
      <c r="D1820" s="3" t="s">
        <v>81</v>
      </c>
    </row>
    <row r="1821" spans="4:4" ht="17.649999999999999" x14ac:dyDescent="0.5">
      <c r="D1821" s="3" t="s">
        <v>51</v>
      </c>
    </row>
    <row r="1822" spans="4:4" ht="17.649999999999999" x14ac:dyDescent="0.5">
      <c r="D1822" s="3" t="s">
        <v>63</v>
      </c>
    </row>
    <row r="1823" spans="4:4" ht="17.649999999999999" x14ac:dyDescent="0.5">
      <c r="D1823" s="3" t="s">
        <v>95</v>
      </c>
    </row>
    <row r="1824" spans="4:4" ht="17.649999999999999" x14ac:dyDescent="0.5">
      <c r="D1824" s="3" t="s">
        <v>52</v>
      </c>
    </row>
    <row r="1825" spans="4:4" ht="17.649999999999999" x14ac:dyDescent="0.5">
      <c r="D1825" s="3" t="s">
        <v>57</v>
      </c>
    </row>
    <row r="1826" spans="4:4" ht="17.649999999999999" x14ac:dyDescent="0.5">
      <c r="D1826" s="3" t="s">
        <v>115</v>
      </c>
    </row>
    <row r="1827" spans="4:4" ht="17.649999999999999" x14ac:dyDescent="0.5">
      <c r="D1827" s="3" t="s">
        <v>117</v>
      </c>
    </row>
    <row r="1828" spans="4:4" ht="17.649999999999999" x14ac:dyDescent="0.5">
      <c r="D1828" s="3" t="s">
        <v>47</v>
      </c>
    </row>
    <row r="1829" spans="4:4" ht="17.649999999999999" x14ac:dyDescent="0.5">
      <c r="D1829" s="3" t="s">
        <v>60</v>
      </c>
    </row>
    <row r="1830" spans="4:4" ht="17.649999999999999" x14ac:dyDescent="0.5">
      <c r="D1830" s="3" t="s">
        <v>51</v>
      </c>
    </row>
    <row r="1831" spans="4:4" ht="17.649999999999999" x14ac:dyDescent="0.5">
      <c r="D1831" s="3" t="s">
        <v>77</v>
      </c>
    </row>
    <row r="1832" spans="4:4" ht="17.649999999999999" x14ac:dyDescent="0.5">
      <c r="D1832" s="3" t="s">
        <v>47</v>
      </c>
    </row>
    <row r="1833" spans="4:4" ht="17.649999999999999" x14ac:dyDescent="0.5">
      <c r="D1833" s="3" t="s">
        <v>78</v>
      </c>
    </row>
    <row r="1834" spans="4:4" ht="17.649999999999999" x14ac:dyDescent="0.5">
      <c r="D1834" s="3" t="s">
        <v>50</v>
      </c>
    </row>
    <row r="1835" spans="4:4" ht="17.649999999999999" x14ac:dyDescent="0.5">
      <c r="D1835" s="3" t="s">
        <v>77</v>
      </c>
    </row>
    <row r="1836" spans="4:4" ht="17.649999999999999" x14ac:dyDescent="0.5">
      <c r="D1836" s="3" t="s">
        <v>68</v>
      </c>
    </row>
    <row r="1837" spans="4:4" ht="17.649999999999999" x14ac:dyDescent="0.5">
      <c r="D1837" s="3" t="s">
        <v>64</v>
      </c>
    </row>
    <row r="1838" spans="4:4" ht="17.649999999999999" x14ac:dyDescent="0.5">
      <c r="D1838" s="3" t="s">
        <v>63</v>
      </c>
    </row>
    <row r="1839" spans="4:4" ht="17.649999999999999" x14ac:dyDescent="0.5">
      <c r="D1839" s="3" t="s">
        <v>67</v>
      </c>
    </row>
    <row r="1840" spans="4:4" ht="17.649999999999999" x14ac:dyDescent="0.5">
      <c r="D1840" s="3" t="s">
        <v>131</v>
      </c>
    </row>
    <row r="1841" spans="4:4" ht="17.649999999999999" x14ac:dyDescent="0.5">
      <c r="D1841" s="3" t="s">
        <v>107</v>
      </c>
    </row>
    <row r="1842" spans="4:4" ht="17.649999999999999" x14ac:dyDescent="0.5">
      <c r="D1842" s="3" t="s">
        <v>61</v>
      </c>
    </row>
    <row r="1843" spans="4:4" ht="17.649999999999999" x14ac:dyDescent="0.5">
      <c r="D1843" s="3" t="s">
        <v>64</v>
      </c>
    </row>
    <row r="1844" spans="4:4" ht="17.649999999999999" x14ac:dyDescent="0.5">
      <c r="D1844" s="3" t="s">
        <v>115</v>
      </c>
    </row>
    <row r="1845" spans="4:4" ht="17.649999999999999" x14ac:dyDescent="0.5">
      <c r="D1845" s="3" t="s">
        <v>131</v>
      </c>
    </row>
    <row r="1846" spans="4:4" ht="17.649999999999999" x14ac:dyDescent="0.5">
      <c r="D1846" s="3" t="s">
        <v>95</v>
      </c>
    </row>
    <row r="1847" spans="4:4" ht="17.649999999999999" x14ac:dyDescent="0.5">
      <c r="D1847" s="3" t="s">
        <v>94</v>
      </c>
    </row>
    <row r="1848" spans="4:4" ht="17.649999999999999" x14ac:dyDescent="0.5">
      <c r="D1848" s="3" t="s">
        <v>90</v>
      </c>
    </row>
    <row r="1849" spans="4:4" ht="17.649999999999999" x14ac:dyDescent="0.5">
      <c r="D1849" s="3" t="s">
        <v>107</v>
      </c>
    </row>
    <row r="1850" spans="4:4" ht="17.649999999999999" x14ac:dyDescent="0.5">
      <c r="D1850" s="3" t="s">
        <v>112</v>
      </c>
    </row>
    <row r="1851" spans="4:4" ht="17.649999999999999" x14ac:dyDescent="0.5">
      <c r="D1851" s="3" t="s">
        <v>129</v>
      </c>
    </row>
    <row r="1852" spans="4:4" ht="17.649999999999999" x14ac:dyDescent="0.5">
      <c r="D1852" s="3" t="s">
        <v>69</v>
      </c>
    </row>
    <row r="1853" spans="4:4" ht="17.649999999999999" x14ac:dyDescent="0.5">
      <c r="D1853" s="3" t="s">
        <v>65</v>
      </c>
    </row>
    <row r="1854" spans="4:4" ht="17.649999999999999" x14ac:dyDescent="0.5">
      <c r="D1854" s="3" t="s">
        <v>75</v>
      </c>
    </row>
    <row r="1855" spans="4:4" ht="17.649999999999999" x14ac:dyDescent="0.5">
      <c r="D1855" s="3" t="s">
        <v>67</v>
      </c>
    </row>
    <row r="1856" spans="4:4" ht="17.649999999999999" x14ac:dyDescent="0.5">
      <c r="D1856" s="3" t="s">
        <v>54</v>
      </c>
    </row>
    <row r="1857" spans="4:4" ht="17.649999999999999" x14ac:dyDescent="0.5">
      <c r="D1857" s="3" t="s">
        <v>135</v>
      </c>
    </row>
    <row r="1858" spans="4:4" ht="17.649999999999999" x14ac:dyDescent="0.5">
      <c r="D1858" s="3" t="s">
        <v>80</v>
      </c>
    </row>
    <row r="1859" spans="4:4" ht="17.649999999999999" x14ac:dyDescent="0.5">
      <c r="D1859" s="3" t="s">
        <v>83</v>
      </c>
    </row>
    <row r="1860" spans="4:4" ht="17.649999999999999" x14ac:dyDescent="0.5">
      <c r="D1860" s="3" t="s">
        <v>57</v>
      </c>
    </row>
    <row r="1861" spans="4:4" ht="17.649999999999999" x14ac:dyDescent="0.5">
      <c r="D1861" s="3" t="s">
        <v>73</v>
      </c>
    </row>
    <row r="1862" spans="4:4" ht="17.649999999999999" x14ac:dyDescent="0.5">
      <c r="D1862" s="3" t="s">
        <v>53</v>
      </c>
    </row>
    <row r="1863" spans="4:4" ht="17.649999999999999" x14ac:dyDescent="0.5">
      <c r="D1863" s="3" t="s">
        <v>103</v>
      </c>
    </row>
    <row r="1864" spans="4:4" ht="17.649999999999999" x14ac:dyDescent="0.5">
      <c r="D1864" s="3" t="s">
        <v>44</v>
      </c>
    </row>
    <row r="1865" spans="4:4" ht="17.649999999999999" x14ac:dyDescent="0.5">
      <c r="D1865" s="3" t="s">
        <v>118</v>
      </c>
    </row>
    <row r="1866" spans="4:4" ht="17.649999999999999" x14ac:dyDescent="0.5">
      <c r="D1866" s="3" t="s">
        <v>56</v>
      </c>
    </row>
    <row r="1867" spans="4:4" ht="17.649999999999999" x14ac:dyDescent="0.5">
      <c r="D1867" s="3" t="s">
        <v>50</v>
      </c>
    </row>
    <row r="1868" spans="4:4" ht="17.649999999999999" x14ac:dyDescent="0.5">
      <c r="D1868" s="3" t="s">
        <v>103</v>
      </c>
    </row>
    <row r="1869" spans="4:4" ht="17.649999999999999" x14ac:dyDescent="0.5">
      <c r="D1869" s="3" t="s">
        <v>106</v>
      </c>
    </row>
    <row r="1870" spans="4:4" ht="17.649999999999999" x14ac:dyDescent="0.5">
      <c r="D1870" s="3" t="s">
        <v>74</v>
      </c>
    </row>
    <row r="1871" spans="4:4" ht="17.649999999999999" x14ac:dyDescent="0.5">
      <c r="D1871" s="3" t="s">
        <v>77</v>
      </c>
    </row>
    <row r="1872" spans="4:4" ht="17.649999999999999" x14ac:dyDescent="0.5">
      <c r="D1872" s="3" t="s">
        <v>51</v>
      </c>
    </row>
    <row r="1873" spans="4:4" ht="17.649999999999999" x14ac:dyDescent="0.5">
      <c r="D1873" s="3" t="s">
        <v>63</v>
      </c>
    </row>
    <row r="1874" spans="4:4" ht="17.649999999999999" x14ac:dyDescent="0.5">
      <c r="D1874" s="3" t="s">
        <v>57</v>
      </c>
    </row>
    <row r="1875" spans="4:4" ht="17.649999999999999" x14ac:dyDescent="0.5">
      <c r="D1875" s="3" t="s">
        <v>104</v>
      </c>
    </row>
    <row r="1876" spans="4:4" ht="17.649999999999999" x14ac:dyDescent="0.5">
      <c r="D1876" s="3" t="s">
        <v>66</v>
      </c>
    </row>
    <row r="1877" spans="4:4" ht="17.649999999999999" x14ac:dyDescent="0.5">
      <c r="D1877" s="3" t="s">
        <v>41</v>
      </c>
    </row>
    <row r="1878" spans="4:4" ht="17.649999999999999" x14ac:dyDescent="0.5">
      <c r="D1878" s="3" t="s">
        <v>46</v>
      </c>
    </row>
    <row r="1879" spans="4:4" ht="17.649999999999999" x14ac:dyDescent="0.5">
      <c r="D1879" s="3" t="s">
        <v>87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61</v>
      </c>
    </row>
    <row r="1882" spans="4:4" ht="17.649999999999999" x14ac:dyDescent="0.5">
      <c r="D1882" s="3" t="s">
        <v>53</v>
      </c>
    </row>
    <row r="1883" spans="4:4" ht="17.649999999999999" x14ac:dyDescent="0.5">
      <c r="D1883" s="3" t="s">
        <v>64</v>
      </c>
    </row>
    <row r="1884" spans="4:4" ht="17.649999999999999" x14ac:dyDescent="0.5">
      <c r="D1884" s="3" t="s">
        <v>96</v>
      </c>
    </row>
    <row r="1885" spans="4:4" ht="17.649999999999999" x14ac:dyDescent="0.5">
      <c r="D1885" s="3" t="s">
        <v>74</v>
      </c>
    </row>
    <row r="1886" spans="4:4" ht="17.649999999999999" x14ac:dyDescent="0.5">
      <c r="D1886" s="3" t="s">
        <v>48</v>
      </c>
    </row>
    <row r="1887" spans="4:4" ht="17.649999999999999" x14ac:dyDescent="0.5">
      <c r="D1887" s="3" t="s">
        <v>97</v>
      </c>
    </row>
    <row r="1888" spans="4:4" ht="17.649999999999999" x14ac:dyDescent="0.5">
      <c r="D1888" s="3" t="s">
        <v>74</v>
      </c>
    </row>
    <row r="1889" spans="4:4" ht="17.649999999999999" x14ac:dyDescent="0.5">
      <c r="D1889" s="3" t="s">
        <v>59</v>
      </c>
    </row>
    <row r="1890" spans="4:4" ht="17.649999999999999" x14ac:dyDescent="0.5">
      <c r="D1890" s="3" t="s">
        <v>76</v>
      </c>
    </row>
    <row r="1891" spans="4:4" ht="17.649999999999999" x14ac:dyDescent="0.5">
      <c r="D1891" s="3" t="s">
        <v>113</v>
      </c>
    </row>
    <row r="1892" spans="4:4" ht="17.649999999999999" x14ac:dyDescent="0.5">
      <c r="D1892" s="3" t="s">
        <v>115</v>
      </c>
    </row>
    <row r="1893" spans="4:4" ht="17.649999999999999" x14ac:dyDescent="0.5">
      <c r="D1893" s="3" t="s">
        <v>84</v>
      </c>
    </row>
    <row r="1894" spans="4:4" ht="17.649999999999999" x14ac:dyDescent="0.5">
      <c r="D1894" s="3" t="s">
        <v>46</v>
      </c>
    </row>
    <row r="1895" spans="4:4" ht="17.649999999999999" x14ac:dyDescent="0.5">
      <c r="D1895" s="3" t="s">
        <v>46</v>
      </c>
    </row>
    <row r="1896" spans="4:4" ht="17.649999999999999" x14ac:dyDescent="0.5">
      <c r="D1896" s="3" t="s">
        <v>62</v>
      </c>
    </row>
    <row r="1897" spans="4:4" ht="17.649999999999999" x14ac:dyDescent="0.5">
      <c r="D1897" s="3" t="s">
        <v>59</v>
      </c>
    </row>
    <row r="1898" spans="4:4" ht="17.649999999999999" x14ac:dyDescent="0.5">
      <c r="D1898" s="3" t="s">
        <v>64</v>
      </c>
    </row>
    <row r="1899" spans="4:4" ht="17.649999999999999" x14ac:dyDescent="0.5">
      <c r="D1899" s="3" t="s">
        <v>134</v>
      </c>
    </row>
    <row r="1900" spans="4:4" ht="17.649999999999999" x14ac:dyDescent="0.5">
      <c r="D1900" s="3" t="s">
        <v>61</v>
      </c>
    </row>
    <row r="1901" spans="4:4" ht="17.649999999999999" x14ac:dyDescent="0.5">
      <c r="D1901" s="3" t="s">
        <v>64</v>
      </c>
    </row>
    <row r="1902" spans="4:4" ht="17.649999999999999" x14ac:dyDescent="0.5">
      <c r="D1902" s="3" t="s">
        <v>90</v>
      </c>
    </row>
    <row r="1903" spans="4:4" ht="17.649999999999999" x14ac:dyDescent="0.5">
      <c r="D1903" s="3" t="s">
        <v>54</v>
      </c>
    </row>
    <row r="1904" spans="4:4" ht="17.649999999999999" x14ac:dyDescent="0.5">
      <c r="D1904" s="3" t="s">
        <v>64</v>
      </c>
    </row>
    <row r="1905" spans="4:4" ht="17.649999999999999" x14ac:dyDescent="0.5">
      <c r="D1905" s="3" t="s">
        <v>92</v>
      </c>
    </row>
    <row r="1906" spans="4:4" ht="17.649999999999999" x14ac:dyDescent="0.5">
      <c r="D1906" s="3" t="s">
        <v>82</v>
      </c>
    </row>
    <row r="1907" spans="4:4" ht="17.649999999999999" x14ac:dyDescent="0.5">
      <c r="D1907" s="3" t="s">
        <v>64</v>
      </c>
    </row>
    <row r="1908" spans="4:4" ht="17.649999999999999" x14ac:dyDescent="0.5">
      <c r="D1908" s="3" t="s">
        <v>68</v>
      </c>
    </row>
    <row r="1909" spans="4:4" ht="17.649999999999999" x14ac:dyDescent="0.5">
      <c r="D1909" s="3" t="s">
        <v>71</v>
      </c>
    </row>
    <row r="1910" spans="4:4" ht="17.649999999999999" x14ac:dyDescent="0.5">
      <c r="D1910" s="3" t="s">
        <v>117</v>
      </c>
    </row>
    <row r="1911" spans="4:4" ht="17.649999999999999" x14ac:dyDescent="0.5">
      <c r="D1911" s="3" t="s">
        <v>54</v>
      </c>
    </row>
    <row r="1912" spans="4:4" ht="17.649999999999999" x14ac:dyDescent="0.5">
      <c r="D1912" s="3" t="s">
        <v>43</v>
      </c>
    </row>
    <row r="1913" spans="4:4" ht="17.649999999999999" x14ac:dyDescent="0.5">
      <c r="D1913" s="3" t="s">
        <v>67</v>
      </c>
    </row>
    <row r="1914" spans="4:4" ht="17.649999999999999" x14ac:dyDescent="0.5">
      <c r="D1914" s="3" t="s">
        <v>80</v>
      </c>
    </row>
    <row r="1915" spans="4:4" ht="17.649999999999999" x14ac:dyDescent="0.5">
      <c r="D1915" s="3" t="s">
        <v>68</v>
      </c>
    </row>
    <row r="1916" spans="4:4" ht="17.649999999999999" x14ac:dyDescent="0.5">
      <c r="D1916" s="3" t="s">
        <v>52</v>
      </c>
    </row>
    <row r="1917" spans="4:4" ht="17.649999999999999" x14ac:dyDescent="0.5">
      <c r="D1917" s="3" t="s">
        <v>98</v>
      </c>
    </row>
    <row r="1918" spans="4:4" ht="17.649999999999999" x14ac:dyDescent="0.5">
      <c r="D1918" s="3" t="s">
        <v>113</v>
      </c>
    </row>
    <row r="1919" spans="4:4" ht="17.649999999999999" x14ac:dyDescent="0.5">
      <c r="D1919" s="3" t="s">
        <v>59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121</v>
      </c>
    </row>
    <row r="1922" spans="4:4" ht="17.649999999999999" x14ac:dyDescent="0.5">
      <c r="D1922" s="3" t="s">
        <v>77</v>
      </c>
    </row>
    <row r="1923" spans="4:4" ht="17.649999999999999" x14ac:dyDescent="0.5">
      <c r="D1923" s="3" t="s">
        <v>103</v>
      </c>
    </row>
    <row r="1924" spans="4:4" ht="17.649999999999999" x14ac:dyDescent="0.5">
      <c r="D1924" s="3" t="s">
        <v>102</v>
      </c>
    </row>
    <row r="1925" spans="4:4" ht="17.649999999999999" x14ac:dyDescent="0.5">
      <c r="D1925" s="3" t="s">
        <v>94</v>
      </c>
    </row>
    <row r="1926" spans="4:4" ht="17.649999999999999" x14ac:dyDescent="0.5">
      <c r="D1926" s="3" t="s">
        <v>51</v>
      </c>
    </row>
    <row r="1927" spans="4:4" ht="17.649999999999999" x14ac:dyDescent="0.5">
      <c r="D1927" s="3" t="s">
        <v>46</v>
      </c>
    </row>
    <row r="1928" spans="4:4" ht="17.649999999999999" x14ac:dyDescent="0.5">
      <c r="D1928" s="3" t="s">
        <v>85</v>
      </c>
    </row>
    <row r="1929" spans="4:4" ht="17.649999999999999" x14ac:dyDescent="0.5">
      <c r="D1929" s="3" t="s">
        <v>91</v>
      </c>
    </row>
    <row r="1930" spans="4:4" ht="17.649999999999999" x14ac:dyDescent="0.5">
      <c r="D1930" s="3" t="s">
        <v>68</v>
      </c>
    </row>
    <row r="1931" spans="4:4" ht="17.649999999999999" x14ac:dyDescent="0.5">
      <c r="D1931" s="3" t="s">
        <v>105</v>
      </c>
    </row>
    <row r="1932" spans="4:4" ht="17.649999999999999" x14ac:dyDescent="0.5">
      <c r="D1932" s="3" t="s">
        <v>75</v>
      </c>
    </row>
    <row r="1933" spans="4:4" ht="17.649999999999999" x14ac:dyDescent="0.5">
      <c r="D1933" s="3" t="s">
        <v>61</v>
      </c>
    </row>
    <row r="1934" spans="4:4" ht="17.649999999999999" x14ac:dyDescent="0.5">
      <c r="D1934" s="3" t="s">
        <v>119</v>
      </c>
    </row>
    <row r="1935" spans="4:4" ht="17.649999999999999" x14ac:dyDescent="0.5">
      <c r="D1935" s="3" t="s">
        <v>81</v>
      </c>
    </row>
    <row r="1936" spans="4:4" ht="17.649999999999999" x14ac:dyDescent="0.5">
      <c r="D1936" s="3" t="s">
        <v>134</v>
      </c>
    </row>
    <row r="1937" spans="4:4" ht="17.649999999999999" x14ac:dyDescent="0.5">
      <c r="D1937" s="3" t="s">
        <v>105</v>
      </c>
    </row>
    <row r="1938" spans="4:4" ht="17.649999999999999" x14ac:dyDescent="0.5">
      <c r="D1938" s="3" t="s">
        <v>121</v>
      </c>
    </row>
    <row r="1939" spans="4:4" ht="17.649999999999999" x14ac:dyDescent="0.5">
      <c r="D1939" s="3" t="s">
        <v>85</v>
      </c>
    </row>
    <row r="1940" spans="4:4" ht="17.649999999999999" x14ac:dyDescent="0.5">
      <c r="D1940" s="3" t="s">
        <v>110</v>
      </c>
    </row>
    <row r="1941" spans="4:4" ht="17.649999999999999" x14ac:dyDescent="0.5">
      <c r="D1941" s="3" t="s">
        <v>104</v>
      </c>
    </row>
    <row r="1942" spans="4:4" ht="17.649999999999999" x14ac:dyDescent="0.5">
      <c r="D1942" s="3" t="s">
        <v>80</v>
      </c>
    </row>
    <row r="1943" spans="4:4" ht="17.649999999999999" x14ac:dyDescent="0.5">
      <c r="D1943" s="3" t="s">
        <v>74</v>
      </c>
    </row>
    <row r="1944" spans="4:4" ht="17.649999999999999" x14ac:dyDescent="0.5">
      <c r="D1944" s="3" t="s">
        <v>130</v>
      </c>
    </row>
    <row r="1945" spans="4:4" ht="17.649999999999999" x14ac:dyDescent="0.5">
      <c r="D1945" s="3" t="s">
        <v>55</v>
      </c>
    </row>
    <row r="1946" spans="4:4" ht="17.649999999999999" x14ac:dyDescent="0.5">
      <c r="D1946" s="3" t="s">
        <v>77</v>
      </c>
    </row>
    <row r="1947" spans="4:4" ht="17.649999999999999" x14ac:dyDescent="0.5">
      <c r="D1947" s="3" t="s">
        <v>53</v>
      </c>
    </row>
    <row r="1948" spans="4:4" ht="17.649999999999999" x14ac:dyDescent="0.5">
      <c r="D1948" s="3" t="s">
        <v>59</v>
      </c>
    </row>
    <row r="1949" spans="4:4" ht="17.649999999999999" x14ac:dyDescent="0.5">
      <c r="D1949" s="3" t="s">
        <v>86</v>
      </c>
    </row>
    <row r="1950" spans="4:4" ht="17.649999999999999" x14ac:dyDescent="0.5">
      <c r="D1950" s="3" t="s">
        <v>77</v>
      </c>
    </row>
    <row r="1951" spans="4:4" ht="17.649999999999999" x14ac:dyDescent="0.5">
      <c r="D1951" s="3" t="s">
        <v>130</v>
      </c>
    </row>
    <row r="1952" spans="4:4" ht="17.649999999999999" x14ac:dyDescent="0.5">
      <c r="D1952" s="3" t="s">
        <v>44</v>
      </c>
    </row>
    <row r="1953" spans="4:4" ht="17.649999999999999" x14ac:dyDescent="0.5">
      <c r="D1953" s="3" t="s">
        <v>107</v>
      </c>
    </row>
    <row r="1954" spans="4:4" ht="17.649999999999999" x14ac:dyDescent="0.5">
      <c r="D1954" s="3" t="s">
        <v>53</v>
      </c>
    </row>
    <row r="1955" spans="4:4" ht="17.649999999999999" x14ac:dyDescent="0.5">
      <c r="D1955" s="3" t="s">
        <v>70</v>
      </c>
    </row>
    <row r="1956" spans="4:4" ht="17.649999999999999" x14ac:dyDescent="0.5">
      <c r="D1956" s="3" t="s">
        <v>132</v>
      </c>
    </row>
    <row r="1957" spans="4:4" ht="17.649999999999999" x14ac:dyDescent="0.5">
      <c r="D1957" s="3" t="s">
        <v>125</v>
      </c>
    </row>
    <row r="1958" spans="4:4" ht="17.649999999999999" x14ac:dyDescent="0.5">
      <c r="D1958" s="3" t="s">
        <v>87</v>
      </c>
    </row>
    <row r="1959" spans="4:4" ht="17.649999999999999" x14ac:dyDescent="0.5">
      <c r="D1959" s="3" t="s">
        <v>44</v>
      </c>
    </row>
    <row r="1960" spans="4:4" ht="17.649999999999999" x14ac:dyDescent="0.5">
      <c r="D1960" s="3" t="s">
        <v>61</v>
      </c>
    </row>
    <row r="1961" spans="4:4" ht="17.649999999999999" x14ac:dyDescent="0.5">
      <c r="D1961" s="3" t="s">
        <v>70</v>
      </c>
    </row>
    <row r="1962" spans="4:4" ht="17.649999999999999" x14ac:dyDescent="0.5">
      <c r="D1962" s="3" t="s">
        <v>101</v>
      </c>
    </row>
    <row r="1963" spans="4:4" ht="17.649999999999999" x14ac:dyDescent="0.5">
      <c r="D1963" s="3" t="s">
        <v>81</v>
      </c>
    </row>
    <row r="1964" spans="4:4" ht="17.649999999999999" x14ac:dyDescent="0.5">
      <c r="D1964" s="3" t="s">
        <v>52</v>
      </c>
    </row>
    <row r="1965" spans="4:4" ht="17.649999999999999" x14ac:dyDescent="0.5">
      <c r="D1965" s="3" t="s">
        <v>91</v>
      </c>
    </row>
    <row r="1966" spans="4:4" ht="17.649999999999999" x14ac:dyDescent="0.5">
      <c r="D1966" s="3" t="s">
        <v>108</v>
      </c>
    </row>
    <row r="1967" spans="4:4" ht="17.649999999999999" x14ac:dyDescent="0.5">
      <c r="D1967" s="3" t="s">
        <v>109</v>
      </c>
    </row>
    <row r="1968" spans="4:4" ht="17.649999999999999" x14ac:dyDescent="0.5">
      <c r="D1968" s="3" t="s">
        <v>65</v>
      </c>
    </row>
    <row r="1969" spans="4:4" ht="17.649999999999999" x14ac:dyDescent="0.5">
      <c r="D1969" s="3" t="s">
        <v>120</v>
      </c>
    </row>
    <row r="1970" spans="4:4" ht="17.649999999999999" x14ac:dyDescent="0.5">
      <c r="D1970" s="3" t="s">
        <v>94</v>
      </c>
    </row>
    <row r="1971" spans="4:4" ht="17.649999999999999" x14ac:dyDescent="0.5">
      <c r="D1971" s="3" t="s">
        <v>74</v>
      </c>
    </row>
    <row r="1972" spans="4:4" ht="17.649999999999999" x14ac:dyDescent="0.5">
      <c r="D1972" s="3" t="s">
        <v>83</v>
      </c>
    </row>
    <row r="1973" spans="4:4" ht="17.649999999999999" x14ac:dyDescent="0.5">
      <c r="D1973" s="3" t="s">
        <v>84</v>
      </c>
    </row>
    <row r="1974" spans="4:4" ht="17.649999999999999" x14ac:dyDescent="0.5">
      <c r="D1974" s="3" t="s">
        <v>80</v>
      </c>
    </row>
    <row r="1975" spans="4:4" ht="17.649999999999999" x14ac:dyDescent="0.5">
      <c r="D1975" s="3" t="s">
        <v>63</v>
      </c>
    </row>
    <row r="1976" spans="4:4" ht="17.649999999999999" x14ac:dyDescent="0.5">
      <c r="D1976" s="3" t="s">
        <v>66</v>
      </c>
    </row>
    <row r="1977" spans="4:4" ht="17.649999999999999" x14ac:dyDescent="0.5">
      <c r="D1977" s="3" t="s">
        <v>88</v>
      </c>
    </row>
    <row r="1978" spans="4:4" ht="17.649999999999999" x14ac:dyDescent="0.5">
      <c r="D1978" s="3" t="s">
        <v>54</v>
      </c>
    </row>
    <row r="1979" spans="4:4" ht="17.649999999999999" x14ac:dyDescent="0.5">
      <c r="D1979" s="3" t="s">
        <v>41</v>
      </c>
    </row>
    <row r="1980" spans="4:4" ht="17.649999999999999" x14ac:dyDescent="0.5">
      <c r="D1980" s="3" t="s">
        <v>96</v>
      </c>
    </row>
    <row r="1981" spans="4:4" ht="17.649999999999999" x14ac:dyDescent="0.5">
      <c r="D1981" s="3" t="s">
        <v>65</v>
      </c>
    </row>
    <row r="1982" spans="4:4" ht="17.649999999999999" x14ac:dyDescent="0.5">
      <c r="D1982" s="3" t="s">
        <v>97</v>
      </c>
    </row>
    <row r="1983" spans="4:4" ht="17.649999999999999" x14ac:dyDescent="0.5">
      <c r="D1983" s="3" t="s">
        <v>103</v>
      </c>
    </row>
    <row r="1984" spans="4:4" ht="17.649999999999999" x14ac:dyDescent="0.5">
      <c r="D1984" s="3" t="s">
        <v>51</v>
      </c>
    </row>
    <row r="1985" spans="4:4" ht="17.649999999999999" x14ac:dyDescent="0.5">
      <c r="D1985" s="3" t="s">
        <v>69</v>
      </c>
    </row>
    <row r="1986" spans="4:4" ht="17.649999999999999" x14ac:dyDescent="0.5">
      <c r="D1986" s="3" t="s">
        <v>41</v>
      </c>
    </row>
    <row r="1987" spans="4:4" ht="17.649999999999999" x14ac:dyDescent="0.5">
      <c r="D1987" s="3" t="s">
        <v>125</v>
      </c>
    </row>
    <row r="1988" spans="4:4" ht="17.649999999999999" x14ac:dyDescent="0.5">
      <c r="D1988" s="3" t="s">
        <v>46</v>
      </c>
    </row>
    <row r="1989" spans="4:4" ht="17.649999999999999" x14ac:dyDescent="0.5">
      <c r="D1989" s="3" t="s">
        <v>105</v>
      </c>
    </row>
    <row r="1990" spans="4:4" ht="17.649999999999999" x14ac:dyDescent="0.5">
      <c r="D1990" s="3" t="s">
        <v>98</v>
      </c>
    </row>
    <row r="1991" spans="4:4" ht="17.649999999999999" x14ac:dyDescent="0.5">
      <c r="D1991" s="3" t="s">
        <v>56</v>
      </c>
    </row>
    <row r="1992" spans="4:4" ht="17.649999999999999" x14ac:dyDescent="0.5">
      <c r="D1992" s="3" t="s">
        <v>72</v>
      </c>
    </row>
    <row r="1993" spans="4:4" ht="17.649999999999999" x14ac:dyDescent="0.5">
      <c r="D1993" s="3" t="s">
        <v>105</v>
      </c>
    </row>
    <row r="1994" spans="4:4" ht="17.649999999999999" x14ac:dyDescent="0.5">
      <c r="D1994" s="3" t="s">
        <v>115</v>
      </c>
    </row>
    <row r="1995" spans="4:4" ht="17.649999999999999" x14ac:dyDescent="0.5">
      <c r="D1995" s="3" t="s">
        <v>116</v>
      </c>
    </row>
    <row r="1996" spans="4:4" ht="17.649999999999999" x14ac:dyDescent="0.5">
      <c r="D1996" s="3" t="s">
        <v>42</v>
      </c>
    </row>
    <row r="1997" spans="4:4" ht="17.649999999999999" x14ac:dyDescent="0.5">
      <c r="D1997" s="3" t="s">
        <v>50</v>
      </c>
    </row>
    <row r="1998" spans="4:4" ht="17.649999999999999" x14ac:dyDescent="0.5">
      <c r="D1998" s="3" t="s">
        <v>112</v>
      </c>
    </row>
    <row r="1999" spans="4:4" ht="17.649999999999999" x14ac:dyDescent="0.5">
      <c r="D1999" s="3" t="s">
        <v>107</v>
      </c>
    </row>
    <row r="2000" spans="4:4" ht="17.649999999999999" x14ac:dyDescent="0.5">
      <c r="D2000" s="3" t="s">
        <v>46</v>
      </c>
    </row>
    <row r="2001" spans="4:4" ht="17.649999999999999" x14ac:dyDescent="0.5">
      <c r="D2001" s="3" t="s">
        <v>68</v>
      </c>
    </row>
    <row r="2002" spans="4:4" ht="17.649999999999999" x14ac:dyDescent="0.5">
      <c r="D2002" s="3" t="s">
        <v>129</v>
      </c>
    </row>
    <row r="2003" spans="4:4" ht="17.649999999999999" x14ac:dyDescent="0.5">
      <c r="D2003" s="3" t="s">
        <v>87</v>
      </c>
    </row>
    <row r="2004" spans="4:4" ht="17.649999999999999" x14ac:dyDescent="0.5">
      <c r="D2004" s="3" t="s">
        <v>94</v>
      </c>
    </row>
    <row r="2005" spans="4:4" ht="17.649999999999999" x14ac:dyDescent="0.5">
      <c r="D2005" s="3" t="s">
        <v>110</v>
      </c>
    </row>
    <row r="2006" spans="4:4" ht="17.649999999999999" x14ac:dyDescent="0.5">
      <c r="D2006" s="3" t="s">
        <v>127</v>
      </c>
    </row>
    <row r="2007" spans="4:4" ht="17.649999999999999" x14ac:dyDescent="0.5">
      <c r="D2007" s="3" t="s">
        <v>70</v>
      </c>
    </row>
    <row r="2008" spans="4:4" ht="17.649999999999999" x14ac:dyDescent="0.5">
      <c r="D2008" s="3" t="s">
        <v>87</v>
      </c>
    </row>
    <row r="2009" spans="4:4" ht="17.649999999999999" x14ac:dyDescent="0.5">
      <c r="D2009" s="3" t="s">
        <v>114</v>
      </c>
    </row>
    <row r="2010" spans="4:4" ht="17.649999999999999" x14ac:dyDescent="0.5">
      <c r="D2010" s="3" t="s">
        <v>53</v>
      </c>
    </row>
    <row r="2011" spans="4:4" ht="17.649999999999999" x14ac:dyDescent="0.5">
      <c r="D2011" s="3" t="s">
        <v>44</v>
      </c>
    </row>
    <row r="2012" spans="4:4" ht="17.649999999999999" x14ac:dyDescent="0.5">
      <c r="D2012" s="3" t="s">
        <v>129</v>
      </c>
    </row>
    <row r="2013" spans="4:4" ht="17.649999999999999" x14ac:dyDescent="0.5">
      <c r="D2013" s="3" t="s">
        <v>95</v>
      </c>
    </row>
    <row r="2014" spans="4:4" ht="17.649999999999999" x14ac:dyDescent="0.5">
      <c r="D2014" s="3" t="s">
        <v>99</v>
      </c>
    </row>
    <row r="2015" spans="4:4" ht="17.649999999999999" x14ac:dyDescent="0.5">
      <c r="D2015" s="3" t="s">
        <v>100</v>
      </c>
    </row>
    <row r="2016" spans="4:4" ht="17.649999999999999" x14ac:dyDescent="0.5">
      <c r="D2016" s="3" t="s">
        <v>53</v>
      </c>
    </row>
    <row r="2017" spans="4:4" ht="17.649999999999999" x14ac:dyDescent="0.5">
      <c r="D2017" s="3" t="s">
        <v>99</v>
      </c>
    </row>
    <row r="2018" spans="4:4" ht="17.649999999999999" x14ac:dyDescent="0.5">
      <c r="D2018" s="3" t="s">
        <v>91</v>
      </c>
    </row>
    <row r="2019" spans="4:4" ht="17.649999999999999" x14ac:dyDescent="0.5">
      <c r="D2019" s="3" t="s">
        <v>44</v>
      </c>
    </row>
    <row r="2020" spans="4:4" ht="17.649999999999999" x14ac:dyDescent="0.5">
      <c r="D2020" s="3" t="s">
        <v>67</v>
      </c>
    </row>
    <row r="2021" spans="4:4" ht="17.649999999999999" x14ac:dyDescent="0.5">
      <c r="D2021" s="3" t="s">
        <v>107</v>
      </c>
    </row>
    <row r="2022" spans="4:4" ht="17.649999999999999" x14ac:dyDescent="0.5">
      <c r="D2022" s="3" t="s">
        <v>117</v>
      </c>
    </row>
    <row r="2023" spans="4:4" ht="17.649999999999999" x14ac:dyDescent="0.5">
      <c r="D2023" s="3" t="s">
        <v>69</v>
      </c>
    </row>
    <row r="2024" spans="4:4" ht="17.649999999999999" x14ac:dyDescent="0.5">
      <c r="D2024" s="3" t="s">
        <v>78</v>
      </c>
    </row>
    <row r="2025" spans="4:4" ht="17.649999999999999" x14ac:dyDescent="0.5">
      <c r="D2025" s="3" t="s">
        <v>96</v>
      </c>
    </row>
    <row r="2026" spans="4:4" ht="17.649999999999999" x14ac:dyDescent="0.5">
      <c r="D2026" s="3" t="s">
        <v>75</v>
      </c>
    </row>
    <row r="2027" spans="4:4" ht="17.649999999999999" x14ac:dyDescent="0.5">
      <c r="D2027" s="3" t="s">
        <v>107</v>
      </c>
    </row>
    <row r="2028" spans="4:4" ht="17.649999999999999" x14ac:dyDescent="0.5">
      <c r="D2028" s="3" t="s">
        <v>41</v>
      </c>
    </row>
    <row r="2029" spans="4:4" ht="17.649999999999999" x14ac:dyDescent="0.5">
      <c r="D2029" s="3" t="s">
        <v>65</v>
      </c>
    </row>
    <row r="2030" spans="4:4" ht="17.649999999999999" x14ac:dyDescent="0.5">
      <c r="D2030" s="3" t="s">
        <v>136</v>
      </c>
    </row>
    <row r="2031" spans="4:4" ht="17.649999999999999" x14ac:dyDescent="0.5">
      <c r="D2031" s="3" t="s">
        <v>81</v>
      </c>
    </row>
    <row r="2032" spans="4:4" ht="17.649999999999999" x14ac:dyDescent="0.5">
      <c r="D2032" s="3" t="s">
        <v>65</v>
      </c>
    </row>
    <row r="2033" spans="4:4" ht="17.649999999999999" x14ac:dyDescent="0.5">
      <c r="D2033" s="3" t="s">
        <v>129</v>
      </c>
    </row>
    <row r="2034" spans="4:4" ht="17.649999999999999" x14ac:dyDescent="0.5">
      <c r="D2034" s="3" t="s">
        <v>59</v>
      </c>
    </row>
    <row r="2035" spans="4:4" ht="17.649999999999999" x14ac:dyDescent="0.5">
      <c r="D2035" s="3" t="s">
        <v>114</v>
      </c>
    </row>
    <row r="2036" spans="4:4" ht="17.649999999999999" x14ac:dyDescent="0.5">
      <c r="D2036" s="3" t="s">
        <v>98</v>
      </c>
    </row>
    <row r="2037" spans="4:4" ht="17.649999999999999" x14ac:dyDescent="0.5">
      <c r="D2037" s="3" t="s">
        <v>43</v>
      </c>
    </row>
    <row r="2038" spans="4:4" ht="17.649999999999999" x14ac:dyDescent="0.5">
      <c r="D2038" s="3" t="s">
        <v>128</v>
      </c>
    </row>
    <row r="2039" spans="4:4" ht="17.649999999999999" x14ac:dyDescent="0.5">
      <c r="D2039" s="3" t="s">
        <v>50</v>
      </c>
    </row>
    <row r="2040" spans="4:4" ht="17.649999999999999" x14ac:dyDescent="0.5">
      <c r="D2040" s="3" t="s">
        <v>47</v>
      </c>
    </row>
    <row r="2041" spans="4:4" ht="17.649999999999999" x14ac:dyDescent="0.5">
      <c r="D2041" s="3" t="s">
        <v>107</v>
      </c>
    </row>
    <row r="2042" spans="4:4" ht="17.649999999999999" x14ac:dyDescent="0.5">
      <c r="D2042" s="3" t="s">
        <v>104</v>
      </c>
    </row>
    <row r="2043" spans="4:4" ht="17.649999999999999" x14ac:dyDescent="0.5">
      <c r="D2043" s="3" t="s">
        <v>76</v>
      </c>
    </row>
    <row r="2044" spans="4:4" ht="17.649999999999999" x14ac:dyDescent="0.5">
      <c r="D2044" s="3" t="s">
        <v>120</v>
      </c>
    </row>
    <row r="2045" spans="4:4" ht="17.649999999999999" x14ac:dyDescent="0.5">
      <c r="D2045" s="3" t="s">
        <v>83</v>
      </c>
    </row>
    <row r="2046" spans="4:4" ht="17.649999999999999" x14ac:dyDescent="0.5">
      <c r="D2046" s="3" t="s">
        <v>50</v>
      </c>
    </row>
    <row r="2047" spans="4:4" ht="17.649999999999999" x14ac:dyDescent="0.5">
      <c r="D2047" s="3" t="s">
        <v>118</v>
      </c>
    </row>
    <row r="2048" spans="4:4" ht="17.649999999999999" x14ac:dyDescent="0.5">
      <c r="D2048" s="3" t="s">
        <v>98</v>
      </c>
    </row>
    <row r="2049" spans="4:4" ht="17.649999999999999" x14ac:dyDescent="0.5">
      <c r="D2049" s="3" t="s">
        <v>83</v>
      </c>
    </row>
    <row r="2050" spans="4:4" ht="17.649999999999999" x14ac:dyDescent="0.5">
      <c r="D2050" s="3" t="s">
        <v>87</v>
      </c>
    </row>
    <row r="2051" spans="4:4" ht="17.649999999999999" x14ac:dyDescent="0.5">
      <c r="D2051" s="3" t="s">
        <v>82</v>
      </c>
    </row>
    <row r="2052" spans="4:4" ht="17.649999999999999" x14ac:dyDescent="0.5">
      <c r="D2052" s="3" t="s">
        <v>73</v>
      </c>
    </row>
    <row r="2053" spans="4:4" ht="17.649999999999999" x14ac:dyDescent="0.5">
      <c r="D2053" s="3" t="s">
        <v>95</v>
      </c>
    </row>
    <row r="2054" spans="4:4" ht="17.649999999999999" x14ac:dyDescent="0.5">
      <c r="D2054" s="3" t="s">
        <v>90</v>
      </c>
    </row>
    <row r="2055" spans="4:4" ht="17.649999999999999" x14ac:dyDescent="0.5">
      <c r="D2055" s="3" t="s">
        <v>127</v>
      </c>
    </row>
    <row r="2056" spans="4:4" ht="17.649999999999999" x14ac:dyDescent="0.5">
      <c r="D2056" s="3" t="s">
        <v>56</v>
      </c>
    </row>
    <row r="2057" spans="4:4" ht="17.649999999999999" x14ac:dyDescent="0.5">
      <c r="D2057" s="3" t="s">
        <v>48</v>
      </c>
    </row>
    <row r="2058" spans="4:4" ht="17.649999999999999" x14ac:dyDescent="0.5">
      <c r="D2058" s="3" t="s">
        <v>75</v>
      </c>
    </row>
    <row r="2059" spans="4:4" ht="17.649999999999999" x14ac:dyDescent="0.5">
      <c r="D2059" s="3" t="s">
        <v>100</v>
      </c>
    </row>
    <row r="2060" spans="4:4" ht="17.649999999999999" x14ac:dyDescent="0.5">
      <c r="D2060" s="3" t="s">
        <v>101</v>
      </c>
    </row>
    <row r="2061" spans="4:4" ht="17.649999999999999" x14ac:dyDescent="0.5">
      <c r="D2061" s="3" t="s">
        <v>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146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335</v>
      </c>
      <c r="H13" s="2">
        <v>333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333</v>
      </c>
      <c r="H23" s="2">
        <v>335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37</v>
      </c>
      <c r="F31" s="2">
        <v>37</v>
      </c>
      <c r="G31" s="2">
        <v>41</v>
      </c>
      <c r="H31" s="2">
        <v>44</v>
      </c>
      <c r="I31" s="2">
        <v>43</v>
      </c>
      <c r="J31" s="2">
        <v>38</v>
      </c>
      <c r="K31" s="2">
        <v>46</v>
      </c>
      <c r="L31" s="2">
        <v>51</v>
      </c>
      <c r="M31" s="2">
        <v>41</v>
      </c>
      <c r="N31" s="2">
        <v>36</v>
      </c>
      <c r="O31" s="2">
        <v>40</v>
      </c>
      <c r="P31" s="2">
        <v>41</v>
      </c>
    </row>
    <row r="32" spans="4:16" x14ac:dyDescent="0.5">
      <c r="D32" s="2">
        <v>2</v>
      </c>
      <c r="E32" s="2">
        <v>41</v>
      </c>
      <c r="F32" s="2">
        <v>46</v>
      </c>
      <c r="G32" s="2">
        <v>40</v>
      </c>
      <c r="H32" s="2">
        <v>45</v>
      </c>
      <c r="I32" s="2">
        <v>45</v>
      </c>
      <c r="J32" s="2">
        <v>43</v>
      </c>
      <c r="K32" s="2">
        <v>40</v>
      </c>
      <c r="L32" s="2">
        <v>34</v>
      </c>
      <c r="M32" s="2">
        <v>47</v>
      </c>
      <c r="N32" s="2">
        <v>41</v>
      </c>
      <c r="O32" s="2">
        <v>40</v>
      </c>
      <c r="P32" s="2">
        <v>43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46</v>
      </c>
      <c r="F37" s="2">
        <v>46</v>
      </c>
      <c r="G37" s="2">
        <v>43</v>
      </c>
      <c r="H37" s="2">
        <v>39</v>
      </c>
      <c r="I37" s="2">
        <v>41</v>
      </c>
      <c r="J37" s="2">
        <v>45</v>
      </c>
      <c r="K37" s="2">
        <v>37</v>
      </c>
      <c r="L37" s="2">
        <v>32</v>
      </c>
      <c r="M37" s="2">
        <v>43</v>
      </c>
      <c r="N37" s="2">
        <v>47</v>
      </c>
      <c r="O37" s="2">
        <v>43</v>
      </c>
      <c r="P37" s="2">
        <v>43</v>
      </c>
    </row>
    <row r="38" spans="4:16" x14ac:dyDescent="0.5">
      <c r="D38" s="2">
        <v>2</v>
      </c>
      <c r="E38" s="2">
        <v>42</v>
      </c>
      <c r="F38" s="2">
        <v>37</v>
      </c>
      <c r="G38" s="2">
        <v>44</v>
      </c>
      <c r="H38" s="2">
        <v>38</v>
      </c>
      <c r="I38" s="2">
        <v>39</v>
      </c>
      <c r="J38" s="2">
        <v>40</v>
      </c>
      <c r="K38" s="2">
        <v>43</v>
      </c>
      <c r="L38" s="2">
        <v>49</v>
      </c>
      <c r="M38" s="2">
        <v>37</v>
      </c>
      <c r="N38" s="2">
        <v>42</v>
      </c>
      <c r="O38" s="2">
        <v>43</v>
      </c>
      <c r="P38" s="2">
        <v>41</v>
      </c>
    </row>
    <row r="39" spans="4:16" ht="17.649999999999999" x14ac:dyDescent="0.5">
      <c r="D39" s="3" t="s">
        <v>137</v>
      </c>
      <c r="E39">
        <f t="shared" ref="E39:P39" si="0">E31-E37</f>
        <v>-9</v>
      </c>
      <c r="F39">
        <f t="shared" si="0"/>
        <v>-9</v>
      </c>
      <c r="G39">
        <f t="shared" si="0"/>
        <v>-2</v>
      </c>
      <c r="H39">
        <f t="shared" si="0"/>
        <v>5</v>
      </c>
      <c r="I39">
        <f t="shared" si="0"/>
        <v>2</v>
      </c>
      <c r="J39">
        <f t="shared" si="0"/>
        <v>-7</v>
      </c>
      <c r="K39">
        <f t="shared" si="0"/>
        <v>9</v>
      </c>
      <c r="L39">
        <f t="shared" si="0"/>
        <v>19</v>
      </c>
      <c r="M39">
        <f t="shared" si="0"/>
        <v>-2</v>
      </c>
      <c r="N39">
        <f t="shared" si="0"/>
        <v>-11</v>
      </c>
      <c r="O39">
        <f t="shared" si="0"/>
        <v>-3</v>
      </c>
      <c r="P39">
        <f t="shared" si="0"/>
        <v>-2</v>
      </c>
    </row>
    <row r="40" spans="4:16" ht="17.649999999999999" x14ac:dyDescent="0.5">
      <c r="D40" s="3" t="s">
        <v>138</v>
      </c>
      <c r="E40">
        <f t="shared" ref="E40:P40" si="1">E32-E38</f>
        <v>-1</v>
      </c>
      <c r="F40">
        <f t="shared" si="1"/>
        <v>9</v>
      </c>
      <c r="G40">
        <f t="shared" si="1"/>
        <v>-4</v>
      </c>
      <c r="H40">
        <f t="shared" si="1"/>
        <v>7</v>
      </c>
      <c r="I40">
        <f t="shared" si="1"/>
        <v>6</v>
      </c>
      <c r="J40">
        <f t="shared" si="1"/>
        <v>3</v>
      </c>
      <c r="K40">
        <f t="shared" si="1"/>
        <v>-3</v>
      </c>
      <c r="L40">
        <f t="shared" si="1"/>
        <v>-15</v>
      </c>
      <c r="M40">
        <f t="shared" si="1"/>
        <v>10</v>
      </c>
      <c r="N40">
        <f t="shared" si="1"/>
        <v>-1</v>
      </c>
      <c r="O40">
        <f t="shared" si="1"/>
        <v>-3</v>
      </c>
      <c r="P40">
        <f t="shared" si="1"/>
        <v>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78</v>
      </c>
      <c r="F44" s="2">
        <v>83</v>
      </c>
      <c r="G44" s="2">
        <v>81</v>
      </c>
      <c r="H44" s="2">
        <v>89</v>
      </c>
      <c r="I44" s="2">
        <v>88</v>
      </c>
      <c r="J44" s="2">
        <v>81</v>
      </c>
      <c r="K44" s="2">
        <v>86</v>
      </c>
      <c r="L44" s="2">
        <v>85</v>
      </c>
      <c r="M44" s="2">
        <v>88</v>
      </c>
      <c r="N44" s="2">
        <v>77</v>
      </c>
      <c r="O44" s="2">
        <v>80</v>
      </c>
      <c r="P44" s="2">
        <v>84</v>
      </c>
    </row>
    <row r="45" spans="4:16" x14ac:dyDescent="0.5">
      <c r="D45" s="2" t="s">
        <v>28</v>
      </c>
      <c r="E45" s="2">
        <v>88</v>
      </c>
      <c r="F45" s="2">
        <v>83</v>
      </c>
      <c r="G45" s="2">
        <v>87</v>
      </c>
      <c r="H45" s="2">
        <v>77</v>
      </c>
      <c r="I45" s="2">
        <v>80</v>
      </c>
      <c r="J45" s="2">
        <v>85</v>
      </c>
      <c r="K45" s="2">
        <v>80</v>
      </c>
      <c r="L45" s="2">
        <v>81</v>
      </c>
      <c r="M45" s="2">
        <v>80</v>
      </c>
      <c r="N45" s="2">
        <v>89</v>
      </c>
      <c r="O45" s="2">
        <v>86</v>
      </c>
      <c r="P45" s="2">
        <v>84</v>
      </c>
    </row>
    <row r="46" spans="4:16" x14ac:dyDescent="0.5">
      <c r="D46" s="2" t="s">
        <v>30</v>
      </c>
      <c r="E46" s="2">
        <v>-10</v>
      </c>
      <c r="F46" s="2">
        <v>0</v>
      </c>
      <c r="G46" s="2">
        <v>-6</v>
      </c>
      <c r="H46" s="2">
        <v>12</v>
      </c>
      <c r="I46" s="2">
        <v>8</v>
      </c>
      <c r="J46" s="2">
        <v>-4</v>
      </c>
      <c r="K46" s="2">
        <v>6</v>
      </c>
      <c r="L46" s="2">
        <v>4</v>
      </c>
      <c r="M46" s="2">
        <v>8</v>
      </c>
      <c r="N46" s="2">
        <v>-12</v>
      </c>
      <c r="O46" s="2">
        <v>-6</v>
      </c>
      <c r="P46" s="2">
        <v>0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335</v>
      </c>
      <c r="I51" s="2">
        <v>333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333</v>
      </c>
      <c r="I52" s="2">
        <v>335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2</v>
      </c>
      <c r="I53" s="2">
        <v>-2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118</v>
      </c>
      <c r="G56" s="2">
        <v>523</v>
      </c>
      <c r="H56" s="2">
        <v>781</v>
      </c>
      <c r="I56" s="2">
        <v>471</v>
      </c>
      <c r="J56" s="2">
        <v>101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142</v>
      </c>
    </row>
    <row r="61" spans="4:11" ht="17.649999999999999" x14ac:dyDescent="0.5">
      <c r="D61" s="3" t="s">
        <v>151</v>
      </c>
    </row>
    <row r="62" spans="4:11" ht="17.649999999999999" x14ac:dyDescent="0.5">
      <c r="D62" s="3" t="s">
        <v>112</v>
      </c>
    </row>
    <row r="63" spans="4:11" ht="17.649999999999999" x14ac:dyDescent="0.5">
      <c r="D63" s="3" t="s">
        <v>105</v>
      </c>
    </row>
    <row r="64" spans="4:11" ht="17.649999999999999" x14ac:dyDescent="0.5">
      <c r="D64" s="3" t="s">
        <v>103</v>
      </c>
    </row>
    <row r="65" spans="4:4" ht="17.649999999999999" x14ac:dyDescent="0.5">
      <c r="D65" s="3" t="s">
        <v>53</v>
      </c>
    </row>
    <row r="66" spans="4:4" ht="17.649999999999999" x14ac:dyDescent="0.5">
      <c r="D66" s="3" t="s">
        <v>41</v>
      </c>
    </row>
    <row r="67" spans="4:4" ht="17.649999999999999" x14ac:dyDescent="0.5">
      <c r="D67" s="3" t="s">
        <v>119</v>
      </c>
    </row>
    <row r="68" spans="4:4" ht="17.649999999999999" x14ac:dyDescent="0.5">
      <c r="D68" s="3" t="s">
        <v>69</v>
      </c>
    </row>
    <row r="69" spans="4:4" ht="17.649999999999999" x14ac:dyDescent="0.5">
      <c r="D69" s="3" t="s">
        <v>53</v>
      </c>
    </row>
    <row r="70" spans="4:4" ht="17.649999999999999" x14ac:dyDescent="0.5">
      <c r="D70" s="3" t="s">
        <v>57</v>
      </c>
    </row>
    <row r="71" spans="4:4" ht="17.649999999999999" x14ac:dyDescent="0.5">
      <c r="D71" s="3" t="s">
        <v>46</v>
      </c>
    </row>
    <row r="72" spans="4:4" ht="17.649999999999999" x14ac:dyDescent="0.5">
      <c r="D72" s="3" t="s">
        <v>67</v>
      </c>
    </row>
    <row r="73" spans="4:4" ht="17.649999999999999" x14ac:dyDescent="0.5">
      <c r="D73" s="3" t="s">
        <v>74</v>
      </c>
    </row>
    <row r="74" spans="4:4" ht="17.649999999999999" x14ac:dyDescent="0.5">
      <c r="D74" s="3" t="s">
        <v>115</v>
      </c>
    </row>
    <row r="75" spans="4:4" ht="17.649999999999999" x14ac:dyDescent="0.5">
      <c r="D75" s="3" t="s">
        <v>85</v>
      </c>
    </row>
    <row r="76" spans="4:4" ht="17.649999999999999" x14ac:dyDescent="0.5">
      <c r="D76" s="3" t="s">
        <v>120</v>
      </c>
    </row>
    <row r="77" spans="4:4" ht="17.649999999999999" x14ac:dyDescent="0.5">
      <c r="D77" s="3" t="s">
        <v>115</v>
      </c>
    </row>
    <row r="78" spans="4:4" ht="17.649999999999999" x14ac:dyDescent="0.5">
      <c r="D78" s="3" t="s">
        <v>54</v>
      </c>
    </row>
    <row r="79" spans="4:4" ht="17.649999999999999" x14ac:dyDescent="0.5">
      <c r="D79" s="3" t="s">
        <v>78</v>
      </c>
    </row>
    <row r="80" spans="4:4" ht="17.649999999999999" x14ac:dyDescent="0.5">
      <c r="D80" s="3" t="s">
        <v>114</v>
      </c>
    </row>
    <row r="81" spans="4:4" ht="17.649999999999999" x14ac:dyDescent="0.5">
      <c r="D81" s="3" t="s">
        <v>54</v>
      </c>
    </row>
    <row r="82" spans="4:4" ht="17.649999999999999" x14ac:dyDescent="0.5">
      <c r="D82" s="3" t="s">
        <v>61</v>
      </c>
    </row>
    <row r="83" spans="4:4" ht="17.649999999999999" x14ac:dyDescent="0.5">
      <c r="D83" s="3" t="s">
        <v>119</v>
      </c>
    </row>
    <row r="84" spans="4:4" ht="17.649999999999999" x14ac:dyDescent="0.5">
      <c r="D84" s="3" t="s">
        <v>48</v>
      </c>
    </row>
    <row r="85" spans="4:4" ht="17.649999999999999" x14ac:dyDescent="0.5">
      <c r="D85" s="3" t="s">
        <v>133</v>
      </c>
    </row>
    <row r="86" spans="4:4" ht="17.649999999999999" x14ac:dyDescent="0.5">
      <c r="D86" s="3" t="s">
        <v>68</v>
      </c>
    </row>
    <row r="87" spans="4:4" ht="17.649999999999999" x14ac:dyDescent="0.5">
      <c r="D87" s="3" t="s">
        <v>94</v>
      </c>
    </row>
    <row r="88" spans="4:4" ht="17.649999999999999" x14ac:dyDescent="0.5">
      <c r="D88" s="3" t="s">
        <v>71</v>
      </c>
    </row>
    <row r="89" spans="4:4" ht="17.649999999999999" x14ac:dyDescent="0.5">
      <c r="D89" s="3" t="s">
        <v>75</v>
      </c>
    </row>
    <row r="90" spans="4:4" ht="17.649999999999999" x14ac:dyDescent="0.5">
      <c r="D90" s="3" t="s">
        <v>48</v>
      </c>
    </row>
    <row r="91" spans="4:4" ht="17.649999999999999" x14ac:dyDescent="0.5">
      <c r="D91" s="3" t="s">
        <v>56</v>
      </c>
    </row>
    <row r="92" spans="4:4" ht="17.649999999999999" x14ac:dyDescent="0.5">
      <c r="D92" s="3" t="s">
        <v>49</v>
      </c>
    </row>
    <row r="93" spans="4:4" ht="17.649999999999999" x14ac:dyDescent="0.5">
      <c r="D93" s="3" t="s">
        <v>117</v>
      </c>
    </row>
    <row r="94" spans="4:4" ht="17.649999999999999" x14ac:dyDescent="0.5">
      <c r="D94" s="3" t="s">
        <v>87</v>
      </c>
    </row>
    <row r="95" spans="4:4" ht="17.649999999999999" x14ac:dyDescent="0.5">
      <c r="D95" s="3" t="s">
        <v>44</v>
      </c>
    </row>
    <row r="96" spans="4:4" ht="17.649999999999999" x14ac:dyDescent="0.5">
      <c r="D96" s="3" t="s">
        <v>92</v>
      </c>
    </row>
    <row r="97" spans="4:4" ht="17.649999999999999" x14ac:dyDescent="0.5">
      <c r="D97" s="3" t="s">
        <v>87</v>
      </c>
    </row>
    <row r="98" spans="4:4" ht="17.649999999999999" x14ac:dyDescent="0.5">
      <c r="D98" s="3" t="s">
        <v>85</v>
      </c>
    </row>
    <row r="99" spans="4:4" ht="17.649999999999999" x14ac:dyDescent="0.5">
      <c r="D99" s="3" t="s">
        <v>117</v>
      </c>
    </row>
    <row r="100" spans="4:4" ht="17.649999999999999" x14ac:dyDescent="0.5">
      <c r="D100" s="3" t="s">
        <v>73</v>
      </c>
    </row>
    <row r="101" spans="4:4" ht="17.649999999999999" x14ac:dyDescent="0.5">
      <c r="D101" s="3" t="s">
        <v>54</v>
      </c>
    </row>
    <row r="102" spans="4:4" ht="17.649999999999999" x14ac:dyDescent="0.5">
      <c r="D102" s="3" t="s">
        <v>53</v>
      </c>
    </row>
    <row r="103" spans="4:4" ht="17.649999999999999" x14ac:dyDescent="0.5">
      <c r="D103" s="3" t="s">
        <v>80</v>
      </c>
    </row>
    <row r="104" spans="4:4" ht="17.649999999999999" x14ac:dyDescent="0.5">
      <c r="D104" s="3" t="s">
        <v>68</v>
      </c>
    </row>
    <row r="105" spans="4:4" ht="17.649999999999999" x14ac:dyDescent="0.5">
      <c r="D105" s="3" t="s">
        <v>103</v>
      </c>
    </row>
    <row r="106" spans="4:4" ht="17.649999999999999" x14ac:dyDescent="0.5">
      <c r="D106" s="3" t="s">
        <v>112</v>
      </c>
    </row>
    <row r="107" spans="4:4" ht="17.649999999999999" x14ac:dyDescent="0.5">
      <c r="D107" s="3" t="s">
        <v>87</v>
      </c>
    </row>
    <row r="108" spans="4:4" ht="17.649999999999999" x14ac:dyDescent="0.5">
      <c r="D108" s="3" t="s">
        <v>92</v>
      </c>
    </row>
    <row r="109" spans="4:4" ht="17.649999999999999" x14ac:dyDescent="0.5">
      <c r="D109" s="3" t="s">
        <v>117</v>
      </c>
    </row>
    <row r="110" spans="4:4" ht="17.649999999999999" x14ac:dyDescent="0.5">
      <c r="D110" s="3" t="s">
        <v>45</v>
      </c>
    </row>
    <row r="111" spans="4:4" ht="17.649999999999999" x14ac:dyDescent="0.5">
      <c r="D111" s="3" t="s">
        <v>97</v>
      </c>
    </row>
    <row r="112" spans="4:4" ht="17.649999999999999" x14ac:dyDescent="0.5">
      <c r="D112" s="3" t="s">
        <v>87</v>
      </c>
    </row>
    <row r="113" spans="4:4" ht="17.649999999999999" x14ac:dyDescent="0.5">
      <c r="D113" s="3" t="s">
        <v>92</v>
      </c>
    </row>
    <row r="114" spans="4:4" ht="17.649999999999999" x14ac:dyDescent="0.5">
      <c r="D114" s="3" t="s">
        <v>46</v>
      </c>
    </row>
    <row r="115" spans="4:4" ht="17.649999999999999" x14ac:dyDescent="0.5">
      <c r="D115" s="3" t="s">
        <v>91</v>
      </c>
    </row>
    <row r="116" spans="4:4" ht="17.649999999999999" x14ac:dyDescent="0.5">
      <c r="D116" s="3" t="s">
        <v>94</v>
      </c>
    </row>
    <row r="117" spans="4:4" ht="17.649999999999999" x14ac:dyDescent="0.5">
      <c r="D117" s="3" t="s">
        <v>105</v>
      </c>
    </row>
    <row r="118" spans="4:4" ht="17.649999999999999" x14ac:dyDescent="0.5">
      <c r="D118" s="3" t="s">
        <v>73</v>
      </c>
    </row>
    <row r="119" spans="4:4" ht="17.649999999999999" x14ac:dyDescent="0.5">
      <c r="D119" s="3" t="s">
        <v>107</v>
      </c>
    </row>
    <row r="120" spans="4:4" ht="17.649999999999999" x14ac:dyDescent="0.5">
      <c r="D120" s="3" t="s">
        <v>112</v>
      </c>
    </row>
    <row r="121" spans="4:4" ht="17.649999999999999" x14ac:dyDescent="0.5">
      <c r="D121" s="3" t="s">
        <v>61</v>
      </c>
    </row>
    <row r="122" spans="4:4" ht="17.649999999999999" x14ac:dyDescent="0.5">
      <c r="D122" s="3" t="s">
        <v>80</v>
      </c>
    </row>
    <row r="123" spans="4:4" ht="17.649999999999999" x14ac:dyDescent="0.5">
      <c r="D123" s="3" t="s">
        <v>61</v>
      </c>
    </row>
    <row r="124" spans="4:4" ht="17.649999999999999" x14ac:dyDescent="0.5">
      <c r="D124" s="3" t="s">
        <v>131</v>
      </c>
    </row>
    <row r="125" spans="4:4" ht="17.649999999999999" x14ac:dyDescent="0.5">
      <c r="D125" s="3" t="s">
        <v>69</v>
      </c>
    </row>
    <row r="126" spans="4:4" ht="17.649999999999999" x14ac:dyDescent="0.5">
      <c r="D126" s="3" t="s">
        <v>115</v>
      </c>
    </row>
    <row r="127" spans="4:4" ht="17.649999999999999" x14ac:dyDescent="0.5">
      <c r="D127" s="3" t="s">
        <v>59</v>
      </c>
    </row>
    <row r="128" spans="4:4" ht="17.649999999999999" x14ac:dyDescent="0.5">
      <c r="D128" s="3" t="s">
        <v>64</v>
      </c>
    </row>
    <row r="129" spans="4:4" ht="17.649999999999999" x14ac:dyDescent="0.5">
      <c r="D129" s="3" t="s">
        <v>61</v>
      </c>
    </row>
    <row r="130" spans="4:4" ht="17.649999999999999" x14ac:dyDescent="0.5">
      <c r="D130" s="3" t="s">
        <v>83</v>
      </c>
    </row>
    <row r="131" spans="4:4" ht="17.649999999999999" x14ac:dyDescent="0.5">
      <c r="D131" s="3" t="s">
        <v>117</v>
      </c>
    </row>
    <row r="132" spans="4:4" ht="17.649999999999999" x14ac:dyDescent="0.5">
      <c r="D132" s="3" t="s">
        <v>74</v>
      </c>
    </row>
    <row r="133" spans="4:4" ht="17.649999999999999" x14ac:dyDescent="0.5">
      <c r="D133" s="3" t="s">
        <v>119</v>
      </c>
    </row>
    <row r="134" spans="4:4" ht="17.649999999999999" x14ac:dyDescent="0.5">
      <c r="D134" s="3" t="s">
        <v>84</v>
      </c>
    </row>
    <row r="135" spans="4:4" ht="17.649999999999999" x14ac:dyDescent="0.5">
      <c r="D135" s="3" t="s">
        <v>50</v>
      </c>
    </row>
    <row r="136" spans="4:4" ht="17.649999999999999" x14ac:dyDescent="0.5">
      <c r="D136" s="3" t="s">
        <v>90</v>
      </c>
    </row>
    <row r="137" spans="4:4" ht="17.649999999999999" x14ac:dyDescent="0.5">
      <c r="D137" s="3" t="s">
        <v>45</v>
      </c>
    </row>
    <row r="138" spans="4:4" ht="17.649999999999999" x14ac:dyDescent="0.5">
      <c r="D138" s="3" t="s">
        <v>81</v>
      </c>
    </row>
    <row r="139" spans="4:4" ht="17.649999999999999" x14ac:dyDescent="0.5">
      <c r="D139" s="3" t="s">
        <v>78</v>
      </c>
    </row>
    <row r="140" spans="4:4" ht="17.649999999999999" x14ac:dyDescent="0.5">
      <c r="D140" s="3" t="s">
        <v>107</v>
      </c>
    </row>
    <row r="141" spans="4:4" ht="17.649999999999999" x14ac:dyDescent="0.5">
      <c r="D141" s="3" t="s">
        <v>112</v>
      </c>
    </row>
    <row r="142" spans="4:4" ht="17.649999999999999" x14ac:dyDescent="0.5">
      <c r="D142" s="3" t="s">
        <v>87</v>
      </c>
    </row>
    <row r="143" spans="4:4" ht="17.649999999999999" x14ac:dyDescent="0.5">
      <c r="D143" s="3" t="s">
        <v>128</v>
      </c>
    </row>
    <row r="144" spans="4:4" ht="17.649999999999999" x14ac:dyDescent="0.5">
      <c r="D144" s="3" t="s">
        <v>103</v>
      </c>
    </row>
    <row r="145" spans="4:4" ht="17.649999999999999" x14ac:dyDescent="0.5">
      <c r="D145" s="3" t="s">
        <v>52</v>
      </c>
    </row>
    <row r="146" spans="4:4" ht="17.649999999999999" x14ac:dyDescent="0.5">
      <c r="D146" s="3" t="s">
        <v>92</v>
      </c>
    </row>
    <row r="147" spans="4:4" ht="17.649999999999999" x14ac:dyDescent="0.5">
      <c r="D147" s="3" t="s">
        <v>60</v>
      </c>
    </row>
    <row r="148" spans="4:4" ht="17.649999999999999" x14ac:dyDescent="0.5">
      <c r="D148" s="3" t="s">
        <v>52</v>
      </c>
    </row>
    <row r="149" spans="4:4" ht="17.649999999999999" x14ac:dyDescent="0.5">
      <c r="D149" s="3" t="s">
        <v>59</v>
      </c>
    </row>
    <row r="150" spans="4:4" ht="17.649999999999999" x14ac:dyDescent="0.5">
      <c r="D150" s="3" t="s">
        <v>68</v>
      </c>
    </row>
    <row r="151" spans="4:4" ht="17.649999999999999" x14ac:dyDescent="0.5">
      <c r="D151" s="3" t="s">
        <v>67</v>
      </c>
    </row>
    <row r="152" spans="4:4" ht="17.649999999999999" x14ac:dyDescent="0.5">
      <c r="D152" s="3" t="s">
        <v>67</v>
      </c>
    </row>
    <row r="153" spans="4:4" ht="17.649999999999999" x14ac:dyDescent="0.5">
      <c r="D153" s="3" t="s">
        <v>53</v>
      </c>
    </row>
    <row r="154" spans="4:4" ht="17.649999999999999" x14ac:dyDescent="0.5">
      <c r="D154" s="3" t="s">
        <v>97</v>
      </c>
    </row>
    <row r="155" spans="4:4" ht="17.649999999999999" x14ac:dyDescent="0.5">
      <c r="D155" s="3" t="s">
        <v>93</v>
      </c>
    </row>
    <row r="156" spans="4:4" ht="17.649999999999999" x14ac:dyDescent="0.5">
      <c r="D156" s="3" t="s">
        <v>111</v>
      </c>
    </row>
    <row r="157" spans="4:4" ht="17.649999999999999" x14ac:dyDescent="0.5">
      <c r="D157" s="3" t="s">
        <v>87</v>
      </c>
    </row>
    <row r="158" spans="4:4" ht="17.649999999999999" x14ac:dyDescent="0.5">
      <c r="D158" s="3" t="s">
        <v>46</v>
      </c>
    </row>
    <row r="159" spans="4:4" ht="17.649999999999999" x14ac:dyDescent="0.5">
      <c r="D159" s="3" t="s">
        <v>100</v>
      </c>
    </row>
    <row r="160" spans="4:4" ht="17.649999999999999" x14ac:dyDescent="0.5">
      <c r="D160" s="3" t="s">
        <v>121</v>
      </c>
    </row>
    <row r="161" spans="4:4" ht="17.649999999999999" x14ac:dyDescent="0.5">
      <c r="D161" s="3" t="s">
        <v>80</v>
      </c>
    </row>
    <row r="162" spans="4:4" ht="17.649999999999999" x14ac:dyDescent="0.5">
      <c r="D162" s="3" t="s">
        <v>44</v>
      </c>
    </row>
    <row r="163" spans="4:4" ht="17.649999999999999" x14ac:dyDescent="0.5">
      <c r="D163" s="3" t="s">
        <v>85</v>
      </c>
    </row>
    <row r="164" spans="4:4" ht="17.649999999999999" x14ac:dyDescent="0.5">
      <c r="D164" s="3" t="s">
        <v>61</v>
      </c>
    </row>
    <row r="165" spans="4:4" ht="17.649999999999999" x14ac:dyDescent="0.5">
      <c r="D165" s="3" t="s">
        <v>59</v>
      </c>
    </row>
    <row r="166" spans="4:4" ht="17.649999999999999" x14ac:dyDescent="0.5">
      <c r="D166" s="3" t="s">
        <v>52</v>
      </c>
    </row>
    <row r="167" spans="4:4" ht="17.649999999999999" x14ac:dyDescent="0.5">
      <c r="D167" s="3" t="s">
        <v>108</v>
      </c>
    </row>
    <row r="168" spans="4:4" ht="17.649999999999999" x14ac:dyDescent="0.5">
      <c r="D168" s="3" t="s">
        <v>50</v>
      </c>
    </row>
    <row r="169" spans="4:4" ht="17.649999999999999" x14ac:dyDescent="0.5">
      <c r="D169" s="3" t="s">
        <v>80</v>
      </c>
    </row>
    <row r="170" spans="4:4" ht="17.649999999999999" x14ac:dyDescent="0.5">
      <c r="D170" s="3" t="s">
        <v>49</v>
      </c>
    </row>
    <row r="171" spans="4:4" ht="17.649999999999999" x14ac:dyDescent="0.5">
      <c r="D171" s="3" t="s">
        <v>90</v>
      </c>
    </row>
    <row r="172" spans="4:4" ht="17.649999999999999" x14ac:dyDescent="0.5">
      <c r="D172" s="3" t="s">
        <v>74</v>
      </c>
    </row>
    <row r="173" spans="4:4" ht="17.649999999999999" x14ac:dyDescent="0.5">
      <c r="D173" s="3" t="s">
        <v>112</v>
      </c>
    </row>
    <row r="174" spans="4:4" ht="17.649999999999999" x14ac:dyDescent="0.5">
      <c r="D174" s="3" t="s">
        <v>51</v>
      </c>
    </row>
    <row r="175" spans="4:4" ht="17.649999999999999" x14ac:dyDescent="0.5">
      <c r="D175" s="3" t="s">
        <v>43</v>
      </c>
    </row>
    <row r="176" spans="4:4" ht="17.649999999999999" x14ac:dyDescent="0.5">
      <c r="D176" s="3" t="s">
        <v>96</v>
      </c>
    </row>
    <row r="177" spans="4:4" ht="17.649999999999999" x14ac:dyDescent="0.5">
      <c r="D177" s="3" t="s">
        <v>90</v>
      </c>
    </row>
    <row r="178" spans="4:4" ht="17.649999999999999" x14ac:dyDescent="0.5">
      <c r="D178" s="3" t="s">
        <v>87</v>
      </c>
    </row>
    <row r="179" spans="4:4" ht="17.649999999999999" x14ac:dyDescent="0.5">
      <c r="D179" s="3" t="s">
        <v>51</v>
      </c>
    </row>
    <row r="180" spans="4:4" ht="17.649999999999999" x14ac:dyDescent="0.5">
      <c r="D180" s="3" t="s">
        <v>126</v>
      </c>
    </row>
    <row r="181" spans="4:4" ht="17.649999999999999" x14ac:dyDescent="0.5">
      <c r="D181" s="3" t="s">
        <v>131</v>
      </c>
    </row>
    <row r="182" spans="4:4" ht="17.649999999999999" x14ac:dyDescent="0.5">
      <c r="D182" s="3" t="s">
        <v>133</v>
      </c>
    </row>
    <row r="183" spans="4:4" ht="17.649999999999999" x14ac:dyDescent="0.5">
      <c r="D183" s="3" t="s">
        <v>112</v>
      </c>
    </row>
    <row r="184" spans="4:4" ht="17.649999999999999" x14ac:dyDescent="0.5">
      <c r="D184" s="3" t="s">
        <v>52</v>
      </c>
    </row>
    <row r="185" spans="4:4" ht="17.649999999999999" x14ac:dyDescent="0.5">
      <c r="D185" s="3" t="s">
        <v>101</v>
      </c>
    </row>
    <row r="186" spans="4:4" ht="17.649999999999999" x14ac:dyDescent="0.5">
      <c r="D186" s="3" t="s">
        <v>53</v>
      </c>
    </row>
    <row r="187" spans="4:4" ht="17.649999999999999" x14ac:dyDescent="0.5">
      <c r="D187" s="3" t="s">
        <v>91</v>
      </c>
    </row>
    <row r="188" spans="4:4" ht="17.649999999999999" x14ac:dyDescent="0.5">
      <c r="D188" s="3" t="s">
        <v>47</v>
      </c>
    </row>
    <row r="189" spans="4:4" ht="17.649999999999999" x14ac:dyDescent="0.5">
      <c r="D189" s="3" t="s">
        <v>104</v>
      </c>
    </row>
    <row r="190" spans="4:4" ht="17.649999999999999" x14ac:dyDescent="0.5">
      <c r="D190" s="3" t="s">
        <v>115</v>
      </c>
    </row>
    <row r="191" spans="4:4" ht="17.649999999999999" x14ac:dyDescent="0.5">
      <c r="D191" s="3" t="s">
        <v>103</v>
      </c>
    </row>
    <row r="192" spans="4:4" ht="17.649999999999999" x14ac:dyDescent="0.5">
      <c r="D192" s="3" t="s">
        <v>67</v>
      </c>
    </row>
    <row r="193" spans="4:4" ht="17.649999999999999" x14ac:dyDescent="0.5">
      <c r="D193" s="3" t="s">
        <v>43</v>
      </c>
    </row>
    <row r="194" spans="4:4" ht="17.649999999999999" x14ac:dyDescent="0.5">
      <c r="D194" s="3" t="s">
        <v>105</v>
      </c>
    </row>
    <row r="195" spans="4:4" ht="17.649999999999999" x14ac:dyDescent="0.5">
      <c r="D195" s="3" t="s">
        <v>94</v>
      </c>
    </row>
    <row r="196" spans="4:4" ht="17.649999999999999" x14ac:dyDescent="0.5">
      <c r="D196" s="3" t="s">
        <v>121</v>
      </c>
    </row>
    <row r="197" spans="4:4" ht="17.649999999999999" x14ac:dyDescent="0.5">
      <c r="D197" s="3" t="s">
        <v>124</v>
      </c>
    </row>
    <row r="198" spans="4:4" ht="17.649999999999999" x14ac:dyDescent="0.5">
      <c r="D198" s="3" t="s">
        <v>77</v>
      </c>
    </row>
    <row r="199" spans="4:4" ht="17.649999999999999" x14ac:dyDescent="0.5">
      <c r="D199" s="3" t="s">
        <v>73</v>
      </c>
    </row>
    <row r="200" spans="4:4" ht="17.649999999999999" x14ac:dyDescent="0.5">
      <c r="D200" s="3" t="s">
        <v>87</v>
      </c>
    </row>
    <row r="201" spans="4:4" ht="17.649999999999999" x14ac:dyDescent="0.5">
      <c r="D201" s="3" t="s">
        <v>110</v>
      </c>
    </row>
    <row r="202" spans="4:4" ht="17.649999999999999" x14ac:dyDescent="0.5">
      <c r="D202" s="3" t="s">
        <v>41</v>
      </c>
    </row>
    <row r="203" spans="4:4" ht="17.649999999999999" x14ac:dyDescent="0.5">
      <c r="D203" s="3" t="s">
        <v>56</v>
      </c>
    </row>
    <row r="204" spans="4:4" ht="17.649999999999999" x14ac:dyDescent="0.5">
      <c r="D204" s="3" t="s">
        <v>117</v>
      </c>
    </row>
    <row r="205" spans="4:4" ht="17.649999999999999" x14ac:dyDescent="0.5">
      <c r="D205" s="3" t="s">
        <v>126</v>
      </c>
    </row>
    <row r="206" spans="4:4" ht="17.649999999999999" x14ac:dyDescent="0.5">
      <c r="D206" s="3" t="s">
        <v>90</v>
      </c>
    </row>
    <row r="207" spans="4:4" ht="17.649999999999999" x14ac:dyDescent="0.5">
      <c r="D207" s="3" t="s">
        <v>103</v>
      </c>
    </row>
    <row r="208" spans="4:4" ht="17.649999999999999" x14ac:dyDescent="0.5">
      <c r="D208" s="3" t="s">
        <v>96</v>
      </c>
    </row>
    <row r="209" spans="4:4" ht="17.649999999999999" x14ac:dyDescent="0.5">
      <c r="D209" s="3" t="s">
        <v>81</v>
      </c>
    </row>
    <row r="210" spans="4:4" ht="17.649999999999999" x14ac:dyDescent="0.5">
      <c r="D210" s="3" t="s">
        <v>41</v>
      </c>
    </row>
    <row r="211" spans="4:4" ht="17.649999999999999" x14ac:dyDescent="0.5">
      <c r="D211" s="3" t="s">
        <v>42</v>
      </c>
    </row>
    <row r="212" spans="4:4" ht="17.649999999999999" x14ac:dyDescent="0.5">
      <c r="D212" s="3" t="s">
        <v>47</v>
      </c>
    </row>
    <row r="213" spans="4:4" ht="17.649999999999999" x14ac:dyDescent="0.5">
      <c r="D213" s="3" t="s">
        <v>51</v>
      </c>
    </row>
    <row r="214" spans="4:4" ht="17.649999999999999" x14ac:dyDescent="0.5">
      <c r="D214" s="3" t="s">
        <v>107</v>
      </c>
    </row>
    <row r="215" spans="4:4" ht="17.649999999999999" x14ac:dyDescent="0.5">
      <c r="D215" s="3" t="s">
        <v>112</v>
      </c>
    </row>
    <row r="216" spans="4:4" ht="17.649999999999999" x14ac:dyDescent="0.5">
      <c r="D216" s="3" t="s">
        <v>65</v>
      </c>
    </row>
    <row r="217" spans="4:4" ht="17.649999999999999" x14ac:dyDescent="0.5">
      <c r="D217" s="3" t="s">
        <v>78</v>
      </c>
    </row>
    <row r="218" spans="4:4" ht="17.649999999999999" x14ac:dyDescent="0.5">
      <c r="D218" s="3" t="s">
        <v>43</v>
      </c>
    </row>
    <row r="219" spans="4:4" ht="17.649999999999999" x14ac:dyDescent="0.5">
      <c r="D219" s="3" t="s">
        <v>63</v>
      </c>
    </row>
    <row r="220" spans="4:4" ht="17.649999999999999" x14ac:dyDescent="0.5">
      <c r="D220" s="3" t="s">
        <v>124</v>
      </c>
    </row>
    <row r="221" spans="4:4" ht="17.649999999999999" x14ac:dyDescent="0.5">
      <c r="D221" s="3" t="s">
        <v>105</v>
      </c>
    </row>
    <row r="222" spans="4:4" ht="17.649999999999999" x14ac:dyDescent="0.5">
      <c r="D222" s="3" t="s">
        <v>125</v>
      </c>
    </row>
    <row r="223" spans="4:4" ht="17.649999999999999" x14ac:dyDescent="0.5">
      <c r="D223" s="3" t="s">
        <v>61</v>
      </c>
    </row>
    <row r="224" spans="4:4" ht="17.649999999999999" x14ac:dyDescent="0.5">
      <c r="D224" s="3" t="s">
        <v>46</v>
      </c>
    </row>
    <row r="225" spans="4:4" ht="17.649999999999999" x14ac:dyDescent="0.5">
      <c r="D225" s="3" t="s">
        <v>120</v>
      </c>
    </row>
    <row r="226" spans="4:4" ht="17.649999999999999" x14ac:dyDescent="0.5">
      <c r="D226" s="3" t="s">
        <v>77</v>
      </c>
    </row>
    <row r="227" spans="4:4" ht="17.649999999999999" x14ac:dyDescent="0.5">
      <c r="D227" s="3" t="s">
        <v>98</v>
      </c>
    </row>
    <row r="228" spans="4:4" ht="17.649999999999999" x14ac:dyDescent="0.5">
      <c r="D228" s="3" t="s">
        <v>122</v>
      </c>
    </row>
    <row r="229" spans="4:4" ht="17.649999999999999" x14ac:dyDescent="0.5">
      <c r="D229" s="3" t="s">
        <v>106</v>
      </c>
    </row>
    <row r="230" spans="4:4" ht="17.649999999999999" x14ac:dyDescent="0.5">
      <c r="D230" s="3" t="s">
        <v>52</v>
      </c>
    </row>
    <row r="231" spans="4:4" ht="17.649999999999999" x14ac:dyDescent="0.5">
      <c r="D231" s="3" t="s">
        <v>105</v>
      </c>
    </row>
    <row r="232" spans="4:4" ht="17.649999999999999" x14ac:dyDescent="0.5">
      <c r="D232" s="3" t="s">
        <v>90</v>
      </c>
    </row>
    <row r="233" spans="4:4" ht="17.649999999999999" x14ac:dyDescent="0.5">
      <c r="D233" s="3" t="s">
        <v>98</v>
      </c>
    </row>
    <row r="234" spans="4:4" ht="17.649999999999999" x14ac:dyDescent="0.5">
      <c r="D234" s="3" t="s">
        <v>108</v>
      </c>
    </row>
    <row r="235" spans="4:4" ht="17.649999999999999" x14ac:dyDescent="0.5">
      <c r="D235" s="3" t="s">
        <v>121</v>
      </c>
    </row>
    <row r="236" spans="4:4" ht="17.649999999999999" x14ac:dyDescent="0.5">
      <c r="D236" s="3" t="s">
        <v>90</v>
      </c>
    </row>
    <row r="237" spans="4:4" ht="17.649999999999999" x14ac:dyDescent="0.5">
      <c r="D237" s="3" t="s">
        <v>93</v>
      </c>
    </row>
    <row r="238" spans="4:4" ht="17.649999999999999" x14ac:dyDescent="0.5">
      <c r="D238" s="3" t="s">
        <v>64</v>
      </c>
    </row>
    <row r="239" spans="4:4" ht="17.649999999999999" x14ac:dyDescent="0.5">
      <c r="D239" s="3" t="s">
        <v>96</v>
      </c>
    </row>
    <row r="240" spans="4:4" ht="17.649999999999999" x14ac:dyDescent="0.5">
      <c r="D240" s="3" t="s">
        <v>115</v>
      </c>
    </row>
    <row r="241" spans="4:4" ht="17.649999999999999" x14ac:dyDescent="0.5">
      <c r="D241" s="3" t="s">
        <v>91</v>
      </c>
    </row>
    <row r="242" spans="4:4" ht="17.649999999999999" x14ac:dyDescent="0.5">
      <c r="D242" s="3" t="s">
        <v>52</v>
      </c>
    </row>
    <row r="243" spans="4:4" ht="17.649999999999999" x14ac:dyDescent="0.5">
      <c r="D243" s="3" t="s">
        <v>117</v>
      </c>
    </row>
    <row r="244" spans="4:4" ht="17.649999999999999" x14ac:dyDescent="0.5">
      <c r="D244" s="3" t="s">
        <v>41</v>
      </c>
    </row>
    <row r="245" spans="4:4" ht="17.649999999999999" x14ac:dyDescent="0.5">
      <c r="D245" s="3" t="s">
        <v>57</v>
      </c>
    </row>
    <row r="246" spans="4:4" ht="17.649999999999999" x14ac:dyDescent="0.5">
      <c r="D246" s="3" t="s">
        <v>43</v>
      </c>
    </row>
    <row r="247" spans="4:4" ht="17.649999999999999" x14ac:dyDescent="0.5">
      <c r="D247" s="3" t="s">
        <v>122</v>
      </c>
    </row>
    <row r="248" spans="4:4" ht="17.649999999999999" x14ac:dyDescent="0.5">
      <c r="D248" s="3" t="s">
        <v>77</v>
      </c>
    </row>
    <row r="249" spans="4:4" ht="17.649999999999999" x14ac:dyDescent="0.5">
      <c r="D249" s="3" t="s">
        <v>50</v>
      </c>
    </row>
    <row r="250" spans="4:4" ht="17.649999999999999" x14ac:dyDescent="0.5">
      <c r="D250" s="3" t="s">
        <v>94</v>
      </c>
    </row>
    <row r="251" spans="4:4" ht="17.649999999999999" x14ac:dyDescent="0.5">
      <c r="D251" s="3" t="s">
        <v>49</v>
      </c>
    </row>
    <row r="252" spans="4:4" ht="17.649999999999999" x14ac:dyDescent="0.5">
      <c r="D252" s="3" t="s">
        <v>59</v>
      </c>
    </row>
    <row r="253" spans="4:4" ht="17.649999999999999" x14ac:dyDescent="0.5">
      <c r="D253" s="3" t="s">
        <v>61</v>
      </c>
    </row>
    <row r="254" spans="4:4" ht="17.649999999999999" x14ac:dyDescent="0.5">
      <c r="D254" s="3" t="s">
        <v>126</v>
      </c>
    </row>
    <row r="255" spans="4:4" ht="17.649999999999999" x14ac:dyDescent="0.5">
      <c r="D255" s="3" t="s">
        <v>92</v>
      </c>
    </row>
    <row r="256" spans="4:4" ht="17.649999999999999" x14ac:dyDescent="0.5">
      <c r="D256" s="3" t="s">
        <v>47</v>
      </c>
    </row>
    <row r="257" spans="4:4" ht="17.649999999999999" x14ac:dyDescent="0.5">
      <c r="D257" s="3" t="s">
        <v>60</v>
      </c>
    </row>
    <row r="258" spans="4:4" ht="17.649999999999999" x14ac:dyDescent="0.5">
      <c r="D258" s="3" t="s">
        <v>63</v>
      </c>
    </row>
    <row r="259" spans="4:4" ht="17.649999999999999" x14ac:dyDescent="0.5">
      <c r="D259" s="3" t="s">
        <v>59</v>
      </c>
    </row>
    <row r="260" spans="4:4" ht="17.649999999999999" x14ac:dyDescent="0.5">
      <c r="D260" s="3" t="s">
        <v>125</v>
      </c>
    </row>
    <row r="261" spans="4:4" ht="17.649999999999999" x14ac:dyDescent="0.5">
      <c r="D261" s="3" t="s">
        <v>50</v>
      </c>
    </row>
    <row r="262" spans="4:4" ht="17.649999999999999" x14ac:dyDescent="0.5">
      <c r="D262" s="3" t="s">
        <v>48</v>
      </c>
    </row>
    <row r="263" spans="4:4" ht="17.649999999999999" x14ac:dyDescent="0.5">
      <c r="D263" s="3" t="s">
        <v>46</v>
      </c>
    </row>
    <row r="264" spans="4:4" ht="17.649999999999999" x14ac:dyDescent="0.5">
      <c r="D264" s="3" t="s">
        <v>77</v>
      </c>
    </row>
    <row r="265" spans="4:4" ht="17.649999999999999" x14ac:dyDescent="0.5">
      <c r="D265" s="3" t="s">
        <v>84</v>
      </c>
    </row>
    <row r="266" spans="4:4" ht="17.649999999999999" x14ac:dyDescent="0.5">
      <c r="D266" s="3" t="s">
        <v>113</v>
      </c>
    </row>
    <row r="267" spans="4:4" ht="17.649999999999999" x14ac:dyDescent="0.5">
      <c r="D267" s="3" t="s">
        <v>92</v>
      </c>
    </row>
    <row r="268" spans="4:4" ht="17.649999999999999" x14ac:dyDescent="0.5">
      <c r="D268" s="3" t="s">
        <v>45</v>
      </c>
    </row>
    <row r="269" spans="4:4" ht="17.649999999999999" x14ac:dyDescent="0.5">
      <c r="D269" s="3" t="s">
        <v>98</v>
      </c>
    </row>
    <row r="270" spans="4:4" ht="17.649999999999999" x14ac:dyDescent="0.5">
      <c r="D270" s="3" t="s">
        <v>47</v>
      </c>
    </row>
    <row r="271" spans="4:4" ht="17.649999999999999" x14ac:dyDescent="0.5">
      <c r="D271" s="3" t="s">
        <v>50</v>
      </c>
    </row>
    <row r="272" spans="4:4" ht="17.649999999999999" x14ac:dyDescent="0.5">
      <c r="D272" s="3" t="s">
        <v>52</v>
      </c>
    </row>
    <row r="273" spans="4:4" ht="17.649999999999999" x14ac:dyDescent="0.5">
      <c r="D273" s="3" t="s">
        <v>122</v>
      </c>
    </row>
    <row r="274" spans="4:4" ht="17.649999999999999" x14ac:dyDescent="0.5">
      <c r="D274" s="3" t="s">
        <v>48</v>
      </c>
    </row>
    <row r="275" spans="4:4" ht="17.649999999999999" x14ac:dyDescent="0.5">
      <c r="D275" s="3" t="s">
        <v>77</v>
      </c>
    </row>
    <row r="276" spans="4:4" ht="17.649999999999999" x14ac:dyDescent="0.5">
      <c r="D276" s="3" t="s">
        <v>87</v>
      </c>
    </row>
    <row r="277" spans="4:4" ht="17.649999999999999" x14ac:dyDescent="0.5">
      <c r="D277" s="3" t="s">
        <v>90</v>
      </c>
    </row>
    <row r="278" spans="4:4" ht="17.649999999999999" x14ac:dyDescent="0.5">
      <c r="D278" s="3" t="s">
        <v>75</v>
      </c>
    </row>
    <row r="279" spans="4:4" ht="17.649999999999999" x14ac:dyDescent="0.5">
      <c r="D279" s="3" t="s">
        <v>94</v>
      </c>
    </row>
    <row r="280" spans="4:4" ht="17.649999999999999" x14ac:dyDescent="0.5">
      <c r="D280" s="3" t="s">
        <v>65</v>
      </c>
    </row>
    <row r="281" spans="4:4" ht="17.649999999999999" x14ac:dyDescent="0.5">
      <c r="D281" s="3" t="s">
        <v>126</v>
      </c>
    </row>
    <row r="282" spans="4:4" ht="17.649999999999999" x14ac:dyDescent="0.5">
      <c r="D282" s="3" t="s">
        <v>81</v>
      </c>
    </row>
    <row r="283" spans="4:4" ht="17.649999999999999" x14ac:dyDescent="0.5">
      <c r="D283" s="3" t="s">
        <v>44</v>
      </c>
    </row>
    <row r="284" spans="4:4" ht="17.649999999999999" x14ac:dyDescent="0.5">
      <c r="D284" s="3" t="s">
        <v>92</v>
      </c>
    </row>
    <row r="285" spans="4:4" ht="17.649999999999999" x14ac:dyDescent="0.5">
      <c r="D285" s="3" t="s">
        <v>74</v>
      </c>
    </row>
    <row r="286" spans="4:4" ht="17.649999999999999" x14ac:dyDescent="0.5">
      <c r="D286" s="3" t="s">
        <v>64</v>
      </c>
    </row>
    <row r="287" spans="4:4" ht="17.649999999999999" x14ac:dyDescent="0.5">
      <c r="D287" s="3" t="s">
        <v>64</v>
      </c>
    </row>
    <row r="288" spans="4:4" ht="17.649999999999999" x14ac:dyDescent="0.5">
      <c r="D288" s="3" t="s">
        <v>132</v>
      </c>
    </row>
    <row r="289" spans="4:4" ht="17.649999999999999" x14ac:dyDescent="0.5">
      <c r="D289" s="3" t="s">
        <v>83</v>
      </c>
    </row>
    <row r="290" spans="4:4" ht="17.649999999999999" x14ac:dyDescent="0.5">
      <c r="D290" s="3" t="s">
        <v>56</v>
      </c>
    </row>
    <row r="291" spans="4:4" ht="17.649999999999999" x14ac:dyDescent="0.5">
      <c r="D291" s="3" t="s">
        <v>83</v>
      </c>
    </row>
    <row r="292" spans="4:4" ht="17.649999999999999" x14ac:dyDescent="0.5">
      <c r="D292" s="3" t="s">
        <v>56</v>
      </c>
    </row>
    <row r="293" spans="4:4" ht="17.649999999999999" x14ac:dyDescent="0.5">
      <c r="D293" s="3" t="s">
        <v>83</v>
      </c>
    </row>
    <row r="294" spans="4:4" ht="17.649999999999999" x14ac:dyDescent="0.5">
      <c r="D294" s="3" t="s">
        <v>94</v>
      </c>
    </row>
    <row r="295" spans="4:4" ht="17.649999999999999" x14ac:dyDescent="0.5">
      <c r="D295" s="3" t="s">
        <v>90</v>
      </c>
    </row>
    <row r="296" spans="4:4" ht="17.649999999999999" x14ac:dyDescent="0.5">
      <c r="D296" s="3" t="s">
        <v>85</v>
      </c>
    </row>
    <row r="297" spans="4:4" ht="17.649999999999999" x14ac:dyDescent="0.5">
      <c r="D297" s="3" t="s">
        <v>43</v>
      </c>
    </row>
    <row r="298" spans="4:4" ht="17.649999999999999" x14ac:dyDescent="0.5">
      <c r="D298" s="3" t="s">
        <v>43</v>
      </c>
    </row>
    <row r="299" spans="4:4" ht="17.649999999999999" x14ac:dyDescent="0.5">
      <c r="D299" s="3" t="s">
        <v>100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66</v>
      </c>
    </row>
    <row r="302" spans="4:4" ht="17.649999999999999" x14ac:dyDescent="0.5">
      <c r="D302" s="3" t="s">
        <v>60</v>
      </c>
    </row>
    <row r="303" spans="4:4" ht="17.649999999999999" x14ac:dyDescent="0.5">
      <c r="D303" s="3" t="s">
        <v>112</v>
      </c>
    </row>
    <row r="304" spans="4:4" ht="17.649999999999999" x14ac:dyDescent="0.5">
      <c r="D304" s="3" t="s">
        <v>129</v>
      </c>
    </row>
    <row r="305" spans="4:4" ht="17.649999999999999" x14ac:dyDescent="0.5">
      <c r="D305" s="3" t="s">
        <v>69</v>
      </c>
    </row>
    <row r="306" spans="4:4" ht="17.649999999999999" x14ac:dyDescent="0.5">
      <c r="D306" s="3" t="s">
        <v>73</v>
      </c>
    </row>
    <row r="307" spans="4:4" ht="17.649999999999999" x14ac:dyDescent="0.5">
      <c r="D307" s="3" t="s">
        <v>43</v>
      </c>
    </row>
    <row r="308" spans="4:4" ht="17.649999999999999" x14ac:dyDescent="0.5">
      <c r="D308" s="3" t="s">
        <v>77</v>
      </c>
    </row>
    <row r="309" spans="4:4" ht="17.649999999999999" x14ac:dyDescent="0.5">
      <c r="D309" s="3" t="s">
        <v>94</v>
      </c>
    </row>
    <row r="310" spans="4:4" ht="17.649999999999999" x14ac:dyDescent="0.5">
      <c r="D310" s="3" t="s">
        <v>49</v>
      </c>
    </row>
    <row r="311" spans="4:4" ht="17.649999999999999" x14ac:dyDescent="0.5">
      <c r="D311" s="3" t="s">
        <v>52</v>
      </c>
    </row>
    <row r="312" spans="4:4" ht="17.649999999999999" x14ac:dyDescent="0.5">
      <c r="D312" s="3" t="s">
        <v>65</v>
      </c>
    </row>
    <row r="313" spans="4:4" ht="17.649999999999999" x14ac:dyDescent="0.5">
      <c r="D313" s="3" t="s">
        <v>68</v>
      </c>
    </row>
    <row r="314" spans="4:4" ht="17.649999999999999" x14ac:dyDescent="0.5">
      <c r="D314" s="3" t="s">
        <v>49</v>
      </c>
    </row>
    <row r="315" spans="4:4" ht="17.649999999999999" x14ac:dyDescent="0.5">
      <c r="D315" s="3" t="s">
        <v>41</v>
      </c>
    </row>
    <row r="316" spans="4:4" ht="17.649999999999999" x14ac:dyDescent="0.5">
      <c r="D316" s="3" t="s">
        <v>63</v>
      </c>
    </row>
    <row r="317" spans="4:4" ht="17.649999999999999" x14ac:dyDescent="0.5">
      <c r="D317" s="3" t="s">
        <v>115</v>
      </c>
    </row>
    <row r="318" spans="4:4" ht="17.649999999999999" x14ac:dyDescent="0.5">
      <c r="D318" s="3" t="s">
        <v>54</v>
      </c>
    </row>
    <row r="319" spans="4:4" ht="17.649999999999999" x14ac:dyDescent="0.5">
      <c r="D319" s="3" t="s">
        <v>64</v>
      </c>
    </row>
    <row r="320" spans="4:4" ht="17.649999999999999" x14ac:dyDescent="0.5">
      <c r="D320" s="3" t="s">
        <v>50</v>
      </c>
    </row>
    <row r="321" spans="4:4" ht="17.649999999999999" x14ac:dyDescent="0.5">
      <c r="D321" s="3" t="s">
        <v>80</v>
      </c>
    </row>
    <row r="322" spans="4:4" ht="17.649999999999999" x14ac:dyDescent="0.5">
      <c r="D322" s="3" t="s">
        <v>65</v>
      </c>
    </row>
    <row r="323" spans="4:4" ht="17.649999999999999" x14ac:dyDescent="0.5">
      <c r="D323" s="3" t="s">
        <v>107</v>
      </c>
    </row>
    <row r="324" spans="4:4" ht="17.649999999999999" x14ac:dyDescent="0.5">
      <c r="D324" s="3" t="s">
        <v>43</v>
      </c>
    </row>
    <row r="325" spans="4:4" ht="17.649999999999999" x14ac:dyDescent="0.5">
      <c r="D325" s="3" t="s">
        <v>63</v>
      </c>
    </row>
    <row r="326" spans="4:4" ht="17.649999999999999" x14ac:dyDescent="0.5">
      <c r="D326" s="3" t="s">
        <v>61</v>
      </c>
    </row>
    <row r="327" spans="4:4" ht="17.649999999999999" x14ac:dyDescent="0.5">
      <c r="D327" s="3" t="s">
        <v>123</v>
      </c>
    </row>
    <row r="328" spans="4:4" ht="17.649999999999999" x14ac:dyDescent="0.5">
      <c r="D328" s="3" t="s">
        <v>53</v>
      </c>
    </row>
    <row r="329" spans="4:4" ht="17.649999999999999" x14ac:dyDescent="0.5">
      <c r="D329" s="3" t="s">
        <v>64</v>
      </c>
    </row>
    <row r="330" spans="4:4" ht="17.649999999999999" x14ac:dyDescent="0.5">
      <c r="D330" s="3" t="s">
        <v>61</v>
      </c>
    </row>
    <row r="331" spans="4:4" ht="17.649999999999999" x14ac:dyDescent="0.5">
      <c r="D331" s="3" t="s">
        <v>47</v>
      </c>
    </row>
    <row r="332" spans="4:4" ht="17.649999999999999" x14ac:dyDescent="0.5">
      <c r="D332" s="3" t="s">
        <v>115</v>
      </c>
    </row>
    <row r="333" spans="4:4" ht="17.649999999999999" x14ac:dyDescent="0.5">
      <c r="D333" s="3" t="s">
        <v>103</v>
      </c>
    </row>
    <row r="334" spans="4:4" ht="17.649999999999999" x14ac:dyDescent="0.5">
      <c r="D334" s="3" t="s">
        <v>87</v>
      </c>
    </row>
    <row r="335" spans="4:4" ht="17.649999999999999" x14ac:dyDescent="0.5">
      <c r="D335" s="3" t="s">
        <v>68</v>
      </c>
    </row>
    <row r="336" spans="4:4" ht="17.649999999999999" x14ac:dyDescent="0.5">
      <c r="D336" s="3" t="s">
        <v>50</v>
      </c>
    </row>
    <row r="337" spans="4:4" ht="17.649999999999999" x14ac:dyDescent="0.5">
      <c r="D337" s="3" t="s">
        <v>54</v>
      </c>
    </row>
    <row r="338" spans="4:4" ht="17.649999999999999" x14ac:dyDescent="0.5">
      <c r="D338" s="3" t="s">
        <v>75</v>
      </c>
    </row>
    <row r="339" spans="4:4" ht="17.649999999999999" x14ac:dyDescent="0.5">
      <c r="D339" s="3" t="s">
        <v>107</v>
      </c>
    </row>
    <row r="340" spans="4:4" ht="17.649999999999999" x14ac:dyDescent="0.5">
      <c r="D340" s="3" t="s">
        <v>121</v>
      </c>
    </row>
    <row r="341" spans="4:4" ht="17.649999999999999" x14ac:dyDescent="0.5">
      <c r="D341" s="3" t="s">
        <v>48</v>
      </c>
    </row>
    <row r="342" spans="4:4" ht="17.649999999999999" x14ac:dyDescent="0.5">
      <c r="D342" s="3" t="s">
        <v>56</v>
      </c>
    </row>
    <row r="343" spans="4:4" ht="17.649999999999999" x14ac:dyDescent="0.5">
      <c r="D343" s="3" t="s">
        <v>90</v>
      </c>
    </row>
    <row r="344" spans="4:4" ht="17.649999999999999" x14ac:dyDescent="0.5">
      <c r="D344" s="3" t="s">
        <v>74</v>
      </c>
    </row>
    <row r="345" spans="4:4" ht="17.649999999999999" x14ac:dyDescent="0.5">
      <c r="D345" s="3" t="s">
        <v>76</v>
      </c>
    </row>
    <row r="346" spans="4:4" ht="17.649999999999999" x14ac:dyDescent="0.5">
      <c r="D346" s="3" t="s">
        <v>47</v>
      </c>
    </row>
    <row r="347" spans="4:4" ht="17.649999999999999" x14ac:dyDescent="0.5">
      <c r="D347" s="3" t="s">
        <v>115</v>
      </c>
    </row>
    <row r="348" spans="4:4" ht="17.649999999999999" x14ac:dyDescent="0.5">
      <c r="D348" s="3" t="s">
        <v>63</v>
      </c>
    </row>
    <row r="349" spans="4:4" ht="17.649999999999999" x14ac:dyDescent="0.5">
      <c r="D349" s="3" t="s">
        <v>69</v>
      </c>
    </row>
    <row r="350" spans="4:4" ht="17.649999999999999" x14ac:dyDescent="0.5">
      <c r="D350" s="3" t="s">
        <v>83</v>
      </c>
    </row>
    <row r="351" spans="4:4" ht="17.649999999999999" x14ac:dyDescent="0.5">
      <c r="D351" s="3" t="s">
        <v>98</v>
      </c>
    </row>
    <row r="352" spans="4:4" ht="17.649999999999999" x14ac:dyDescent="0.5">
      <c r="D352" s="3" t="s">
        <v>77</v>
      </c>
    </row>
    <row r="353" spans="4:4" ht="17.649999999999999" x14ac:dyDescent="0.5">
      <c r="D353" s="3" t="s">
        <v>87</v>
      </c>
    </row>
    <row r="354" spans="4:4" ht="17.649999999999999" x14ac:dyDescent="0.5">
      <c r="D354" s="3" t="s">
        <v>92</v>
      </c>
    </row>
    <row r="355" spans="4:4" ht="17.649999999999999" x14ac:dyDescent="0.5">
      <c r="D355" s="3" t="s">
        <v>72</v>
      </c>
    </row>
    <row r="356" spans="4:4" ht="17.649999999999999" x14ac:dyDescent="0.5">
      <c r="D356" s="3" t="s">
        <v>55</v>
      </c>
    </row>
    <row r="357" spans="4:4" ht="17.649999999999999" x14ac:dyDescent="0.5">
      <c r="D357" s="3" t="s">
        <v>107</v>
      </c>
    </row>
    <row r="358" spans="4:4" ht="17.649999999999999" x14ac:dyDescent="0.5">
      <c r="D358" s="3" t="s">
        <v>50</v>
      </c>
    </row>
    <row r="359" spans="4:4" ht="17.649999999999999" x14ac:dyDescent="0.5">
      <c r="D359" s="3" t="s">
        <v>47</v>
      </c>
    </row>
    <row r="360" spans="4:4" ht="17.649999999999999" x14ac:dyDescent="0.5">
      <c r="D360" s="3" t="s">
        <v>59</v>
      </c>
    </row>
    <row r="361" spans="4:4" ht="17.649999999999999" x14ac:dyDescent="0.5">
      <c r="D361" s="3" t="s">
        <v>94</v>
      </c>
    </row>
    <row r="362" spans="4:4" ht="17.649999999999999" x14ac:dyDescent="0.5">
      <c r="D362" s="3" t="s">
        <v>112</v>
      </c>
    </row>
    <row r="363" spans="4:4" ht="17.649999999999999" x14ac:dyDescent="0.5">
      <c r="D363" s="3" t="s">
        <v>98</v>
      </c>
    </row>
    <row r="364" spans="4:4" ht="17.649999999999999" x14ac:dyDescent="0.5">
      <c r="D364" s="3" t="s">
        <v>41</v>
      </c>
    </row>
    <row r="365" spans="4:4" ht="17.649999999999999" x14ac:dyDescent="0.5">
      <c r="D365" s="3" t="s">
        <v>91</v>
      </c>
    </row>
    <row r="366" spans="4:4" ht="17.649999999999999" x14ac:dyDescent="0.5">
      <c r="D366" s="3" t="s">
        <v>44</v>
      </c>
    </row>
    <row r="367" spans="4:4" ht="17.649999999999999" x14ac:dyDescent="0.5">
      <c r="D367" s="3" t="s">
        <v>46</v>
      </c>
    </row>
    <row r="368" spans="4:4" ht="17.649999999999999" x14ac:dyDescent="0.5">
      <c r="D368" s="3" t="s">
        <v>131</v>
      </c>
    </row>
    <row r="369" spans="4:4" ht="17.649999999999999" x14ac:dyDescent="0.5">
      <c r="D369" s="3" t="s">
        <v>64</v>
      </c>
    </row>
    <row r="370" spans="4:4" ht="17.649999999999999" x14ac:dyDescent="0.5">
      <c r="D370" s="3" t="s">
        <v>91</v>
      </c>
    </row>
    <row r="371" spans="4:4" ht="17.649999999999999" x14ac:dyDescent="0.5">
      <c r="D371" s="3" t="s">
        <v>104</v>
      </c>
    </row>
    <row r="372" spans="4:4" ht="17.649999999999999" x14ac:dyDescent="0.5">
      <c r="D372" s="3" t="s">
        <v>43</v>
      </c>
    </row>
    <row r="373" spans="4:4" ht="17.649999999999999" x14ac:dyDescent="0.5">
      <c r="D373" s="3" t="s">
        <v>64</v>
      </c>
    </row>
    <row r="374" spans="4:4" ht="17.649999999999999" x14ac:dyDescent="0.5">
      <c r="D374" s="3" t="s">
        <v>104</v>
      </c>
    </row>
    <row r="375" spans="4:4" ht="17.649999999999999" x14ac:dyDescent="0.5">
      <c r="D375" s="3" t="s">
        <v>59</v>
      </c>
    </row>
    <row r="376" spans="4:4" ht="17.649999999999999" x14ac:dyDescent="0.5">
      <c r="D376" s="3" t="s">
        <v>53</v>
      </c>
    </row>
    <row r="377" spans="4:4" ht="17.649999999999999" x14ac:dyDescent="0.5">
      <c r="D377" s="3" t="s">
        <v>132</v>
      </c>
    </row>
    <row r="378" spans="4:4" ht="17.649999999999999" x14ac:dyDescent="0.5">
      <c r="D378" s="3" t="s">
        <v>103</v>
      </c>
    </row>
    <row r="379" spans="4:4" ht="17.649999999999999" x14ac:dyDescent="0.5">
      <c r="D379" s="3" t="s">
        <v>104</v>
      </c>
    </row>
    <row r="380" spans="4:4" ht="17.649999999999999" x14ac:dyDescent="0.5">
      <c r="D380" s="3" t="s">
        <v>51</v>
      </c>
    </row>
    <row r="381" spans="4:4" ht="17.649999999999999" x14ac:dyDescent="0.5">
      <c r="D381" s="3" t="s">
        <v>105</v>
      </c>
    </row>
    <row r="382" spans="4:4" ht="17.649999999999999" x14ac:dyDescent="0.5">
      <c r="D382" s="3" t="s">
        <v>78</v>
      </c>
    </row>
    <row r="383" spans="4:4" ht="17.649999999999999" x14ac:dyDescent="0.5">
      <c r="D383" s="3" t="s">
        <v>87</v>
      </c>
    </row>
    <row r="384" spans="4:4" ht="17.649999999999999" x14ac:dyDescent="0.5">
      <c r="D384" s="3" t="s">
        <v>75</v>
      </c>
    </row>
    <row r="385" spans="4:4" ht="17.649999999999999" x14ac:dyDescent="0.5">
      <c r="D385" s="3" t="s">
        <v>114</v>
      </c>
    </row>
    <row r="386" spans="4:4" ht="17.649999999999999" x14ac:dyDescent="0.5">
      <c r="D386" s="3" t="s">
        <v>43</v>
      </c>
    </row>
    <row r="387" spans="4:4" ht="17.649999999999999" x14ac:dyDescent="0.5">
      <c r="D387" s="3" t="s">
        <v>90</v>
      </c>
    </row>
    <row r="388" spans="4:4" ht="17.649999999999999" x14ac:dyDescent="0.5">
      <c r="D388" s="3" t="s">
        <v>105</v>
      </c>
    </row>
    <row r="389" spans="4:4" ht="17.649999999999999" x14ac:dyDescent="0.5">
      <c r="D389" s="3" t="s">
        <v>48</v>
      </c>
    </row>
    <row r="390" spans="4:4" ht="17.649999999999999" x14ac:dyDescent="0.5">
      <c r="D390" s="3" t="s">
        <v>43</v>
      </c>
    </row>
    <row r="391" spans="4:4" ht="17.649999999999999" x14ac:dyDescent="0.5">
      <c r="D391" s="3" t="s">
        <v>72</v>
      </c>
    </row>
    <row r="392" spans="4:4" ht="17.649999999999999" x14ac:dyDescent="0.5">
      <c r="D392" s="3" t="s">
        <v>114</v>
      </c>
    </row>
    <row r="393" spans="4:4" ht="17.649999999999999" x14ac:dyDescent="0.5">
      <c r="D393" s="3" t="s">
        <v>73</v>
      </c>
    </row>
    <row r="394" spans="4:4" ht="17.649999999999999" x14ac:dyDescent="0.5">
      <c r="D394" s="3" t="s">
        <v>54</v>
      </c>
    </row>
    <row r="395" spans="4:4" ht="17.649999999999999" x14ac:dyDescent="0.5">
      <c r="D395" s="3" t="s">
        <v>93</v>
      </c>
    </row>
    <row r="396" spans="4:4" ht="17.649999999999999" x14ac:dyDescent="0.5">
      <c r="D396" s="3" t="s">
        <v>84</v>
      </c>
    </row>
    <row r="397" spans="4:4" ht="17.649999999999999" x14ac:dyDescent="0.5">
      <c r="D397" s="3" t="s">
        <v>73</v>
      </c>
    </row>
    <row r="398" spans="4:4" ht="17.649999999999999" x14ac:dyDescent="0.5">
      <c r="D398" s="3" t="s">
        <v>57</v>
      </c>
    </row>
    <row r="399" spans="4:4" ht="17.649999999999999" x14ac:dyDescent="0.5">
      <c r="D399" s="3" t="s">
        <v>78</v>
      </c>
    </row>
    <row r="400" spans="4:4" ht="17.649999999999999" x14ac:dyDescent="0.5">
      <c r="D400" s="3" t="s">
        <v>98</v>
      </c>
    </row>
    <row r="401" spans="4:4" ht="17.649999999999999" x14ac:dyDescent="0.5">
      <c r="D401" s="3" t="s">
        <v>65</v>
      </c>
    </row>
    <row r="402" spans="4:4" ht="17.649999999999999" x14ac:dyDescent="0.5">
      <c r="D402" s="3" t="s">
        <v>115</v>
      </c>
    </row>
    <row r="403" spans="4:4" ht="17.649999999999999" x14ac:dyDescent="0.5">
      <c r="D403" s="3" t="s">
        <v>91</v>
      </c>
    </row>
    <row r="404" spans="4:4" ht="17.649999999999999" x14ac:dyDescent="0.5">
      <c r="D404" s="3" t="s">
        <v>101</v>
      </c>
    </row>
    <row r="405" spans="4:4" ht="17.649999999999999" x14ac:dyDescent="0.5">
      <c r="D405" s="3" t="s">
        <v>43</v>
      </c>
    </row>
    <row r="406" spans="4:4" ht="17.649999999999999" x14ac:dyDescent="0.5">
      <c r="D406" s="3" t="s">
        <v>44</v>
      </c>
    </row>
    <row r="407" spans="4:4" ht="17.649999999999999" x14ac:dyDescent="0.5">
      <c r="D407" s="3" t="s">
        <v>74</v>
      </c>
    </row>
    <row r="408" spans="4:4" ht="17.649999999999999" x14ac:dyDescent="0.5">
      <c r="D408" s="3" t="s">
        <v>112</v>
      </c>
    </row>
    <row r="409" spans="4:4" ht="17.649999999999999" x14ac:dyDescent="0.5">
      <c r="D409" s="3" t="s">
        <v>52</v>
      </c>
    </row>
    <row r="410" spans="4:4" ht="17.649999999999999" x14ac:dyDescent="0.5">
      <c r="D410" s="3" t="s">
        <v>47</v>
      </c>
    </row>
    <row r="411" spans="4:4" ht="17.649999999999999" x14ac:dyDescent="0.5">
      <c r="D411" s="3" t="s">
        <v>44</v>
      </c>
    </row>
    <row r="412" spans="4:4" ht="17.649999999999999" x14ac:dyDescent="0.5">
      <c r="D412" s="3" t="s">
        <v>59</v>
      </c>
    </row>
    <row r="413" spans="4:4" ht="17.649999999999999" x14ac:dyDescent="0.5">
      <c r="D413" s="3" t="s">
        <v>50</v>
      </c>
    </row>
    <row r="414" spans="4:4" ht="17.649999999999999" x14ac:dyDescent="0.5">
      <c r="D414" s="3" t="s">
        <v>47</v>
      </c>
    </row>
    <row r="415" spans="4:4" ht="17.649999999999999" x14ac:dyDescent="0.5">
      <c r="D415" s="3" t="s">
        <v>66</v>
      </c>
    </row>
    <row r="416" spans="4:4" ht="17.649999999999999" x14ac:dyDescent="0.5">
      <c r="D416" s="3" t="s">
        <v>78</v>
      </c>
    </row>
    <row r="417" spans="4:4" ht="17.649999999999999" x14ac:dyDescent="0.5">
      <c r="D417" s="3" t="s">
        <v>76</v>
      </c>
    </row>
    <row r="418" spans="4:4" ht="17.649999999999999" x14ac:dyDescent="0.5">
      <c r="D418" s="3" t="s">
        <v>112</v>
      </c>
    </row>
    <row r="419" spans="4:4" ht="17.649999999999999" x14ac:dyDescent="0.5">
      <c r="D419" s="3" t="s">
        <v>81</v>
      </c>
    </row>
    <row r="420" spans="4:4" ht="17.649999999999999" x14ac:dyDescent="0.5">
      <c r="D420" s="3" t="s">
        <v>101</v>
      </c>
    </row>
    <row r="421" spans="4:4" ht="17.649999999999999" x14ac:dyDescent="0.5">
      <c r="D421" s="3" t="s">
        <v>75</v>
      </c>
    </row>
    <row r="422" spans="4:4" ht="17.649999999999999" x14ac:dyDescent="0.5">
      <c r="D422" s="3" t="s">
        <v>48</v>
      </c>
    </row>
    <row r="423" spans="4:4" ht="17.649999999999999" x14ac:dyDescent="0.5">
      <c r="D423" s="3" t="s">
        <v>105</v>
      </c>
    </row>
    <row r="424" spans="4:4" ht="17.649999999999999" x14ac:dyDescent="0.5">
      <c r="D424" s="3" t="s">
        <v>54</v>
      </c>
    </row>
    <row r="425" spans="4:4" ht="17.649999999999999" x14ac:dyDescent="0.5">
      <c r="D425" s="3" t="s">
        <v>114</v>
      </c>
    </row>
    <row r="426" spans="4:4" ht="17.649999999999999" x14ac:dyDescent="0.5">
      <c r="D426" s="3" t="s">
        <v>69</v>
      </c>
    </row>
    <row r="427" spans="4:4" ht="17.649999999999999" x14ac:dyDescent="0.5">
      <c r="D427" s="3" t="s">
        <v>55</v>
      </c>
    </row>
    <row r="428" spans="4:4" ht="17.649999999999999" x14ac:dyDescent="0.5">
      <c r="D428" s="3" t="s">
        <v>53</v>
      </c>
    </row>
    <row r="429" spans="4:4" ht="17.649999999999999" x14ac:dyDescent="0.5">
      <c r="D429" s="3" t="s">
        <v>59</v>
      </c>
    </row>
    <row r="430" spans="4:4" ht="17.649999999999999" x14ac:dyDescent="0.5">
      <c r="D430" s="3" t="s">
        <v>63</v>
      </c>
    </row>
    <row r="431" spans="4:4" ht="17.649999999999999" x14ac:dyDescent="0.5">
      <c r="D431" s="3" t="s">
        <v>48</v>
      </c>
    </row>
    <row r="432" spans="4:4" ht="17.649999999999999" x14ac:dyDescent="0.5">
      <c r="D432" s="3" t="s">
        <v>49</v>
      </c>
    </row>
    <row r="433" spans="4:4" ht="17.649999999999999" x14ac:dyDescent="0.5">
      <c r="D433" s="3" t="s">
        <v>47</v>
      </c>
    </row>
    <row r="434" spans="4:4" ht="17.649999999999999" x14ac:dyDescent="0.5">
      <c r="D434" s="3" t="s">
        <v>136</v>
      </c>
    </row>
    <row r="435" spans="4:4" ht="17.649999999999999" x14ac:dyDescent="0.5">
      <c r="D435" s="3" t="s">
        <v>102</v>
      </c>
    </row>
    <row r="436" spans="4:4" ht="17.649999999999999" x14ac:dyDescent="0.5">
      <c r="D436" s="3" t="s">
        <v>55</v>
      </c>
    </row>
    <row r="437" spans="4:4" ht="17.649999999999999" x14ac:dyDescent="0.5">
      <c r="D437" s="3" t="s">
        <v>96</v>
      </c>
    </row>
    <row r="438" spans="4:4" ht="17.649999999999999" x14ac:dyDescent="0.5">
      <c r="D438" s="3" t="s">
        <v>84</v>
      </c>
    </row>
    <row r="439" spans="4:4" ht="17.649999999999999" x14ac:dyDescent="0.5">
      <c r="D439" s="3" t="s">
        <v>93</v>
      </c>
    </row>
    <row r="440" spans="4:4" ht="17.649999999999999" x14ac:dyDescent="0.5">
      <c r="D440" s="3" t="s">
        <v>67</v>
      </c>
    </row>
    <row r="441" spans="4:4" ht="17.649999999999999" x14ac:dyDescent="0.5">
      <c r="D441" s="3" t="s">
        <v>65</v>
      </c>
    </row>
    <row r="442" spans="4:4" ht="17.649999999999999" x14ac:dyDescent="0.5">
      <c r="D442" s="3" t="s">
        <v>131</v>
      </c>
    </row>
    <row r="443" spans="4:4" ht="17.649999999999999" x14ac:dyDescent="0.5">
      <c r="D443" s="3" t="s">
        <v>105</v>
      </c>
    </row>
    <row r="444" spans="4:4" ht="17.649999999999999" x14ac:dyDescent="0.5">
      <c r="D444" s="3" t="s">
        <v>75</v>
      </c>
    </row>
    <row r="445" spans="4:4" ht="17.649999999999999" x14ac:dyDescent="0.5">
      <c r="D445" s="3" t="s">
        <v>90</v>
      </c>
    </row>
    <row r="446" spans="4:4" ht="17.649999999999999" x14ac:dyDescent="0.5">
      <c r="D446" s="3" t="s">
        <v>112</v>
      </c>
    </row>
    <row r="447" spans="4:4" ht="17.649999999999999" x14ac:dyDescent="0.5">
      <c r="D447" s="3" t="s">
        <v>85</v>
      </c>
    </row>
    <row r="448" spans="4:4" ht="17.649999999999999" x14ac:dyDescent="0.5">
      <c r="D448" s="3" t="s">
        <v>81</v>
      </c>
    </row>
    <row r="449" spans="4:4" ht="17.649999999999999" x14ac:dyDescent="0.5">
      <c r="D449" s="3" t="s">
        <v>63</v>
      </c>
    </row>
    <row r="450" spans="4:4" ht="17.649999999999999" x14ac:dyDescent="0.5">
      <c r="D450" s="3" t="s">
        <v>73</v>
      </c>
    </row>
    <row r="451" spans="4:4" ht="17.649999999999999" x14ac:dyDescent="0.5">
      <c r="D451" s="3" t="s">
        <v>48</v>
      </c>
    </row>
    <row r="452" spans="4:4" ht="17.649999999999999" x14ac:dyDescent="0.5">
      <c r="D452" s="3" t="s">
        <v>70</v>
      </c>
    </row>
    <row r="453" spans="4:4" ht="17.649999999999999" x14ac:dyDescent="0.5">
      <c r="D453" s="3" t="s">
        <v>98</v>
      </c>
    </row>
    <row r="454" spans="4:4" ht="17.649999999999999" x14ac:dyDescent="0.5">
      <c r="D454" s="3" t="s">
        <v>44</v>
      </c>
    </row>
    <row r="455" spans="4:4" ht="17.649999999999999" x14ac:dyDescent="0.5">
      <c r="D455" s="3" t="s">
        <v>83</v>
      </c>
    </row>
    <row r="456" spans="4:4" ht="17.649999999999999" x14ac:dyDescent="0.5">
      <c r="D456" s="3" t="s">
        <v>77</v>
      </c>
    </row>
    <row r="457" spans="4:4" ht="17.649999999999999" x14ac:dyDescent="0.5">
      <c r="D457" s="3" t="s">
        <v>62</v>
      </c>
    </row>
    <row r="458" spans="4:4" ht="17.649999999999999" x14ac:dyDescent="0.5">
      <c r="D458" s="3" t="s">
        <v>55</v>
      </c>
    </row>
    <row r="459" spans="4:4" ht="17.649999999999999" x14ac:dyDescent="0.5">
      <c r="D459" s="3" t="s">
        <v>91</v>
      </c>
    </row>
    <row r="460" spans="4:4" ht="17.649999999999999" x14ac:dyDescent="0.5">
      <c r="D460" s="3" t="s">
        <v>46</v>
      </c>
    </row>
    <row r="461" spans="4:4" ht="17.649999999999999" x14ac:dyDescent="0.5">
      <c r="D461" s="3" t="s">
        <v>59</v>
      </c>
    </row>
    <row r="462" spans="4:4" ht="17.649999999999999" x14ac:dyDescent="0.5">
      <c r="D462" s="3" t="s">
        <v>94</v>
      </c>
    </row>
    <row r="463" spans="4:4" ht="17.649999999999999" x14ac:dyDescent="0.5">
      <c r="D463" s="3" t="s">
        <v>67</v>
      </c>
    </row>
    <row r="464" spans="4:4" ht="17.649999999999999" x14ac:dyDescent="0.5">
      <c r="D464" s="3" t="s">
        <v>129</v>
      </c>
    </row>
    <row r="465" spans="4:4" ht="17.649999999999999" x14ac:dyDescent="0.5">
      <c r="D465" s="3" t="s">
        <v>64</v>
      </c>
    </row>
    <row r="466" spans="4:4" ht="17.649999999999999" x14ac:dyDescent="0.5">
      <c r="D466" s="3" t="s">
        <v>48</v>
      </c>
    </row>
    <row r="467" spans="4:4" ht="17.649999999999999" x14ac:dyDescent="0.5">
      <c r="D467" s="3" t="s">
        <v>125</v>
      </c>
    </row>
    <row r="468" spans="4:4" ht="17.649999999999999" x14ac:dyDescent="0.5">
      <c r="D468" s="3" t="s">
        <v>68</v>
      </c>
    </row>
    <row r="469" spans="4:4" ht="17.649999999999999" x14ac:dyDescent="0.5">
      <c r="D469" s="3" t="s">
        <v>47</v>
      </c>
    </row>
    <row r="470" spans="4:4" ht="17.649999999999999" x14ac:dyDescent="0.5">
      <c r="D470" s="3" t="s">
        <v>136</v>
      </c>
    </row>
    <row r="471" spans="4:4" ht="17.649999999999999" x14ac:dyDescent="0.5">
      <c r="D471" s="3" t="s">
        <v>92</v>
      </c>
    </row>
    <row r="472" spans="4:4" ht="17.649999999999999" x14ac:dyDescent="0.5">
      <c r="D472" s="3" t="s">
        <v>64</v>
      </c>
    </row>
    <row r="473" spans="4:4" ht="17.649999999999999" x14ac:dyDescent="0.5">
      <c r="D473" s="3" t="s">
        <v>78</v>
      </c>
    </row>
    <row r="474" spans="4:4" ht="17.649999999999999" x14ac:dyDescent="0.5">
      <c r="D474" s="3" t="s">
        <v>98</v>
      </c>
    </row>
    <row r="475" spans="4:4" ht="17.649999999999999" x14ac:dyDescent="0.5">
      <c r="D475" s="3" t="s">
        <v>108</v>
      </c>
    </row>
    <row r="476" spans="4:4" ht="17.649999999999999" x14ac:dyDescent="0.5">
      <c r="D476" s="3" t="s">
        <v>101</v>
      </c>
    </row>
    <row r="477" spans="4:4" ht="17.649999999999999" x14ac:dyDescent="0.5">
      <c r="D477" s="3" t="s">
        <v>123</v>
      </c>
    </row>
    <row r="478" spans="4:4" ht="17.649999999999999" x14ac:dyDescent="0.5">
      <c r="D478" s="3" t="s">
        <v>43</v>
      </c>
    </row>
    <row r="479" spans="4:4" ht="17.649999999999999" x14ac:dyDescent="0.5">
      <c r="D479" s="3" t="s">
        <v>44</v>
      </c>
    </row>
    <row r="480" spans="4:4" ht="17.649999999999999" x14ac:dyDescent="0.5">
      <c r="D480" s="3" t="s">
        <v>91</v>
      </c>
    </row>
    <row r="481" spans="4:4" ht="17.649999999999999" x14ac:dyDescent="0.5">
      <c r="D481" s="3" t="s">
        <v>73</v>
      </c>
    </row>
    <row r="482" spans="4:4" ht="17.649999999999999" x14ac:dyDescent="0.5">
      <c r="D482" s="3" t="s">
        <v>43</v>
      </c>
    </row>
    <row r="483" spans="4:4" ht="17.649999999999999" x14ac:dyDescent="0.5">
      <c r="D483" s="3" t="s">
        <v>63</v>
      </c>
    </row>
    <row r="484" spans="4:4" ht="17.649999999999999" x14ac:dyDescent="0.5">
      <c r="D484" s="3" t="s">
        <v>47</v>
      </c>
    </row>
    <row r="485" spans="4:4" ht="17.649999999999999" x14ac:dyDescent="0.5">
      <c r="D485" s="3" t="s">
        <v>67</v>
      </c>
    </row>
    <row r="486" spans="4:4" ht="17.649999999999999" x14ac:dyDescent="0.5">
      <c r="D486" s="3" t="s">
        <v>112</v>
      </c>
    </row>
    <row r="487" spans="4:4" ht="17.649999999999999" x14ac:dyDescent="0.5">
      <c r="D487" s="3" t="s">
        <v>101</v>
      </c>
    </row>
    <row r="488" spans="4:4" ht="17.649999999999999" x14ac:dyDescent="0.5">
      <c r="D488" s="3" t="s">
        <v>49</v>
      </c>
    </row>
    <row r="489" spans="4:4" ht="17.649999999999999" x14ac:dyDescent="0.5">
      <c r="D489" s="3" t="s">
        <v>81</v>
      </c>
    </row>
    <row r="490" spans="4:4" ht="17.649999999999999" x14ac:dyDescent="0.5">
      <c r="D490" s="3" t="s">
        <v>90</v>
      </c>
    </row>
    <row r="491" spans="4:4" ht="17.649999999999999" x14ac:dyDescent="0.5">
      <c r="D491" s="3" t="s">
        <v>81</v>
      </c>
    </row>
    <row r="492" spans="4:4" ht="17.649999999999999" x14ac:dyDescent="0.5">
      <c r="D492" s="3" t="s">
        <v>85</v>
      </c>
    </row>
    <row r="493" spans="4:4" ht="17.649999999999999" x14ac:dyDescent="0.5">
      <c r="D493" s="3" t="s">
        <v>110</v>
      </c>
    </row>
    <row r="494" spans="4:4" ht="17.649999999999999" x14ac:dyDescent="0.5">
      <c r="D494" s="3" t="s">
        <v>74</v>
      </c>
    </row>
    <row r="495" spans="4:4" ht="17.649999999999999" x14ac:dyDescent="0.5">
      <c r="D495" s="3" t="s">
        <v>72</v>
      </c>
    </row>
    <row r="496" spans="4:4" ht="17.649999999999999" x14ac:dyDescent="0.5">
      <c r="D496" s="3" t="s">
        <v>66</v>
      </c>
    </row>
    <row r="497" spans="4:4" ht="17.649999999999999" x14ac:dyDescent="0.5">
      <c r="D497" s="3" t="s">
        <v>51</v>
      </c>
    </row>
    <row r="498" spans="4:4" ht="17.649999999999999" x14ac:dyDescent="0.5">
      <c r="D498" s="3" t="s">
        <v>56</v>
      </c>
    </row>
    <row r="499" spans="4:4" ht="17.649999999999999" x14ac:dyDescent="0.5">
      <c r="D499" s="3" t="s">
        <v>83</v>
      </c>
    </row>
    <row r="500" spans="4:4" ht="17.649999999999999" x14ac:dyDescent="0.5">
      <c r="D500" s="3" t="s">
        <v>43</v>
      </c>
    </row>
    <row r="501" spans="4:4" ht="17.649999999999999" x14ac:dyDescent="0.5">
      <c r="D501" s="3" t="s">
        <v>75</v>
      </c>
    </row>
    <row r="502" spans="4:4" ht="17.649999999999999" x14ac:dyDescent="0.5">
      <c r="D502" s="3" t="s">
        <v>94</v>
      </c>
    </row>
    <row r="503" spans="4:4" ht="17.649999999999999" x14ac:dyDescent="0.5">
      <c r="D503" s="3" t="s">
        <v>100</v>
      </c>
    </row>
    <row r="504" spans="4:4" ht="17.649999999999999" x14ac:dyDescent="0.5">
      <c r="D504" s="3" t="s">
        <v>112</v>
      </c>
    </row>
    <row r="505" spans="4:4" ht="17.649999999999999" x14ac:dyDescent="0.5">
      <c r="D505" s="3" t="s">
        <v>51</v>
      </c>
    </row>
    <row r="506" spans="4:4" ht="17.649999999999999" x14ac:dyDescent="0.5">
      <c r="D506" s="3" t="s">
        <v>80</v>
      </c>
    </row>
    <row r="507" spans="4:4" ht="17.649999999999999" x14ac:dyDescent="0.5">
      <c r="D507" s="3" t="s">
        <v>98</v>
      </c>
    </row>
    <row r="508" spans="4:4" ht="17.649999999999999" x14ac:dyDescent="0.5">
      <c r="D508" s="3" t="s">
        <v>118</v>
      </c>
    </row>
    <row r="509" spans="4:4" ht="17.649999999999999" x14ac:dyDescent="0.5">
      <c r="D509" s="3" t="s">
        <v>55</v>
      </c>
    </row>
    <row r="510" spans="4:4" ht="17.649999999999999" x14ac:dyDescent="0.5">
      <c r="D510" s="3" t="s">
        <v>56</v>
      </c>
    </row>
    <row r="511" spans="4:4" ht="17.649999999999999" x14ac:dyDescent="0.5">
      <c r="D511" s="3" t="s">
        <v>115</v>
      </c>
    </row>
    <row r="512" spans="4:4" ht="17.649999999999999" x14ac:dyDescent="0.5">
      <c r="D512" s="3" t="s">
        <v>67</v>
      </c>
    </row>
    <row r="513" spans="4:4" ht="17.649999999999999" x14ac:dyDescent="0.5">
      <c r="D513" s="3" t="s">
        <v>68</v>
      </c>
    </row>
    <row r="514" spans="4:4" ht="17.649999999999999" x14ac:dyDescent="0.5">
      <c r="D514" s="3" t="s">
        <v>64</v>
      </c>
    </row>
    <row r="515" spans="4:4" ht="17.649999999999999" x14ac:dyDescent="0.5">
      <c r="D515" s="3" t="s">
        <v>98</v>
      </c>
    </row>
    <row r="516" spans="4:4" ht="17.649999999999999" x14ac:dyDescent="0.5">
      <c r="D516" s="3" t="s">
        <v>61</v>
      </c>
    </row>
    <row r="517" spans="4:4" ht="17.649999999999999" x14ac:dyDescent="0.5">
      <c r="D517" s="3" t="s">
        <v>46</v>
      </c>
    </row>
    <row r="518" spans="4:4" ht="17.649999999999999" x14ac:dyDescent="0.5">
      <c r="D518" s="3" t="s">
        <v>95</v>
      </c>
    </row>
    <row r="519" spans="4:4" ht="17.649999999999999" x14ac:dyDescent="0.5">
      <c r="D519" s="3" t="s">
        <v>85</v>
      </c>
    </row>
    <row r="520" spans="4:4" ht="17.649999999999999" x14ac:dyDescent="0.5">
      <c r="D520" s="3" t="s">
        <v>49</v>
      </c>
    </row>
    <row r="521" spans="4:4" ht="17.649999999999999" x14ac:dyDescent="0.5">
      <c r="D521" s="3" t="s">
        <v>100</v>
      </c>
    </row>
    <row r="522" spans="4:4" ht="17.649999999999999" x14ac:dyDescent="0.5">
      <c r="D522" s="3" t="s">
        <v>81</v>
      </c>
    </row>
    <row r="523" spans="4:4" ht="17.649999999999999" x14ac:dyDescent="0.5">
      <c r="D523" s="3" t="s">
        <v>130</v>
      </c>
    </row>
    <row r="524" spans="4:4" ht="17.649999999999999" x14ac:dyDescent="0.5">
      <c r="D524" s="3" t="s">
        <v>65</v>
      </c>
    </row>
    <row r="525" spans="4:4" ht="17.649999999999999" x14ac:dyDescent="0.5">
      <c r="D525" s="3" t="s">
        <v>47</v>
      </c>
    </row>
    <row r="526" spans="4:4" ht="17.649999999999999" x14ac:dyDescent="0.5">
      <c r="D526" s="3" t="s">
        <v>101</v>
      </c>
    </row>
    <row r="527" spans="4:4" ht="17.649999999999999" x14ac:dyDescent="0.5">
      <c r="D527" s="3" t="s">
        <v>99</v>
      </c>
    </row>
    <row r="528" spans="4:4" ht="17.649999999999999" x14ac:dyDescent="0.5">
      <c r="D528" s="3" t="s">
        <v>96</v>
      </c>
    </row>
    <row r="529" spans="4:4" ht="17.649999999999999" x14ac:dyDescent="0.5">
      <c r="D529" s="3" t="s">
        <v>56</v>
      </c>
    </row>
    <row r="530" spans="4:4" ht="17.649999999999999" x14ac:dyDescent="0.5">
      <c r="D530" s="3" t="s">
        <v>44</v>
      </c>
    </row>
    <row r="531" spans="4:4" ht="17.649999999999999" x14ac:dyDescent="0.5">
      <c r="D531" s="3" t="s">
        <v>96</v>
      </c>
    </row>
    <row r="532" spans="4:4" ht="17.649999999999999" x14ac:dyDescent="0.5">
      <c r="D532" s="3" t="s">
        <v>64</v>
      </c>
    </row>
    <row r="533" spans="4:4" ht="17.649999999999999" x14ac:dyDescent="0.5">
      <c r="D533" s="3" t="s">
        <v>92</v>
      </c>
    </row>
    <row r="534" spans="4:4" ht="17.649999999999999" x14ac:dyDescent="0.5">
      <c r="D534" s="3" t="s">
        <v>45</v>
      </c>
    </row>
    <row r="535" spans="4:4" ht="17.649999999999999" x14ac:dyDescent="0.5">
      <c r="D535" s="3" t="s">
        <v>85</v>
      </c>
    </row>
    <row r="536" spans="4:4" ht="17.649999999999999" x14ac:dyDescent="0.5">
      <c r="D536" s="3" t="s">
        <v>78</v>
      </c>
    </row>
    <row r="537" spans="4:4" ht="17.649999999999999" x14ac:dyDescent="0.5">
      <c r="D537" s="3" t="s">
        <v>41</v>
      </c>
    </row>
    <row r="538" spans="4:4" ht="17.649999999999999" x14ac:dyDescent="0.5">
      <c r="D538" s="3" t="s">
        <v>93</v>
      </c>
    </row>
    <row r="539" spans="4:4" ht="17.649999999999999" x14ac:dyDescent="0.5">
      <c r="D539" s="3" t="s">
        <v>75</v>
      </c>
    </row>
    <row r="540" spans="4:4" ht="17.649999999999999" x14ac:dyDescent="0.5">
      <c r="D540" s="3" t="s">
        <v>90</v>
      </c>
    </row>
    <row r="541" spans="4:4" ht="17.649999999999999" x14ac:dyDescent="0.5">
      <c r="D541" s="3" t="s">
        <v>123</v>
      </c>
    </row>
    <row r="542" spans="4:4" ht="17.649999999999999" x14ac:dyDescent="0.5">
      <c r="D542" s="3" t="s">
        <v>41</v>
      </c>
    </row>
    <row r="543" spans="4:4" ht="17.649999999999999" x14ac:dyDescent="0.5">
      <c r="D543" s="3" t="s">
        <v>67</v>
      </c>
    </row>
    <row r="544" spans="4:4" ht="17.649999999999999" x14ac:dyDescent="0.5">
      <c r="D544" s="3" t="s">
        <v>62</v>
      </c>
    </row>
    <row r="545" spans="4:4" ht="17.649999999999999" x14ac:dyDescent="0.5">
      <c r="D545" s="3" t="s">
        <v>59</v>
      </c>
    </row>
    <row r="546" spans="4:4" ht="17.649999999999999" x14ac:dyDescent="0.5">
      <c r="D546" s="3" t="s">
        <v>94</v>
      </c>
    </row>
    <row r="547" spans="4:4" ht="17.649999999999999" x14ac:dyDescent="0.5">
      <c r="D547" s="3" t="s">
        <v>80</v>
      </c>
    </row>
    <row r="548" spans="4:4" ht="17.649999999999999" x14ac:dyDescent="0.5">
      <c r="D548" s="3" t="s">
        <v>61</v>
      </c>
    </row>
    <row r="549" spans="4:4" ht="17.649999999999999" x14ac:dyDescent="0.5">
      <c r="D549" s="3" t="s">
        <v>54</v>
      </c>
    </row>
    <row r="550" spans="4:4" ht="17.649999999999999" x14ac:dyDescent="0.5">
      <c r="D550" s="3" t="s">
        <v>50</v>
      </c>
    </row>
    <row r="551" spans="4:4" ht="17.649999999999999" x14ac:dyDescent="0.5">
      <c r="D551" s="3" t="s">
        <v>43</v>
      </c>
    </row>
    <row r="552" spans="4:4" ht="17.649999999999999" x14ac:dyDescent="0.5">
      <c r="D552" s="3" t="s">
        <v>49</v>
      </c>
    </row>
    <row r="553" spans="4:4" ht="17.649999999999999" x14ac:dyDescent="0.5">
      <c r="D553" s="3" t="s">
        <v>68</v>
      </c>
    </row>
    <row r="554" spans="4:4" ht="17.649999999999999" x14ac:dyDescent="0.5">
      <c r="D554" s="3" t="s">
        <v>75</v>
      </c>
    </row>
    <row r="555" spans="4:4" ht="17.649999999999999" x14ac:dyDescent="0.5">
      <c r="D555" s="3" t="s">
        <v>86</v>
      </c>
    </row>
    <row r="556" spans="4:4" ht="17.649999999999999" x14ac:dyDescent="0.5">
      <c r="D556" s="3" t="s">
        <v>55</v>
      </c>
    </row>
    <row r="557" spans="4:4" ht="17.649999999999999" x14ac:dyDescent="0.5">
      <c r="D557" s="3" t="s">
        <v>103</v>
      </c>
    </row>
    <row r="558" spans="4:4" ht="17.649999999999999" x14ac:dyDescent="0.5">
      <c r="D558" s="3" t="s">
        <v>126</v>
      </c>
    </row>
    <row r="559" spans="4:4" ht="17.649999999999999" x14ac:dyDescent="0.5">
      <c r="D559" s="3" t="s">
        <v>46</v>
      </c>
    </row>
    <row r="560" spans="4:4" ht="17.649999999999999" x14ac:dyDescent="0.5">
      <c r="D560" s="3" t="s">
        <v>135</v>
      </c>
    </row>
    <row r="561" spans="4:4" ht="17.649999999999999" x14ac:dyDescent="0.5">
      <c r="D561" s="3" t="s">
        <v>81</v>
      </c>
    </row>
    <row r="562" spans="4:4" ht="17.649999999999999" x14ac:dyDescent="0.5">
      <c r="D562" s="3" t="s">
        <v>75</v>
      </c>
    </row>
    <row r="563" spans="4:4" ht="17.649999999999999" x14ac:dyDescent="0.5">
      <c r="D563" s="3" t="s">
        <v>100</v>
      </c>
    </row>
    <row r="564" spans="4:4" ht="17.649999999999999" x14ac:dyDescent="0.5">
      <c r="D564" s="3" t="s">
        <v>65</v>
      </c>
    </row>
    <row r="565" spans="4:4" ht="17.649999999999999" x14ac:dyDescent="0.5">
      <c r="D565" s="3" t="s">
        <v>119</v>
      </c>
    </row>
    <row r="566" spans="4:4" ht="17.649999999999999" x14ac:dyDescent="0.5">
      <c r="D566" s="3" t="s">
        <v>94</v>
      </c>
    </row>
    <row r="567" spans="4:4" ht="17.649999999999999" x14ac:dyDescent="0.5">
      <c r="D567" s="3" t="s">
        <v>80</v>
      </c>
    </row>
    <row r="568" spans="4:4" ht="17.649999999999999" x14ac:dyDescent="0.5">
      <c r="D568" s="3" t="s">
        <v>69</v>
      </c>
    </row>
    <row r="569" spans="4:4" ht="17.649999999999999" x14ac:dyDescent="0.5">
      <c r="D569" s="3" t="s">
        <v>100</v>
      </c>
    </row>
    <row r="570" spans="4:4" ht="17.649999999999999" x14ac:dyDescent="0.5">
      <c r="D570" s="3" t="s">
        <v>59</v>
      </c>
    </row>
    <row r="571" spans="4:4" ht="17.649999999999999" x14ac:dyDescent="0.5">
      <c r="D571" s="3" t="s">
        <v>57</v>
      </c>
    </row>
    <row r="572" spans="4:4" ht="17.649999999999999" x14ac:dyDescent="0.5">
      <c r="D572" s="3" t="s">
        <v>60</v>
      </c>
    </row>
    <row r="573" spans="4:4" ht="17.649999999999999" x14ac:dyDescent="0.5">
      <c r="D573" s="3" t="s">
        <v>116</v>
      </c>
    </row>
    <row r="574" spans="4:4" ht="17.649999999999999" x14ac:dyDescent="0.5">
      <c r="D574" s="3" t="s">
        <v>90</v>
      </c>
    </row>
    <row r="575" spans="4:4" ht="17.649999999999999" x14ac:dyDescent="0.5">
      <c r="D575" s="3" t="s">
        <v>136</v>
      </c>
    </row>
    <row r="576" spans="4:4" ht="17.649999999999999" x14ac:dyDescent="0.5">
      <c r="D576" s="3" t="s">
        <v>54</v>
      </c>
    </row>
    <row r="577" spans="4:4" ht="17.649999999999999" x14ac:dyDescent="0.5">
      <c r="D577" s="3" t="s">
        <v>132</v>
      </c>
    </row>
    <row r="578" spans="4:4" ht="17.649999999999999" x14ac:dyDescent="0.5">
      <c r="D578" s="3" t="s">
        <v>50</v>
      </c>
    </row>
    <row r="579" spans="4:4" ht="17.649999999999999" x14ac:dyDescent="0.5">
      <c r="D579" s="3" t="s">
        <v>73</v>
      </c>
    </row>
    <row r="580" spans="4:4" ht="17.649999999999999" x14ac:dyDescent="0.5">
      <c r="D580" s="3" t="s">
        <v>127</v>
      </c>
    </row>
    <row r="581" spans="4:4" ht="17.649999999999999" x14ac:dyDescent="0.5">
      <c r="D581" s="3" t="s">
        <v>75</v>
      </c>
    </row>
    <row r="582" spans="4:4" ht="17.649999999999999" x14ac:dyDescent="0.5">
      <c r="D582" s="3" t="s">
        <v>87</v>
      </c>
    </row>
    <row r="583" spans="4:4" ht="17.649999999999999" x14ac:dyDescent="0.5">
      <c r="D583" s="3" t="s">
        <v>112</v>
      </c>
    </row>
    <row r="584" spans="4:4" ht="17.649999999999999" x14ac:dyDescent="0.5">
      <c r="D584" s="3" t="s">
        <v>94</v>
      </c>
    </row>
    <row r="585" spans="4:4" ht="17.649999999999999" x14ac:dyDescent="0.5">
      <c r="D585" s="3" t="s">
        <v>65</v>
      </c>
    </row>
    <row r="586" spans="4:4" ht="17.649999999999999" x14ac:dyDescent="0.5">
      <c r="D586" s="3" t="s">
        <v>75</v>
      </c>
    </row>
    <row r="587" spans="4:4" ht="17.649999999999999" x14ac:dyDescent="0.5">
      <c r="D587" s="3" t="s">
        <v>43</v>
      </c>
    </row>
    <row r="588" spans="4:4" ht="17.649999999999999" x14ac:dyDescent="0.5">
      <c r="D588" s="3" t="s">
        <v>47</v>
      </c>
    </row>
    <row r="589" spans="4:4" ht="17.649999999999999" x14ac:dyDescent="0.5">
      <c r="D589" s="3" t="s">
        <v>101</v>
      </c>
    </row>
    <row r="590" spans="4:4" ht="17.649999999999999" x14ac:dyDescent="0.5">
      <c r="D590" s="3" t="s">
        <v>122</v>
      </c>
    </row>
    <row r="591" spans="4:4" ht="17.649999999999999" x14ac:dyDescent="0.5">
      <c r="D591" s="3" t="s">
        <v>69</v>
      </c>
    </row>
    <row r="592" spans="4:4" ht="17.649999999999999" x14ac:dyDescent="0.5">
      <c r="D592" s="3" t="s">
        <v>51</v>
      </c>
    </row>
    <row r="593" spans="4:4" ht="17.649999999999999" x14ac:dyDescent="0.5">
      <c r="D593" s="3" t="s">
        <v>54</v>
      </c>
    </row>
    <row r="594" spans="4:4" ht="17.649999999999999" x14ac:dyDescent="0.5">
      <c r="D594" s="3" t="s">
        <v>68</v>
      </c>
    </row>
    <row r="595" spans="4:4" ht="17.649999999999999" x14ac:dyDescent="0.5">
      <c r="D595" s="3" t="s">
        <v>107</v>
      </c>
    </row>
    <row r="596" spans="4:4" ht="17.649999999999999" x14ac:dyDescent="0.5">
      <c r="D596" s="3" t="s">
        <v>53</v>
      </c>
    </row>
    <row r="597" spans="4:4" ht="17.649999999999999" x14ac:dyDescent="0.5">
      <c r="D597" s="3" t="s">
        <v>87</v>
      </c>
    </row>
    <row r="598" spans="4:4" ht="17.649999999999999" x14ac:dyDescent="0.5">
      <c r="D598" s="3" t="s">
        <v>53</v>
      </c>
    </row>
    <row r="599" spans="4:4" ht="17.649999999999999" x14ac:dyDescent="0.5">
      <c r="D599" s="3" t="s">
        <v>43</v>
      </c>
    </row>
    <row r="600" spans="4:4" ht="17.649999999999999" x14ac:dyDescent="0.5">
      <c r="D600" s="3" t="s">
        <v>50</v>
      </c>
    </row>
    <row r="601" spans="4:4" ht="17.649999999999999" x14ac:dyDescent="0.5">
      <c r="D601" s="3" t="s">
        <v>107</v>
      </c>
    </row>
    <row r="602" spans="4:4" ht="17.649999999999999" x14ac:dyDescent="0.5">
      <c r="D602" s="3" t="s">
        <v>101</v>
      </c>
    </row>
    <row r="603" spans="4:4" ht="17.649999999999999" x14ac:dyDescent="0.5">
      <c r="D603" s="3" t="s">
        <v>107</v>
      </c>
    </row>
    <row r="604" spans="4:4" ht="17.649999999999999" x14ac:dyDescent="0.5">
      <c r="D604" s="3" t="s">
        <v>78</v>
      </c>
    </row>
    <row r="605" spans="4:4" ht="17.649999999999999" x14ac:dyDescent="0.5">
      <c r="D605" s="3" t="s">
        <v>95</v>
      </c>
    </row>
    <row r="606" spans="4:4" ht="17.649999999999999" x14ac:dyDescent="0.5">
      <c r="D606" s="3" t="s">
        <v>117</v>
      </c>
    </row>
    <row r="607" spans="4:4" ht="17.649999999999999" x14ac:dyDescent="0.5">
      <c r="D607" s="3" t="s">
        <v>55</v>
      </c>
    </row>
    <row r="608" spans="4:4" ht="17.649999999999999" x14ac:dyDescent="0.5">
      <c r="D608" s="3" t="s">
        <v>66</v>
      </c>
    </row>
    <row r="609" spans="4:4" ht="17.649999999999999" x14ac:dyDescent="0.5">
      <c r="D609" s="3" t="s">
        <v>75</v>
      </c>
    </row>
    <row r="610" spans="4:4" ht="17.649999999999999" x14ac:dyDescent="0.5">
      <c r="D610" s="3" t="s">
        <v>101</v>
      </c>
    </row>
    <row r="611" spans="4:4" ht="17.649999999999999" x14ac:dyDescent="0.5">
      <c r="D611" s="3" t="s">
        <v>98</v>
      </c>
    </row>
    <row r="612" spans="4:4" ht="17.649999999999999" x14ac:dyDescent="0.5">
      <c r="D612" s="3" t="s">
        <v>98</v>
      </c>
    </row>
    <row r="613" spans="4:4" ht="17.649999999999999" x14ac:dyDescent="0.5">
      <c r="D613" s="3" t="s">
        <v>79</v>
      </c>
    </row>
    <row r="614" spans="4:4" ht="17.649999999999999" x14ac:dyDescent="0.5">
      <c r="D614" s="3" t="s">
        <v>132</v>
      </c>
    </row>
    <row r="615" spans="4:4" ht="17.649999999999999" x14ac:dyDescent="0.5">
      <c r="D615" s="3" t="s">
        <v>65</v>
      </c>
    </row>
    <row r="616" spans="4:4" ht="17.649999999999999" x14ac:dyDescent="0.5">
      <c r="D616" s="3" t="s">
        <v>127</v>
      </c>
    </row>
    <row r="617" spans="4:4" ht="17.649999999999999" x14ac:dyDescent="0.5">
      <c r="D617" s="3" t="s">
        <v>54</v>
      </c>
    </row>
    <row r="618" spans="4:4" ht="17.649999999999999" x14ac:dyDescent="0.5">
      <c r="D618" s="3" t="s">
        <v>72</v>
      </c>
    </row>
    <row r="619" spans="4:4" ht="17.649999999999999" x14ac:dyDescent="0.5">
      <c r="D619" s="3" t="s">
        <v>67</v>
      </c>
    </row>
    <row r="620" spans="4:4" ht="17.649999999999999" x14ac:dyDescent="0.5">
      <c r="D620" s="3" t="s">
        <v>49</v>
      </c>
    </row>
    <row r="621" spans="4:4" ht="17.649999999999999" x14ac:dyDescent="0.5">
      <c r="D621" s="3" t="s">
        <v>65</v>
      </c>
    </row>
    <row r="622" spans="4:4" ht="17.649999999999999" x14ac:dyDescent="0.5">
      <c r="D622" s="3" t="s">
        <v>73</v>
      </c>
    </row>
    <row r="623" spans="4:4" ht="17.649999999999999" x14ac:dyDescent="0.5">
      <c r="D623" s="3" t="s">
        <v>56</v>
      </c>
    </row>
    <row r="624" spans="4:4" ht="17.649999999999999" x14ac:dyDescent="0.5">
      <c r="D624" s="3" t="s">
        <v>54</v>
      </c>
    </row>
    <row r="625" spans="4:4" ht="17.649999999999999" x14ac:dyDescent="0.5">
      <c r="D625" s="3" t="s">
        <v>65</v>
      </c>
    </row>
    <row r="626" spans="4:4" ht="17.649999999999999" x14ac:dyDescent="0.5">
      <c r="D626" s="3" t="s">
        <v>77</v>
      </c>
    </row>
    <row r="627" spans="4:4" ht="17.649999999999999" x14ac:dyDescent="0.5">
      <c r="D627" s="3" t="s">
        <v>73</v>
      </c>
    </row>
    <row r="628" spans="4:4" ht="17.649999999999999" x14ac:dyDescent="0.5">
      <c r="D628" s="3" t="s">
        <v>66</v>
      </c>
    </row>
    <row r="629" spans="4:4" ht="17.649999999999999" x14ac:dyDescent="0.5">
      <c r="D629" s="3" t="s">
        <v>122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84</v>
      </c>
    </row>
    <row r="632" spans="4:4" ht="17.649999999999999" x14ac:dyDescent="0.5">
      <c r="D632" s="3" t="s">
        <v>68</v>
      </c>
    </row>
    <row r="633" spans="4:4" ht="17.649999999999999" x14ac:dyDescent="0.5">
      <c r="D633" s="3" t="s">
        <v>98</v>
      </c>
    </row>
    <row r="634" spans="4:4" ht="17.649999999999999" x14ac:dyDescent="0.5">
      <c r="D634" s="3" t="s">
        <v>68</v>
      </c>
    </row>
    <row r="635" spans="4:4" ht="17.649999999999999" x14ac:dyDescent="0.5">
      <c r="D635" s="3" t="s">
        <v>62</v>
      </c>
    </row>
    <row r="636" spans="4:4" ht="17.649999999999999" x14ac:dyDescent="0.5">
      <c r="D636" s="3" t="s">
        <v>66</v>
      </c>
    </row>
    <row r="637" spans="4:4" ht="17.649999999999999" x14ac:dyDescent="0.5">
      <c r="D637" s="3" t="s">
        <v>96</v>
      </c>
    </row>
    <row r="638" spans="4:4" ht="17.649999999999999" x14ac:dyDescent="0.5">
      <c r="D638" s="3" t="s">
        <v>55</v>
      </c>
    </row>
    <row r="639" spans="4:4" ht="17.649999999999999" x14ac:dyDescent="0.5">
      <c r="D639" s="3" t="s">
        <v>90</v>
      </c>
    </row>
    <row r="640" spans="4:4" ht="17.649999999999999" x14ac:dyDescent="0.5">
      <c r="D640" s="3" t="s">
        <v>125</v>
      </c>
    </row>
    <row r="641" spans="4:4" ht="17.649999999999999" x14ac:dyDescent="0.5">
      <c r="D641" s="3" t="s">
        <v>52</v>
      </c>
    </row>
    <row r="642" spans="4:4" ht="17.649999999999999" x14ac:dyDescent="0.5">
      <c r="D642" s="3" t="s">
        <v>92</v>
      </c>
    </row>
    <row r="643" spans="4:4" ht="17.649999999999999" x14ac:dyDescent="0.5">
      <c r="D643" s="3" t="s">
        <v>64</v>
      </c>
    </row>
    <row r="644" spans="4:4" ht="17.649999999999999" x14ac:dyDescent="0.5">
      <c r="D644" s="3" t="s">
        <v>54</v>
      </c>
    </row>
    <row r="645" spans="4:4" ht="17.649999999999999" x14ac:dyDescent="0.5">
      <c r="D645" s="3" t="s">
        <v>78</v>
      </c>
    </row>
    <row r="646" spans="4:4" ht="17.649999999999999" x14ac:dyDescent="0.5">
      <c r="D646" s="3" t="s">
        <v>81</v>
      </c>
    </row>
    <row r="647" spans="4:4" ht="17.649999999999999" x14ac:dyDescent="0.5">
      <c r="D647" s="3" t="s">
        <v>78</v>
      </c>
    </row>
    <row r="648" spans="4:4" ht="17.649999999999999" x14ac:dyDescent="0.5">
      <c r="D648" s="3" t="s">
        <v>81</v>
      </c>
    </row>
    <row r="649" spans="4:4" ht="17.649999999999999" x14ac:dyDescent="0.5">
      <c r="D649" s="3" t="s">
        <v>61</v>
      </c>
    </row>
    <row r="650" spans="4:4" ht="17.649999999999999" x14ac:dyDescent="0.5">
      <c r="D650" s="3" t="s">
        <v>59</v>
      </c>
    </row>
    <row r="651" spans="4:4" ht="17.649999999999999" x14ac:dyDescent="0.5">
      <c r="D651" s="3" t="s">
        <v>101</v>
      </c>
    </row>
    <row r="652" spans="4:4" ht="17.649999999999999" x14ac:dyDescent="0.5">
      <c r="D652" s="3" t="s">
        <v>115</v>
      </c>
    </row>
    <row r="653" spans="4:4" ht="17.649999999999999" x14ac:dyDescent="0.5">
      <c r="D653" s="3" t="s">
        <v>67</v>
      </c>
    </row>
    <row r="654" spans="4:4" ht="17.649999999999999" x14ac:dyDescent="0.5">
      <c r="D654" s="3" t="s">
        <v>80</v>
      </c>
    </row>
    <row r="655" spans="4:4" ht="17.649999999999999" x14ac:dyDescent="0.5">
      <c r="D655" s="3" t="s">
        <v>70</v>
      </c>
    </row>
    <row r="656" spans="4:4" ht="17.649999999999999" x14ac:dyDescent="0.5">
      <c r="D656" s="3" t="s">
        <v>78</v>
      </c>
    </row>
    <row r="657" spans="4:4" ht="17.649999999999999" x14ac:dyDescent="0.5">
      <c r="D657" s="3" t="s">
        <v>101</v>
      </c>
    </row>
    <row r="658" spans="4:4" ht="17.649999999999999" x14ac:dyDescent="0.5">
      <c r="D658" s="3" t="s">
        <v>62</v>
      </c>
    </row>
    <row r="659" spans="4:4" ht="17.649999999999999" x14ac:dyDescent="0.5">
      <c r="D659" s="3" t="s">
        <v>84</v>
      </c>
    </row>
    <row r="660" spans="4:4" ht="17.649999999999999" x14ac:dyDescent="0.5">
      <c r="D660" s="3" t="s">
        <v>131</v>
      </c>
    </row>
    <row r="661" spans="4:4" ht="17.649999999999999" x14ac:dyDescent="0.5">
      <c r="D661" s="3" t="s">
        <v>63</v>
      </c>
    </row>
    <row r="662" spans="4:4" ht="17.649999999999999" x14ac:dyDescent="0.5">
      <c r="D662" s="3" t="s">
        <v>63</v>
      </c>
    </row>
    <row r="663" spans="4:4" ht="17.649999999999999" x14ac:dyDescent="0.5">
      <c r="D663" s="3" t="s">
        <v>55</v>
      </c>
    </row>
    <row r="664" spans="4:4" ht="17.649999999999999" x14ac:dyDescent="0.5">
      <c r="D664" s="3" t="s">
        <v>120</v>
      </c>
    </row>
    <row r="665" spans="4:4" ht="17.649999999999999" x14ac:dyDescent="0.5">
      <c r="D665" s="3" t="s">
        <v>64</v>
      </c>
    </row>
    <row r="666" spans="4:4" ht="17.649999999999999" x14ac:dyDescent="0.5">
      <c r="D666" s="3" t="s">
        <v>103</v>
      </c>
    </row>
    <row r="667" spans="4:4" ht="17.649999999999999" x14ac:dyDescent="0.5">
      <c r="D667" s="3" t="s">
        <v>90</v>
      </c>
    </row>
    <row r="668" spans="4:4" ht="17.649999999999999" x14ac:dyDescent="0.5">
      <c r="D668" s="3" t="s">
        <v>136</v>
      </c>
    </row>
    <row r="669" spans="4:4" ht="17.649999999999999" x14ac:dyDescent="0.5">
      <c r="D669" s="3" t="s">
        <v>90</v>
      </c>
    </row>
    <row r="670" spans="4:4" ht="17.649999999999999" x14ac:dyDescent="0.5">
      <c r="D670" s="3" t="s">
        <v>123</v>
      </c>
    </row>
    <row r="671" spans="4:4" ht="17.649999999999999" x14ac:dyDescent="0.5">
      <c r="D671" s="3" t="s">
        <v>54</v>
      </c>
    </row>
    <row r="672" spans="4:4" ht="17.649999999999999" x14ac:dyDescent="0.5">
      <c r="D672" s="3" t="s">
        <v>88</v>
      </c>
    </row>
    <row r="673" spans="4:4" ht="17.649999999999999" x14ac:dyDescent="0.5">
      <c r="D673" s="3" t="s">
        <v>76</v>
      </c>
    </row>
    <row r="674" spans="4:4" ht="17.649999999999999" x14ac:dyDescent="0.5">
      <c r="D674" s="3" t="s">
        <v>87</v>
      </c>
    </row>
    <row r="675" spans="4:4" ht="17.649999999999999" x14ac:dyDescent="0.5">
      <c r="D675" s="3" t="s">
        <v>41</v>
      </c>
    </row>
    <row r="676" spans="4:4" ht="17.649999999999999" x14ac:dyDescent="0.5">
      <c r="D676" s="3" t="s">
        <v>124</v>
      </c>
    </row>
    <row r="677" spans="4:4" ht="17.649999999999999" x14ac:dyDescent="0.5">
      <c r="D677" s="3" t="s">
        <v>114</v>
      </c>
    </row>
    <row r="678" spans="4:4" ht="17.649999999999999" x14ac:dyDescent="0.5">
      <c r="D678" s="3" t="s">
        <v>63</v>
      </c>
    </row>
    <row r="679" spans="4:4" ht="17.649999999999999" x14ac:dyDescent="0.5">
      <c r="D679" s="3" t="s">
        <v>69</v>
      </c>
    </row>
    <row r="680" spans="4:4" ht="17.649999999999999" x14ac:dyDescent="0.5">
      <c r="D680" s="3" t="s">
        <v>81</v>
      </c>
    </row>
    <row r="681" spans="4:4" ht="17.649999999999999" x14ac:dyDescent="0.5">
      <c r="D681" s="3" t="s">
        <v>44</v>
      </c>
    </row>
    <row r="682" spans="4:4" ht="17.649999999999999" x14ac:dyDescent="0.5">
      <c r="D682" s="3" t="s">
        <v>53</v>
      </c>
    </row>
    <row r="683" spans="4:4" ht="17.649999999999999" x14ac:dyDescent="0.5">
      <c r="D683" s="3" t="s">
        <v>111</v>
      </c>
    </row>
    <row r="684" spans="4:4" ht="17.649999999999999" x14ac:dyDescent="0.5">
      <c r="D684" s="3" t="s">
        <v>59</v>
      </c>
    </row>
    <row r="685" spans="4:4" ht="17.649999999999999" x14ac:dyDescent="0.5">
      <c r="D685" s="3" t="s">
        <v>67</v>
      </c>
    </row>
    <row r="686" spans="4:4" ht="17.649999999999999" x14ac:dyDescent="0.5">
      <c r="D686" s="3" t="s">
        <v>90</v>
      </c>
    </row>
    <row r="687" spans="4:4" ht="17.649999999999999" x14ac:dyDescent="0.5">
      <c r="D687" s="3" t="s">
        <v>81</v>
      </c>
    </row>
    <row r="688" spans="4:4" ht="17.649999999999999" x14ac:dyDescent="0.5">
      <c r="D688" s="3" t="s">
        <v>85</v>
      </c>
    </row>
    <row r="689" spans="4:4" ht="17.649999999999999" x14ac:dyDescent="0.5">
      <c r="D689" s="3" t="s">
        <v>41</v>
      </c>
    </row>
    <row r="690" spans="4:4" ht="17.649999999999999" x14ac:dyDescent="0.5">
      <c r="D690" s="3" t="s">
        <v>51</v>
      </c>
    </row>
    <row r="691" spans="4:4" ht="17.649999999999999" x14ac:dyDescent="0.5">
      <c r="D691" s="3" t="s">
        <v>54</v>
      </c>
    </row>
    <row r="692" spans="4:4" ht="17.649999999999999" x14ac:dyDescent="0.5">
      <c r="D692" s="3" t="s">
        <v>56</v>
      </c>
    </row>
    <row r="693" spans="4:4" ht="17.649999999999999" x14ac:dyDescent="0.5">
      <c r="D693" s="3" t="s">
        <v>61</v>
      </c>
    </row>
    <row r="694" spans="4:4" ht="17.649999999999999" x14ac:dyDescent="0.5">
      <c r="D694" s="3" t="s">
        <v>126</v>
      </c>
    </row>
    <row r="695" spans="4:4" ht="17.649999999999999" x14ac:dyDescent="0.5">
      <c r="D695" s="3" t="s">
        <v>85</v>
      </c>
    </row>
    <row r="696" spans="4:4" ht="17.649999999999999" x14ac:dyDescent="0.5">
      <c r="D696" s="3" t="s">
        <v>82</v>
      </c>
    </row>
    <row r="697" spans="4:4" ht="17.649999999999999" x14ac:dyDescent="0.5">
      <c r="D697" s="3" t="s">
        <v>101</v>
      </c>
    </row>
    <row r="698" spans="4:4" ht="17.649999999999999" x14ac:dyDescent="0.5">
      <c r="D698" s="3" t="s">
        <v>54</v>
      </c>
    </row>
    <row r="699" spans="4:4" ht="17.649999999999999" x14ac:dyDescent="0.5">
      <c r="D699" s="3" t="s">
        <v>110</v>
      </c>
    </row>
    <row r="700" spans="4:4" ht="17.649999999999999" x14ac:dyDescent="0.5">
      <c r="D700" s="3" t="s">
        <v>44</v>
      </c>
    </row>
    <row r="701" spans="4:4" ht="17.649999999999999" x14ac:dyDescent="0.5">
      <c r="D701" s="3" t="s">
        <v>57</v>
      </c>
    </row>
    <row r="702" spans="4:4" ht="17.649999999999999" x14ac:dyDescent="0.5">
      <c r="D702" s="3" t="s">
        <v>85</v>
      </c>
    </row>
    <row r="703" spans="4:4" ht="17.649999999999999" x14ac:dyDescent="0.5">
      <c r="D703" s="3" t="s">
        <v>117</v>
      </c>
    </row>
    <row r="704" spans="4:4" ht="17.649999999999999" x14ac:dyDescent="0.5">
      <c r="D704" s="3" t="s">
        <v>68</v>
      </c>
    </row>
    <row r="705" spans="4:4" ht="17.649999999999999" x14ac:dyDescent="0.5">
      <c r="D705" s="3" t="s">
        <v>63</v>
      </c>
    </row>
    <row r="706" spans="4:4" ht="17.649999999999999" x14ac:dyDescent="0.5">
      <c r="D706" s="3" t="s">
        <v>75</v>
      </c>
    </row>
    <row r="707" spans="4:4" ht="17.649999999999999" x14ac:dyDescent="0.5">
      <c r="D707" s="3" t="s">
        <v>69</v>
      </c>
    </row>
    <row r="708" spans="4:4" ht="17.649999999999999" x14ac:dyDescent="0.5">
      <c r="D708" s="3" t="s">
        <v>65</v>
      </c>
    </row>
    <row r="709" spans="4:4" ht="17.649999999999999" x14ac:dyDescent="0.5">
      <c r="D709" s="3" t="s">
        <v>84</v>
      </c>
    </row>
    <row r="710" spans="4:4" ht="17.649999999999999" x14ac:dyDescent="0.5">
      <c r="D710" s="3" t="s">
        <v>55</v>
      </c>
    </row>
    <row r="711" spans="4:4" ht="17.649999999999999" x14ac:dyDescent="0.5">
      <c r="D711" s="3" t="s">
        <v>73</v>
      </c>
    </row>
    <row r="712" spans="4:4" ht="17.649999999999999" x14ac:dyDescent="0.5">
      <c r="D712" s="3" t="s">
        <v>111</v>
      </c>
    </row>
    <row r="713" spans="4:4" ht="17.649999999999999" x14ac:dyDescent="0.5">
      <c r="D713" s="3" t="s">
        <v>129</v>
      </c>
    </row>
    <row r="714" spans="4:4" ht="17.649999999999999" x14ac:dyDescent="0.5">
      <c r="D714" s="3" t="s">
        <v>96</v>
      </c>
    </row>
    <row r="715" spans="4:4" ht="17.649999999999999" x14ac:dyDescent="0.5">
      <c r="D715" s="3" t="s">
        <v>78</v>
      </c>
    </row>
    <row r="716" spans="4:4" ht="17.649999999999999" x14ac:dyDescent="0.5">
      <c r="D716" s="3" t="s">
        <v>85</v>
      </c>
    </row>
    <row r="717" spans="4:4" ht="17.649999999999999" x14ac:dyDescent="0.5">
      <c r="D717" s="3" t="s">
        <v>52</v>
      </c>
    </row>
    <row r="718" spans="4:4" ht="17.649999999999999" x14ac:dyDescent="0.5">
      <c r="D718" s="3" t="s">
        <v>78</v>
      </c>
    </row>
    <row r="719" spans="4:4" ht="17.649999999999999" x14ac:dyDescent="0.5">
      <c r="D719" s="3" t="s">
        <v>42</v>
      </c>
    </row>
    <row r="720" spans="4:4" ht="17.649999999999999" x14ac:dyDescent="0.5">
      <c r="D720" s="3" t="s">
        <v>79</v>
      </c>
    </row>
    <row r="721" spans="4:4" ht="17.649999999999999" x14ac:dyDescent="0.5">
      <c r="D721" s="3" t="s">
        <v>44</v>
      </c>
    </row>
    <row r="722" spans="4:4" ht="17.649999999999999" x14ac:dyDescent="0.5">
      <c r="D722" s="3" t="s">
        <v>68</v>
      </c>
    </row>
    <row r="723" spans="4:4" ht="17.649999999999999" x14ac:dyDescent="0.5">
      <c r="D723" s="3" t="s">
        <v>49</v>
      </c>
    </row>
    <row r="724" spans="4:4" ht="17.649999999999999" x14ac:dyDescent="0.5">
      <c r="D724" s="3" t="s">
        <v>63</v>
      </c>
    </row>
    <row r="725" spans="4:4" ht="17.649999999999999" x14ac:dyDescent="0.5">
      <c r="D725" s="3" t="s">
        <v>75</v>
      </c>
    </row>
    <row r="726" spans="4:4" ht="17.649999999999999" x14ac:dyDescent="0.5">
      <c r="D726" s="3" t="s">
        <v>57</v>
      </c>
    </row>
    <row r="727" spans="4:4" ht="17.649999999999999" x14ac:dyDescent="0.5">
      <c r="D727" s="3" t="s">
        <v>78</v>
      </c>
    </row>
    <row r="728" spans="4:4" ht="17.649999999999999" x14ac:dyDescent="0.5">
      <c r="D728" s="3" t="s">
        <v>57</v>
      </c>
    </row>
    <row r="729" spans="4:4" ht="17.649999999999999" x14ac:dyDescent="0.5">
      <c r="D729" s="3" t="s">
        <v>56</v>
      </c>
    </row>
    <row r="730" spans="4:4" ht="17.649999999999999" x14ac:dyDescent="0.5">
      <c r="D730" s="3" t="s">
        <v>82</v>
      </c>
    </row>
    <row r="731" spans="4:4" ht="17.649999999999999" x14ac:dyDescent="0.5">
      <c r="D731" s="3" t="s">
        <v>100</v>
      </c>
    </row>
    <row r="732" spans="4:4" ht="17.649999999999999" x14ac:dyDescent="0.5">
      <c r="D732" s="3" t="s">
        <v>87</v>
      </c>
    </row>
    <row r="733" spans="4:4" ht="17.649999999999999" x14ac:dyDescent="0.5">
      <c r="D733" s="3" t="s">
        <v>116</v>
      </c>
    </row>
    <row r="734" spans="4:4" ht="17.649999999999999" x14ac:dyDescent="0.5">
      <c r="D734" s="3" t="s">
        <v>115</v>
      </c>
    </row>
    <row r="735" spans="4:4" ht="17.649999999999999" x14ac:dyDescent="0.5">
      <c r="D735" s="3" t="s">
        <v>64</v>
      </c>
    </row>
    <row r="736" spans="4:4" ht="17.649999999999999" x14ac:dyDescent="0.5">
      <c r="D736" s="3" t="s">
        <v>90</v>
      </c>
    </row>
    <row r="737" spans="4:4" ht="17.649999999999999" x14ac:dyDescent="0.5">
      <c r="D737" s="3" t="s">
        <v>75</v>
      </c>
    </row>
    <row r="738" spans="4:4" ht="17.649999999999999" x14ac:dyDescent="0.5">
      <c r="D738" s="3" t="s">
        <v>87</v>
      </c>
    </row>
    <row r="739" spans="4:4" ht="17.649999999999999" x14ac:dyDescent="0.5">
      <c r="D739" s="3" t="s">
        <v>128</v>
      </c>
    </row>
    <row r="740" spans="4:4" ht="17.649999999999999" x14ac:dyDescent="0.5">
      <c r="D740" s="3" t="s">
        <v>81</v>
      </c>
    </row>
    <row r="741" spans="4:4" ht="17.649999999999999" x14ac:dyDescent="0.5">
      <c r="D741" s="3" t="s">
        <v>51</v>
      </c>
    </row>
    <row r="742" spans="4:4" ht="17.649999999999999" x14ac:dyDescent="0.5">
      <c r="D742" s="3" t="s">
        <v>65</v>
      </c>
    </row>
    <row r="743" spans="4:4" ht="17.649999999999999" x14ac:dyDescent="0.5">
      <c r="D743" s="3" t="s">
        <v>61</v>
      </c>
    </row>
    <row r="744" spans="4:4" ht="17.649999999999999" x14ac:dyDescent="0.5">
      <c r="D744" s="3" t="s">
        <v>59</v>
      </c>
    </row>
    <row r="745" spans="4:4" ht="17.649999999999999" x14ac:dyDescent="0.5">
      <c r="D745" s="3" t="s">
        <v>80</v>
      </c>
    </row>
    <row r="746" spans="4:4" ht="17.649999999999999" x14ac:dyDescent="0.5">
      <c r="D746" s="3" t="s">
        <v>64</v>
      </c>
    </row>
    <row r="747" spans="4:4" ht="17.649999999999999" x14ac:dyDescent="0.5">
      <c r="D747" s="3" t="s">
        <v>98</v>
      </c>
    </row>
    <row r="748" spans="4:4" ht="17.649999999999999" x14ac:dyDescent="0.5">
      <c r="D748" s="3" t="s">
        <v>83</v>
      </c>
    </row>
    <row r="749" spans="4:4" ht="17.649999999999999" x14ac:dyDescent="0.5">
      <c r="D749" s="3" t="s">
        <v>113</v>
      </c>
    </row>
    <row r="750" spans="4:4" ht="17.649999999999999" x14ac:dyDescent="0.5">
      <c r="D750" s="3" t="s">
        <v>63</v>
      </c>
    </row>
    <row r="751" spans="4:4" ht="17.649999999999999" x14ac:dyDescent="0.5">
      <c r="D751" s="3" t="s">
        <v>50</v>
      </c>
    </row>
    <row r="752" spans="4:4" ht="17.649999999999999" x14ac:dyDescent="0.5">
      <c r="D752" s="3" t="s">
        <v>66</v>
      </c>
    </row>
    <row r="753" spans="4:4" ht="17.649999999999999" x14ac:dyDescent="0.5">
      <c r="D753" s="3" t="s">
        <v>91</v>
      </c>
    </row>
    <row r="754" spans="4:4" ht="17.649999999999999" x14ac:dyDescent="0.5">
      <c r="D754" s="3" t="s">
        <v>101</v>
      </c>
    </row>
    <row r="755" spans="4:4" ht="17.649999999999999" x14ac:dyDescent="0.5">
      <c r="D755" s="3" t="s">
        <v>74</v>
      </c>
    </row>
    <row r="756" spans="4:4" ht="17.649999999999999" x14ac:dyDescent="0.5">
      <c r="D756" s="3" t="s">
        <v>118</v>
      </c>
    </row>
    <row r="757" spans="4:4" ht="17.649999999999999" x14ac:dyDescent="0.5">
      <c r="D757" s="3" t="s">
        <v>104</v>
      </c>
    </row>
    <row r="758" spans="4:4" ht="17.649999999999999" x14ac:dyDescent="0.5">
      <c r="D758" s="3" t="s">
        <v>115</v>
      </c>
    </row>
    <row r="759" spans="4:4" ht="17.649999999999999" x14ac:dyDescent="0.5">
      <c r="D759" s="3" t="s">
        <v>49</v>
      </c>
    </row>
    <row r="760" spans="4:4" ht="17.649999999999999" x14ac:dyDescent="0.5">
      <c r="D760" s="3" t="s">
        <v>50</v>
      </c>
    </row>
    <row r="761" spans="4:4" ht="17.649999999999999" x14ac:dyDescent="0.5">
      <c r="D761" s="3" t="s">
        <v>74</v>
      </c>
    </row>
    <row r="762" spans="4:4" ht="17.649999999999999" x14ac:dyDescent="0.5">
      <c r="D762" s="3" t="s">
        <v>48</v>
      </c>
    </row>
    <row r="763" spans="4:4" ht="17.649999999999999" x14ac:dyDescent="0.5">
      <c r="D763" s="3" t="s">
        <v>49</v>
      </c>
    </row>
    <row r="764" spans="4:4" ht="17.649999999999999" x14ac:dyDescent="0.5">
      <c r="D764" s="3" t="s">
        <v>75</v>
      </c>
    </row>
    <row r="765" spans="4:4" ht="17.649999999999999" x14ac:dyDescent="0.5">
      <c r="D765" s="3" t="s">
        <v>104</v>
      </c>
    </row>
    <row r="766" spans="4:4" ht="17.649999999999999" x14ac:dyDescent="0.5">
      <c r="D766" s="3" t="s">
        <v>65</v>
      </c>
    </row>
    <row r="767" spans="4:4" ht="17.649999999999999" x14ac:dyDescent="0.5">
      <c r="D767" s="3" t="s">
        <v>136</v>
      </c>
    </row>
    <row r="768" spans="4:4" ht="17.649999999999999" x14ac:dyDescent="0.5">
      <c r="D768" s="3" t="s">
        <v>101</v>
      </c>
    </row>
    <row r="769" spans="4:4" ht="17.649999999999999" x14ac:dyDescent="0.5">
      <c r="D769" s="3" t="s">
        <v>69</v>
      </c>
    </row>
    <row r="770" spans="4:4" ht="17.649999999999999" x14ac:dyDescent="0.5">
      <c r="D770" s="3" t="s">
        <v>55</v>
      </c>
    </row>
    <row r="771" spans="4:4" ht="17.649999999999999" x14ac:dyDescent="0.5">
      <c r="D771" s="3" t="s">
        <v>74</v>
      </c>
    </row>
    <row r="772" spans="4:4" ht="17.649999999999999" x14ac:dyDescent="0.5">
      <c r="D772" s="3" t="s">
        <v>117</v>
      </c>
    </row>
    <row r="773" spans="4:4" ht="17.649999999999999" x14ac:dyDescent="0.5">
      <c r="D773" s="3" t="s">
        <v>71</v>
      </c>
    </row>
    <row r="774" spans="4:4" ht="17.649999999999999" x14ac:dyDescent="0.5">
      <c r="D774" s="3" t="s">
        <v>48</v>
      </c>
    </row>
    <row r="775" spans="4:4" ht="17.649999999999999" x14ac:dyDescent="0.5">
      <c r="D775" s="3" t="s">
        <v>73</v>
      </c>
    </row>
    <row r="776" spans="4:4" ht="17.649999999999999" x14ac:dyDescent="0.5">
      <c r="D776" s="3" t="s">
        <v>71</v>
      </c>
    </row>
    <row r="777" spans="4:4" ht="17.649999999999999" x14ac:dyDescent="0.5">
      <c r="D777" s="3" t="s">
        <v>80</v>
      </c>
    </row>
    <row r="778" spans="4:4" ht="17.649999999999999" x14ac:dyDescent="0.5">
      <c r="D778" s="3" t="s">
        <v>49</v>
      </c>
    </row>
    <row r="779" spans="4:4" ht="17.649999999999999" x14ac:dyDescent="0.5">
      <c r="D779" s="3" t="s">
        <v>74</v>
      </c>
    </row>
    <row r="780" spans="4:4" ht="17.649999999999999" x14ac:dyDescent="0.5">
      <c r="D780" s="3" t="s">
        <v>130</v>
      </c>
    </row>
    <row r="781" spans="4:4" ht="17.649999999999999" x14ac:dyDescent="0.5">
      <c r="D781" s="3" t="s">
        <v>73</v>
      </c>
    </row>
    <row r="782" spans="4:4" ht="17.649999999999999" x14ac:dyDescent="0.5">
      <c r="D782" s="3" t="s">
        <v>56</v>
      </c>
    </row>
    <row r="783" spans="4:4" ht="17.649999999999999" x14ac:dyDescent="0.5">
      <c r="D783" s="3" t="s">
        <v>44</v>
      </c>
    </row>
    <row r="784" spans="4:4" ht="17.649999999999999" x14ac:dyDescent="0.5">
      <c r="D784" s="3" t="s">
        <v>83</v>
      </c>
    </row>
    <row r="785" spans="4:4" ht="17.649999999999999" x14ac:dyDescent="0.5">
      <c r="D785" s="3" t="s">
        <v>54</v>
      </c>
    </row>
    <row r="786" spans="4:4" ht="17.649999999999999" x14ac:dyDescent="0.5">
      <c r="D786" s="3" t="s">
        <v>117</v>
      </c>
    </row>
    <row r="787" spans="4:4" ht="17.649999999999999" x14ac:dyDescent="0.5">
      <c r="D787" s="3" t="s">
        <v>95</v>
      </c>
    </row>
    <row r="788" spans="4:4" ht="17.649999999999999" x14ac:dyDescent="0.5">
      <c r="D788" s="3" t="s">
        <v>65</v>
      </c>
    </row>
    <row r="789" spans="4:4" ht="17.649999999999999" x14ac:dyDescent="0.5">
      <c r="D789" s="3" t="s">
        <v>73</v>
      </c>
    </row>
    <row r="790" spans="4:4" ht="17.649999999999999" x14ac:dyDescent="0.5">
      <c r="D790" s="3" t="s">
        <v>54</v>
      </c>
    </row>
    <row r="791" spans="4:4" ht="17.649999999999999" x14ac:dyDescent="0.5">
      <c r="D791" s="3" t="s">
        <v>43</v>
      </c>
    </row>
    <row r="792" spans="4:4" ht="17.649999999999999" x14ac:dyDescent="0.5">
      <c r="D792" s="3" t="s">
        <v>53</v>
      </c>
    </row>
    <row r="793" spans="4:4" ht="17.649999999999999" x14ac:dyDescent="0.5">
      <c r="D793" s="3" t="s">
        <v>126</v>
      </c>
    </row>
    <row r="794" spans="4:4" ht="17.649999999999999" x14ac:dyDescent="0.5">
      <c r="D794" s="3" t="s">
        <v>68</v>
      </c>
    </row>
    <row r="795" spans="4:4" ht="17.649999999999999" x14ac:dyDescent="0.5">
      <c r="D795" s="3" t="s">
        <v>46</v>
      </c>
    </row>
    <row r="796" spans="4:4" ht="17.649999999999999" x14ac:dyDescent="0.5">
      <c r="D796" s="3" t="s">
        <v>47</v>
      </c>
    </row>
    <row r="797" spans="4:4" ht="17.649999999999999" x14ac:dyDescent="0.5">
      <c r="D797" s="3" t="s">
        <v>74</v>
      </c>
    </row>
    <row r="798" spans="4:4" ht="17.649999999999999" x14ac:dyDescent="0.5">
      <c r="D798" s="3" t="s">
        <v>87</v>
      </c>
    </row>
    <row r="799" spans="4:4" ht="17.649999999999999" x14ac:dyDescent="0.5">
      <c r="D799" s="3" t="s">
        <v>55</v>
      </c>
    </row>
    <row r="800" spans="4:4" ht="17.649999999999999" x14ac:dyDescent="0.5">
      <c r="D800" s="3" t="s">
        <v>81</v>
      </c>
    </row>
    <row r="801" spans="4:4" ht="17.649999999999999" x14ac:dyDescent="0.5">
      <c r="D801" s="3" t="s">
        <v>75</v>
      </c>
    </row>
    <row r="802" spans="4:4" ht="17.649999999999999" x14ac:dyDescent="0.5">
      <c r="D802" s="3" t="s">
        <v>102</v>
      </c>
    </row>
    <row r="803" spans="4:4" ht="17.649999999999999" x14ac:dyDescent="0.5">
      <c r="D803" s="3" t="s">
        <v>94</v>
      </c>
    </row>
    <row r="804" spans="4:4" ht="17.649999999999999" x14ac:dyDescent="0.5">
      <c r="D804" s="3" t="s">
        <v>80</v>
      </c>
    </row>
    <row r="805" spans="4:4" ht="17.649999999999999" x14ac:dyDescent="0.5">
      <c r="D805" s="3" t="s">
        <v>59</v>
      </c>
    </row>
    <row r="806" spans="4:4" ht="17.649999999999999" x14ac:dyDescent="0.5">
      <c r="D806" s="3" t="s">
        <v>134</v>
      </c>
    </row>
    <row r="807" spans="4:4" ht="17.649999999999999" x14ac:dyDescent="0.5">
      <c r="D807" s="3" t="s">
        <v>73</v>
      </c>
    </row>
    <row r="808" spans="4:4" ht="17.649999999999999" x14ac:dyDescent="0.5">
      <c r="D808" s="3" t="s">
        <v>61</v>
      </c>
    </row>
    <row r="809" spans="4:4" ht="17.649999999999999" x14ac:dyDescent="0.5">
      <c r="D809" s="3" t="s">
        <v>44</v>
      </c>
    </row>
    <row r="810" spans="4:4" ht="17.649999999999999" x14ac:dyDescent="0.5">
      <c r="D810" s="3" t="s">
        <v>111</v>
      </c>
    </row>
    <row r="811" spans="4:4" ht="17.649999999999999" x14ac:dyDescent="0.5">
      <c r="D811" s="3" t="s">
        <v>71</v>
      </c>
    </row>
    <row r="812" spans="4:4" ht="17.649999999999999" x14ac:dyDescent="0.5">
      <c r="D812" s="3" t="s">
        <v>92</v>
      </c>
    </row>
    <row r="813" spans="4:4" ht="17.649999999999999" x14ac:dyDescent="0.5">
      <c r="D813" s="3" t="s">
        <v>52</v>
      </c>
    </row>
    <row r="814" spans="4:4" ht="17.649999999999999" x14ac:dyDescent="0.5">
      <c r="D814" s="3" t="s">
        <v>74</v>
      </c>
    </row>
    <row r="815" spans="4:4" ht="17.649999999999999" x14ac:dyDescent="0.5">
      <c r="D815" s="3" t="s">
        <v>90</v>
      </c>
    </row>
    <row r="816" spans="4:4" ht="17.649999999999999" x14ac:dyDescent="0.5">
      <c r="D816" s="3" t="s">
        <v>112</v>
      </c>
    </row>
    <row r="817" spans="4:4" ht="17.649999999999999" x14ac:dyDescent="0.5">
      <c r="D817" s="3" t="s">
        <v>49</v>
      </c>
    </row>
    <row r="818" spans="4:4" ht="17.649999999999999" x14ac:dyDescent="0.5">
      <c r="D818" s="3" t="s">
        <v>59</v>
      </c>
    </row>
    <row r="819" spans="4:4" ht="17.649999999999999" x14ac:dyDescent="0.5">
      <c r="D819" s="3" t="s">
        <v>87</v>
      </c>
    </row>
    <row r="820" spans="4:4" ht="17.649999999999999" x14ac:dyDescent="0.5">
      <c r="D820" s="3" t="s">
        <v>67</v>
      </c>
    </row>
    <row r="821" spans="4:4" ht="17.649999999999999" x14ac:dyDescent="0.5">
      <c r="D821" s="3" t="s">
        <v>90</v>
      </c>
    </row>
    <row r="822" spans="4:4" ht="17.649999999999999" x14ac:dyDescent="0.5">
      <c r="D822" s="3" t="s">
        <v>126</v>
      </c>
    </row>
    <row r="823" spans="4:4" ht="17.649999999999999" x14ac:dyDescent="0.5">
      <c r="D823" s="3" t="s">
        <v>112</v>
      </c>
    </row>
    <row r="824" spans="4:4" ht="17.649999999999999" x14ac:dyDescent="0.5">
      <c r="D824" s="3" t="s">
        <v>46</v>
      </c>
    </row>
    <row r="825" spans="4:4" ht="17.649999999999999" x14ac:dyDescent="0.5">
      <c r="D825" s="3" t="s">
        <v>93</v>
      </c>
    </row>
    <row r="826" spans="4:4" ht="17.649999999999999" x14ac:dyDescent="0.5">
      <c r="D826" s="3" t="s">
        <v>41</v>
      </c>
    </row>
    <row r="827" spans="4:4" ht="17.649999999999999" x14ac:dyDescent="0.5">
      <c r="D827" s="3" t="s">
        <v>52</v>
      </c>
    </row>
    <row r="828" spans="4:4" ht="17.649999999999999" x14ac:dyDescent="0.5">
      <c r="D828" s="3" t="s">
        <v>85</v>
      </c>
    </row>
    <row r="829" spans="4:4" ht="17.649999999999999" x14ac:dyDescent="0.5">
      <c r="D829" s="3" t="s">
        <v>128</v>
      </c>
    </row>
    <row r="830" spans="4:4" ht="17.649999999999999" x14ac:dyDescent="0.5">
      <c r="D830" s="3" t="s">
        <v>101</v>
      </c>
    </row>
    <row r="831" spans="4:4" ht="17.649999999999999" x14ac:dyDescent="0.5">
      <c r="D831" s="3" t="s">
        <v>59</v>
      </c>
    </row>
    <row r="832" spans="4:4" ht="17.649999999999999" x14ac:dyDescent="0.5">
      <c r="D832" s="3" t="s">
        <v>91</v>
      </c>
    </row>
    <row r="833" spans="4:4" ht="17.649999999999999" x14ac:dyDescent="0.5">
      <c r="D833" s="3" t="s">
        <v>55</v>
      </c>
    </row>
    <row r="834" spans="4:4" ht="17.649999999999999" x14ac:dyDescent="0.5">
      <c r="D834" s="3" t="s">
        <v>87</v>
      </c>
    </row>
    <row r="835" spans="4:4" ht="17.649999999999999" x14ac:dyDescent="0.5">
      <c r="D835" s="3" t="s">
        <v>44</v>
      </c>
    </row>
    <row r="836" spans="4:4" ht="17.649999999999999" x14ac:dyDescent="0.5">
      <c r="D836" s="3" t="s">
        <v>133</v>
      </c>
    </row>
    <row r="837" spans="4:4" ht="17.649999999999999" x14ac:dyDescent="0.5">
      <c r="D837" s="3" t="s">
        <v>110</v>
      </c>
    </row>
    <row r="838" spans="4:4" ht="17.649999999999999" x14ac:dyDescent="0.5">
      <c r="D838" s="3" t="s">
        <v>112</v>
      </c>
    </row>
    <row r="839" spans="4:4" ht="17.649999999999999" x14ac:dyDescent="0.5">
      <c r="D839" s="3" t="s">
        <v>92</v>
      </c>
    </row>
    <row r="840" spans="4:4" ht="17.649999999999999" x14ac:dyDescent="0.5">
      <c r="D840" s="3" t="s">
        <v>119</v>
      </c>
    </row>
    <row r="841" spans="4:4" ht="17.649999999999999" x14ac:dyDescent="0.5">
      <c r="D841" s="3" t="s">
        <v>115</v>
      </c>
    </row>
    <row r="842" spans="4:4" ht="17.649999999999999" x14ac:dyDescent="0.5">
      <c r="D842" s="3" t="s">
        <v>42</v>
      </c>
    </row>
    <row r="843" spans="4:4" ht="17.649999999999999" x14ac:dyDescent="0.5">
      <c r="D843" s="3" t="s">
        <v>52</v>
      </c>
    </row>
    <row r="844" spans="4:4" ht="17.649999999999999" x14ac:dyDescent="0.5">
      <c r="D844" s="3" t="s">
        <v>65</v>
      </c>
    </row>
    <row r="845" spans="4:4" ht="17.649999999999999" x14ac:dyDescent="0.5">
      <c r="D845" s="3" t="s">
        <v>87</v>
      </c>
    </row>
    <row r="846" spans="4:4" ht="17.649999999999999" x14ac:dyDescent="0.5">
      <c r="D846" s="3" t="s">
        <v>75</v>
      </c>
    </row>
    <row r="847" spans="4:4" ht="17.649999999999999" x14ac:dyDescent="0.5">
      <c r="D847" s="3" t="s">
        <v>85</v>
      </c>
    </row>
    <row r="848" spans="4:4" ht="17.649999999999999" x14ac:dyDescent="0.5">
      <c r="D848" s="3" t="s">
        <v>128</v>
      </c>
    </row>
    <row r="849" spans="4:4" ht="17.649999999999999" x14ac:dyDescent="0.5">
      <c r="D849" s="3" t="s">
        <v>58</v>
      </c>
    </row>
    <row r="850" spans="4:4" ht="17.649999999999999" x14ac:dyDescent="0.5">
      <c r="D850" s="3" t="s">
        <v>77</v>
      </c>
    </row>
    <row r="851" spans="4:4" ht="17.649999999999999" x14ac:dyDescent="0.5">
      <c r="D851" s="3" t="s">
        <v>60</v>
      </c>
    </row>
    <row r="852" spans="4:4" ht="17.649999999999999" x14ac:dyDescent="0.5">
      <c r="D852" s="3" t="s">
        <v>69</v>
      </c>
    </row>
    <row r="853" spans="4:4" ht="17.649999999999999" x14ac:dyDescent="0.5">
      <c r="D853" s="3" t="s">
        <v>83</v>
      </c>
    </row>
    <row r="854" spans="4:4" ht="17.649999999999999" x14ac:dyDescent="0.5">
      <c r="D854" s="3" t="s">
        <v>84</v>
      </c>
    </row>
    <row r="855" spans="4:4" ht="17.649999999999999" x14ac:dyDescent="0.5">
      <c r="D855" s="3" t="s">
        <v>115</v>
      </c>
    </row>
    <row r="856" spans="4:4" ht="17.649999999999999" x14ac:dyDescent="0.5">
      <c r="D856" s="3" t="s">
        <v>59</v>
      </c>
    </row>
    <row r="857" spans="4:4" ht="17.649999999999999" x14ac:dyDescent="0.5">
      <c r="D857" s="3" t="s">
        <v>86</v>
      </c>
    </row>
    <row r="858" spans="4:4" ht="17.649999999999999" x14ac:dyDescent="0.5">
      <c r="D858" s="3" t="s">
        <v>75</v>
      </c>
    </row>
    <row r="859" spans="4:4" ht="17.649999999999999" x14ac:dyDescent="0.5">
      <c r="D859" s="3" t="s">
        <v>63</v>
      </c>
    </row>
    <row r="860" spans="4:4" ht="17.649999999999999" x14ac:dyDescent="0.5">
      <c r="D860" s="3" t="s">
        <v>41</v>
      </c>
    </row>
    <row r="861" spans="4:4" ht="17.649999999999999" x14ac:dyDescent="0.5">
      <c r="D861" s="3" t="s">
        <v>91</v>
      </c>
    </row>
    <row r="862" spans="4:4" ht="17.649999999999999" x14ac:dyDescent="0.5">
      <c r="D862" s="3" t="s">
        <v>103</v>
      </c>
    </row>
    <row r="863" spans="4:4" ht="17.649999999999999" x14ac:dyDescent="0.5">
      <c r="D863" s="3" t="s">
        <v>48</v>
      </c>
    </row>
    <row r="864" spans="4:4" ht="17.649999999999999" x14ac:dyDescent="0.5">
      <c r="D864" s="3" t="s">
        <v>96</v>
      </c>
    </row>
    <row r="865" spans="4:4" ht="17.649999999999999" x14ac:dyDescent="0.5">
      <c r="D865" s="3" t="s">
        <v>66</v>
      </c>
    </row>
    <row r="866" spans="4:4" ht="17.649999999999999" x14ac:dyDescent="0.5">
      <c r="D866" s="3" t="s">
        <v>50</v>
      </c>
    </row>
    <row r="867" spans="4:4" ht="17.649999999999999" x14ac:dyDescent="0.5">
      <c r="D867" s="3" t="s">
        <v>107</v>
      </c>
    </row>
    <row r="868" spans="4:4" ht="17.649999999999999" x14ac:dyDescent="0.5">
      <c r="D868" s="3" t="s">
        <v>57</v>
      </c>
    </row>
    <row r="869" spans="4:4" ht="17.649999999999999" x14ac:dyDescent="0.5">
      <c r="D869" s="3" t="s">
        <v>50</v>
      </c>
    </row>
    <row r="870" spans="4:4" ht="17.649999999999999" x14ac:dyDescent="0.5">
      <c r="D870" s="3" t="s">
        <v>74</v>
      </c>
    </row>
    <row r="871" spans="4:4" ht="17.649999999999999" x14ac:dyDescent="0.5">
      <c r="D871" s="3" t="s">
        <v>50</v>
      </c>
    </row>
    <row r="872" spans="4:4" ht="17.649999999999999" x14ac:dyDescent="0.5">
      <c r="D872" s="3" t="s">
        <v>107</v>
      </c>
    </row>
    <row r="873" spans="4:4" ht="17.649999999999999" x14ac:dyDescent="0.5">
      <c r="D873" s="3" t="s">
        <v>92</v>
      </c>
    </row>
    <row r="874" spans="4:4" ht="17.649999999999999" x14ac:dyDescent="0.5">
      <c r="D874" s="3" t="s">
        <v>80</v>
      </c>
    </row>
    <row r="875" spans="4:4" ht="17.649999999999999" x14ac:dyDescent="0.5">
      <c r="D875" s="3" t="s">
        <v>43</v>
      </c>
    </row>
    <row r="876" spans="4:4" ht="17.649999999999999" x14ac:dyDescent="0.5">
      <c r="D876" s="3" t="s">
        <v>135</v>
      </c>
    </row>
    <row r="877" spans="4:4" ht="17.649999999999999" x14ac:dyDescent="0.5">
      <c r="D877" s="3" t="s">
        <v>61</v>
      </c>
    </row>
    <row r="878" spans="4:4" ht="17.649999999999999" x14ac:dyDescent="0.5">
      <c r="D878" s="3" t="s">
        <v>47</v>
      </c>
    </row>
    <row r="879" spans="4:4" ht="17.649999999999999" x14ac:dyDescent="0.5">
      <c r="D879" s="3" t="s">
        <v>108</v>
      </c>
    </row>
    <row r="880" spans="4:4" ht="17.649999999999999" x14ac:dyDescent="0.5">
      <c r="D880" s="3" t="s">
        <v>84</v>
      </c>
    </row>
    <row r="881" spans="4:4" ht="17.649999999999999" x14ac:dyDescent="0.5">
      <c r="D881" s="3" t="s">
        <v>58</v>
      </c>
    </row>
    <row r="882" spans="4:4" ht="17.649999999999999" x14ac:dyDescent="0.5">
      <c r="D882" s="3" t="s">
        <v>115</v>
      </c>
    </row>
    <row r="883" spans="4:4" ht="17.649999999999999" x14ac:dyDescent="0.5">
      <c r="D883" s="3" t="s">
        <v>59</v>
      </c>
    </row>
    <row r="884" spans="4:4" ht="17.649999999999999" x14ac:dyDescent="0.5">
      <c r="D884" s="3" t="s">
        <v>85</v>
      </c>
    </row>
    <row r="885" spans="4:4" ht="17.649999999999999" x14ac:dyDescent="0.5">
      <c r="D885" s="3" t="s">
        <v>74</v>
      </c>
    </row>
    <row r="886" spans="4:4" ht="17.649999999999999" x14ac:dyDescent="0.5">
      <c r="D886" s="3" t="s">
        <v>102</v>
      </c>
    </row>
    <row r="887" spans="4:4" ht="17.649999999999999" x14ac:dyDescent="0.5">
      <c r="D887" s="3" t="s">
        <v>67</v>
      </c>
    </row>
    <row r="888" spans="4:4" ht="17.649999999999999" x14ac:dyDescent="0.5">
      <c r="D888" s="3" t="s">
        <v>80</v>
      </c>
    </row>
    <row r="889" spans="4:4" ht="17.649999999999999" x14ac:dyDescent="0.5">
      <c r="D889" s="3" t="s">
        <v>92</v>
      </c>
    </row>
    <row r="890" spans="4:4" ht="17.649999999999999" x14ac:dyDescent="0.5">
      <c r="D890" s="3" t="s">
        <v>73</v>
      </c>
    </row>
    <row r="891" spans="4:4" ht="17.649999999999999" x14ac:dyDescent="0.5">
      <c r="D891" s="3" t="s">
        <v>52</v>
      </c>
    </row>
    <row r="892" spans="4:4" ht="17.649999999999999" x14ac:dyDescent="0.5">
      <c r="D892" s="3" t="s">
        <v>55</v>
      </c>
    </row>
    <row r="893" spans="4:4" ht="17.649999999999999" x14ac:dyDescent="0.5">
      <c r="D893" s="3" t="s">
        <v>84</v>
      </c>
    </row>
    <row r="894" spans="4:4" ht="17.649999999999999" x14ac:dyDescent="0.5">
      <c r="D894" s="3" t="s">
        <v>48</v>
      </c>
    </row>
    <row r="895" spans="4:4" ht="17.649999999999999" x14ac:dyDescent="0.5">
      <c r="D895" s="3" t="s">
        <v>51</v>
      </c>
    </row>
    <row r="896" spans="4:4" ht="17.649999999999999" x14ac:dyDescent="0.5">
      <c r="D896" s="3" t="s">
        <v>95</v>
      </c>
    </row>
    <row r="897" spans="4:4" ht="17.649999999999999" x14ac:dyDescent="0.5">
      <c r="D897" s="3" t="s">
        <v>93</v>
      </c>
    </row>
    <row r="898" spans="4:4" ht="17.649999999999999" x14ac:dyDescent="0.5">
      <c r="D898" s="3" t="s">
        <v>75</v>
      </c>
    </row>
    <row r="899" spans="4:4" ht="17.649999999999999" x14ac:dyDescent="0.5">
      <c r="D899" s="3" t="s">
        <v>49</v>
      </c>
    </row>
    <row r="900" spans="4:4" ht="17.649999999999999" x14ac:dyDescent="0.5">
      <c r="D900" s="3" t="s">
        <v>106</v>
      </c>
    </row>
    <row r="901" spans="4:4" ht="17.649999999999999" x14ac:dyDescent="0.5">
      <c r="D901" s="3" t="s">
        <v>94</v>
      </c>
    </row>
    <row r="902" spans="4:4" ht="17.649999999999999" x14ac:dyDescent="0.5">
      <c r="D902" s="3" t="s">
        <v>63</v>
      </c>
    </row>
    <row r="903" spans="4:4" ht="17.649999999999999" x14ac:dyDescent="0.5">
      <c r="D903" s="3" t="s">
        <v>107</v>
      </c>
    </row>
    <row r="904" spans="4:4" ht="17.649999999999999" x14ac:dyDescent="0.5">
      <c r="D904" s="3" t="s">
        <v>48</v>
      </c>
    </row>
    <row r="905" spans="4:4" ht="17.649999999999999" x14ac:dyDescent="0.5">
      <c r="D905" s="3" t="s">
        <v>124</v>
      </c>
    </row>
    <row r="906" spans="4:4" ht="17.649999999999999" x14ac:dyDescent="0.5">
      <c r="D906" s="3" t="s">
        <v>67</v>
      </c>
    </row>
    <row r="907" spans="4:4" ht="17.649999999999999" x14ac:dyDescent="0.5">
      <c r="D907" s="3" t="s">
        <v>41</v>
      </c>
    </row>
    <row r="908" spans="4:4" ht="17.649999999999999" x14ac:dyDescent="0.5">
      <c r="D908" s="3" t="s">
        <v>71</v>
      </c>
    </row>
    <row r="909" spans="4:4" ht="17.649999999999999" x14ac:dyDescent="0.5">
      <c r="D909" s="3" t="s">
        <v>77</v>
      </c>
    </row>
    <row r="910" spans="4:4" ht="17.649999999999999" x14ac:dyDescent="0.5">
      <c r="D910" s="3" t="s">
        <v>68</v>
      </c>
    </row>
    <row r="911" spans="4:4" ht="17.649999999999999" x14ac:dyDescent="0.5">
      <c r="D911" s="3" t="s">
        <v>85</v>
      </c>
    </row>
    <row r="912" spans="4:4" ht="17.649999999999999" x14ac:dyDescent="0.5">
      <c r="D912" s="3" t="s">
        <v>51</v>
      </c>
    </row>
    <row r="913" spans="4:4" ht="17.649999999999999" x14ac:dyDescent="0.5">
      <c r="D913" s="3" t="s">
        <v>84</v>
      </c>
    </row>
    <row r="914" spans="4:4" ht="17.649999999999999" x14ac:dyDescent="0.5">
      <c r="D914" s="3" t="s">
        <v>131</v>
      </c>
    </row>
    <row r="915" spans="4:4" ht="17.649999999999999" x14ac:dyDescent="0.5">
      <c r="D915" s="3" t="s">
        <v>48</v>
      </c>
    </row>
    <row r="916" spans="4:4" ht="17.649999999999999" x14ac:dyDescent="0.5">
      <c r="D916" s="3" t="s">
        <v>84</v>
      </c>
    </row>
    <row r="917" spans="4:4" ht="17.649999999999999" x14ac:dyDescent="0.5">
      <c r="D917" s="3" t="s">
        <v>102</v>
      </c>
    </row>
    <row r="918" spans="4:4" ht="17.649999999999999" x14ac:dyDescent="0.5">
      <c r="D918" s="3" t="s">
        <v>131</v>
      </c>
    </row>
    <row r="919" spans="4:4" ht="17.649999999999999" x14ac:dyDescent="0.5">
      <c r="D919" s="3" t="s">
        <v>61</v>
      </c>
    </row>
    <row r="920" spans="4:4" ht="17.649999999999999" x14ac:dyDescent="0.5">
      <c r="D920" s="3" t="s">
        <v>103</v>
      </c>
    </row>
    <row r="921" spans="4:4" ht="17.649999999999999" x14ac:dyDescent="0.5">
      <c r="D921" s="3" t="s">
        <v>44</v>
      </c>
    </row>
    <row r="922" spans="4:4" ht="17.649999999999999" x14ac:dyDescent="0.5">
      <c r="D922" s="3" t="s">
        <v>64</v>
      </c>
    </row>
    <row r="923" spans="4:4" ht="17.649999999999999" x14ac:dyDescent="0.5">
      <c r="D923" s="3" t="s">
        <v>51</v>
      </c>
    </row>
    <row r="924" spans="4:4" ht="17.649999999999999" x14ac:dyDescent="0.5">
      <c r="D924" s="3" t="s">
        <v>46</v>
      </c>
    </row>
    <row r="925" spans="4:4" ht="17.649999999999999" x14ac:dyDescent="0.5">
      <c r="D925" s="3" t="s">
        <v>115</v>
      </c>
    </row>
    <row r="926" spans="4:4" ht="17.649999999999999" x14ac:dyDescent="0.5">
      <c r="D926" s="3" t="s">
        <v>84</v>
      </c>
    </row>
    <row r="927" spans="4:4" ht="17.649999999999999" x14ac:dyDescent="0.5">
      <c r="D927" s="3" t="s">
        <v>110</v>
      </c>
    </row>
    <row r="928" spans="4:4" ht="17.649999999999999" x14ac:dyDescent="0.5">
      <c r="D928" s="3" t="s">
        <v>80</v>
      </c>
    </row>
    <row r="929" spans="4:4" ht="17.649999999999999" x14ac:dyDescent="0.5">
      <c r="D929" s="3" t="s">
        <v>61</v>
      </c>
    </row>
    <row r="930" spans="4:4" ht="17.649999999999999" x14ac:dyDescent="0.5">
      <c r="D930" s="3" t="s">
        <v>64</v>
      </c>
    </row>
    <row r="931" spans="4:4" ht="17.649999999999999" x14ac:dyDescent="0.5">
      <c r="D931" s="3" t="s">
        <v>90</v>
      </c>
    </row>
    <row r="932" spans="4:4" ht="17.649999999999999" x14ac:dyDescent="0.5">
      <c r="D932" s="3" t="s">
        <v>129</v>
      </c>
    </row>
    <row r="933" spans="4:4" ht="17.649999999999999" x14ac:dyDescent="0.5">
      <c r="D933" s="3" t="s">
        <v>95</v>
      </c>
    </row>
    <row r="934" spans="4:4" ht="17.649999999999999" x14ac:dyDescent="0.5">
      <c r="D934" s="3" t="s">
        <v>91</v>
      </c>
    </row>
    <row r="935" spans="4:4" ht="17.649999999999999" x14ac:dyDescent="0.5">
      <c r="D935" s="3" t="s">
        <v>73</v>
      </c>
    </row>
    <row r="936" spans="4:4" ht="17.649999999999999" x14ac:dyDescent="0.5">
      <c r="D936" s="3" t="s">
        <v>81</v>
      </c>
    </row>
    <row r="937" spans="4:4" ht="17.649999999999999" x14ac:dyDescent="0.5">
      <c r="D937" s="3" t="s">
        <v>109</v>
      </c>
    </row>
    <row r="938" spans="4:4" ht="17.649999999999999" x14ac:dyDescent="0.5">
      <c r="D938" s="3" t="s">
        <v>43</v>
      </c>
    </row>
    <row r="939" spans="4:4" ht="17.649999999999999" x14ac:dyDescent="0.5">
      <c r="D939" s="3" t="s">
        <v>41</v>
      </c>
    </row>
    <row r="940" spans="4:4" ht="17.649999999999999" x14ac:dyDescent="0.5">
      <c r="D940" s="3" t="s">
        <v>46</v>
      </c>
    </row>
    <row r="941" spans="4:4" ht="17.649999999999999" x14ac:dyDescent="0.5">
      <c r="D941" s="3" t="s">
        <v>61</v>
      </c>
    </row>
    <row r="942" spans="4:4" ht="17.649999999999999" x14ac:dyDescent="0.5">
      <c r="D942" s="3" t="s">
        <v>119</v>
      </c>
    </row>
    <row r="943" spans="4:4" ht="17.649999999999999" x14ac:dyDescent="0.5">
      <c r="D943" s="3" t="s">
        <v>93</v>
      </c>
    </row>
    <row r="944" spans="4:4" ht="17.649999999999999" x14ac:dyDescent="0.5">
      <c r="D944" s="3" t="s">
        <v>92</v>
      </c>
    </row>
    <row r="945" spans="4:4" ht="17.649999999999999" x14ac:dyDescent="0.5">
      <c r="D945" s="3" t="s">
        <v>107</v>
      </c>
    </row>
    <row r="946" spans="4:4" ht="17.649999999999999" x14ac:dyDescent="0.5">
      <c r="D946" s="3" t="s">
        <v>83</v>
      </c>
    </row>
    <row r="947" spans="4:4" ht="17.649999999999999" x14ac:dyDescent="0.5">
      <c r="D947" s="3" t="s">
        <v>90</v>
      </c>
    </row>
    <row r="948" spans="4:4" ht="17.649999999999999" x14ac:dyDescent="0.5">
      <c r="D948" s="3" t="s">
        <v>118</v>
      </c>
    </row>
    <row r="949" spans="4:4" ht="17.649999999999999" x14ac:dyDescent="0.5">
      <c r="D949" s="3" t="s">
        <v>54</v>
      </c>
    </row>
    <row r="950" spans="4:4" ht="17.649999999999999" x14ac:dyDescent="0.5">
      <c r="D950" s="3" t="s">
        <v>94</v>
      </c>
    </row>
    <row r="951" spans="4:4" ht="17.649999999999999" x14ac:dyDescent="0.5">
      <c r="D951" s="3" t="s">
        <v>56</v>
      </c>
    </row>
    <row r="952" spans="4:4" ht="17.649999999999999" x14ac:dyDescent="0.5">
      <c r="D952" s="3" t="s">
        <v>73</v>
      </c>
    </row>
    <row r="953" spans="4:4" ht="17.649999999999999" x14ac:dyDescent="0.5">
      <c r="D953" s="3" t="s">
        <v>67</v>
      </c>
    </row>
    <row r="954" spans="4:4" ht="17.649999999999999" x14ac:dyDescent="0.5">
      <c r="D954" s="3" t="s">
        <v>42</v>
      </c>
    </row>
    <row r="955" spans="4:4" ht="17.649999999999999" x14ac:dyDescent="0.5">
      <c r="D955" s="3" t="s">
        <v>81</v>
      </c>
    </row>
    <row r="956" spans="4:4" ht="17.649999999999999" x14ac:dyDescent="0.5">
      <c r="D956" s="3" t="s">
        <v>44</v>
      </c>
    </row>
    <row r="957" spans="4:4" ht="17.649999999999999" x14ac:dyDescent="0.5">
      <c r="D957" s="3" t="s">
        <v>43</v>
      </c>
    </row>
    <row r="958" spans="4:4" ht="17.649999999999999" x14ac:dyDescent="0.5">
      <c r="D958" s="3" t="s">
        <v>59</v>
      </c>
    </row>
    <row r="959" spans="4:4" ht="17.649999999999999" x14ac:dyDescent="0.5">
      <c r="D959" s="3" t="s">
        <v>94</v>
      </c>
    </row>
    <row r="960" spans="4:4" ht="17.649999999999999" x14ac:dyDescent="0.5">
      <c r="D960" s="3" t="s">
        <v>78</v>
      </c>
    </row>
    <row r="961" spans="4:4" ht="17.649999999999999" x14ac:dyDescent="0.5">
      <c r="D961" s="3" t="s">
        <v>126</v>
      </c>
    </row>
    <row r="962" spans="4:4" ht="17.649999999999999" x14ac:dyDescent="0.5">
      <c r="D962" s="3" t="s">
        <v>61</v>
      </c>
    </row>
    <row r="963" spans="4:4" ht="17.649999999999999" x14ac:dyDescent="0.5">
      <c r="D963" s="3" t="s">
        <v>59</v>
      </c>
    </row>
    <row r="964" spans="4:4" ht="17.649999999999999" x14ac:dyDescent="0.5">
      <c r="D964" s="3" t="s">
        <v>117</v>
      </c>
    </row>
    <row r="965" spans="4:4" ht="17.649999999999999" x14ac:dyDescent="0.5">
      <c r="D965" s="3" t="s">
        <v>54</v>
      </c>
    </row>
    <row r="966" spans="4:4" ht="17.649999999999999" x14ac:dyDescent="0.5">
      <c r="D966" s="3" t="s">
        <v>53</v>
      </c>
    </row>
    <row r="967" spans="4:4" ht="17.649999999999999" x14ac:dyDescent="0.5">
      <c r="D967" s="3" t="s">
        <v>87</v>
      </c>
    </row>
    <row r="968" spans="4:4" ht="17.649999999999999" x14ac:dyDescent="0.5">
      <c r="D968" s="3" t="s">
        <v>63</v>
      </c>
    </row>
    <row r="969" spans="4:4" ht="17.649999999999999" x14ac:dyDescent="0.5">
      <c r="D969" s="3" t="s">
        <v>66</v>
      </c>
    </row>
    <row r="970" spans="4:4" ht="17.649999999999999" x14ac:dyDescent="0.5">
      <c r="D970" s="3" t="s">
        <v>41</v>
      </c>
    </row>
    <row r="971" spans="4:4" ht="17.649999999999999" x14ac:dyDescent="0.5">
      <c r="D971" s="3" t="s">
        <v>84</v>
      </c>
    </row>
    <row r="972" spans="4:4" ht="17.649999999999999" x14ac:dyDescent="0.5">
      <c r="D972" s="3" t="s">
        <v>64</v>
      </c>
    </row>
    <row r="973" spans="4:4" ht="17.649999999999999" x14ac:dyDescent="0.5">
      <c r="D973" s="3" t="s">
        <v>53</v>
      </c>
    </row>
    <row r="974" spans="4:4" ht="17.649999999999999" x14ac:dyDescent="0.5">
      <c r="D974" s="3" t="s">
        <v>78</v>
      </c>
    </row>
    <row r="975" spans="4:4" ht="17.649999999999999" x14ac:dyDescent="0.5">
      <c r="D975" s="3" t="s">
        <v>64</v>
      </c>
    </row>
    <row r="976" spans="4:4" ht="17.649999999999999" x14ac:dyDescent="0.5">
      <c r="D976" s="3" t="s">
        <v>43</v>
      </c>
    </row>
    <row r="977" spans="4:4" ht="17.649999999999999" x14ac:dyDescent="0.5">
      <c r="D977" s="3" t="s">
        <v>55</v>
      </c>
    </row>
    <row r="978" spans="4:4" ht="17.649999999999999" x14ac:dyDescent="0.5">
      <c r="D978" s="3" t="s">
        <v>92</v>
      </c>
    </row>
    <row r="979" spans="4:4" ht="17.649999999999999" x14ac:dyDescent="0.5">
      <c r="D979" s="3" t="s">
        <v>125</v>
      </c>
    </row>
    <row r="980" spans="4:4" ht="17.649999999999999" x14ac:dyDescent="0.5">
      <c r="D980" s="3" t="s">
        <v>101</v>
      </c>
    </row>
    <row r="981" spans="4:4" ht="17.649999999999999" x14ac:dyDescent="0.5">
      <c r="D981" s="3" t="s">
        <v>80</v>
      </c>
    </row>
    <row r="982" spans="4:4" ht="17.649999999999999" x14ac:dyDescent="0.5">
      <c r="D982" s="3" t="s">
        <v>59</v>
      </c>
    </row>
    <row r="983" spans="4:4" ht="17.649999999999999" x14ac:dyDescent="0.5">
      <c r="D983" s="3" t="s">
        <v>53</v>
      </c>
    </row>
    <row r="984" spans="4:4" ht="17.649999999999999" x14ac:dyDescent="0.5">
      <c r="D984" s="3" t="s">
        <v>46</v>
      </c>
    </row>
    <row r="985" spans="4:4" ht="17.649999999999999" x14ac:dyDescent="0.5">
      <c r="D985" s="3" t="s">
        <v>59</v>
      </c>
    </row>
    <row r="986" spans="4:4" ht="17.649999999999999" x14ac:dyDescent="0.5">
      <c r="D986" s="3" t="s">
        <v>56</v>
      </c>
    </row>
    <row r="987" spans="4:4" ht="17.649999999999999" x14ac:dyDescent="0.5">
      <c r="D987" s="3" t="s">
        <v>91</v>
      </c>
    </row>
    <row r="988" spans="4:4" ht="17.649999999999999" x14ac:dyDescent="0.5">
      <c r="D988" s="3" t="s">
        <v>128</v>
      </c>
    </row>
    <row r="989" spans="4:4" ht="17.649999999999999" x14ac:dyDescent="0.5">
      <c r="D989" s="3" t="s">
        <v>112</v>
      </c>
    </row>
    <row r="990" spans="4:4" ht="17.649999999999999" x14ac:dyDescent="0.5">
      <c r="D990" s="3" t="s">
        <v>84</v>
      </c>
    </row>
    <row r="991" spans="4:4" ht="17.649999999999999" x14ac:dyDescent="0.5">
      <c r="D991" s="3" t="s">
        <v>132</v>
      </c>
    </row>
    <row r="992" spans="4:4" ht="17.649999999999999" x14ac:dyDescent="0.5">
      <c r="D992" s="3" t="s">
        <v>92</v>
      </c>
    </row>
    <row r="993" spans="4:4" ht="17.649999999999999" x14ac:dyDescent="0.5">
      <c r="D993" s="3" t="s">
        <v>69</v>
      </c>
    </row>
    <row r="994" spans="4:4" ht="17.649999999999999" x14ac:dyDescent="0.5">
      <c r="D994" s="3" t="s">
        <v>105</v>
      </c>
    </row>
    <row r="995" spans="4:4" ht="17.649999999999999" x14ac:dyDescent="0.5">
      <c r="D995" s="3" t="s">
        <v>107</v>
      </c>
    </row>
    <row r="996" spans="4:4" ht="17.649999999999999" x14ac:dyDescent="0.5">
      <c r="D996" s="3" t="s">
        <v>114</v>
      </c>
    </row>
    <row r="997" spans="4:4" ht="17.649999999999999" x14ac:dyDescent="0.5">
      <c r="D997" s="3" t="s">
        <v>46</v>
      </c>
    </row>
    <row r="998" spans="4:4" ht="17.649999999999999" x14ac:dyDescent="0.5">
      <c r="D998" s="3" t="s">
        <v>57</v>
      </c>
    </row>
    <row r="999" spans="4:4" ht="17.649999999999999" x14ac:dyDescent="0.5">
      <c r="D999" s="3" t="s">
        <v>73</v>
      </c>
    </row>
    <row r="1000" spans="4:4" ht="17.649999999999999" x14ac:dyDescent="0.5">
      <c r="D1000" s="3" t="s">
        <v>90</v>
      </c>
    </row>
    <row r="1001" spans="4:4" ht="17.649999999999999" x14ac:dyDescent="0.5">
      <c r="D1001" s="3" t="s">
        <v>43</v>
      </c>
    </row>
    <row r="1002" spans="4:4" ht="17.649999999999999" x14ac:dyDescent="0.5">
      <c r="D1002" s="3" t="s">
        <v>49</v>
      </c>
    </row>
    <row r="1003" spans="4:4" ht="17.649999999999999" x14ac:dyDescent="0.5">
      <c r="D1003" s="3" t="s">
        <v>50</v>
      </c>
    </row>
    <row r="1004" spans="4:4" ht="17.649999999999999" x14ac:dyDescent="0.5">
      <c r="D1004" s="3" t="s">
        <v>115</v>
      </c>
    </row>
    <row r="1005" spans="4:4" ht="17.649999999999999" x14ac:dyDescent="0.5">
      <c r="D1005" s="3" t="s">
        <v>64</v>
      </c>
    </row>
    <row r="1006" spans="4:4" ht="17.649999999999999" x14ac:dyDescent="0.5">
      <c r="D1006" s="3" t="s">
        <v>92</v>
      </c>
    </row>
    <row r="1007" spans="4:4" ht="17.649999999999999" x14ac:dyDescent="0.5">
      <c r="D1007" s="3" t="s">
        <v>80</v>
      </c>
    </row>
    <row r="1008" spans="4:4" ht="17.649999999999999" x14ac:dyDescent="0.5">
      <c r="D1008" s="3" t="s">
        <v>115</v>
      </c>
    </row>
    <row r="1009" spans="4:4" ht="17.649999999999999" x14ac:dyDescent="0.5">
      <c r="D1009" s="3" t="s">
        <v>120</v>
      </c>
    </row>
    <row r="1010" spans="4:4" ht="17.649999999999999" x14ac:dyDescent="0.5">
      <c r="D1010" s="3" t="s">
        <v>90</v>
      </c>
    </row>
    <row r="1011" spans="4:4" ht="17.649999999999999" x14ac:dyDescent="0.5">
      <c r="D1011" s="3" t="s">
        <v>57</v>
      </c>
    </row>
    <row r="1012" spans="4:4" ht="17.649999999999999" x14ac:dyDescent="0.5">
      <c r="D1012" s="3" t="s">
        <v>53</v>
      </c>
    </row>
    <row r="1013" spans="4:4" ht="17.649999999999999" x14ac:dyDescent="0.5">
      <c r="D1013" s="3" t="s">
        <v>87</v>
      </c>
    </row>
    <row r="1014" spans="4:4" ht="17.649999999999999" x14ac:dyDescent="0.5">
      <c r="D1014" s="3" t="s">
        <v>117</v>
      </c>
    </row>
    <row r="1015" spans="4:4" ht="17.649999999999999" x14ac:dyDescent="0.5">
      <c r="D1015" s="3" t="s">
        <v>75</v>
      </c>
    </row>
    <row r="1016" spans="4:4" ht="17.649999999999999" x14ac:dyDescent="0.5">
      <c r="D1016" s="3" t="s">
        <v>50</v>
      </c>
    </row>
    <row r="1017" spans="4:4" ht="17.649999999999999" x14ac:dyDescent="0.5">
      <c r="D1017" s="3" t="s">
        <v>74</v>
      </c>
    </row>
    <row r="1018" spans="4:4" ht="17.649999999999999" x14ac:dyDescent="0.5">
      <c r="D1018" s="3" t="s">
        <v>122</v>
      </c>
    </row>
    <row r="1019" spans="4:4" ht="17.649999999999999" x14ac:dyDescent="0.5">
      <c r="D1019" s="3" t="s">
        <v>48</v>
      </c>
    </row>
    <row r="1020" spans="4:4" ht="17.649999999999999" x14ac:dyDescent="0.5">
      <c r="D1020" s="3" t="s">
        <v>69</v>
      </c>
    </row>
    <row r="1021" spans="4:4" ht="17.649999999999999" x14ac:dyDescent="0.5">
      <c r="D1021" s="3" t="s">
        <v>71</v>
      </c>
    </row>
    <row r="1022" spans="4:4" ht="17.649999999999999" x14ac:dyDescent="0.5">
      <c r="D1022" s="3" t="s">
        <v>81</v>
      </c>
    </row>
    <row r="1023" spans="4:4" ht="17.649999999999999" x14ac:dyDescent="0.5">
      <c r="D1023" s="3" t="s">
        <v>65</v>
      </c>
    </row>
    <row r="1024" spans="4:4" ht="17.649999999999999" x14ac:dyDescent="0.5">
      <c r="D1024" s="3" t="s">
        <v>77</v>
      </c>
    </row>
    <row r="1025" spans="4:4" ht="17.649999999999999" x14ac:dyDescent="0.5">
      <c r="D1025" s="3" t="s">
        <v>63</v>
      </c>
    </row>
    <row r="1026" spans="4:4" ht="17.649999999999999" x14ac:dyDescent="0.5">
      <c r="D1026" s="3" t="s">
        <v>48</v>
      </c>
    </row>
    <row r="1027" spans="4:4" ht="17.649999999999999" x14ac:dyDescent="0.5">
      <c r="D1027" s="3" t="s">
        <v>63</v>
      </c>
    </row>
    <row r="1028" spans="4:4" ht="17.649999999999999" x14ac:dyDescent="0.5">
      <c r="D1028" s="3" t="s">
        <v>111</v>
      </c>
    </row>
    <row r="1029" spans="4:4" ht="17.649999999999999" x14ac:dyDescent="0.5">
      <c r="D1029" s="3" t="s">
        <v>75</v>
      </c>
    </row>
    <row r="1030" spans="4:4" ht="17.649999999999999" x14ac:dyDescent="0.5">
      <c r="D1030" s="3" t="s">
        <v>79</v>
      </c>
    </row>
    <row r="1031" spans="4:4" ht="17.649999999999999" x14ac:dyDescent="0.5">
      <c r="D1031" s="3" t="s">
        <v>128</v>
      </c>
    </row>
    <row r="1032" spans="4:4" ht="17.649999999999999" x14ac:dyDescent="0.5">
      <c r="D1032" s="3" t="s">
        <v>59</v>
      </c>
    </row>
    <row r="1033" spans="4:4" ht="17.649999999999999" x14ac:dyDescent="0.5">
      <c r="D1033" s="3" t="s">
        <v>65</v>
      </c>
    </row>
    <row r="1034" spans="4:4" ht="17.649999999999999" x14ac:dyDescent="0.5">
      <c r="D1034" s="3" t="s">
        <v>67</v>
      </c>
    </row>
    <row r="1035" spans="4:4" ht="17.649999999999999" x14ac:dyDescent="0.5">
      <c r="D1035" s="3" t="s">
        <v>101</v>
      </c>
    </row>
    <row r="1036" spans="4:4" ht="17.649999999999999" x14ac:dyDescent="0.5">
      <c r="D1036" s="3" t="s">
        <v>42</v>
      </c>
    </row>
    <row r="1037" spans="4:4" ht="17.649999999999999" x14ac:dyDescent="0.5">
      <c r="D1037" s="3" t="s">
        <v>120</v>
      </c>
    </row>
    <row r="1038" spans="4:4" ht="17.649999999999999" x14ac:dyDescent="0.5">
      <c r="D1038" s="3" t="s">
        <v>112</v>
      </c>
    </row>
    <row r="1039" spans="4:4" ht="17.649999999999999" x14ac:dyDescent="0.5">
      <c r="D1039" s="3" t="s">
        <v>52</v>
      </c>
    </row>
    <row r="1040" spans="4:4" ht="17.649999999999999" x14ac:dyDescent="0.5">
      <c r="D1040" s="3" t="s">
        <v>49</v>
      </c>
    </row>
    <row r="1041" spans="4:4" ht="17.649999999999999" x14ac:dyDescent="0.5">
      <c r="D1041" s="3" t="s">
        <v>49</v>
      </c>
    </row>
    <row r="1042" spans="4:4" ht="17.649999999999999" x14ac:dyDescent="0.5">
      <c r="D1042" s="3" t="s">
        <v>78</v>
      </c>
    </row>
    <row r="1043" spans="4:4" ht="17.649999999999999" x14ac:dyDescent="0.5">
      <c r="D1043" s="3" t="s">
        <v>51</v>
      </c>
    </row>
    <row r="1044" spans="4:4" ht="17.649999999999999" x14ac:dyDescent="0.5">
      <c r="D1044" s="3" t="s">
        <v>111</v>
      </c>
    </row>
    <row r="1045" spans="4:4" ht="17.649999999999999" x14ac:dyDescent="0.5">
      <c r="D1045" s="3" t="s">
        <v>109</v>
      </c>
    </row>
    <row r="1046" spans="4:4" ht="17.649999999999999" x14ac:dyDescent="0.5">
      <c r="D1046" s="3" t="s">
        <v>86</v>
      </c>
    </row>
    <row r="1047" spans="4:4" ht="17.649999999999999" x14ac:dyDescent="0.5">
      <c r="D1047" s="3" t="s">
        <v>118</v>
      </c>
    </row>
    <row r="1048" spans="4:4" ht="17.649999999999999" x14ac:dyDescent="0.5">
      <c r="D1048" s="3" t="s">
        <v>57</v>
      </c>
    </row>
    <row r="1049" spans="4:4" ht="17.649999999999999" x14ac:dyDescent="0.5">
      <c r="D1049" s="3" t="s">
        <v>52</v>
      </c>
    </row>
    <row r="1050" spans="4:4" ht="17.649999999999999" x14ac:dyDescent="0.5">
      <c r="D1050" s="3" t="s">
        <v>51</v>
      </c>
    </row>
    <row r="1051" spans="4:4" ht="17.649999999999999" x14ac:dyDescent="0.5">
      <c r="D1051" s="3" t="s">
        <v>104</v>
      </c>
    </row>
    <row r="1052" spans="4:4" ht="17.649999999999999" x14ac:dyDescent="0.5">
      <c r="D1052" s="3" t="s">
        <v>59</v>
      </c>
    </row>
    <row r="1053" spans="4:4" ht="17.649999999999999" x14ac:dyDescent="0.5">
      <c r="D1053" s="3" t="s">
        <v>96</v>
      </c>
    </row>
    <row r="1054" spans="4:4" ht="17.649999999999999" x14ac:dyDescent="0.5">
      <c r="D1054" s="3" t="s">
        <v>132</v>
      </c>
    </row>
    <row r="1055" spans="4:4" ht="17.649999999999999" x14ac:dyDescent="0.5">
      <c r="D1055" s="3" t="s">
        <v>63</v>
      </c>
    </row>
    <row r="1056" spans="4:4" ht="17.649999999999999" x14ac:dyDescent="0.5">
      <c r="D1056" s="3" t="s">
        <v>57</v>
      </c>
    </row>
    <row r="1057" spans="4:4" ht="17.649999999999999" x14ac:dyDescent="0.5">
      <c r="D1057" s="3" t="s">
        <v>53</v>
      </c>
    </row>
    <row r="1058" spans="4:4" ht="17.649999999999999" x14ac:dyDescent="0.5">
      <c r="D1058" s="3" t="s">
        <v>103</v>
      </c>
    </row>
    <row r="1059" spans="4:4" ht="17.649999999999999" x14ac:dyDescent="0.5">
      <c r="D1059" s="3" t="s">
        <v>117</v>
      </c>
    </row>
    <row r="1060" spans="4:4" ht="17.649999999999999" x14ac:dyDescent="0.5">
      <c r="D1060" s="3" t="s">
        <v>89</v>
      </c>
    </row>
    <row r="1061" spans="4:4" ht="17.649999999999999" x14ac:dyDescent="0.5">
      <c r="D1061" s="3" t="s">
        <v>136</v>
      </c>
    </row>
    <row r="1062" spans="4:4" ht="17.649999999999999" x14ac:dyDescent="0.5">
      <c r="D1062" s="3" t="s">
        <v>50</v>
      </c>
    </row>
    <row r="1063" spans="4:4" ht="17.649999999999999" x14ac:dyDescent="0.5">
      <c r="D1063" s="3" t="s">
        <v>101</v>
      </c>
    </row>
    <row r="1064" spans="4:4" ht="17.649999999999999" x14ac:dyDescent="0.5">
      <c r="D1064" s="3" t="s">
        <v>66</v>
      </c>
    </row>
    <row r="1065" spans="4:4" ht="17.649999999999999" x14ac:dyDescent="0.5">
      <c r="D1065" s="3" t="s">
        <v>98</v>
      </c>
    </row>
    <row r="1066" spans="4:4" ht="17.649999999999999" x14ac:dyDescent="0.5">
      <c r="D1066" s="3" t="s">
        <v>122</v>
      </c>
    </row>
    <row r="1067" spans="4:4" ht="17.649999999999999" x14ac:dyDescent="0.5">
      <c r="D1067" s="3" t="s">
        <v>123</v>
      </c>
    </row>
    <row r="1068" spans="4:4" ht="17.649999999999999" x14ac:dyDescent="0.5">
      <c r="D1068" s="3" t="s">
        <v>48</v>
      </c>
    </row>
    <row r="1069" spans="4:4" ht="17.649999999999999" x14ac:dyDescent="0.5">
      <c r="D1069" s="3" t="s">
        <v>64</v>
      </c>
    </row>
    <row r="1070" spans="4:4" ht="17.649999999999999" x14ac:dyDescent="0.5">
      <c r="D1070" s="3" t="s">
        <v>91</v>
      </c>
    </row>
    <row r="1071" spans="4:4" ht="17.649999999999999" x14ac:dyDescent="0.5">
      <c r="D1071" s="3" t="s">
        <v>51</v>
      </c>
    </row>
    <row r="1072" spans="4:4" ht="17.649999999999999" x14ac:dyDescent="0.5">
      <c r="D1072" s="3" t="s">
        <v>87</v>
      </c>
    </row>
    <row r="1073" spans="4:4" ht="17.649999999999999" x14ac:dyDescent="0.5">
      <c r="D1073" s="3" t="s">
        <v>51</v>
      </c>
    </row>
    <row r="1074" spans="4:4" ht="17.649999999999999" x14ac:dyDescent="0.5">
      <c r="D1074" s="3" t="s">
        <v>115</v>
      </c>
    </row>
    <row r="1075" spans="4:4" ht="17.649999999999999" x14ac:dyDescent="0.5">
      <c r="D1075" s="3" t="s">
        <v>103</v>
      </c>
    </row>
    <row r="1076" spans="4:4" ht="17.649999999999999" x14ac:dyDescent="0.5">
      <c r="D1076" s="3" t="s">
        <v>75</v>
      </c>
    </row>
    <row r="1077" spans="4:4" ht="17.649999999999999" x14ac:dyDescent="0.5">
      <c r="D1077" s="3" t="s">
        <v>101</v>
      </c>
    </row>
    <row r="1078" spans="4:4" ht="17.649999999999999" x14ac:dyDescent="0.5">
      <c r="D1078" s="3" t="s">
        <v>87</v>
      </c>
    </row>
    <row r="1079" spans="4:4" ht="17.649999999999999" x14ac:dyDescent="0.5">
      <c r="D1079" s="3" t="s">
        <v>109</v>
      </c>
    </row>
    <row r="1080" spans="4:4" ht="17.649999999999999" x14ac:dyDescent="0.5">
      <c r="D1080" s="3" t="s">
        <v>41</v>
      </c>
    </row>
    <row r="1081" spans="4:4" ht="17.649999999999999" x14ac:dyDescent="0.5">
      <c r="D1081" s="3" t="s">
        <v>124</v>
      </c>
    </row>
    <row r="1082" spans="4:4" ht="17.649999999999999" x14ac:dyDescent="0.5">
      <c r="D1082" s="3" t="s">
        <v>66</v>
      </c>
    </row>
    <row r="1083" spans="4:4" ht="17.649999999999999" x14ac:dyDescent="0.5">
      <c r="D1083" s="3" t="s">
        <v>48</v>
      </c>
    </row>
    <row r="1084" spans="4:4" ht="17.649999999999999" x14ac:dyDescent="0.5">
      <c r="D1084" s="3" t="s">
        <v>43</v>
      </c>
    </row>
    <row r="1085" spans="4:4" ht="17.649999999999999" x14ac:dyDescent="0.5">
      <c r="D1085" s="3" t="s">
        <v>98</v>
      </c>
    </row>
    <row r="1086" spans="4:4" ht="17.649999999999999" x14ac:dyDescent="0.5">
      <c r="D1086" s="3" t="s">
        <v>121</v>
      </c>
    </row>
    <row r="1087" spans="4:4" ht="17.649999999999999" x14ac:dyDescent="0.5">
      <c r="D1087" s="3" t="s">
        <v>69</v>
      </c>
    </row>
    <row r="1088" spans="4:4" ht="17.649999999999999" x14ac:dyDescent="0.5">
      <c r="D1088" s="3" t="s">
        <v>100</v>
      </c>
    </row>
    <row r="1089" spans="4:4" ht="17.649999999999999" x14ac:dyDescent="0.5">
      <c r="D1089" s="3" t="s">
        <v>52</v>
      </c>
    </row>
    <row r="1090" spans="4:4" ht="17.649999999999999" x14ac:dyDescent="0.5">
      <c r="D1090" s="3" t="s">
        <v>100</v>
      </c>
    </row>
    <row r="1091" spans="4:4" ht="17.649999999999999" x14ac:dyDescent="0.5">
      <c r="D1091" s="3" t="s">
        <v>92</v>
      </c>
    </row>
    <row r="1092" spans="4:4" ht="17.649999999999999" x14ac:dyDescent="0.5">
      <c r="D1092" s="3" t="s">
        <v>81</v>
      </c>
    </row>
    <row r="1093" spans="4:4" ht="17.649999999999999" x14ac:dyDescent="0.5">
      <c r="D1093" s="3" t="s">
        <v>61</v>
      </c>
    </row>
    <row r="1094" spans="4:4" ht="17.649999999999999" x14ac:dyDescent="0.5">
      <c r="D1094" s="3" t="s">
        <v>84</v>
      </c>
    </row>
    <row r="1095" spans="4:4" ht="17.649999999999999" x14ac:dyDescent="0.5">
      <c r="D1095" s="3" t="s">
        <v>115</v>
      </c>
    </row>
    <row r="1096" spans="4:4" ht="17.649999999999999" x14ac:dyDescent="0.5">
      <c r="D1096" s="3" t="s">
        <v>63</v>
      </c>
    </row>
    <row r="1097" spans="4:4" ht="17.649999999999999" x14ac:dyDescent="0.5">
      <c r="D1097" s="3" t="s">
        <v>80</v>
      </c>
    </row>
    <row r="1098" spans="4:4" ht="17.649999999999999" x14ac:dyDescent="0.5">
      <c r="D1098" s="3" t="s">
        <v>67</v>
      </c>
    </row>
    <row r="1099" spans="4:4" ht="17.649999999999999" x14ac:dyDescent="0.5">
      <c r="D1099" s="3" t="s">
        <v>78</v>
      </c>
    </row>
    <row r="1100" spans="4:4" ht="17.649999999999999" x14ac:dyDescent="0.5">
      <c r="D1100" s="3" t="s">
        <v>125</v>
      </c>
    </row>
    <row r="1101" spans="4:4" ht="17.649999999999999" x14ac:dyDescent="0.5">
      <c r="D1101" s="3" t="s">
        <v>70</v>
      </c>
    </row>
    <row r="1102" spans="4:4" ht="17.649999999999999" x14ac:dyDescent="0.5">
      <c r="D1102" s="3" t="s">
        <v>44</v>
      </c>
    </row>
    <row r="1103" spans="4:4" ht="17.649999999999999" x14ac:dyDescent="0.5">
      <c r="D1103" s="3" t="s">
        <v>78</v>
      </c>
    </row>
    <row r="1104" spans="4:4" ht="17.649999999999999" x14ac:dyDescent="0.5">
      <c r="D1104" s="3" t="s">
        <v>93</v>
      </c>
    </row>
    <row r="1105" spans="4:4" ht="17.649999999999999" x14ac:dyDescent="0.5">
      <c r="D1105" s="3" t="s">
        <v>66</v>
      </c>
    </row>
    <row r="1106" spans="4:4" ht="17.649999999999999" x14ac:dyDescent="0.5">
      <c r="D1106" s="3" t="s">
        <v>43</v>
      </c>
    </row>
    <row r="1107" spans="4:4" ht="17.649999999999999" x14ac:dyDescent="0.5">
      <c r="D1107" s="3" t="s">
        <v>63</v>
      </c>
    </row>
    <row r="1108" spans="4:4" ht="17.649999999999999" x14ac:dyDescent="0.5">
      <c r="D1108" s="3" t="s">
        <v>92</v>
      </c>
    </row>
    <row r="1109" spans="4:4" ht="17.649999999999999" x14ac:dyDescent="0.5">
      <c r="D1109" s="3" t="s">
        <v>120</v>
      </c>
    </row>
    <row r="1110" spans="4:4" ht="17.649999999999999" x14ac:dyDescent="0.5">
      <c r="D1110" s="3" t="s">
        <v>105</v>
      </c>
    </row>
    <row r="1111" spans="4:4" ht="17.649999999999999" x14ac:dyDescent="0.5">
      <c r="D1111" s="3" t="s">
        <v>65</v>
      </c>
    </row>
    <row r="1112" spans="4:4" ht="17.649999999999999" x14ac:dyDescent="0.5">
      <c r="D1112" s="3" t="s">
        <v>119</v>
      </c>
    </row>
    <row r="1113" spans="4:4" ht="17.649999999999999" x14ac:dyDescent="0.5">
      <c r="D1113" s="3" t="s">
        <v>56</v>
      </c>
    </row>
    <row r="1114" spans="4:4" ht="17.649999999999999" x14ac:dyDescent="0.5">
      <c r="D1114" s="3" t="s">
        <v>60</v>
      </c>
    </row>
    <row r="1115" spans="4:4" ht="17.649999999999999" x14ac:dyDescent="0.5">
      <c r="D1115" s="3" t="s">
        <v>104</v>
      </c>
    </row>
    <row r="1116" spans="4:4" ht="17.649999999999999" x14ac:dyDescent="0.5">
      <c r="D1116" s="3" t="s">
        <v>54</v>
      </c>
    </row>
    <row r="1117" spans="4:4" ht="17.649999999999999" x14ac:dyDescent="0.5">
      <c r="D1117" s="3" t="s">
        <v>58</v>
      </c>
    </row>
    <row r="1118" spans="4:4" ht="17.649999999999999" x14ac:dyDescent="0.5">
      <c r="D1118" s="3" t="s">
        <v>67</v>
      </c>
    </row>
    <row r="1119" spans="4:4" ht="17.649999999999999" x14ac:dyDescent="0.5">
      <c r="D1119" s="3" t="s">
        <v>118</v>
      </c>
    </row>
    <row r="1120" spans="4:4" ht="17.649999999999999" x14ac:dyDescent="0.5">
      <c r="D1120" s="3" t="s">
        <v>57</v>
      </c>
    </row>
    <row r="1121" spans="4:4" ht="17.649999999999999" x14ac:dyDescent="0.5">
      <c r="D1121" s="3" t="s">
        <v>61</v>
      </c>
    </row>
    <row r="1122" spans="4:4" ht="17.649999999999999" x14ac:dyDescent="0.5">
      <c r="D1122" s="3" t="s">
        <v>77</v>
      </c>
    </row>
    <row r="1123" spans="4:4" ht="17.649999999999999" x14ac:dyDescent="0.5">
      <c r="D1123" s="3" t="s">
        <v>90</v>
      </c>
    </row>
    <row r="1124" spans="4:4" ht="17.649999999999999" x14ac:dyDescent="0.5">
      <c r="D1124" s="3" t="s">
        <v>52</v>
      </c>
    </row>
    <row r="1125" spans="4:4" ht="17.649999999999999" x14ac:dyDescent="0.5">
      <c r="D1125" s="3" t="s">
        <v>72</v>
      </c>
    </row>
    <row r="1126" spans="4:4" ht="17.649999999999999" x14ac:dyDescent="0.5">
      <c r="D1126" s="3" t="s">
        <v>77</v>
      </c>
    </row>
    <row r="1127" spans="4:4" ht="17.649999999999999" x14ac:dyDescent="0.5">
      <c r="D1127" s="3" t="s">
        <v>68</v>
      </c>
    </row>
    <row r="1128" spans="4:4" ht="17.649999999999999" x14ac:dyDescent="0.5">
      <c r="D1128" s="3" t="s">
        <v>117</v>
      </c>
    </row>
    <row r="1129" spans="4:4" ht="17.649999999999999" x14ac:dyDescent="0.5">
      <c r="D1129" s="3" t="s">
        <v>80</v>
      </c>
    </row>
    <row r="1130" spans="4:4" ht="17.649999999999999" x14ac:dyDescent="0.5">
      <c r="D1130" s="3" t="s">
        <v>91</v>
      </c>
    </row>
    <row r="1131" spans="4:4" ht="17.649999999999999" x14ac:dyDescent="0.5">
      <c r="D1131" s="3" t="s">
        <v>105</v>
      </c>
    </row>
    <row r="1132" spans="4:4" ht="17.649999999999999" x14ac:dyDescent="0.5">
      <c r="D1132" s="3" t="s">
        <v>41</v>
      </c>
    </row>
    <row r="1133" spans="4:4" ht="17.649999999999999" x14ac:dyDescent="0.5">
      <c r="D1133" s="3" t="s">
        <v>76</v>
      </c>
    </row>
    <row r="1134" spans="4:4" ht="17.649999999999999" x14ac:dyDescent="0.5">
      <c r="D1134" s="3" t="s">
        <v>116</v>
      </c>
    </row>
    <row r="1135" spans="4:4" ht="17.649999999999999" x14ac:dyDescent="0.5">
      <c r="D1135" s="3" t="s">
        <v>71</v>
      </c>
    </row>
    <row r="1136" spans="4:4" ht="17.649999999999999" x14ac:dyDescent="0.5">
      <c r="D1136" s="3" t="s">
        <v>56</v>
      </c>
    </row>
    <row r="1137" spans="4:4" ht="17.649999999999999" x14ac:dyDescent="0.5">
      <c r="D1137" s="3" t="s">
        <v>65</v>
      </c>
    </row>
    <row r="1138" spans="4:4" ht="17.649999999999999" x14ac:dyDescent="0.5">
      <c r="D1138" s="3" t="s">
        <v>67</v>
      </c>
    </row>
    <row r="1139" spans="4:4" ht="17.649999999999999" x14ac:dyDescent="0.5">
      <c r="D1139" s="3" t="s">
        <v>66</v>
      </c>
    </row>
    <row r="1140" spans="4:4" ht="17.649999999999999" x14ac:dyDescent="0.5">
      <c r="D1140" s="3" t="s">
        <v>98</v>
      </c>
    </row>
    <row r="1141" spans="4:4" ht="17.649999999999999" x14ac:dyDescent="0.5">
      <c r="D1141" s="3" t="s">
        <v>96</v>
      </c>
    </row>
    <row r="1142" spans="4:4" ht="17.649999999999999" x14ac:dyDescent="0.5">
      <c r="D1142" s="3" t="s">
        <v>77</v>
      </c>
    </row>
    <row r="1143" spans="4:4" ht="17.649999999999999" x14ac:dyDescent="0.5">
      <c r="D1143" s="3" t="s">
        <v>130</v>
      </c>
    </row>
    <row r="1144" spans="4:4" ht="17.649999999999999" x14ac:dyDescent="0.5">
      <c r="D1144" s="3" t="s">
        <v>118</v>
      </c>
    </row>
    <row r="1145" spans="4:4" ht="17.649999999999999" x14ac:dyDescent="0.5">
      <c r="D1145" s="3" t="s">
        <v>90</v>
      </c>
    </row>
    <row r="1146" spans="4:4" ht="17.649999999999999" x14ac:dyDescent="0.5">
      <c r="D1146" s="3" t="s">
        <v>117</v>
      </c>
    </row>
    <row r="1147" spans="4:4" ht="17.649999999999999" x14ac:dyDescent="0.5">
      <c r="D1147" s="3" t="s">
        <v>119</v>
      </c>
    </row>
    <row r="1148" spans="4:4" ht="17.649999999999999" x14ac:dyDescent="0.5">
      <c r="D1148" s="3" t="s">
        <v>51</v>
      </c>
    </row>
    <row r="1149" spans="4:4" ht="17.649999999999999" x14ac:dyDescent="0.5">
      <c r="D1149" s="3" t="s">
        <v>69</v>
      </c>
    </row>
    <row r="1150" spans="4:4" ht="17.649999999999999" x14ac:dyDescent="0.5">
      <c r="D1150" s="3" t="s">
        <v>44</v>
      </c>
    </row>
    <row r="1151" spans="4:4" ht="17.649999999999999" x14ac:dyDescent="0.5">
      <c r="D1151" s="3" t="s">
        <v>64</v>
      </c>
    </row>
    <row r="1152" spans="4:4" ht="17.649999999999999" x14ac:dyDescent="0.5">
      <c r="D1152" s="3" t="s">
        <v>103</v>
      </c>
    </row>
    <row r="1153" spans="4:4" ht="17.649999999999999" x14ac:dyDescent="0.5">
      <c r="D1153" s="3" t="s">
        <v>106</v>
      </c>
    </row>
    <row r="1154" spans="4:4" ht="17.649999999999999" x14ac:dyDescent="0.5">
      <c r="D1154" s="3" t="s">
        <v>117</v>
      </c>
    </row>
    <row r="1155" spans="4:4" ht="17.649999999999999" x14ac:dyDescent="0.5">
      <c r="D1155" s="3" t="s">
        <v>77</v>
      </c>
    </row>
    <row r="1156" spans="4:4" ht="17.649999999999999" x14ac:dyDescent="0.5">
      <c r="D1156" s="3" t="s">
        <v>83</v>
      </c>
    </row>
    <row r="1157" spans="4:4" ht="17.649999999999999" x14ac:dyDescent="0.5">
      <c r="D1157" s="3" t="s">
        <v>52</v>
      </c>
    </row>
    <row r="1158" spans="4:4" ht="17.649999999999999" x14ac:dyDescent="0.5">
      <c r="D1158" s="3" t="s">
        <v>68</v>
      </c>
    </row>
    <row r="1159" spans="4:4" ht="17.649999999999999" x14ac:dyDescent="0.5">
      <c r="D1159" s="3" t="s">
        <v>48</v>
      </c>
    </row>
    <row r="1160" spans="4:4" ht="17.649999999999999" x14ac:dyDescent="0.5">
      <c r="D1160" s="3" t="s">
        <v>64</v>
      </c>
    </row>
    <row r="1161" spans="4:4" ht="17.649999999999999" x14ac:dyDescent="0.5">
      <c r="D1161" s="3" t="s">
        <v>107</v>
      </c>
    </row>
    <row r="1162" spans="4:4" ht="17.649999999999999" x14ac:dyDescent="0.5">
      <c r="D1162" s="3" t="s">
        <v>83</v>
      </c>
    </row>
    <row r="1163" spans="4:4" ht="17.649999999999999" x14ac:dyDescent="0.5">
      <c r="D1163" s="3" t="s">
        <v>70</v>
      </c>
    </row>
    <row r="1164" spans="4:4" ht="17.649999999999999" x14ac:dyDescent="0.5">
      <c r="D1164" s="3" t="s">
        <v>102</v>
      </c>
    </row>
    <row r="1165" spans="4:4" ht="17.649999999999999" x14ac:dyDescent="0.5">
      <c r="D1165" s="3" t="s">
        <v>57</v>
      </c>
    </row>
    <row r="1166" spans="4:4" ht="17.649999999999999" x14ac:dyDescent="0.5">
      <c r="D1166" s="3" t="s">
        <v>94</v>
      </c>
    </row>
    <row r="1167" spans="4:4" ht="17.649999999999999" x14ac:dyDescent="0.5">
      <c r="D1167" s="3" t="s">
        <v>95</v>
      </c>
    </row>
    <row r="1168" spans="4:4" ht="17.649999999999999" x14ac:dyDescent="0.5">
      <c r="D1168" s="3" t="s">
        <v>67</v>
      </c>
    </row>
    <row r="1169" spans="4:4" ht="17.649999999999999" x14ac:dyDescent="0.5">
      <c r="D1169" s="3" t="s">
        <v>124</v>
      </c>
    </row>
    <row r="1170" spans="4:4" ht="17.649999999999999" x14ac:dyDescent="0.5">
      <c r="D1170" s="3" t="s">
        <v>47</v>
      </c>
    </row>
    <row r="1171" spans="4:4" ht="17.649999999999999" x14ac:dyDescent="0.5">
      <c r="D1171" s="3" t="s">
        <v>115</v>
      </c>
    </row>
    <row r="1172" spans="4:4" ht="17.649999999999999" x14ac:dyDescent="0.5">
      <c r="D1172" s="3" t="s">
        <v>54</v>
      </c>
    </row>
    <row r="1173" spans="4:4" ht="17.649999999999999" x14ac:dyDescent="0.5">
      <c r="D1173" s="3" t="s">
        <v>46</v>
      </c>
    </row>
    <row r="1174" spans="4:4" ht="17.649999999999999" x14ac:dyDescent="0.5">
      <c r="D1174" s="3" t="s">
        <v>63</v>
      </c>
    </row>
    <row r="1175" spans="4:4" ht="17.649999999999999" x14ac:dyDescent="0.5">
      <c r="D1175" s="3" t="s">
        <v>57</v>
      </c>
    </row>
    <row r="1176" spans="4:4" ht="17.649999999999999" x14ac:dyDescent="0.5">
      <c r="D1176" s="3" t="s">
        <v>41</v>
      </c>
    </row>
    <row r="1177" spans="4:4" ht="17.649999999999999" x14ac:dyDescent="0.5">
      <c r="D1177" s="3" t="s">
        <v>103</v>
      </c>
    </row>
    <row r="1178" spans="4:4" ht="17.649999999999999" x14ac:dyDescent="0.5">
      <c r="D1178" s="3" t="s">
        <v>41</v>
      </c>
    </row>
    <row r="1179" spans="4:4" ht="17.649999999999999" x14ac:dyDescent="0.5">
      <c r="D1179" s="3" t="s">
        <v>53</v>
      </c>
    </row>
    <row r="1180" spans="4:4" ht="17.649999999999999" x14ac:dyDescent="0.5">
      <c r="D1180" s="3" t="s">
        <v>97</v>
      </c>
    </row>
    <row r="1181" spans="4:4" ht="17.649999999999999" x14ac:dyDescent="0.5">
      <c r="D1181" s="3" t="s">
        <v>78</v>
      </c>
    </row>
    <row r="1182" spans="4:4" ht="17.649999999999999" x14ac:dyDescent="0.5">
      <c r="D1182" s="3" t="s">
        <v>124</v>
      </c>
    </row>
    <row r="1183" spans="4:4" ht="17.649999999999999" x14ac:dyDescent="0.5">
      <c r="D1183" s="3" t="s">
        <v>112</v>
      </c>
    </row>
    <row r="1184" spans="4:4" ht="17.649999999999999" x14ac:dyDescent="0.5">
      <c r="D1184" s="3" t="s">
        <v>52</v>
      </c>
    </row>
    <row r="1185" spans="4:4" ht="17.649999999999999" x14ac:dyDescent="0.5">
      <c r="D1185" s="3" t="s">
        <v>77</v>
      </c>
    </row>
    <row r="1186" spans="4:4" ht="17.649999999999999" x14ac:dyDescent="0.5">
      <c r="D1186" s="3" t="s">
        <v>70</v>
      </c>
    </row>
    <row r="1187" spans="4:4" ht="17.649999999999999" x14ac:dyDescent="0.5">
      <c r="D1187" s="3" t="s">
        <v>49</v>
      </c>
    </row>
    <row r="1188" spans="4:4" ht="17.649999999999999" x14ac:dyDescent="0.5">
      <c r="D1188" s="3" t="s">
        <v>92</v>
      </c>
    </row>
    <row r="1189" spans="4:4" ht="17.649999999999999" x14ac:dyDescent="0.5">
      <c r="D1189" s="3" t="s">
        <v>60</v>
      </c>
    </row>
    <row r="1190" spans="4:4" ht="17.649999999999999" x14ac:dyDescent="0.5">
      <c r="D1190" s="3" t="s">
        <v>56</v>
      </c>
    </row>
    <row r="1191" spans="4:4" ht="17.649999999999999" x14ac:dyDescent="0.5">
      <c r="D1191" s="3" t="s">
        <v>134</v>
      </c>
    </row>
    <row r="1192" spans="4:4" ht="17.649999999999999" x14ac:dyDescent="0.5">
      <c r="D1192" s="3" t="s">
        <v>73</v>
      </c>
    </row>
    <row r="1193" spans="4:4" ht="17.649999999999999" x14ac:dyDescent="0.5">
      <c r="D1193" s="3" t="s">
        <v>126</v>
      </c>
    </row>
    <row r="1194" spans="4:4" ht="17.649999999999999" x14ac:dyDescent="0.5">
      <c r="D1194" s="3" t="s">
        <v>103</v>
      </c>
    </row>
    <row r="1195" spans="4:4" ht="17.649999999999999" x14ac:dyDescent="0.5">
      <c r="D1195" s="3" t="s">
        <v>55</v>
      </c>
    </row>
    <row r="1196" spans="4:4" ht="17.649999999999999" x14ac:dyDescent="0.5">
      <c r="D1196" s="3" t="s">
        <v>90</v>
      </c>
    </row>
    <row r="1197" spans="4:4" ht="17.649999999999999" x14ac:dyDescent="0.5">
      <c r="D1197" s="3" t="s">
        <v>46</v>
      </c>
    </row>
    <row r="1198" spans="4:4" ht="17.649999999999999" x14ac:dyDescent="0.5">
      <c r="D1198" s="3" t="s">
        <v>43</v>
      </c>
    </row>
    <row r="1199" spans="4:4" ht="17.649999999999999" x14ac:dyDescent="0.5">
      <c r="D1199" s="3" t="s">
        <v>119</v>
      </c>
    </row>
    <row r="1200" spans="4:4" ht="17.649999999999999" x14ac:dyDescent="0.5">
      <c r="D1200" s="3" t="s">
        <v>107</v>
      </c>
    </row>
    <row r="1201" spans="4:4" ht="17.649999999999999" x14ac:dyDescent="0.5">
      <c r="D1201" s="3" t="s">
        <v>96</v>
      </c>
    </row>
    <row r="1202" spans="4:4" ht="17.649999999999999" x14ac:dyDescent="0.5">
      <c r="D1202" s="3" t="s">
        <v>43</v>
      </c>
    </row>
    <row r="1203" spans="4:4" ht="17.649999999999999" x14ac:dyDescent="0.5">
      <c r="D1203" s="3" t="s">
        <v>67</v>
      </c>
    </row>
    <row r="1204" spans="4:4" ht="17.649999999999999" x14ac:dyDescent="0.5">
      <c r="D1204" s="3" t="s">
        <v>54</v>
      </c>
    </row>
    <row r="1205" spans="4:4" ht="17.649999999999999" x14ac:dyDescent="0.5">
      <c r="D1205" s="3" t="s">
        <v>44</v>
      </c>
    </row>
    <row r="1206" spans="4:4" ht="17.649999999999999" x14ac:dyDescent="0.5">
      <c r="D1206" s="3" t="s">
        <v>52</v>
      </c>
    </row>
    <row r="1207" spans="4:4" ht="17.649999999999999" x14ac:dyDescent="0.5">
      <c r="D1207" s="3" t="s">
        <v>92</v>
      </c>
    </row>
    <row r="1208" spans="4:4" ht="17.649999999999999" x14ac:dyDescent="0.5">
      <c r="D1208" s="3" t="s">
        <v>73</v>
      </c>
    </row>
    <row r="1209" spans="4:4" ht="17.649999999999999" x14ac:dyDescent="0.5">
      <c r="D1209" s="3" t="s">
        <v>69</v>
      </c>
    </row>
    <row r="1210" spans="4:4" ht="17.649999999999999" x14ac:dyDescent="0.5">
      <c r="D1210" s="3" t="s">
        <v>111</v>
      </c>
    </row>
    <row r="1211" spans="4:4" ht="17.649999999999999" x14ac:dyDescent="0.5">
      <c r="D1211" s="3" t="s">
        <v>103</v>
      </c>
    </row>
    <row r="1212" spans="4:4" ht="17.649999999999999" x14ac:dyDescent="0.5">
      <c r="D1212" s="3" t="s">
        <v>85</v>
      </c>
    </row>
    <row r="1213" spans="4:4" ht="17.649999999999999" x14ac:dyDescent="0.5">
      <c r="D1213" s="3" t="s">
        <v>117</v>
      </c>
    </row>
    <row r="1214" spans="4:4" ht="17.649999999999999" x14ac:dyDescent="0.5">
      <c r="D1214" s="3" t="s">
        <v>44</v>
      </c>
    </row>
    <row r="1215" spans="4:4" ht="17.649999999999999" x14ac:dyDescent="0.5">
      <c r="D1215" s="3" t="s">
        <v>107</v>
      </c>
    </row>
    <row r="1216" spans="4:4" ht="17.649999999999999" x14ac:dyDescent="0.5">
      <c r="D1216" s="3" t="s">
        <v>94</v>
      </c>
    </row>
    <row r="1217" spans="4:4" ht="17.649999999999999" x14ac:dyDescent="0.5">
      <c r="D1217" s="3" t="s">
        <v>113</v>
      </c>
    </row>
    <row r="1218" spans="4:4" ht="17.649999999999999" x14ac:dyDescent="0.5">
      <c r="D1218" s="3" t="s">
        <v>61</v>
      </c>
    </row>
    <row r="1219" spans="4:4" ht="17.649999999999999" x14ac:dyDescent="0.5">
      <c r="D1219" s="3" t="s">
        <v>115</v>
      </c>
    </row>
    <row r="1220" spans="4:4" ht="17.649999999999999" x14ac:dyDescent="0.5">
      <c r="D1220" s="3" t="s">
        <v>126</v>
      </c>
    </row>
    <row r="1221" spans="4:4" ht="17.649999999999999" x14ac:dyDescent="0.5">
      <c r="D1221" s="3" t="s">
        <v>80</v>
      </c>
    </row>
    <row r="1222" spans="4:4" ht="17.649999999999999" x14ac:dyDescent="0.5">
      <c r="D1222" s="3" t="s">
        <v>58</v>
      </c>
    </row>
    <row r="1223" spans="4:4" ht="17.649999999999999" x14ac:dyDescent="0.5">
      <c r="D1223" s="3" t="s">
        <v>75</v>
      </c>
    </row>
    <row r="1224" spans="4:4" ht="17.649999999999999" x14ac:dyDescent="0.5">
      <c r="D1224" s="3" t="s">
        <v>118</v>
      </c>
    </row>
    <row r="1225" spans="4:4" ht="17.649999999999999" x14ac:dyDescent="0.5">
      <c r="D1225" s="3" t="s">
        <v>99</v>
      </c>
    </row>
    <row r="1226" spans="4:4" ht="17.649999999999999" x14ac:dyDescent="0.5">
      <c r="D1226" s="3" t="s">
        <v>58</v>
      </c>
    </row>
    <row r="1227" spans="4:4" ht="17.649999999999999" x14ac:dyDescent="0.5">
      <c r="D1227" s="3" t="s">
        <v>108</v>
      </c>
    </row>
    <row r="1228" spans="4:4" ht="17.649999999999999" x14ac:dyDescent="0.5">
      <c r="D1228" s="3" t="s">
        <v>131</v>
      </c>
    </row>
    <row r="1229" spans="4:4" ht="17.649999999999999" x14ac:dyDescent="0.5">
      <c r="D1229" s="3" t="s">
        <v>63</v>
      </c>
    </row>
    <row r="1230" spans="4:4" ht="17.649999999999999" x14ac:dyDescent="0.5">
      <c r="D1230" s="3" t="s">
        <v>112</v>
      </c>
    </row>
    <row r="1231" spans="4:4" ht="17.649999999999999" x14ac:dyDescent="0.5">
      <c r="D1231" s="3" t="s">
        <v>42</v>
      </c>
    </row>
    <row r="1232" spans="4:4" ht="17.649999999999999" x14ac:dyDescent="0.5">
      <c r="D1232" s="3" t="s">
        <v>107</v>
      </c>
    </row>
    <row r="1233" spans="4:4" ht="17.649999999999999" x14ac:dyDescent="0.5">
      <c r="D1233" s="3" t="s">
        <v>51</v>
      </c>
    </row>
    <row r="1234" spans="4:4" ht="17.649999999999999" x14ac:dyDescent="0.5">
      <c r="D1234" s="3" t="s">
        <v>103</v>
      </c>
    </row>
    <row r="1235" spans="4:4" ht="17.649999999999999" x14ac:dyDescent="0.5">
      <c r="D1235" s="3" t="s">
        <v>50</v>
      </c>
    </row>
    <row r="1236" spans="4:4" ht="17.649999999999999" x14ac:dyDescent="0.5">
      <c r="D1236" s="3" t="s">
        <v>41</v>
      </c>
    </row>
    <row r="1237" spans="4:4" ht="17.649999999999999" x14ac:dyDescent="0.5">
      <c r="D1237" s="3" t="s">
        <v>91</v>
      </c>
    </row>
    <row r="1238" spans="4:4" ht="17.649999999999999" x14ac:dyDescent="0.5">
      <c r="D1238" s="3" t="s">
        <v>115</v>
      </c>
    </row>
    <row r="1239" spans="4:4" ht="17.649999999999999" x14ac:dyDescent="0.5">
      <c r="D1239" s="3" t="s">
        <v>80</v>
      </c>
    </row>
    <row r="1240" spans="4:4" ht="17.649999999999999" x14ac:dyDescent="0.5">
      <c r="D1240" s="3" t="s">
        <v>67</v>
      </c>
    </row>
    <row r="1241" spans="4:4" ht="17.649999999999999" x14ac:dyDescent="0.5">
      <c r="D1241" s="3" t="s">
        <v>54</v>
      </c>
    </row>
    <row r="1242" spans="4:4" ht="17.649999999999999" x14ac:dyDescent="0.5">
      <c r="D1242" s="3" t="s">
        <v>82</v>
      </c>
    </row>
    <row r="1243" spans="4:4" ht="17.649999999999999" x14ac:dyDescent="0.5">
      <c r="D1243" s="3" t="s">
        <v>49</v>
      </c>
    </row>
    <row r="1244" spans="4:4" ht="17.649999999999999" x14ac:dyDescent="0.5">
      <c r="D1244" s="3" t="s">
        <v>68</v>
      </c>
    </row>
    <row r="1245" spans="4:4" ht="17.649999999999999" x14ac:dyDescent="0.5">
      <c r="D1245" s="3" t="s">
        <v>84</v>
      </c>
    </row>
    <row r="1246" spans="4:4" ht="17.649999999999999" x14ac:dyDescent="0.5">
      <c r="D1246" s="3" t="s">
        <v>70</v>
      </c>
    </row>
    <row r="1247" spans="4:4" ht="17.649999999999999" x14ac:dyDescent="0.5">
      <c r="D1247" s="3" t="s">
        <v>113</v>
      </c>
    </row>
    <row r="1248" spans="4:4" ht="17.649999999999999" x14ac:dyDescent="0.5">
      <c r="D1248" s="3" t="s">
        <v>52</v>
      </c>
    </row>
    <row r="1249" spans="4:4" ht="17.649999999999999" x14ac:dyDescent="0.5">
      <c r="D1249" s="3" t="s">
        <v>65</v>
      </c>
    </row>
    <row r="1250" spans="4:4" ht="17.649999999999999" x14ac:dyDescent="0.5">
      <c r="D1250" s="3" t="s">
        <v>117</v>
      </c>
    </row>
    <row r="1251" spans="4:4" ht="17.649999999999999" x14ac:dyDescent="0.5">
      <c r="D1251" s="3" t="s">
        <v>111</v>
      </c>
    </row>
    <row r="1252" spans="4:4" ht="17.649999999999999" x14ac:dyDescent="0.5">
      <c r="D1252" s="3" t="s">
        <v>90</v>
      </c>
    </row>
    <row r="1253" spans="4:4" ht="17.649999999999999" x14ac:dyDescent="0.5">
      <c r="D1253" s="3" t="s">
        <v>124</v>
      </c>
    </row>
    <row r="1254" spans="4:4" ht="17.649999999999999" x14ac:dyDescent="0.5">
      <c r="D1254" s="3" t="s">
        <v>48</v>
      </c>
    </row>
    <row r="1255" spans="4:4" ht="17.649999999999999" x14ac:dyDescent="0.5">
      <c r="D1255" s="3" t="s">
        <v>120</v>
      </c>
    </row>
    <row r="1256" spans="4:4" ht="17.649999999999999" x14ac:dyDescent="0.5">
      <c r="D1256" s="3" t="s">
        <v>64</v>
      </c>
    </row>
    <row r="1257" spans="4:4" ht="17.649999999999999" x14ac:dyDescent="0.5">
      <c r="D1257" s="3" t="s">
        <v>41</v>
      </c>
    </row>
    <row r="1258" spans="4:4" ht="17.649999999999999" x14ac:dyDescent="0.5">
      <c r="D1258" s="3" t="s">
        <v>46</v>
      </c>
    </row>
    <row r="1259" spans="4:4" ht="17.649999999999999" x14ac:dyDescent="0.5">
      <c r="D1259" s="3" t="s">
        <v>49</v>
      </c>
    </row>
    <row r="1260" spans="4:4" ht="17.649999999999999" x14ac:dyDescent="0.5">
      <c r="D1260" s="3" t="s">
        <v>67</v>
      </c>
    </row>
    <row r="1261" spans="4:4" ht="17.649999999999999" x14ac:dyDescent="0.5">
      <c r="D1261" s="3" t="s">
        <v>97</v>
      </c>
    </row>
    <row r="1262" spans="4:4" ht="17.649999999999999" x14ac:dyDescent="0.5">
      <c r="D1262" s="3" t="s">
        <v>94</v>
      </c>
    </row>
    <row r="1263" spans="4:4" ht="17.649999999999999" x14ac:dyDescent="0.5">
      <c r="D1263" s="3" t="s">
        <v>47</v>
      </c>
    </row>
    <row r="1264" spans="4:4" ht="17.649999999999999" x14ac:dyDescent="0.5">
      <c r="D1264" s="3" t="s">
        <v>109</v>
      </c>
    </row>
    <row r="1265" spans="4:4" ht="17.649999999999999" x14ac:dyDescent="0.5">
      <c r="D1265" s="3" t="s">
        <v>85</v>
      </c>
    </row>
    <row r="1266" spans="4:4" ht="17.649999999999999" x14ac:dyDescent="0.5">
      <c r="D1266" s="3" t="s">
        <v>59</v>
      </c>
    </row>
    <row r="1267" spans="4:4" ht="17.649999999999999" x14ac:dyDescent="0.5">
      <c r="D1267" s="3" t="s">
        <v>108</v>
      </c>
    </row>
    <row r="1268" spans="4:4" ht="17.649999999999999" x14ac:dyDescent="0.5">
      <c r="D1268" s="3" t="s">
        <v>44</v>
      </c>
    </row>
    <row r="1269" spans="4:4" ht="17.649999999999999" x14ac:dyDescent="0.5">
      <c r="D1269" s="3" t="s">
        <v>126</v>
      </c>
    </row>
    <row r="1270" spans="4:4" ht="17.649999999999999" x14ac:dyDescent="0.5">
      <c r="D1270" s="3" t="s">
        <v>83</v>
      </c>
    </row>
    <row r="1271" spans="4:4" ht="17.649999999999999" x14ac:dyDescent="0.5">
      <c r="D1271" s="3" t="s">
        <v>43</v>
      </c>
    </row>
    <row r="1272" spans="4:4" ht="17.649999999999999" x14ac:dyDescent="0.5">
      <c r="D1272" s="3" t="s">
        <v>63</v>
      </c>
    </row>
    <row r="1273" spans="4:4" ht="17.649999999999999" x14ac:dyDescent="0.5">
      <c r="D1273" s="3" t="s">
        <v>81</v>
      </c>
    </row>
    <row r="1274" spans="4:4" ht="17.649999999999999" x14ac:dyDescent="0.5">
      <c r="D1274" s="3" t="s">
        <v>54</v>
      </c>
    </row>
    <row r="1275" spans="4:4" ht="17.649999999999999" x14ac:dyDescent="0.5">
      <c r="D1275" s="3" t="s">
        <v>51</v>
      </c>
    </row>
    <row r="1276" spans="4:4" ht="17.649999999999999" x14ac:dyDescent="0.5">
      <c r="D1276" s="3" t="s">
        <v>52</v>
      </c>
    </row>
    <row r="1277" spans="4:4" ht="17.649999999999999" x14ac:dyDescent="0.5">
      <c r="D1277" s="3" t="s">
        <v>117</v>
      </c>
    </row>
    <row r="1278" spans="4:4" ht="17.649999999999999" x14ac:dyDescent="0.5">
      <c r="D1278" s="3" t="s">
        <v>73</v>
      </c>
    </row>
    <row r="1279" spans="4:4" ht="17.649999999999999" x14ac:dyDescent="0.5">
      <c r="D1279" s="3" t="s">
        <v>75</v>
      </c>
    </row>
    <row r="1280" spans="4:4" ht="17.649999999999999" x14ac:dyDescent="0.5">
      <c r="D1280" s="3" t="s">
        <v>65</v>
      </c>
    </row>
    <row r="1281" spans="4:4" ht="17.649999999999999" x14ac:dyDescent="0.5">
      <c r="D1281" s="3" t="s">
        <v>87</v>
      </c>
    </row>
    <row r="1282" spans="4:4" ht="17.649999999999999" x14ac:dyDescent="0.5">
      <c r="D1282" s="3" t="s">
        <v>63</v>
      </c>
    </row>
    <row r="1283" spans="4:4" ht="17.649999999999999" x14ac:dyDescent="0.5">
      <c r="D1283" s="3" t="s">
        <v>49</v>
      </c>
    </row>
    <row r="1284" spans="4:4" ht="17.649999999999999" x14ac:dyDescent="0.5">
      <c r="D1284" s="3" t="s">
        <v>101</v>
      </c>
    </row>
    <row r="1285" spans="4:4" ht="17.649999999999999" x14ac:dyDescent="0.5">
      <c r="D1285" s="3" t="s">
        <v>98</v>
      </c>
    </row>
    <row r="1286" spans="4:4" ht="17.649999999999999" x14ac:dyDescent="0.5">
      <c r="D1286" s="3" t="s">
        <v>90</v>
      </c>
    </row>
    <row r="1287" spans="4:4" ht="17.649999999999999" x14ac:dyDescent="0.5">
      <c r="D1287" s="3" t="s">
        <v>91</v>
      </c>
    </row>
    <row r="1288" spans="4:4" ht="17.649999999999999" x14ac:dyDescent="0.5">
      <c r="D1288" s="3" t="s">
        <v>49</v>
      </c>
    </row>
    <row r="1289" spans="4:4" ht="17.649999999999999" x14ac:dyDescent="0.5">
      <c r="D1289" s="3" t="s">
        <v>58</v>
      </c>
    </row>
    <row r="1290" spans="4:4" ht="17.649999999999999" x14ac:dyDescent="0.5">
      <c r="D1290" s="3" t="s">
        <v>81</v>
      </c>
    </row>
    <row r="1291" spans="4:4" ht="17.649999999999999" x14ac:dyDescent="0.5">
      <c r="D1291" s="3" t="s">
        <v>101</v>
      </c>
    </row>
    <row r="1292" spans="4:4" ht="17.649999999999999" x14ac:dyDescent="0.5">
      <c r="D1292" s="3" t="s">
        <v>63</v>
      </c>
    </row>
    <row r="1293" spans="4:4" ht="17.649999999999999" x14ac:dyDescent="0.5">
      <c r="D1293" s="3" t="s">
        <v>62</v>
      </c>
    </row>
    <row r="1294" spans="4:4" ht="17.649999999999999" x14ac:dyDescent="0.5">
      <c r="D1294" s="3" t="s">
        <v>103</v>
      </c>
    </row>
    <row r="1295" spans="4:4" ht="17.649999999999999" x14ac:dyDescent="0.5">
      <c r="D1295" s="3" t="s">
        <v>117</v>
      </c>
    </row>
    <row r="1296" spans="4:4" ht="17.649999999999999" x14ac:dyDescent="0.5">
      <c r="D1296" s="3" t="s">
        <v>49</v>
      </c>
    </row>
    <row r="1297" spans="4:4" ht="17.649999999999999" x14ac:dyDescent="0.5">
      <c r="D1297" s="3" t="s">
        <v>117</v>
      </c>
    </row>
    <row r="1298" spans="4:4" ht="17.649999999999999" x14ac:dyDescent="0.5">
      <c r="D1298" s="3" t="s">
        <v>48</v>
      </c>
    </row>
    <row r="1299" spans="4:4" ht="17.649999999999999" x14ac:dyDescent="0.5">
      <c r="D1299" s="3" t="s">
        <v>66</v>
      </c>
    </row>
    <row r="1300" spans="4:4" ht="17.649999999999999" x14ac:dyDescent="0.5">
      <c r="D1300" s="3" t="s">
        <v>115</v>
      </c>
    </row>
    <row r="1301" spans="4:4" ht="17.649999999999999" x14ac:dyDescent="0.5">
      <c r="D1301" s="3" t="s">
        <v>81</v>
      </c>
    </row>
    <row r="1302" spans="4:4" ht="17.649999999999999" x14ac:dyDescent="0.5">
      <c r="D1302" s="3" t="s">
        <v>91</v>
      </c>
    </row>
    <row r="1303" spans="4:4" ht="17.649999999999999" x14ac:dyDescent="0.5">
      <c r="D1303" s="3" t="s">
        <v>78</v>
      </c>
    </row>
    <row r="1304" spans="4:4" ht="17.649999999999999" x14ac:dyDescent="0.5">
      <c r="D1304" s="3" t="s">
        <v>98</v>
      </c>
    </row>
    <row r="1305" spans="4:4" ht="17.649999999999999" x14ac:dyDescent="0.5">
      <c r="D1305" s="3" t="s">
        <v>65</v>
      </c>
    </row>
    <row r="1306" spans="4:4" ht="17.649999999999999" x14ac:dyDescent="0.5">
      <c r="D1306" s="3" t="s">
        <v>49</v>
      </c>
    </row>
    <row r="1307" spans="4:4" ht="17.649999999999999" x14ac:dyDescent="0.5">
      <c r="D1307" s="3" t="s">
        <v>55</v>
      </c>
    </row>
    <row r="1308" spans="4:4" ht="17.649999999999999" x14ac:dyDescent="0.5">
      <c r="D1308" s="3" t="s">
        <v>52</v>
      </c>
    </row>
    <row r="1309" spans="4:4" ht="17.649999999999999" x14ac:dyDescent="0.5">
      <c r="D1309" s="3" t="s">
        <v>46</v>
      </c>
    </row>
    <row r="1310" spans="4:4" ht="17.649999999999999" x14ac:dyDescent="0.5">
      <c r="D1310" s="3" t="s">
        <v>49</v>
      </c>
    </row>
    <row r="1311" spans="4:4" ht="17.649999999999999" x14ac:dyDescent="0.5">
      <c r="D1311" s="3" t="s">
        <v>105</v>
      </c>
    </row>
    <row r="1312" spans="4:4" ht="17.649999999999999" x14ac:dyDescent="0.5">
      <c r="D1312" s="3" t="s">
        <v>116</v>
      </c>
    </row>
    <row r="1313" spans="4:4" ht="17.649999999999999" x14ac:dyDescent="0.5">
      <c r="D1313" s="3" t="s">
        <v>76</v>
      </c>
    </row>
    <row r="1314" spans="4:4" ht="17.649999999999999" x14ac:dyDescent="0.5">
      <c r="D1314" s="3" t="s">
        <v>81</v>
      </c>
    </row>
    <row r="1315" spans="4:4" ht="17.649999999999999" x14ac:dyDescent="0.5">
      <c r="D1315" s="3" t="s">
        <v>46</v>
      </c>
    </row>
    <row r="1316" spans="4:4" ht="17.649999999999999" x14ac:dyDescent="0.5">
      <c r="D1316" s="3" t="s">
        <v>48</v>
      </c>
    </row>
    <row r="1317" spans="4:4" ht="17.649999999999999" x14ac:dyDescent="0.5">
      <c r="D1317" s="3" t="s">
        <v>105</v>
      </c>
    </row>
    <row r="1318" spans="4:4" ht="17.649999999999999" x14ac:dyDescent="0.5">
      <c r="D1318" s="3" t="s">
        <v>78</v>
      </c>
    </row>
    <row r="1319" spans="4:4" ht="17.649999999999999" x14ac:dyDescent="0.5">
      <c r="D1319" s="3" t="s">
        <v>98</v>
      </c>
    </row>
    <row r="1320" spans="4:4" ht="17.649999999999999" x14ac:dyDescent="0.5">
      <c r="D1320" s="3" t="s">
        <v>84</v>
      </c>
    </row>
    <row r="1321" spans="4:4" ht="17.649999999999999" x14ac:dyDescent="0.5">
      <c r="D1321" s="3" t="s">
        <v>108</v>
      </c>
    </row>
    <row r="1322" spans="4:4" ht="17.649999999999999" x14ac:dyDescent="0.5">
      <c r="D1322" s="3" t="s">
        <v>46</v>
      </c>
    </row>
    <row r="1323" spans="4:4" ht="17.649999999999999" x14ac:dyDescent="0.5">
      <c r="D1323" s="3" t="s">
        <v>64</v>
      </c>
    </row>
    <row r="1324" spans="4:4" ht="17.649999999999999" x14ac:dyDescent="0.5">
      <c r="D1324" s="3" t="s">
        <v>73</v>
      </c>
    </row>
    <row r="1325" spans="4:4" ht="17.649999999999999" x14ac:dyDescent="0.5">
      <c r="D1325" s="3" t="s">
        <v>52</v>
      </c>
    </row>
    <row r="1326" spans="4:4" ht="17.649999999999999" x14ac:dyDescent="0.5">
      <c r="D1326" s="3" t="s">
        <v>61</v>
      </c>
    </row>
    <row r="1327" spans="4:4" ht="17.649999999999999" x14ac:dyDescent="0.5">
      <c r="D1327" s="3" t="s">
        <v>74</v>
      </c>
    </row>
    <row r="1328" spans="4:4" ht="17.649999999999999" x14ac:dyDescent="0.5">
      <c r="D1328" s="3" t="s">
        <v>80</v>
      </c>
    </row>
    <row r="1329" spans="4:4" ht="17.649999999999999" x14ac:dyDescent="0.5">
      <c r="D1329" s="3" t="s">
        <v>105</v>
      </c>
    </row>
    <row r="1330" spans="4:4" ht="17.649999999999999" x14ac:dyDescent="0.5">
      <c r="D1330" s="3" t="s">
        <v>128</v>
      </c>
    </row>
    <row r="1331" spans="4:4" ht="17.649999999999999" x14ac:dyDescent="0.5">
      <c r="D1331" s="3" t="s">
        <v>67</v>
      </c>
    </row>
    <row r="1332" spans="4:4" ht="17.649999999999999" x14ac:dyDescent="0.5">
      <c r="D1332" s="3" t="s">
        <v>84</v>
      </c>
    </row>
    <row r="1333" spans="4:4" ht="17.649999999999999" x14ac:dyDescent="0.5">
      <c r="D1333" s="3" t="s">
        <v>57</v>
      </c>
    </row>
    <row r="1334" spans="4:4" ht="17.649999999999999" x14ac:dyDescent="0.5">
      <c r="D1334" s="3" t="s">
        <v>112</v>
      </c>
    </row>
    <row r="1335" spans="4:4" ht="17.649999999999999" x14ac:dyDescent="0.5">
      <c r="D1335" s="3" t="s">
        <v>103</v>
      </c>
    </row>
    <row r="1336" spans="4:4" ht="17.649999999999999" x14ac:dyDescent="0.5">
      <c r="D1336" s="3" t="s">
        <v>116</v>
      </c>
    </row>
    <row r="1337" spans="4:4" ht="17.649999999999999" x14ac:dyDescent="0.5">
      <c r="D1337" s="3" t="s">
        <v>55</v>
      </c>
    </row>
    <row r="1338" spans="4:4" ht="17.649999999999999" x14ac:dyDescent="0.5">
      <c r="D1338" s="3" t="s">
        <v>85</v>
      </c>
    </row>
    <row r="1339" spans="4:4" ht="17.649999999999999" x14ac:dyDescent="0.5">
      <c r="D1339" s="3" t="s">
        <v>58</v>
      </c>
    </row>
    <row r="1340" spans="4:4" ht="17.649999999999999" x14ac:dyDescent="0.5">
      <c r="D1340" s="3" t="s">
        <v>53</v>
      </c>
    </row>
    <row r="1341" spans="4:4" ht="17.649999999999999" x14ac:dyDescent="0.5">
      <c r="D1341" s="3" t="s">
        <v>52</v>
      </c>
    </row>
    <row r="1342" spans="4:4" ht="17.649999999999999" x14ac:dyDescent="0.5">
      <c r="D1342" s="3" t="s">
        <v>87</v>
      </c>
    </row>
    <row r="1343" spans="4:4" ht="17.649999999999999" x14ac:dyDescent="0.5">
      <c r="D1343" s="3" t="s">
        <v>73</v>
      </c>
    </row>
    <row r="1344" spans="4:4" ht="17.649999999999999" x14ac:dyDescent="0.5">
      <c r="D1344" s="3" t="s">
        <v>94</v>
      </c>
    </row>
    <row r="1345" spans="4:4" ht="17.649999999999999" x14ac:dyDescent="0.5">
      <c r="D1345" s="3" t="s">
        <v>47</v>
      </c>
    </row>
    <row r="1346" spans="4:4" ht="17.649999999999999" x14ac:dyDescent="0.5">
      <c r="D1346" s="3" t="s">
        <v>83</v>
      </c>
    </row>
    <row r="1347" spans="4:4" ht="17.649999999999999" x14ac:dyDescent="0.5">
      <c r="D1347" s="3" t="s">
        <v>79</v>
      </c>
    </row>
    <row r="1348" spans="4:4" ht="17.649999999999999" x14ac:dyDescent="0.5">
      <c r="D1348" s="3" t="s">
        <v>55</v>
      </c>
    </row>
    <row r="1349" spans="4:4" ht="17.649999999999999" x14ac:dyDescent="0.5">
      <c r="D1349" s="3" t="s">
        <v>54</v>
      </c>
    </row>
    <row r="1350" spans="4:4" ht="17.649999999999999" x14ac:dyDescent="0.5">
      <c r="D1350" s="3" t="s">
        <v>90</v>
      </c>
    </row>
    <row r="1351" spans="4:4" ht="17.649999999999999" x14ac:dyDescent="0.5">
      <c r="D1351" s="3" t="s">
        <v>96</v>
      </c>
    </row>
    <row r="1352" spans="4:4" ht="17.649999999999999" x14ac:dyDescent="0.5">
      <c r="D1352" s="3" t="s">
        <v>47</v>
      </c>
    </row>
    <row r="1353" spans="4:4" ht="17.649999999999999" x14ac:dyDescent="0.5">
      <c r="D1353" s="3" t="s">
        <v>101</v>
      </c>
    </row>
    <row r="1354" spans="4:4" ht="17.649999999999999" x14ac:dyDescent="0.5">
      <c r="D1354" s="3" t="s">
        <v>95</v>
      </c>
    </row>
    <row r="1355" spans="4:4" ht="17.649999999999999" x14ac:dyDescent="0.5">
      <c r="D1355" s="3" t="s">
        <v>94</v>
      </c>
    </row>
    <row r="1356" spans="4:4" ht="17.649999999999999" x14ac:dyDescent="0.5">
      <c r="D1356" s="3" t="s">
        <v>42</v>
      </c>
    </row>
    <row r="1357" spans="4:4" ht="17.649999999999999" x14ac:dyDescent="0.5">
      <c r="D1357" s="3" t="s">
        <v>55</v>
      </c>
    </row>
    <row r="1358" spans="4:4" ht="17.649999999999999" x14ac:dyDescent="0.5">
      <c r="D1358" s="3" t="s">
        <v>99</v>
      </c>
    </row>
    <row r="1359" spans="4:4" ht="17.649999999999999" x14ac:dyDescent="0.5">
      <c r="D1359" s="3" t="s">
        <v>136</v>
      </c>
    </row>
    <row r="1360" spans="4:4" ht="17.649999999999999" x14ac:dyDescent="0.5">
      <c r="D1360" s="3" t="s">
        <v>133</v>
      </c>
    </row>
    <row r="1361" spans="4:4" ht="17.649999999999999" x14ac:dyDescent="0.5">
      <c r="D1361" s="3" t="s">
        <v>50</v>
      </c>
    </row>
    <row r="1362" spans="4:4" ht="17.649999999999999" x14ac:dyDescent="0.5">
      <c r="D1362" s="3" t="s">
        <v>68</v>
      </c>
    </row>
    <row r="1363" spans="4:4" ht="17.649999999999999" x14ac:dyDescent="0.5">
      <c r="D1363" s="3" t="s">
        <v>124</v>
      </c>
    </row>
    <row r="1364" spans="4:4" ht="17.649999999999999" x14ac:dyDescent="0.5">
      <c r="D1364" s="3" t="s">
        <v>76</v>
      </c>
    </row>
    <row r="1365" spans="4:4" ht="17.649999999999999" x14ac:dyDescent="0.5">
      <c r="D1365" s="3" t="s">
        <v>49</v>
      </c>
    </row>
    <row r="1366" spans="4:4" ht="17.649999999999999" x14ac:dyDescent="0.5">
      <c r="D1366" s="3" t="s">
        <v>65</v>
      </c>
    </row>
    <row r="1367" spans="4:4" ht="17.649999999999999" x14ac:dyDescent="0.5">
      <c r="D1367" s="3" t="s">
        <v>56</v>
      </c>
    </row>
    <row r="1368" spans="4:4" ht="17.649999999999999" x14ac:dyDescent="0.5">
      <c r="D1368" s="3" t="s">
        <v>94</v>
      </c>
    </row>
    <row r="1369" spans="4:4" ht="17.649999999999999" x14ac:dyDescent="0.5">
      <c r="D1369" s="3" t="s">
        <v>75</v>
      </c>
    </row>
    <row r="1370" spans="4:4" ht="17.649999999999999" x14ac:dyDescent="0.5">
      <c r="D1370" s="3" t="s">
        <v>60</v>
      </c>
    </row>
    <row r="1371" spans="4:4" ht="17.649999999999999" x14ac:dyDescent="0.5">
      <c r="D1371" s="3" t="s">
        <v>81</v>
      </c>
    </row>
    <row r="1372" spans="4:4" ht="17.649999999999999" x14ac:dyDescent="0.5">
      <c r="D1372" s="3" t="s">
        <v>65</v>
      </c>
    </row>
    <row r="1373" spans="4:4" ht="17.649999999999999" x14ac:dyDescent="0.5">
      <c r="D1373" s="3" t="s">
        <v>51</v>
      </c>
    </row>
    <row r="1374" spans="4:4" ht="17.649999999999999" x14ac:dyDescent="0.5">
      <c r="D1374" s="3" t="s">
        <v>47</v>
      </c>
    </row>
    <row r="1375" spans="4:4" ht="17.649999999999999" x14ac:dyDescent="0.5">
      <c r="D1375" s="3" t="s">
        <v>111</v>
      </c>
    </row>
    <row r="1376" spans="4:4" ht="17.649999999999999" x14ac:dyDescent="0.5">
      <c r="D1376" s="3" t="s">
        <v>77</v>
      </c>
    </row>
    <row r="1377" spans="4:4" ht="17.649999999999999" x14ac:dyDescent="0.5">
      <c r="D1377" s="3" t="s">
        <v>51</v>
      </c>
    </row>
    <row r="1378" spans="4:4" ht="17.649999999999999" x14ac:dyDescent="0.5">
      <c r="D1378" s="3" t="s">
        <v>57</v>
      </c>
    </row>
    <row r="1379" spans="4:4" ht="17.649999999999999" x14ac:dyDescent="0.5">
      <c r="D1379" s="3" t="s">
        <v>101</v>
      </c>
    </row>
    <row r="1380" spans="4:4" ht="17.649999999999999" x14ac:dyDescent="0.5">
      <c r="D1380" s="3" t="s">
        <v>66</v>
      </c>
    </row>
    <row r="1381" spans="4:4" ht="17.649999999999999" x14ac:dyDescent="0.5">
      <c r="D1381" s="3" t="s">
        <v>114</v>
      </c>
    </row>
    <row r="1382" spans="4:4" ht="17.649999999999999" x14ac:dyDescent="0.5">
      <c r="D1382" s="3" t="s">
        <v>67</v>
      </c>
    </row>
    <row r="1383" spans="4:4" ht="17.649999999999999" x14ac:dyDescent="0.5">
      <c r="D1383" s="3" t="s">
        <v>84</v>
      </c>
    </row>
    <row r="1384" spans="4:4" ht="17.649999999999999" x14ac:dyDescent="0.5">
      <c r="D1384" s="3" t="s">
        <v>92</v>
      </c>
    </row>
    <row r="1385" spans="4:4" ht="17.649999999999999" x14ac:dyDescent="0.5">
      <c r="D1385" s="3" t="s">
        <v>48</v>
      </c>
    </row>
    <row r="1386" spans="4:4" ht="17.649999999999999" x14ac:dyDescent="0.5">
      <c r="D1386" s="3" t="s">
        <v>103</v>
      </c>
    </row>
    <row r="1387" spans="4:4" ht="17.649999999999999" x14ac:dyDescent="0.5">
      <c r="D1387" s="3" t="s">
        <v>52</v>
      </c>
    </row>
    <row r="1388" spans="4:4" ht="17.649999999999999" x14ac:dyDescent="0.5">
      <c r="D1388" s="3" t="s">
        <v>55</v>
      </c>
    </row>
    <row r="1389" spans="4:4" ht="17.649999999999999" x14ac:dyDescent="0.5">
      <c r="D1389" s="3" t="s">
        <v>84</v>
      </c>
    </row>
    <row r="1390" spans="4:4" ht="17.649999999999999" x14ac:dyDescent="0.5">
      <c r="D1390" s="3" t="s">
        <v>64</v>
      </c>
    </row>
    <row r="1391" spans="4:4" ht="17.649999999999999" x14ac:dyDescent="0.5">
      <c r="D1391" s="3" t="s">
        <v>116</v>
      </c>
    </row>
    <row r="1392" spans="4:4" ht="17.649999999999999" x14ac:dyDescent="0.5">
      <c r="D1392" s="3" t="s">
        <v>53</v>
      </c>
    </row>
    <row r="1393" spans="4:4" ht="17.649999999999999" x14ac:dyDescent="0.5">
      <c r="D1393" s="3" t="s">
        <v>45</v>
      </c>
    </row>
    <row r="1394" spans="4:4" ht="17.649999999999999" x14ac:dyDescent="0.5">
      <c r="D1394" s="3" t="s">
        <v>117</v>
      </c>
    </row>
    <row r="1395" spans="4:4" ht="17.649999999999999" x14ac:dyDescent="0.5">
      <c r="D1395" s="3" t="s">
        <v>66</v>
      </c>
    </row>
    <row r="1396" spans="4:4" ht="17.649999999999999" x14ac:dyDescent="0.5">
      <c r="D1396" s="3" t="s">
        <v>131</v>
      </c>
    </row>
    <row r="1397" spans="4:4" ht="17.649999999999999" x14ac:dyDescent="0.5">
      <c r="D1397" s="3" t="s">
        <v>64</v>
      </c>
    </row>
    <row r="1398" spans="4:4" ht="17.649999999999999" x14ac:dyDescent="0.5">
      <c r="D1398" s="3" t="s">
        <v>135</v>
      </c>
    </row>
    <row r="1399" spans="4:4" ht="17.649999999999999" x14ac:dyDescent="0.5">
      <c r="D1399" s="3" t="s">
        <v>105</v>
      </c>
    </row>
    <row r="1400" spans="4:4" ht="17.649999999999999" x14ac:dyDescent="0.5">
      <c r="D1400" s="3" t="s">
        <v>46</v>
      </c>
    </row>
    <row r="1401" spans="4:4" ht="17.649999999999999" x14ac:dyDescent="0.5">
      <c r="D1401" s="3" t="s">
        <v>65</v>
      </c>
    </row>
    <row r="1402" spans="4:4" ht="17.649999999999999" x14ac:dyDescent="0.5">
      <c r="D1402" s="3" t="s">
        <v>65</v>
      </c>
    </row>
    <row r="1403" spans="4:4" ht="17.649999999999999" x14ac:dyDescent="0.5">
      <c r="D1403" s="3" t="s">
        <v>108</v>
      </c>
    </row>
    <row r="1404" spans="4:4" ht="17.649999999999999" x14ac:dyDescent="0.5">
      <c r="D1404" s="3" t="s">
        <v>98</v>
      </c>
    </row>
    <row r="1405" spans="4:4" ht="17.649999999999999" x14ac:dyDescent="0.5">
      <c r="D1405" s="3" t="s">
        <v>41</v>
      </c>
    </row>
    <row r="1406" spans="4:4" ht="17.649999999999999" x14ac:dyDescent="0.5">
      <c r="D1406" s="3" t="s">
        <v>70</v>
      </c>
    </row>
    <row r="1407" spans="4:4" ht="17.649999999999999" x14ac:dyDescent="0.5">
      <c r="D1407" s="3" t="s">
        <v>112</v>
      </c>
    </row>
    <row r="1408" spans="4:4" ht="17.649999999999999" x14ac:dyDescent="0.5">
      <c r="D1408" s="3" t="s">
        <v>131</v>
      </c>
    </row>
    <row r="1409" spans="4:4" ht="17.649999999999999" x14ac:dyDescent="0.5">
      <c r="D1409" s="3" t="s">
        <v>118</v>
      </c>
    </row>
    <row r="1410" spans="4:4" ht="17.649999999999999" x14ac:dyDescent="0.5">
      <c r="D1410" s="3" t="s">
        <v>47</v>
      </c>
    </row>
    <row r="1411" spans="4:4" ht="17.649999999999999" x14ac:dyDescent="0.5">
      <c r="D1411" s="3" t="s">
        <v>53</v>
      </c>
    </row>
    <row r="1412" spans="4:4" ht="17.649999999999999" x14ac:dyDescent="0.5">
      <c r="D1412" s="3" t="s">
        <v>57</v>
      </c>
    </row>
    <row r="1413" spans="4:4" ht="17.649999999999999" x14ac:dyDescent="0.5">
      <c r="D1413" s="3" t="s">
        <v>63</v>
      </c>
    </row>
    <row r="1414" spans="4:4" ht="17.649999999999999" x14ac:dyDescent="0.5">
      <c r="D1414" s="3" t="s">
        <v>59</v>
      </c>
    </row>
    <row r="1415" spans="4:4" ht="17.649999999999999" x14ac:dyDescent="0.5">
      <c r="D1415" s="3" t="s">
        <v>57</v>
      </c>
    </row>
    <row r="1416" spans="4:4" ht="17.649999999999999" x14ac:dyDescent="0.5">
      <c r="D1416" s="3" t="s">
        <v>48</v>
      </c>
    </row>
    <row r="1417" spans="4:4" ht="17.649999999999999" x14ac:dyDescent="0.5">
      <c r="D1417" s="3" t="s">
        <v>83</v>
      </c>
    </row>
    <row r="1418" spans="4:4" ht="17.649999999999999" x14ac:dyDescent="0.5">
      <c r="D1418" s="3" t="s">
        <v>119</v>
      </c>
    </row>
    <row r="1419" spans="4:4" ht="17.649999999999999" x14ac:dyDescent="0.5">
      <c r="D1419" s="3" t="s">
        <v>116</v>
      </c>
    </row>
    <row r="1420" spans="4:4" ht="17.649999999999999" x14ac:dyDescent="0.5">
      <c r="D1420" s="3" t="s">
        <v>56</v>
      </c>
    </row>
    <row r="1421" spans="4:4" ht="17.649999999999999" x14ac:dyDescent="0.5">
      <c r="D1421" s="3" t="s">
        <v>81</v>
      </c>
    </row>
    <row r="1422" spans="4:4" ht="17.649999999999999" x14ac:dyDescent="0.5">
      <c r="D1422" s="3" t="s">
        <v>102</v>
      </c>
    </row>
    <row r="1423" spans="4:4" ht="17.649999999999999" x14ac:dyDescent="0.5">
      <c r="D1423" s="3" t="s">
        <v>94</v>
      </c>
    </row>
    <row r="1424" spans="4:4" ht="17.649999999999999" x14ac:dyDescent="0.5">
      <c r="D1424" s="3" t="s">
        <v>105</v>
      </c>
    </row>
    <row r="1425" spans="4:4" ht="17.649999999999999" x14ac:dyDescent="0.5">
      <c r="D1425" s="3" t="s">
        <v>68</v>
      </c>
    </row>
    <row r="1426" spans="4:4" ht="17.649999999999999" x14ac:dyDescent="0.5">
      <c r="D1426" s="3" t="s">
        <v>91</v>
      </c>
    </row>
    <row r="1427" spans="4:4" ht="17.649999999999999" x14ac:dyDescent="0.5">
      <c r="D1427" s="3" t="s">
        <v>117</v>
      </c>
    </row>
    <row r="1428" spans="4:4" ht="17.649999999999999" x14ac:dyDescent="0.5">
      <c r="D1428" s="3" t="s">
        <v>83</v>
      </c>
    </row>
    <row r="1429" spans="4:4" ht="17.649999999999999" x14ac:dyDescent="0.5">
      <c r="D1429" s="3" t="s">
        <v>75</v>
      </c>
    </row>
    <row r="1430" spans="4:4" ht="17.649999999999999" x14ac:dyDescent="0.5">
      <c r="D1430" s="3" t="s">
        <v>73</v>
      </c>
    </row>
    <row r="1431" spans="4:4" ht="17.649999999999999" x14ac:dyDescent="0.5">
      <c r="D1431" s="3" t="s">
        <v>74</v>
      </c>
    </row>
    <row r="1432" spans="4:4" ht="17.649999999999999" x14ac:dyDescent="0.5">
      <c r="D1432" s="3" t="s">
        <v>81</v>
      </c>
    </row>
    <row r="1433" spans="4:4" ht="17.649999999999999" x14ac:dyDescent="0.5">
      <c r="D1433" s="3" t="s">
        <v>106</v>
      </c>
    </row>
    <row r="1434" spans="4:4" ht="17.649999999999999" x14ac:dyDescent="0.5">
      <c r="D1434" s="3" t="s">
        <v>65</v>
      </c>
    </row>
    <row r="1435" spans="4:4" ht="17.649999999999999" x14ac:dyDescent="0.5">
      <c r="D1435" s="3" t="s">
        <v>85</v>
      </c>
    </row>
    <row r="1436" spans="4:4" ht="17.649999999999999" x14ac:dyDescent="0.5">
      <c r="D1436" s="3" t="s">
        <v>77</v>
      </c>
    </row>
    <row r="1437" spans="4:4" ht="17.649999999999999" x14ac:dyDescent="0.5">
      <c r="D1437" s="3" t="s">
        <v>87</v>
      </c>
    </row>
    <row r="1438" spans="4:4" ht="17.649999999999999" x14ac:dyDescent="0.5">
      <c r="D1438" s="3" t="s">
        <v>134</v>
      </c>
    </row>
    <row r="1439" spans="4:4" ht="17.649999999999999" x14ac:dyDescent="0.5">
      <c r="D1439" s="3" t="s">
        <v>61</v>
      </c>
    </row>
    <row r="1440" spans="4:4" ht="17.649999999999999" x14ac:dyDescent="0.5">
      <c r="D1440" s="3" t="s">
        <v>107</v>
      </c>
    </row>
    <row r="1441" spans="4:4" ht="17.649999999999999" x14ac:dyDescent="0.5">
      <c r="D1441" s="3" t="s">
        <v>50</v>
      </c>
    </row>
    <row r="1442" spans="4:4" ht="17.649999999999999" x14ac:dyDescent="0.5">
      <c r="D1442" s="3" t="s">
        <v>49</v>
      </c>
    </row>
    <row r="1443" spans="4:4" ht="17.649999999999999" x14ac:dyDescent="0.5">
      <c r="D1443" s="3" t="s">
        <v>65</v>
      </c>
    </row>
    <row r="1444" spans="4:4" ht="17.649999999999999" x14ac:dyDescent="0.5">
      <c r="D1444" s="3" t="s">
        <v>77</v>
      </c>
    </row>
    <row r="1445" spans="4:4" ht="17.649999999999999" x14ac:dyDescent="0.5">
      <c r="D1445" s="3" t="s">
        <v>59</v>
      </c>
    </row>
    <row r="1446" spans="4:4" ht="17.649999999999999" x14ac:dyDescent="0.5">
      <c r="D1446" s="3" t="s">
        <v>112</v>
      </c>
    </row>
    <row r="1447" spans="4:4" ht="17.649999999999999" x14ac:dyDescent="0.5">
      <c r="D1447" s="3" t="s">
        <v>85</v>
      </c>
    </row>
    <row r="1448" spans="4:4" ht="17.649999999999999" x14ac:dyDescent="0.5">
      <c r="D1448" s="3" t="s">
        <v>73</v>
      </c>
    </row>
    <row r="1449" spans="4:4" ht="17.649999999999999" x14ac:dyDescent="0.5">
      <c r="D1449" s="3" t="s">
        <v>88</v>
      </c>
    </row>
    <row r="1450" spans="4:4" ht="17.649999999999999" x14ac:dyDescent="0.5">
      <c r="D1450" s="3" t="s">
        <v>53</v>
      </c>
    </row>
    <row r="1451" spans="4:4" ht="17.649999999999999" x14ac:dyDescent="0.5">
      <c r="D1451" s="3" t="s">
        <v>70</v>
      </c>
    </row>
    <row r="1452" spans="4:4" ht="17.649999999999999" x14ac:dyDescent="0.5">
      <c r="D1452" s="3" t="s">
        <v>49</v>
      </c>
    </row>
    <row r="1453" spans="4:4" ht="17.649999999999999" x14ac:dyDescent="0.5">
      <c r="D1453" s="3" t="s">
        <v>56</v>
      </c>
    </row>
    <row r="1454" spans="4:4" ht="17.649999999999999" x14ac:dyDescent="0.5">
      <c r="D1454" s="3" t="s">
        <v>83</v>
      </c>
    </row>
    <row r="1455" spans="4:4" ht="17.649999999999999" x14ac:dyDescent="0.5">
      <c r="D1455" s="3" t="s">
        <v>56</v>
      </c>
    </row>
    <row r="1456" spans="4:4" ht="17.649999999999999" x14ac:dyDescent="0.5">
      <c r="D1456" s="3" t="s">
        <v>78</v>
      </c>
    </row>
    <row r="1457" spans="4:4" ht="17.649999999999999" x14ac:dyDescent="0.5">
      <c r="D1457" s="3" t="s">
        <v>58</v>
      </c>
    </row>
    <row r="1458" spans="4:4" ht="17.649999999999999" x14ac:dyDescent="0.5">
      <c r="D1458" s="3" t="s">
        <v>85</v>
      </c>
    </row>
    <row r="1459" spans="4:4" ht="17.649999999999999" x14ac:dyDescent="0.5">
      <c r="D1459" s="3" t="s">
        <v>41</v>
      </c>
    </row>
    <row r="1460" spans="4:4" ht="17.649999999999999" x14ac:dyDescent="0.5">
      <c r="D1460" s="3" t="s">
        <v>94</v>
      </c>
    </row>
    <row r="1461" spans="4:4" ht="17.649999999999999" x14ac:dyDescent="0.5">
      <c r="D1461" s="3" t="s">
        <v>56</v>
      </c>
    </row>
    <row r="1462" spans="4:4" ht="17.649999999999999" x14ac:dyDescent="0.5">
      <c r="D1462" s="3" t="s">
        <v>80</v>
      </c>
    </row>
    <row r="1463" spans="4:4" ht="17.649999999999999" x14ac:dyDescent="0.5">
      <c r="D1463" s="3" t="s">
        <v>101</v>
      </c>
    </row>
    <row r="1464" spans="4:4" ht="17.649999999999999" x14ac:dyDescent="0.5">
      <c r="D1464" s="3" t="s">
        <v>51</v>
      </c>
    </row>
    <row r="1465" spans="4:4" ht="17.649999999999999" x14ac:dyDescent="0.5">
      <c r="D1465" s="3" t="s">
        <v>49</v>
      </c>
    </row>
    <row r="1466" spans="4:4" ht="17.649999999999999" x14ac:dyDescent="0.5">
      <c r="D1466" s="3" t="s">
        <v>64</v>
      </c>
    </row>
    <row r="1467" spans="4:4" ht="17.649999999999999" x14ac:dyDescent="0.5">
      <c r="D1467" s="3" t="s">
        <v>86</v>
      </c>
    </row>
    <row r="1468" spans="4:4" ht="17.649999999999999" x14ac:dyDescent="0.5">
      <c r="D1468" s="3" t="s">
        <v>92</v>
      </c>
    </row>
    <row r="1469" spans="4:4" ht="17.649999999999999" x14ac:dyDescent="0.5">
      <c r="D1469" s="3" t="s">
        <v>74</v>
      </c>
    </row>
    <row r="1470" spans="4:4" ht="17.649999999999999" x14ac:dyDescent="0.5">
      <c r="D1470" s="3" t="s">
        <v>68</v>
      </c>
    </row>
    <row r="1471" spans="4:4" ht="17.649999999999999" x14ac:dyDescent="0.5">
      <c r="D1471" s="3" t="s">
        <v>89</v>
      </c>
    </row>
    <row r="1472" spans="4:4" ht="17.649999999999999" x14ac:dyDescent="0.5">
      <c r="D1472" s="3" t="s">
        <v>117</v>
      </c>
    </row>
    <row r="1473" spans="4:4" ht="17.649999999999999" x14ac:dyDescent="0.5">
      <c r="D1473" s="3" t="s">
        <v>44</v>
      </c>
    </row>
    <row r="1474" spans="4:4" ht="17.649999999999999" x14ac:dyDescent="0.5">
      <c r="D1474" s="3" t="s">
        <v>77</v>
      </c>
    </row>
    <row r="1475" spans="4:4" ht="17.649999999999999" x14ac:dyDescent="0.5">
      <c r="D1475" s="3" t="s">
        <v>46</v>
      </c>
    </row>
    <row r="1476" spans="4:4" ht="17.649999999999999" x14ac:dyDescent="0.5">
      <c r="D1476" s="3" t="s">
        <v>77</v>
      </c>
    </row>
    <row r="1477" spans="4:4" ht="17.649999999999999" x14ac:dyDescent="0.5">
      <c r="D1477" s="3" t="s">
        <v>54</v>
      </c>
    </row>
    <row r="1478" spans="4:4" ht="17.649999999999999" x14ac:dyDescent="0.5">
      <c r="D1478" s="3" t="s">
        <v>58</v>
      </c>
    </row>
    <row r="1479" spans="4:4" ht="17.649999999999999" x14ac:dyDescent="0.5">
      <c r="D1479" s="3" t="s">
        <v>61</v>
      </c>
    </row>
    <row r="1480" spans="4:4" ht="17.649999999999999" x14ac:dyDescent="0.5">
      <c r="D1480" s="3" t="s">
        <v>126</v>
      </c>
    </row>
    <row r="1481" spans="4:4" ht="17.649999999999999" x14ac:dyDescent="0.5">
      <c r="D1481" s="3" t="s">
        <v>90</v>
      </c>
    </row>
    <row r="1482" spans="4:4" ht="17.649999999999999" x14ac:dyDescent="0.5">
      <c r="D1482" s="3" t="s">
        <v>105</v>
      </c>
    </row>
    <row r="1483" spans="4:4" ht="17.649999999999999" x14ac:dyDescent="0.5">
      <c r="D1483" s="3" t="s">
        <v>95</v>
      </c>
    </row>
    <row r="1484" spans="4:4" ht="17.649999999999999" x14ac:dyDescent="0.5">
      <c r="D1484" s="3" t="s">
        <v>115</v>
      </c>
    </row>
    <row r="1485" spans="4:4" ht="17.649999999999999" x14ac:dyDescent="0.5">
      <c r="D1485" s="3" t="s">
        <v>77</v>
      </c>
    </row>
    <row r="1486" spans="4:4" ht="17.649999999999999" x14ac:dyDescent="0.5">
      <c r="D1486" s="3" t="s">
        <v>85</v>
      </c>
    </row>
    <row r="1487" spans="4:4" ht="17.649999999999999" x14ac:dyDescent="0.5">
      <c r="D1487" s="3" t="s">
        <v>46</v>
      </c>
    </row>
    <row r="1488" spans="4:4" ht="17.649999999999999" x14ac:dyDescent="0.5">
      <c r="D1488" s="3" t="s">
        <v>69</v>
      </c>
    </row>
    <row r="1489" spans="4:4" ht="17.649999999999999" x14ac:dyDescent="0.5">
      <c r="D1489" s="3" t="s">
        <v>41</v>
      </c>
    </row>
    <row r="1490" spans="4:4" ht="17.649999999999999" x14ac:dyDescent="0.5">
      <c r="D1490" s="3" t="s">
        <v>90</v>
      </c>
    </row>
    <row r="1491" spans="4:4" ht="17.649999999999999" x14ac:dyDescent="0.5">
      <c r="D1491" s="3" t="s">
        <v>56</v>
      </c>
    </row>
    <row r="1492" spans="4:4" ht="17.649999999999999" x14ac:dyDescent="0.5">
      <c r="D1492" s="3" t="s">
        <v>64</v>
      </c>
    </row>
    <row r="1493" spans="4:4" ht="17.649999999999999" x14ac:dyDescent="0.5">
      <c r="D1493" s="3" t="s">
        <v>117</v>
      </c>
    </row>
    <row r="1494" spans="4:4" ht="17.649999999999999" x14ac:dyDescent="0.5">
      <c r="D1494" s="3" t="s">
        <v>54</v>
      </c>
    </row>
    <row r="1495" spans="4:4" ht="17.649999999999999" x14ac:dyDescent="0.5">
      <c r="D1495" s="3" t="s">
        <v>46</v>
      </c>
    </row>
    <row r="1496" spans="4:4" ht="17.649999999999999" x14ac:dyDescent="0.5">
      <c r="D1496" s="3" t="s">
        <v>96</v>
      </c>
    </row>
    <row r="1497" spans="4:4" ht="17.649999999999999" x14ac:dyDescent="0.5">
      <c r="D1497" s="3" t="s">
        <v>66</v>
      </c>
    </row>
    <row r="1498" spans="4:4" ht="17.649999999999999" x14ac:dyDescent="0.5">
      <c r="D1498" s="3" t="s">
        <v>57</v>
      </c>
    </row>
    <row r="1499" spans="4:4" ht="17.649999999999999" x14ac:dyDescent="0.5">
      <c r="D1499" s="3" t="s">
        <v>88</v>
      </c>
    </row>
    <row r="1500" spans="4:4" ht="17.649999999999999" x14ac:dyDescent="0.5">
      <c r="D1500" s="3" t="s">
        <v>43</v>
      </c>
    </row>
    <row r="1501" spans="4:4" ht="17.649999999999999" x14ac:dyDescent="0.5">
      <c r="D1501" s="3" t="s">
        <v>54</v>
      </c>
    </row>
    <row r="1502" spans="4:4" ht="17.649999999999999" x14ac:dyDescent="0.5">
      <c r="D1502" s="3" t="s">
        <v>41</v>
      </c>
    </row>
    <row r="1503" spans="4:4" ht="17.649999999999999" x14ac:dyDescent="0.5">
      <c r="D1503" s="3" t="s">
        <v>76</v>
      </c>
    </row>
    <row r="1504" spans="4:4" ht="17.649999999999999" x14ac:dyDescent="0.5">
      <c r="D1504" s="3" t="s">
        <v>128</v>
      </c>
    </row>
    <row r="1505" spans="4:4" ht="17.649999999999999" x14ac:dyDescent="0.5">
      <c r="D1505" s="3" t="s">
        <v>62</v>
      </c>
    </row>
    <row r="1506" spans="4:4" ht="17.649999999999999" x14ac:dyDescent="0.5">
      <c r="D1506" s="3" t="s">
        <v>84</v>
      </c>
    </row>
    <row r="1507" spans="4:4" ht="17.649999999999999" x14ac:dyDescent="0.5">
      <c r="D1507" s="3" t="s">
        <v>117</v>
      </c>
    </row>
    <row r="1508" spans="4:4" ht="17.649999999999999" x14ac:dyDescent="0.5">
      <c r="D1508" s="3" t="s">
        <v>63</v>
      </c>
    </row>
    <row r="1509" spans="4:4" ht="17.649999999999999" x14ac:dyDescent="0.5">
      <c r="D1509" s="3" t="s">
        <v>111</v>
      </c>
    </row>
    <row r="1510" spans="4:4" ht="17.649999999999999" x14ac:dyDescent="0.5">
      <c r="D1510" s="3" t="s">
        <v>49</v>
      </c>
    </row>
    <row r="1511" spans="4:4" ht="17.649999999999999" x14ac:dyDescent="0.5">
      <c r="D1511" s="3" t="s">
        <v>68</v>
      </c>
    </row>
    <row r="1512" spans="4:4" ht="17.649999999999999" x14ac:dyDescent="0.5">
      <c r="D1512" s="3" t="s">
        <v>103</v>
      </c>
    </row>
    <row r="1513" spans="4:4" ht="17.649999999999999" x14ac:dyDescent="0.5">
      <c r="D1513" s="3" t="s">
        <v>77</v>
      </c>
    </row>
    <row r="1514" spans="4:4" ht="17.649999999999999" x14ac:dyDescent="0.5">
      <c r="D1514" s="3" t="s">
        <v>88</v>
      </c>
    </row>
    <row r="1515" spans="4:4" ht="17.649999999999999" x14ac:dyDescent="0.5">
      <c r="D1515" s="3" t="s">
        <v>86</v>
      </c>
    </row>
    <row r="1516" spans="4:4" ht="17.649999999999999" x14ac:dyDescent="0.5">
      <c r="D1516" s="3" t="s">
        <v>46</v>
      </c>
    </row>
    <row r="1517" spans="4:4" ht="17.649999999999999" x14ac:dyDescent="0.5">
      <c r="D1517" s="3" t="s">
        <v>107</v>
      </c>
    </row>
    <row r="1518" spans="4:4" ht="17.649999999999999" x14ac:dyDescent="0.5">
      <c r="D1518" s="3" t="s">
        <v>49</v>
      </c>
    </row>
    <row r="1519" spans="4:4" ht="17.649999999999999" x14ac:dyDescent="0.5">
      <c r="D1519" s="3" t="s">
        <v>41</v>
      </c>
    </row>
    <row r="1520" spans="4:4" ht="17.649999999999999" x14ac:dyDescent="0.5">
      <c r="D1520" s="3" t="s">
        <v>59</v>
      </c>
    </row>
    <row r="1521" spans="4:4" ht="17.649999999999999" x14ac:dyDescent="0.5">
      <c r="D1521" s="3" t="s">
        <v>67</v>
      </c>
    </row>
    <row r="1522" spans="4:4" ht="17.649999999999999" x14ac:dyDescent="0.5">
      <c r="D1522" s="3" t="s">
        <v>96</v>
      </c>
    </row>
    <row r="1523" spans="4:4" ht="17.649999999999999" x14ac:dyDescent="0.5">
      <c r="D1523" s="3" t="s">
        <v>92</v>
      </c>
    </row>
    <row r="1524" spans="4:4" ht="17.649999999999999" x14ac:dyDescent="0.5">
      <c r="D1524" s="3" t="s">
        <v>125</v>
      </c>
    </row>
    <row r="1525" spans="4:4" ht="17.649999999999999" x14ac:dyDescent="0.5">
      <c r="D1525" s="3" t="s">
        <v>70</v>
      </c>
    </row>
    <row r="1526" spans="4:4" ht="17.649999999999999" x14ac:dyDescent="0.5">
      <c r="D1526" s="3" t="s">
        <v>117</v>
      </c>
    </row>
    <row r="1527" spans="4:4" ht="17.649999999999999" x14ac:dyDescent="0.5">
      <c r="D1527" s="3" t="s">
        <v>93</v>
      </c>
    </row>
    <row r="1528" spans="4:4" ht="17.649999999999999" x14ac:dyDescent="0.5">
      <c r="D1528" s="3" t="s">
        <v>98</v>
      </c>
    </row>
    <row r="1529" spans="4:4" ht="17.649999999999999" x14ac:dyDescent="0.5">
      <c r="D1529" s="3" t="s">
        <v>61</v>
      </c>
    </row>
    <row r="1530" spans="4:4" ht="17.649999999999999" x14ac:dyDescent="0.5">
      <c r="D1530" s="3" t="s">
        <v>48</v>
      </c>
    </row>
    <row r="1531" spans="4:4" ht="17.649999999999999" x14ac:dyDescent="0.5">
      <c r="D1531" s="3" t="s">
        <v>105</v>
      </c>
    </row>
    <row r="1532" spans="4:4" ht="17.649999999999999" x14ac:dyDescent="0.5">
      <c r="D1532" s="3" t="s">
        <v>112</v>
      </c>
    </row>
    <row r="1533" spans="4:4" ht="17.649999999999999" x14ac:dyDescent="0.5">
      <c r="D1533" s="3" t="s">
        <v>53</v>
      </c>
    </row>
    <row r="1534" spans="4:4" ht="17.649999999999999" x14ac:dyDescent="0.5">
      <c r="D1534" s="3" t="s">
        <v>75</v>
      </c>
    </row>
    <row r="1535" spans="4:4" ht="17.649999999999999" x14ac:dyDescent="0.5">
      <c r="D1535" s="3" t="s">
        <v>118</v>
      </c>
    </row>
    <row r="1536" spans="4:4" ht="17.649999999999999" x14ac:dyDescent="0.5">
      <c r="D1536" s="3" t="s">
        <v>105</v>
      </c>
    </row>
    <row r="1537" spans="4:4" ht="17.649999999999999" x14ac:dyDescent="0.5">
      <c r="D1537" s="3" t="s">
        <v>53</v>
      </c>
    </row>
    <row r="1538" spans="4:4" ht="17.649999999999999" x14ac:dyDescent="0.5">
      <c r="D1538" s="3" t="s">
        <v>80</v>
      </c>
    </row>
    <row r="1539" spans="4:4" ht="17.649999999999999" x14ac:dyDescent="0.5">
      <c r="D1539" s="3" t="s">
        <v>132</v>
      </c>
    </row>
    <row r="1540" spans="4:4" ht="17.649999999999999" x14ac:dyDescent="0.5">
      <c r="D1540" s="3" t="s">
        <v>90</v>
      </c>
    </row>
    <row r="1541" spans="4:4" ht="17.649999999999999" x14ac:dyDescent="0.5">
      <c r="D1541" s="3" t="s">
        <v>75</v>
      </c>
    </row>
    <row r="1542" spans="4:4" ht="17.649999999999999" x14ac:dyDescent="0.5">
      <c r="D1542" s="3" t="s">
        <v>48</v>
      </c>
    </row>
    <row r="1543" spans="4:4" ht="17.649999999999999" x14ac:dyDescent="0.5">
      <c r="D1543" s="3" t="s">
        <v>117</v>
      </c>
    </row>
    <row r="1544" spans="4:4" ht="17.649999999999999" x14ac:dyDescent="0.5">
      <c r="D1544" s="3" t="s">
        <v>119</v>
      </c>
    </row>
    <row r="1545" spans="4:4" ht="17.649999999999999" x14ac:dyDescent="0.5">
      <c r="D1545" s="3" t="s">
        <v>118</v>
      </c>
    </row>
    <row r="1546" spans="4:4" ht="17.649999999999999" x14ac:dyDescent="0.5">
      <c r="D1546" s="3" t="s">
        <v>48</v>
      </c>
    </row>
    <row r="1547" spans="4:4" ht="17.649999999999999" x14ac:dyDescent="0.5">
      <c r="D1547" s="3" t="s">
        <v>52</v>
      </c>
    </row>
    <row r="1548" spans="4:4" ht="17.649999999999999" x14ac:dyDescent="0.5">
      <c r="D1548" s="3" t="s">
        <v>92</v>
      </c>
    </row>
    <row r="1549" spans="4:4" ht="17.649999999999999" x14ac:dyDescent="0.5">
      <c r="D1549" s="3" t="s">
        <v>47</v>
      </c>
    </row>
    <row r="1550" spans="4:4" ht="17.649999999999999" x14ac:dyDescent="0.5">
      <c r="D1550" s="3" t="s">
        <v>48</v>
      </c>
    </row>
    <row r="1551" spans="4:4" ht="17.649999999999999" x14ac:dyDescent="0.5">
      <c r="D1551" s="3" t="s">
        <v>126</v>
      </c>
    </row>
    <row r="1552" spans="4:4" ht="17.649999999999999" x14ac:dyDescent="0.5">
      <c r="D1552" s="3" t="s">
        <v>77</v>
      </c>
    </row>
    <row r="1553" spans="4:4" ht="17.649999999999999" x14ac:dyDescent="0.5">
      <c r="D1553" s="3" t="s">
        <v>115</v>
      </c>
    </row>
    <row r="1554" spans="4:4" ht="17.649999999999999" x14ac:dyDescent="0.5">
      <c r="D1554" s="3" t="s">
        <v>51</v>
      </c>
    </row>
    <row r="1555" spans="4:4" ht="17.649999999999999" x14ac:dyDescent="0.5">
      <c r="D1555" s="3" t="s">
        <v>77</v>
      </c>
    </row>
    <row r="1556" spans="4:4" ht="17.649999999999999" x14ac:dyDescent="0.5">
      <c r="D1556" s="3" t="s">
        <v>65</v>
      </c>
    </row>
    <row r="1557" spans="4:4" ht="17.649999999999999" x14ac:dyDescent="0.5">
      <c r="D1557" s="3" t="s">
        <v>89</v>
      </c>
    </row>
    <row r="1558" spans="4:4" ht="17.649999999999999" x14ac:dyDescent="0.5">
      <c r="D1558" s="3" t="s">
        <v>102</v>
      </c>
    </row>
    <row r="1559" spans="4:4" ht="17.649999999999999" x14ac:dyDescent="0.5">
      <c r="D1559" s="3" t="s">
        <v>54</v>
      </c>
    </row>
    <row r="1560" spans="4:4" ht="17.649999999999999" x14ac:dyDescent="0.5">
      <c r="D1560" s="3" t="s">
        <v>66</v>
      </c>
    </row>
    <row r="1561" spans="4:4" ht="17.649999999999999" x14ac:dyDescent="0.5">
      <c r="D1561" s="3" t="s">
        <v>98</v>
      </c>
    </row>
    <row r="1562" spans="4:4" ht="17.649999999999999" x14ac:dyDescent="0.5">
      <c r="D1562" s="3" t="s">
        <v>96</v>
      </c>
    </row>
    <row r="1563" spans="4:4" ht="17.649999999999999" x14ac:dyDescent="0.5">
      <c r="D1563" s="3" t="s">
        <v>52</v>
      </c>
    </row>
    <row r="1564" spans="4:4" ht="17.649999999999999" x14ac:dyDescent="0.5">
      <c r="D1564" s="3" t="s">
        <v>115</v>
      </c>
    </row>
    <row r="1565" spans="4:4" ht="17.649999999999999" x14ac:dyDescent="0.5">
      <c r="D1565" s="3" t="s">
        <v>48</v>
      </c>
    </row>
    <row r="1566" spans="4:4" ht="17.649999999999999" x14ac:dyDescent="0.5">
      <c r="D1566" s="3" t="s">
        <v>75</v>
      </c>
    </row>
    <row r="1567" spans="4:4" ht="17.649999999999999" x14ac:dyDescent="0.5">
      <c r="D1567" s="3" t="s">
        <v>68</v>
      </c>
    </row>
    <row r="1568" spans="4:4" ht="17.649999999999999" x14ac:dyDescent="0.5">
      <c r="D1568" s="3" t="s">
        <v>56</v>
      </c>
    </row>
    <row r="1569" spans="4:4" ht="17.649999999999999" x14ac:dyDescent="0.5">
      <c r="D1569" s="3" t="s">
        <v>50</v>
      </c>
    </row>
    <row r="1570" spans="4:4" ht="17.649999999999999" x14ac:dyDescent="0.5">
      <c r="D1570" s="3" t="s">
        <v>122</v>
      </c>
    </row>
    <row r="1571" spans="4:4" ht="17.649999999999999" x14ac:dyDescent="0.5">
      <c r="D1571" s="3" t="s">
        <v>92</v>
      </c>
    </row>
    <row r="1572" spans="4:4" ht="17.649999999999999" x14ac:dyDescent="0.5">
      <c r="D1572" s="3" t="s">
        <v>62</v>
      </c>
    </row>
    <row r="1573" spans="4:4" ht="17.649999999999999" x14ac:dyDescent="0.5">
      <c r="D1573" s="3" t="s">
        <v>55</v>
      </c>
    </row>
    <row r="1574" spans="4:4" ht="17.649999999999999" x14ac:dyDescent="0.5">
      <c r="D1574" s="3" t="s">
        <v>107</v>
      </c>
    </row>
    <row r="1575" spans="4:4" ht="17.649999999999999" x14ac:dyDescent="0.5">
      <c r="D1575" s="3" t="s">
        <v>117</v>
      </c>
    </row>
    <row r="1576" spans="4:4" ht="17.649999999999999" x14ac:dyDescent="0.5">
      <c r="D1576" s="3" t="s">
        <v>81</v>
      </c>
    </row>
    <row r="1577" spans="4:4" ht="17.649999999999999" x14ac:dyDescent="0.5">
      <c r="D1577" s="3" t="s">
        <v>41</v>
      </c>
    </row>
    <row r="1578" spans="4:4" ht="17.649999999999999" x14ac:dyDescent="0.5">
      <c r="D1578" s="3" t="s">
        <v>57</v>
      </c>
    </row>
    <row r="1579" spans="4:4" ht="17.649999999999999" x14ac:dyDescent="0.5">
      <c r="D1579" s="3" t="s">
        <v>124</v>
      </c>
    </row>
    <row r="1580" spans="4:4" ht="17.649999999999999" x14ac:dyDescent="0.5">
      <c r="D1580" s="3" t="s">
        <v>55</v>
      </c>
    </row>
    <row r="1581" spans="4:4" ht="17.649999999999999" x14ac:dyDescent="0.5">
      <c r="D1581" s="3" t="s">
        <v>78</v>
      </c>
    </row>
    <row r="1582" spans="4:4" ht="17.649999999999999" x14ac:dyDescent="0.5">
      <c r="D1582" s="3" t="s">
        <v>136</v>
      </c>
    </row>
    <row r="1583" spans="4:4" ht="17.649999999999999" x14ac:dyDescent="0.5">
      <c r="D1583" s="3" t="s">
        <v>54</v>
      </c>
    </row>
    <row r="1584" spans="4:4" ht="17.649999999999999" x14ac:dyDescent="0.5">
      <c r="D1584" s="3" t="s">
        <v>46</v>
      </c>
    </row>
    <row r="1585" spans="4:4" ht="17.649999999999999" x14ac:dyDescent="0.5">
      <c r="D1585" s="3" t="s">
        <v>90</v>
      </c>
    </row>
    <row r="1586" spans="4:4" ht="17.649999999999999" x14ac:dyDescent="0.5">
      <c r="D1586" s="3" t="s">
        <v>42</v>
      </c>
    </row>
    <row r="1587" spans="4:4" ht="17.649999999999999" x14ac:dyDescent="0.5">
      <c r="D1587" s="3" t="s">
        <v>96</v>
      </c>
    </row>
    <row r="1588" spans="4:4" ht="17.649999999999999" x14ac:dyDescent="0.5">
      <c r="D1588" s="3" t="s">
        <v>81</v>
      </c>
    </row>
    <row r="1589" spans="4:4" ht="17.649999999999999" x14ac:dyDescent="0.5">
      <c r="D1589" s="3" t="s">
        <v>45</v>
      </c>
    </row>
    <row r="1590" spans="4:4" ht="17.649999999999999" x14ac:dyDescent="0.5">
      <c r="D1590" s="3" t="s">
        <v>75</v>
      </c>
    </row>
    <row r="1591" spans="4:4" ht="17.649999999999999" x14ac:dyDescent="0.5">
      <c r="D1591" s="3" t="s">
        <v>73</v>
      </c>
    </row>
    <row r="1592" spans="4:4" ht="17.649999999999999" x14ac:dyDescent="0.5">
      <c r="D1592" s="3" t="s">
        <v>78</v>
      </c>
    </row>
    <row r="1593" spans="4:4" ht="17.649999999999999" x14ac:dyDescent="0.5">
      <c r="D1593" s="3" t="s">
        <v>101</v>
      </c>
    </row>
    <row r="1594" spans="4:4" ht="17.649999999999999" x14ac:dyDescent="0.5">
      <c r="D1594" s="3" t="s">
        <v>49</v>
      </c>
    </row>
    <row r="1595" spans="4:4" ht="17.649999999999999" x14ac:dyDescent="0.5">
      <c r="D1595" s="3" t="s">
        <v>136</v>
      </c>
    </row>
    <row r="1596" spans="4:4" ht="17.649999999999999" x14ac:dyDescent="0.5">
      <c r="D1596" s="3" t="s">
        <v>78</v>
      </c>
    </row>
    <row r="1597" spans="4:4" ht="17.649999999999999" x14ac:dyDescent="0.5">
      <c r="D1597" s="3" t="s">
        <v>74</v>
      </c>
    </row>
    <row r="1598" spans="4:4" ht="17.649999999999999" x14ac:dyDescent="0.5">
      <c r="D1598" s="3" t="s">
        <v>90</v>
      </c>
    </row>
    <row r="1599" spans="4:4" ht="17.649999999999999" x14ac:dyDescent="0.5">
      <c r="D1599" s="3" t="s">
        <v>126</v>
      </c>
    </row>
    <row r="1600" spans="4:4" ht="17.649999999999999" x14ac:dyDescent="0.5">
      <c r="D1600" s="3" t="s">
        <v>48</v>
      </c>
    </row>
    <row r="1601" spans="4:4" ht="17.649999999999999" x14ac:dyDescent="0.5">
      <c r="D1601" s="3" t="s">
        <v>69</v>
      </c>
    </row>
    <row r="1602" spans="4:4" ht="17.649999999999999" x14ac:dyDescent="0.5">
      <c r="D1602" s="3" t="s">
        <v>115</v>
      </c>
    </row>
    <row r="1603" spans="4:4" ht="17.649999999999999" x14ac:dyDescent="0.5">
      <c r="D1603" s="3" t="s">
        <v>105</v>
      </c>
    </row>
    <row r="1604" spans="4:4" ht="17.649999999999999" x14ac:dyDescent="0.5">
      <c r="D1604" s="3" t="s">
        <v>85</v>
      </c>
    </row>
    <row r="1605" spans="4:4" ht="17.649999999999999" x14ac:dyDescent="0.5">
      <c r="D1605" s="3" t="s">
        <v>41</v>
      </c>
    </row>
    <row r="1606" spans="4:4" ht="17.649999999999999" x14ac:dyDescent="0.5">
      <c r="D1606" s="3" t="s">
        <v>61</v>
      </c>
    </row>
    <row r="1607" spans="4:4" ht="17.649999999999999" x14ac:dyDescent="0.5">
      <c r="D1607" s="3" t="s">
        <v>91</v>
      </c>
    </row>
    <row r="1608" spans="4:4" ht="17.649999999999999" x14ac:dyDescent="0.5">
      <c r="D1608" s="3" t="s">
        <v>73</v>
      </c>
    </row>
    <row r="1609" spans="4:4" ht="17.649999999999999" x14ac:dyDescent="0.5">
      <c r="D1609" s="3" t="s">
        <v>44</v>
      </c>
    </row>
    <row r="1610" spans="4:4" ht="17.649999999999999" x14ac:dyDescent="0.5">
      <c r="D1610" s="3" t="s">
        <v>126</v>
      </c>
    </row>
    <row r="1611" spans="4:4" ht="17.649999999999999" x14ac:dyDescent="0.5">
      <c r="D1611" s="3" t="s">
        <v>94</v>
      </c>
    </row>
    <row r="1612" spans="4:4" ht="17.649999999999999" x14ac:dyDescent="0.5">
      <c r="D1612" s="3" t="s">
        <v>70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44</v>
      </c>
    </row>
    <row r="1615" spans="4:4" ht="17.649999999999999" x14ac:dyDescent="0.5">
      <c r="D1615" s="3" t="s">
        <v>69</v>
      </c>
    </row>
    <row r="1616" spans="4:4" ht="17.649999999999999" x14ac:dyDescent="0.5">
      <c r="D1616" s="3" t="s">
        <v>47</v>
      </c>
    </row>
    <row r="1617" spans="4:4" ht="17.649999999999999" x14ac:dyDescent="0.5">
      <c r="D1617" s="3" t="s">
        <v>81</v>
      </c>
    </row>
    <row r="1618" spans="4:4" ht="17.649999999999999" x14ac:dyDescent="0.5">
      <c r="D1618" s="3" t="s">
        <v>107</v>
      </c>
    </row>
    <row r="1619" spans="4:4" ht="17.649999999999999" x14ac:dyDescent="0.5">
      <c r="D1619" s="3" t="s">
        <v>104</v>
      </c>
    </row>
    <row r="1620" spans="4:4" ht="17.649999999999999" x14ac:dyDescent="0.5">
      <c r="D1620" s="3" t="s">
        <v>115</v>
      </c>
    </row>
    <row r="1621" spans="4:4" ht="17.649999999999999" x14ac:dyDescent="0.5">
      <c r="D1621" s="3" t="s">
        <v>83</v>
      </c>
    </row>
    <row r="1622" spans="4:4" ht="17.649999999999999" x14ac:dyDescent="0.5">
      <c r="D1622" s="3" t="s">
        <v>92</v>
      </c>
    </row>
    <row r="1623" spans="4:4" ht="17.649999999999999" x14ac:dyDescent="0.5">
      <c r="D1623" s="3" t="s">
        <v>71</v>
      </c>
    </row>
    <row r="1624" spans="4:4" ht="17.649999999999999" x14ac:dyDescent="0.5">
      <c r="D1624" s="3" t="s">
        <v>133</v>
      </c>
    </row>
    <row r="1625" spans="4:4" ht="17.649999999999999" x14ac:dyDescent="0.5">
      <c r="D1625" s="3" t="s">
        <v>114</v>
      </c>
    </row>
    <row r="1626" spans="4:4" ht="17.649999999999999" x14ac:dyDescent="0.5">
      <c r="D1626" s="3" t="s">
        <v>52</v>
      </c>
    </row>
    <row r="1627" spans="4:4" ht="17.649999999999999" x14ac:dyDescent="0.5">
      <c r="D1627" s="3" t="s">
        <v>59</v>
      </c>
    </row>
    <row r="1628" spans="4:4" ht="17.649999999999999" x14ac:dyDescent="0.5">
      <c r="D1628" s="3" t="s">
        <v>101</v>
      </c>
    </row>
    <row r="1629" spans="4:4" ht="17.649999999999999" x14ac:dyDescent="0.5">
      <c r="D1629" s="3" t="s">
        <v>51</v>
      </c>
    </row>
    <row r="1630" spans="4:4" ht="17.649999999999999" x14ac:dyDescent="0.5">
      <c r="D1630" s="3" t="s">
        <v>52</v>
      </c>
    </row>
    <row r="1631" spans="4:4" ht="17.649999999999999" x14ac:dyDescent="0.5">
      <c r="D1631" s="3" t="s">
        <v>128</v>
      </c>
    </row>
    <row r="1632" spans="4:4" ht="17.649999999999999" x14ac:dyDescent="0.5">
      <c r="D1632" s="3" t="s">
        <v>43</v>
      </c>
    </row>
    <row r="1633" spans="4:4" ht="17.649999999999999" x14ac:dyDescent="0.5">
      <c r="D1633" s="3" t="s">
        <v>87</v>
      </c>
    </row>
    <row r="1634" spans="4:4" ht="17.649999999999999" x14ac:dyDescent="0.5">
      <c r="D1634" s="3" t="s">
        <v>115</v>
      </c>
    </row>
    <row r="1635" spans="4:4" ht="17.649999999999999" x14ac:dyDescent="0.5">
      <c r="D1635" s="3" t="s">
        <v>83</v>
      </c>
    </row>
    <row r="1636" spans="4:4" ht="17.649999999999999" x14ac:dyDescent="0.5">
      <c r="D1636" s="3" t="s">
        <v>133</v>
      </c>
    </row>
    <row r="1637" spans="4:4" ht="17.649999999999999" x14ac:dyDescent="0.5">
      <c r="D1637" s="3" t="s">
        <v>92</v>
      </c>
    </row>
    <row r="1638" spans="4:4" ht="17.649999999999999" x14ac:dyDescent="0.5">
      <c r="D1638" s="3" t="s">
        <v>47</v>
      </c>
    </row>
    <row r="1639" spans="4:4" ht="17.649999999999999" x14ac:dyDescent="0.5">
      <c r="D1639" s="3" t="s">
        <v>75</v>
      </c>
    </row>
    <row r="1640" spans="4:4" ht="17.649999999999999" x14ac:dyDescent="0.5">
      <c r="D1640" s="3" t="s">
        <v>122</v>
      </c>
    </row>
    <row r="1641" spans="4:4" ht="17.649999999999999" x14ac:dyDescent="0.5">
      <c r="D1641" s="3" t="s">
        <v>108</v>
      </c>
    </row>
    <row r="1642" spans="4:4" ht="17.649999999999999" x14ac:dyDescent="0.5">
      <c r="D1642" s="3" t="s">
        <v>97</v>
      </c>
    </row>
    <row r="1643" spans="4:4" ht="17.649999999999999" x14ac:dyDescent="0.5">
      <c r="D1643" s="3" t="s">
        <v>115</v>
      </c>
    </row>
    <row r="1644" spans="4:4" ht="17.649999999999999" x14ac:dyDescent="0.5">
      <c r="D1644" s="3" t="s">
        <v>50</v>
      </c>
    </row>
    <row r="1645" spans="4:4" ht="17.649999999999999" x14ac:dyDescent="0.5">
      <c r="D1645" s="3" t="s">
        <v>84</v>
      </c>
    </row>
    <row r="1646" spans="4:4" ht="17.649999999999999" x14ac:dyDescent="0.5">
      <c r="D1646" s="3" t="s">
        <v>134</v>
      </c>
    </row>
    <row r="1647" spans="4:4" ht="17.649999999999999" x14ac:dyDescent="0.5">
      <c r="D1647" s="3" t="s">
        <v>43</v>
      </c>
    </row>
    <row r="1648" spans="4:4" ht="17.649999999999999" x14ac:dyDescent="0.5">
      <c r="D1648" s="3" t="s">
        <v>74</v>
      </c>
    </row>
    <row r="1649" spans="4:4" ht="17.649999999999999" x14ac:dyDescent="0.5">
      <c r="D1649" s="3" t="s">
        <v>78</v>
      </c>
    </row>
    <row r="1650" spans="4:4" ht="17.649999999999999" x14ac:dyDescent="0.5">
      <c r="D1650" s="3" t="s">
        <v>135</v>
      </c>
    </row>
    <row r="1651" spans="4:4" ht="17.649999999999999" x14ac:dyDescent="0.5">
      <c r="D1651" s="3" t="s">
        <v>52</v>
      </c>
    </row>
    <row r="1652" spans="4:4" ht="17.649999999999999" x14ac:dyDescent="0.5">
      <c r="D1652" s="3" t="s">
        <v>83</v>
      </c>
    </row>
    <row r="1653" spans="4:4" ht="17.649999999999999" x14ac:dyDescent="0.5">
      <c r="D1653" s="3" t="s">
        <v>50</v>
      </c>
    </row>
    <row r="1654" spans="4:4" ht="17.649999999999999" x14ac:dyDescent="0.5">
      <c r="D1654" s="3" t="s">
        <v>66</v>
      </c>
    </row>
    <row r="1655" spans="4:4" ht="17.649999999999999" x14ac:dyDescent="0.5">
      <c r="D1655" s="3" t="s">
        <v>127</v>
      </c>
    </row>
    <row r="1656" spans="4:4" ht="17.649999999999999" x14ac:dyDescent="0.5">
      <c r="D1656" s="3" t="s">
        <v>41</v>
      </c>
    </row>
    <row r="1657" spans="4:4" ht="17.649999999999999" x14ac:dyDescent="0.5">
      <c r="D1657" s="3" t="s">
        <v>103</v>
      </c>
    </row>
    <row r="1658" spans="4:4" ht="17.649999999999999" x14ac:dyDescent="0.5">
      <c r="D1658" s="3" t="s">
        <v>81</v>
      </c>
    </row>
    <row r="1659" spans="4:4" ht="17.649999999999999" x14ac:dyDescent="0.5">
      <c r="D1659" s="3" t="s">
        <v>68</v>
      </c>
    </row>
    <row r="1660" spans="4:4" ht="17.649999999999999" x14ac:dyDescent="0.5">
      <c r="D1660" s="3" t="s">
        <v>47</v>
      </c>
    </row>
    <row r="1661" spans="4:4" ht="17.649999999999999" x14ac:dyDescent="0.5">
      <c r="D1661" s="3" t="s">
        <v>121</v>
      </c>
    </row>
    <row r="1662" spans="4:4" ht="17.649999999999999" x14ac:dyDescent="0.5">
      <c r="D1662" s="3" t="s">
        <v>66</v>
      </c>
    </row>
    <row r="1663" spans="4:4" ht="17.649999999999999" x14ac:dyDescent="0.5">
      <c r="D1663" s="3" t="s">
        <v>53</v>
      </c>
    </row>
    <row r="1664" spans="4:4" ht="17.649999999999999" x14ac:dyDescent="0.5">
      <c r="D1664" s="3" t="s">
        <v>108</v>
      </c>
    </row>
    <row r="1665" spans="4:4" ht="17.649999999999999" x14ac:dyDescent="0.5">
      <c r="D1665" s="3" t="s">
        <v>69</v>
      </c>
    </row>
    <row r="1666" spans="4:4" ht="17.649999999999999" x14ac:dyDescent="0.5">
      <c r="D1666" s="3" t="s">
        <v>54</v>
      </c>
    </row>
    <row r="1667" spans="4:4" ht="17.649999999999999" x14ac:dyDescent="0.5">
      <c r="D1667" s="3" t="s">
        <v>76</v>
      </c>
    </row>
    <row r="1668" spans="4:4" ht="17.649999999999999" x14ac:dyDescent="0.5">
      <c r="D1668" s="3" t="s">
        <v>57</v>
      </c>
    </row>
    <row r="1669" spans="4:4" ht="17.649999999999999" x14ac:dyDescent="0.5">
      <c r="D1669" s="3" t="s">
        <v>75</v>
      </c>
    </row>
    <row r="1670" spans="4:4" ht="17.649999999999999" x14ac:dyDescent="0.5">
      <c r="D1670" s="3" t="s">
        <v>82</v>
      </c>
    </row>
    <row r="1671" spans="4:4" ht="17.649999999999999" x14ac:dyDescent="0.5">
      <c r="D1671" s="3" t="s">
        <v>55</v>
      </c>
    </row>
    <row r="1672" spans="4:4" ht="17.649999999999999" x14ac:dyDescent="0.5">
      <c r="D1672" s="3" t="s">
        <v>68</v>
      </c>
    </row>
    <row r="1673" spans="4:4" ht="17.649999999999999" x14ac:dyDescent="0.5">
      <c r="D1673" s="3" t="s">
        <v>105</v>
      </c>
    </row>
    <row r="1674" spans="4:4" ht="17.649999999999999" x14ac:dyDescent="0.5">
      <c r="D1674" s="3" t="s">
        <v>85</v>
      </c>
    </row>
    <row r="1675" spans="4:4" ht="17.649999999999999" x14ac:dyDescent="0.5">
      <c r="D1675" s="3" t="s">
        <v>102</v>
      </c>
    </row>
    <row r="1676" spans="4:4" ht="17.649999999999999" x14ac:dyDescent="0.5">
      <c r="D1676" s="3" t="s">
        <v>85</v>
      </c>
    </row>
    <row r="1677" spans="4:4" ht="17.649999999999999" x14ac:dyDescent="0.5">
      <c r="D1677" s="3" t="s">
        <v>61</v>
      </c>
    </row>
    <row r="1678" spans="4:4" ht="17.649999999999999" x14ac:dyDescent="0.5">
      <c r="D1678" s="3" t="s">
        <v>78</v>
      </c>
    </row>
    <row r="1679" spans="4:4" ht="17.649999999999999" x14ac:dyDescent="0.5">
      <c r="D1679" s="3" t="s">
        <v>123</v>
      </c>
    </row>
    <row r="1680" spans="4:4" ht="17.649999999999999" x14ac:dyDescent="0.5">
      <c r="D1680" s="3" t="s">
        <v>73</v>
      </c>
    </row>
    <row r="1681" spans="4:4" ht="17.649999999999999" x14ac:dyDescent="0.5">
      <c r="D1681" s="3" t="s">
        <v>84</v>
      </c>
    </row>
    <row r="1682" spans="4:4" ht="17.649999999999999" x14ac:dyDescent="0.5">
      <c r="D1682" s="3" t="s">
        <v>105</v>
      </c>
    </row>
    <row r="1683" spans="4:4" ht="17.649999999999999" x14ac:dyDescent="0.5">
      <c r="D1683" s="3" t="s">
        <v>49</v>
      </c>
    </row>
    <row r="1684" spans="4:4" ht="17.649999999999999" x14ac:dyDescent="0.5">
      <c r="D1684" s="3" t="s">
        <v>73</v>
      </c>
    </row>
    <row r="1685" spans="4:4" ht="17.649999999999999" x14ac:dyDescent="0.5">
      <c r="D1685" s="3" t="s">
        <v>51</v>
      </c>
    </row>
    <row r="1686" spans="4:4" ht="17.649999999999999" x14ac:dyDescent="0.5">
      <c r="D1686" s="3" t="s">
        <v>102</v>
      </c>
    </row>
    <row r="1687" spans="4:4" ht="17.649999999999999" x14ac:dyDescent="0.5">
      <c r="D1687" s="3" t="s">
        <v>97</v>
      </c>
    </row>
    <row r="1688" spans="4:4" ht="17.649999999999999" x14ac:dyDescent="0.5">
      <c r="D1688" s="3" t="s">
        <v>103</v>
      </c>
    </row>
    <row r="1689" spans="4:4" ht="17.649999999999999" x14ac:dyDescent="0.5">
      <c r="D1689" s="3" t="s">
        <v>63</v>
      </c>
    </row>
    <row r="1690" spans="4:4" ht="17.649999999999999" x14ac:dyDescent="0.5">
      <c r="D1690" s="3" t="s">
        <v>43</v>
      </c>
    </row>
    <row r="1691" spans="4:4" ht="17.649999999999999" x14ac:dyDescent="0.5">
      <c r="D1691" s="3" t="s">
        <v>59</v>
      </c>
    </row>
    <row r="1692" spans="4:4" ht="17.649999999999999" x14ac:dyDescent="0.5">
      <c r="D1692" s="3" t="s">
        <v>48</v>
      </c>
    </row>
    <row r="1693" spans="4:4" ht="17.649999999999999" x14ac:dyDescent="0.5">
      <c r="D1693" s="3" t="s">
        <v>53</v>
      </c>
    </row>
    <row r="1694" spans="4:4" ht="17.649999999999999" x14ac:dyDescent="0.5">
      <c r="D1694" s="3" t="s">
        <v>44</v>
      </c>
    </row>
    <row r="1695" spans="4:4" ht="17.649999999999999" x14ac:dyDescent="0.5">
      <c r="D1695" s="3" t="s">
        <v>61</v>
      </c>
    </row>
    <row r="1696" spans="4:4" ht="17.649999999999999" x14ac:dyDescent="0.5">
      <c r="D1696" s="3" t="s">
        <v>131</v>
      </c>
    </row>
    <row r="1697" spans="4:4" ht="17.649999999999999" x14ac:dyDescent="0.5">
      <c r="D1697" s="3" t="s">
        <v>69</v>
      </c>
    </row>
    <row r="1698" spans="4:4" ht="17.649999999999999" x14ac:dyDescent="0.5">
      <c r="D1698" s="3" t="s">
        <v>44</v>
      </c>
    </row>
    <row r="1699" spans="4:4" ht="17.649999999999999" x14ac:dyDescent="0.5">
      <c r="D1699" s="3" t="s">
        <v>115</v>
      </c>
    </row>
    <row r="1700" spans="4:4" ht="17.649999999999999" x14ac:dyDescent="0.5">
      <c r="D1700" s="3" t="s">
        <v>120</v>
      </c>
    </row>
    <row r="1701" spans="4:4" ht="17.649999999999999" x14ac:dyDescent="0.5">
      <c r="D1701" s="3" t="s">
        <v>64</v>
      </c>
    </row>
    <row r="1702" spans="4:4" ht="17.649999999999999" x14ac:dyDescent="0.5">
      <c r="D1702" s="3" t="s">
        <v>103</v>
      </c>
    </row>
    <row r="1703" spans="4:4" ht="17.649999999999999" x14ac:dyDescent="0.5">
      <c r="D1703" s="3" t="s">
        <v>67</v>
      </c>
    </row>
    <row r="1704" spans="4:4" ht="17.649999999999999" x14ac:dyDescent="0.5">
      <c r="D1704" s="3" t="s">
        <v>48</v>
      </c>
    </row>
    <row r="1705" spans="4:4" ht="17.649999999999999" x14ac:dyDescent="0.5">
      <c r="D1705" s="3" t="s">
        <v>43</v>
      </c>
    </row>
    <row r="1706" spans="4:4" ht="17.649999999999999" x14ac:dyDescent="0.5">
      <c r="D1706" s="3" t="s">
        <v>51</v>
      </c>
    </row>
    <row r="1707" spans="4:4" ht="17.649999999999999" x14ac:dyDescent="0.5">
      <c r="D1707" s="3" t="s">
        <v>111</v>
      </c>
    </row>
    <row r="1708" spans="4:4" ht="17.649999999999999" x14ac:dyDescent="0.5">
      <c r="D1708" s="3" t="s">
        <v>107</v>
      </c>
    </row>
    <row r="1709" spans="4:4" ht="17.649999999999999" x14ac:dyDescent="0.5">
      <c r="D1709" s="3" t="s">
        <v>121</v>
      </c>
    </row>
    <row r="1710" spans="4:4" ht="17.649999999999999" x14ac:dyDescent="0.5">
      <c r="D1710" s="3" t="s">
        <v>71</v>
      </c>
    </row>
    <row r="1711" spans="4:4" ht="17.649999999999999" x14ac:dyDescent="0.5">
      <c r="D1711" s="3" t="s">
        <v>101</v>
      </c>
    </row>
    <row r="1712" spans="4:4" ht="17.649999999999999" x14ac:dyDescent="0.5">
      <c r="D1712" s="3" t="s">
        <v>94</v>
      </c>
    </row>
    <row r="1713" spans="4:4" ht="17.649999999999999" x14ac:dyDescent="0.5">
      <c r="D1713" s="3" t="s">
        <v>52</v>
      </c>
    </row>
    <row r="1714" spans="4:4" ht="17.649999999999999" x14ac:dyDescent="0.5">
      <c r="D1714" s="3" t="s">
        <v>47</v>
      </c>
    </row>
    <row r="1715" spans="4:4" ht="17.649999999999999" x14ac:dyDescent="0.5">
      <c r="D1715" s="3" t="s">
        <v>56</v>
      </c>
    </row>
    <row r="1716" spans="4:4" ht="17.649999999999999" x14ac:dyDescent="0.5">
      <c r="D1716" s="3" t="s">
        <v>60</v>
      </c>
    </row>
    <row r="1717" spans="4:4" ht="17.649999999999999" x14ac:dyDescent="0.5">
      <c r="D1717" s="3" t="s">
        <v>47</v>
      </c>
    </row>
    <row r="1718" spans="4:4" ht="17.649999999999999" x14ac:dyDescent="0.5">
      <c r="D1718" s="3" t="s">
        <v>135</v>
      </c>
    </row>
    <row r="1719" spans="4:4" ht="17.649999999999999" x14ac:dyDescent="0.5">
      <c r="D1719" s="3" t="s">
        <v>69</v>
      </c>
    </row>
    <row r="1720" spans="4:4" ht="17.649999999999999" x14ac:dyDescent="0.5">
      <c r="D1720" s="3" t="s">
        <v>58</v>
      </c>
    </row>
    <row r="1721" spans="4:4" ht="17.649999999999999" x14ac:dyDescent="0.5">
      <c r="D1721" s="3" t="s">
        <v>116</v>
      </c>
    </row>
    <row r="1722" spans="4:4" ht="17.649999999999999" x14ac:dyDescent="0.5">
      <c r="D1722" s="3" t="s">
        <v>108</v>
      </c>
    </row>
    <row r="1723" spans="4:4" ht="17.649999999999999" x14ac:dyDescent="0.5">
      <c r="D1723" s="3" t="s">
        <v>133</v>
      </c>
    </row>
    <row r="1724" spans="4:4" ht="17.649999999999999" x14ac:dyDescent="0.5">
      <c r="D1724" s="3" t="s">
        <v>83</v>
      </c>
    </row>
    <row r="1725" spans="4:4" ht="17.649999999999999" x14ac:dyDescent="0.5">
      <c r="D1725" s="3" t="s">
        <v>64</v>
      </c>
    </row>
    <row r="1726" spans="4:4" ht="17.649999999999999" x14ac:dyDescent="0.5">
      <c r="D1726" s="3" t="s">
        <v>131</v>
      </c>
    </row>
    <row r="1727" spans="4:4" ht="17.649999999999999" x14ac:dyDescent="0.5">
      <c r="D1727" s="3" t="s">
        <v>55</v>
      </c>
    </row>
    <row r="1728" spans="4:4" ht="17.649999999999999" x14ac:dyDescent="0.5">
      <c r="D1728" s="3" t="s">
        <v>92</v>
      </c>
    </row>
    <row r="1729" spans="4:4" ht="17.649999999999999" x14ac:dyDescent="0.5">
      <c r="D1729" s="3" t="s">
        <v>66</v>
      </c>
    </row>
    <row r="1730" spans="4:4" ht="17.649999999999999" x14ac:dyDescent="0.5">
      <c r="D1730" s="3" t="s">
        <v>67</v>
      </c>
    </row>
    <row r="1731" spans="4:4" ht="17.649999999999999" x14ac:dyDescent="0.5">
      <c r="D1731" s="3" t="s">
        <v>107</v>
      </c>
    </row>
    <row r="1732" spans="4:4" ht="17.649999999999999" x14ac:dyDescent="0.5">
      <c r="D1732" s="3" t="s">
        <v>53</v>
      </c>
    </row>
    <row r="1733" spans="4:4" ht="17.649999999999999" x14ac:dyDescent="0.5">
      <c r="D1733" s="3" t="s">
        <v>123</v>
      </c>
    </row>
    <row r="1734" spans="4:4" ht="17.649999999999999" x14ac:dyDescent="0.5">
      <c r="D1734" s="3" t="s">
        <v>112</v>
      </c>
    </row>
    <row r="1735" spans="4:4" ht="17.649999999999999" x14ac:dyDescent="0.5">
      <c r="D1735" s="3" t="s">
        <v>98</v>
      </c>
    </row>
    <row r="1736" spans="4:4" ht="17.649999999999999" x14ac:dyDescent="0.5">
      <c r="D1736" s="3" t="s">
        <v>95</v>
      </c>
    </row>
    <row r="1737" spans="4:4" ht="17.649999999999999" x14ac:dyDescent="0.5">
      <c r="D1737" s="3" t="s">
        <v>122</v>
      </c>
    </row>
    <row r="1738" spans="4:4" ht="17.649999999999999" x14ac:dyDescent="0.5">
      <c r="D1738" s="3" t="s">
        <v>47</v>
      </c>
    </row>
    <row r="1739" spans="4:4" ht="17.649999999999999" x14ac:dyDescent="0.5">
      <c r="D1739" s="3" t="s">
        <v>112</v>
      </c>
    </row>
    <row r="1740" spans="4:4" ht="17.649999999999999" x14ac:dyDescent="0.5">
      <c r="D1740" s="3" t="s">
        <v>56</v>
      </c>
    </row>
    <row r="1741" spans="4:4" ht="17.649999999999999" x14ac:dyDescent="0.5">
      <c r="D1741" s="3" t="s">
        <v>134</v>
      </c>
    </row>
    <row r="1742" spans="4:4" ht="17.649999999999999" x14ac:dyDescent="0.5">
      <c r="D1742" s="3" t="s">
        <v>85</v>
      </c>
    </row>
    <row r="1743" spans="4:4" ht="17.649999999999999" x14ac:dyDescent="0.5">
      <c r="D1743" s="3" t="s">
        <v>100</v>
      </c>
    </row>
    <row r="1744" spans="4:4" ht="17.649999999999999" x14ac:dyDescent="0.5">
      <c r="D1744" s="3" t="s">
        <v>112</v>
      </c>
    </row>
    <row r="1745" spans="4:4" ht="17.649999999999999" x14ac:dyDescent="0.5">
      <c r="D1745" s="3" t="s">
        <v>48</v>
      </c>
    </row>
    <row r="1746" spans="4:4" ht="17.649999999999999" x14ac:dyDescent="0.5">
      <c r="D1746" s="3" t="s">
        <v>75</v>
      </c>
    </row>
    <row r="1747" spans="4:4" ht="17.649999999999999" x14ac:dyDescent="0.5">
      <c r="D1747" s="3" t="s">
        <v>118</v>
      </c>
    </row>
    <row r="1748" spans="4:4" ht="17.649999999999999" x14ac:dyDescent="0.5">
      <c r="D1748" s="3" t="s">
        <v>130</v>
      </c>
    </row>
    <row r="1749" spans="4:4" ht="17.649999999999999" x14ac:dyDescent="0.5">
      <c r="D1749" s="3" t="s">
        <v>62</v>
      </c>
    </row>
    <row r="1750" spans="4:4" ht="17.649999999999999" x14ac:dyDescent="0.5">
      <c r="D1750" s="3" t="s">
        <v>47</v>
      </c>
    </row>
    <row r="1751" spans="4:4" ht="17.649999999999999" x14ac:dyDescent="0.5">
      <c r="D1751" s="3" t="s">
        <v>77</v>
      </c>
    </row>
    <row r="1752" spans="4:4" ht="17.649999999999999" x14ac:dyDescent="0.5">
      <c r="D1752" s="3" t="s">
        <v>73</v>
      </c>
    </row>
    <row r="1753" spans="4:4" ht="17.649999999999999" x14ac:dyDescent="0.5">
      <c r="D1753" s="3" t="s">
        <v>41</v>
      </c>
    </row>
    <row r="1754" spans="4:4" ht="17.649999999999999" x14ac:dyDescent="0.5">
      <c r="D1754" s="3" t="s">
        <v>63</v>
      </c>
    </row>
    <row r="1755" spans="4:4" ht="17.649999999999999" x14ac:dyDescent="0.5">
      <c r="D1755" s="3" t="s">
        <v>136</v>
      </c>
    </row>
    <row r="1756" spans="4:4" ht="17.649999999999999" x14ac:dyDescent="0.5">
      <c r="D1756" s="3" t="s">
        <v>57</v>
      </c>
    </row>
    <row r="1757" spans="4:4" ht="17.649999999999999" x14ac:dyDescent="0.5">
      <c r="D1757" s="3" t="s">
        <v>52</v>
      </c>
    </row>
    <row r="1758" spans="4:4" ht="17.649999999999999" x14ac:dyDescent="0.5">
      <c r="D1758" s="3" t="s">
        <v>132</v>
      </c>
    </row>
    <row r="1759" spans="4:4" ht="17.649999999999999" x14ac:dyDescent="0.5">
      <c r="D1759" s="3" t="s">
        <v>65</v>
      </c>
    </row>
    <row r="1760" spans="4:4" ht="17.649999999999999" x14ac:dyDescent="0.5">
      <c r="D1760" s="3" t="s">
        <v>63</v>
      </c>
    </row>
    <row r="1761" spans="4:4" ht="17.649999999999999" x14ac:dyDescent="0.5">
      <c r="D1761" s="3" t="s">
        <v>69</v>
      </c>
    </row>
    <row r="1762" spans="4:4" ht="17.649999999999999" x14ac:dyDescent="0.5">
      <c r="D1762" s="3" t="s">
        <v>45</v>
      </c>
    </row>
    <row r="1763" spans="4:4" ht="17.649999999999999" x14ac:dyDescent="0.5">
      <c r="D1763" s="3" t="s">
        <v>77</v>
      </c>
    </row>
    <row r="1764" spans="4:4" ht="17.649999999999999" x14ac:dyDescent="0.5">
      <c r="D1764" s="3" t="s">
        <v>63</v>
      </c>
    </row>
    <row r="1765" spans="4:4" ht="17.649999999999999" x14ac:dyDescent="0.5">
      <c r="D1765" s="3" t="s">
        <v>73</v>
      </c>
    </row>
    <row r="1766" spans="4:4" ht="17.649999999999999" x14ac:dyDescent="0.5">
      <c r="D1766" s="3" t="s">
        <v>65</v>
      </c>
    </row>
    <row r="1767" spans="4:4" ht="17.649999999999999" x14ac:dyDescent="0.5">
      <c r="D1767" s="3" t="s">
        <v>125</v>
      </c>
    </row>
    <row r="1768" spans="4:4" ht="17.649999999999999" x14ac:dyDescent="0.5">
      <c r="D1768" s="3" t="s">
        <v>84</v>
      </c>
    </row>
    <row r="1769" spans="4:4" ht="17.649999999999999" x14ac:dyDescent="0.5">
      <c r="D1769" s="3" t="s">
        <v>108</v>
      </c>
    </row>
    <row r="1770" spans="4:4" ht="17.649999999999999" x14ac:dyDescent="0.5">
      <c r="D1770" s="3" t="s">
        <v>41</v>
      </c>
    </row>
    <row r="1771" spans="4:4" ht="17.649999999999999" x14ac:dyDescent="0.5">
      <c r="D1771" s="3" t="s">
        <v>53</v>
      </c>
    </row>
    <row r="1772" spans="4:4" ht="17.649999999999999" x14ac:dyDescent="0.5">
      <c r="D1772" s="3" t="s">
        <v>118</v>
      </c>
    </row>
    <row r="1773" spans="4:4" ht="17.649999999999999" x14ac:dyDescent="0.5">
      <c r="D1773" s="3" t="s">
        <v>98</v>
      </c>
    </row>
    <row r="1774" spans="4:4" ht="17.649999999999999" x14ac:dyDescent="0.5">
      <c r="D1774" s="3" t="s">
        <v>66</v>
      </c>
    </row>
    <row r="1775" spans="4:4" ht="17.649999999999999" x14ac:dyDescent="0.5">
      <c r="D1775" s="3" t="s">
        <v>59</v>
      </c>
    </row>
    <row r="1776" spans="4:4" ht="17.649999999999999" x14ac:dyDescent="0.5">
      <c r="D1776" s="3" t="s">
        <v>134</v>
      </c>
    </row>
    <row r="1777" spans="4:4" ht="17.649999999999999" x14ac:dyDescent="0.5">
      <c r="D1777" s="3" t="s">
        <v>113</v>
      </c>
    </row>
    <row r="1778" spans="4:4" ht="17.649999999999999" x14ac:dyDescent="0.5">
      <c r="D1778" s="3" t="s">
        <v>92</v>
      </c>
    </row>
    <row r="1779" spans="4:4" ht="17.649999999999999" x14ac:dyDescent="0.5">
      <c r="D1779" s="3" t="s">
        <v>103</v>
      </c>
    </row>
    <row r="1780" spans="4:4" ht="17.649999999999999" x14ac:dyDescent="0.5">
      <c r="D1780" s="3" t="s">
        <v>80</v>
      </c>
    </row>
    <row r="1781" spans="4:4" ht="17.649999999999999" x14ac:dyDescent="0.5">
      <c r="D1781" s="3" t="s">
        <v>135</v>
      </c>
    </row>
    <row r="1782" spans="4:4" ht="17.649999999999999" x14ac:dyDescent="0.5">
      <c r="D1782" s="3" t="s">
        <v>68</v>
      </c>
    </row>
    <row r="1783" spans="4:4" ht="17.649999999999999" x14ac:dyDescent="0.5">
      <c r="D1783" s="3" t="s">
        <v>91</v>
      </c>
    </row>
    <row r="1784" spans="4:4" ht="17.649999999999999" x14ac:dyDescent="0.5">
      <c r="D1784" s="3" t="s">
        <v>63</v>
      </c>
    </row>
    <row r="1785" spans="4:4" ht="17.649999999999999" x14ac:dyDescent="0.5">
      <c r="D1785" s="3" t="s">
        <v>66</v>
      </c>
    </row>
    <row r="1786" spans="4:4" ht="17.649999999999999" x14ac:dyDescent="0.5">
      <c r="D1786" s="3" t="s">
        <v>107</v>
      </c>
    </row>
    <row r="1787" spans="4:4" ht="17.649999999999999" x14ac:dyDescent="0.5">
      <c r="D1787" s="3" t="s">
        <v>94</v>
      </c>
    </row>
    <row r="1788" spans="4:4" ht="17.649999999999999" x14ac:dyDescent="0.5">
      <c r="D1788" s="3" t="s">
        <v>83</v>
      </c>
    </row>
    <row r="1789" spans="4:4" ht="17.649999999999999" x14ac:dyDescent="0.5">
      <c r="D1789" s="3" t="s">
        <v>59</v>
      </c>
    </row>
    <row r="1790" spans="4:4" ht="17.649999999999999" x14ac:dyDescent="0.5">
      <c r="D1790" s="3" t="s">
        <v>49</v>
      </c>
    </row>
    <row r="1791" spans="4:4" ht="17.649999999999999" x14ac:dyDescent="0.5">
      <c r="D1791" s="3" t="s">
        <v>101</v>
      </c>
    </row>
    <row r="1792" spans="4:4" ht="17.649999999999999" x14ac:dyDescent="0.5">
      <c r="D1792" s="3" t="s">
        <v>89</v>
      </c>
    </row>
    <row r="1793" spans="4:4" ht="17.649999999999999" x14ac:dyDescent="0.5">
      <c r="D1793" s="3" t="s">
        <v>88</v>
      </c>
    </row>
    <row r="1794" spans="4:4" ht="17.649999999999999" x14ac:dyDescent="0.5">
      <c r="D1794" s="3" t="s">
        <v>114</v>
      </c>
    </row>
    <row r="1795" spans="4:4" ht="17.649999999999999" x14ac:dyDescent="0.5">
      <c r="D1795" s="3" t="s">
        <v>48</v>
      </c>
    </row>
    <row r="1796" spans="4:4" ht="17.649999999999999" x14ac:dyDescent="0.5">
      <c r="D1796" s="3" t="s">
        <v>99</v>
      </c>
    </row>
    <row r="1797" spans="4:4" ht="17.649999999999999" x14ac:dyDescent="0.5">
      <c r="D1797" s="3" t="s">
        <v>107</v>
      </c>
    </row>
    <row r="1798" spans="4:4" ht="17.649999999999999" x14ac:dyDescent="0.5">
      <c r="D1798" s="3" t="s">
        <v>74</v>
      </c>
    </row>
    <row r="1799" spans="4:4" ht="17.649999999999999" x14ac:dyDescent="0.5">
      <c r="D1799" s="3" t="s">
        <v>86</v>
      </c>
    </row>
    <row r="1800" spans="4:4" ht="17.649999999999999" x14ac:dyDescent="0.5">
      <c r="D1800" s="3" t="s">
        <v>73</v>
      </c>
    </row>
    <row r="1801" spans="4:4" ht="17.649999999999999" x14ac:dyDescent="0.5">
      <c r="D1801" s="3" t="s">
        <v>123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105</v>
      </c>
    </row>
    <row r="1804" spans="4:4" ht="17.649999999999999" x14ac:dyDescent="0.5">
      <c r="D1804" s="3" t="s">
        <v>128</v>
      </c>
    </row>
    <row r="1805" spans="4:4" ht="17.649999999999999" x14ac:dyDescent="0.5">
      <c r="D1805" s="3" t="s">
        <v>84</v>
      </c>
    </row>
    <row r="1806" spans="4:4" ht="17.649999999999999" x14ac:dyDescent="0.5">
      <c r="D1806" s="3" t="s">
        <v>101</v>
      </c>
    </row>
    <row r="1807" spans="4:4" ht="17.649999999999999" x14ac:dyDescent="0.5">
      <c r="D1807" s="3" t="s">
        <v>87</v>
      </c>
    </row>
    <row r="1808" spans="4:4" ht="17.649999999999999" x14ac:dyDescent="0.5">
      <c r="D1808" s="3" t="s">
        <v>108</v>
      </c>
    </row>
    <row r="1809" spans="4:4" ht="17.649999999999999" x14ac:dyDescent="0.5">
      <c r="D1809" s="3" t="s">
        <v>73</v>
      </c>
    </row>
    <row r="1810" spans="4:4" ht="17.649999999999999" x14ac:dyDescent="0.5">
      <c r="D1810" s="3" t="s">
        <v>42</v>
      </c>
    </row>
    <row r="1811" spans="4:4" ht="17.649999999999999" x14ac:dyDescent="0.5">
      <c r="D1811" s="3" t="s">
        <v>97</v>
      </c>
    </row>
    <row r="1812" spans="4:4" ht="17.649999999999999" x14ac:dyDescent="0.5">
      <c r="D1812" s="3" t="s">
        <v>86</v>
      </c>
    </row>
    <row r="1813" spans="4:4" ht="17.649999999999999" x14ac:dyDescent="0.5">
      <c r="D1813" s="3" t="s">
        <v>53</v>
      </c>
    </row>
    <row r="1814" spans="4:4" ht="17.649999999999999" x14ac:dyDescent="0.5">
      <c r="D1814" s="3" t="s">
        <v>108</v>
      </c>
    </row>
    <row r="1815" spans="4:4" ht="17.649999999999999" x14ac:dyDescent="0.5">
      <c r="D1815" s="3" t="s">
        <v>70</v>
      </c>
    </row>
    <row r="1816" spans="4:4" ht="17.649999999999999" x14ac:dyDescent="0.5">
      <c r="D1816" s="3" t="s">
        <v>66</v>
      </c>
    </row>
    <row r="1817" spans="4:4" ht="17.649999999999999" x14ac:dyDescent="0.5">
      <c r="D1817" s="3" t="s">
        <v>44</v>
      </c>
    </row>
    <row r="1818" spans="4:4" ht="17.649999999999999" x14ac:dyDescent="0.5">
      <c r="D1818" s="3" t="s">
        <v>105</v>
      </c>
    </row>
    <row r="1819" spans="4:4" ht="17.649999999999999" x14ac:dyDescent="0.5">
      <c r="D1819" s="3" t="s">
        <v>91</v>
      </c>
    </row>
    <row r="1820" spans="4:4" ht="17.649999999999999" x14ac:dyDescent="0.5">
      <c r="D1820" s="3" t="s">
        <v>86</v>
      </c>
    </row>
    <row r="1821" spans="4:4" ht="17.649999999999999" x14ac:dyDescent="0.5">
      <c r="D1821" s="3" t="s">
        <v>69</v>
      </c>
    </row>
    <row r="1822" spans="4:4" ht="17.649999999999999" x14ac:dyDescent="0.5">
      <c r="D1822" s="3" t="s">
        <v>46</v>
      </c>
    </row>
    <row r="1823" spans="4:4" ht="17.649999999999999" x14ac:dyDescent="0.5">
      <c r="D1823" s="3" t="s">
        <v>121</v>
      </c>
    </row>
    <row r="1824" spans="4:4" ht="17.649999999999999" x14ac:dyDescent="0.5">
      <c r="D1824" s="3" t="s">
        <v>75</v>
      </c>
    </row>
    <row r="1825" spans="4:4" ht="17.649999999999999" x14ac:dyDescent="0.5">
      <c r="D1825" s="3" t="s">
        <v>54</v>
      </c>
    </row>
    <row r="1826" spans="4:4" ht="17.649999999999999" x14ac:dyDescent="0.5">
      <c r="D1826" s="3" t="s">
        <v>114</v>
      </c>
    </row>
    <row r="1827" spans="4:4" ht="17.649999999999999" x14ac:dyDescent="0.5">
      <c r="D1827" s="3" t="s">
        <v>100</v>
      </c>
    </row>
    <row r="1828" spans="4:4" ht="17.649999999999999" x14ac:dyDescent="0.5">
      <c r="D1828" s="3" t="s">
        <v>91</v>
      </c>
    </row>
    <row r="1829" spans="4:4" ht="17.649999999999999" x14ac:dyDescent="0.5">
      <c r="D1829" s="3" t="s">
        <v>44</v>
      </c>
    </row>
    <row r="1830" spans="4:4" ht="17.649999999999999" x14ac:dyDescent="0.5">
      <c r="D1830" s="3" t="s">
        <v>81</v>
      </c>
    </row>
    <row r="1831" spans="4:4" ht="17.649999999999999" x14ac:dyDescent="0.5">
      <c r="D1831" s="3" t="s">
        <v>59</v>
      </c>
    </row>
    <row r="1832" spans="4:4" ht="17.649999999999999" x14ac:dyDescent="0.5">
      <c r="D1832" s="3" t="s">
        <v>73</v>
      </c>
    </row>
    <row r="1833" spans="4:4" ht="17.649999999999999" x14ac:dyDescent="0.5">
      <c r="D1833" s="3" t="s">
        <v>52</v>
      </c>
    </row>
    <row r="1834" spans="4:4" ht="17.649999999999999" x14ac:dyDescent="0.5">
      <c r="D1834" s="3" t="s">
        <v>43</v>
      </c>
    </row>
    <row r="1835" spans="4:4" ht="17.649999999999999" x14ac:dyDescent="0.5">
      <c r="D1835" s="3" t="s">
        <v>82</v>
      </c>
    </row>
    <row r="1836" spans="4:4" ht="17.649999999999999" x14ac:dyDescent="0.5">
      <c r="D1836" s="3" t="s">
        <v>96</v>
      </c>
    </row>
    <row r="1837" spans="4:4" ht="17.649999999999999" x14ac:dyDescent="0.5">
      <c r="D1837" s="3" t="s">
        <v>108</v>
      </c>
    </row>
    <row r="1838" spans="4:4" ht="17.649999999999999" x14ac:dyDescent="0.5">
      <c r="D1838" s="3" t="s">
        <v>66</v>
      </c>
    </row>
    <row r="1839" spans="4:4" ht="17.649999999999999" x14ac:dyDescent="0.5">
      <c r="D1839" s="3" t="s">
        <v>110</v>
      </c>
    </row>
    <row r="1840" spans="4:4" ht="17.649999999999999" x14ac:dyDescent="0.5">
      <c r="D1840" s="3" t="s">
        <v>134</v>
      </c>
    </row>
    <row r="1841" spans="4:4" ht="17.649999999999999" x14ac:dyDescent="0.5">
      <c r="D1841" s="3" t="s">
        <v>131</v>
      </c>
    </row>
    <row r="1842" spans="4:4" ht="17.649999999999999" x14ac:dyDescent="0.5">
      <c r="D1842" s="3" t="s">
        <v>49</v>
      </c>
    </row>
    <row r="1843" spans="4:4" ht="17.649999999999999" x14ac:dyDescent="0.5">
      <c r="D1843" s="3" t="s">
        <v>92</v>
      </c>
    </row>
    <row r="1844" spans="4:4" ht="17.649999999999999" x14ac:dyDescent="0.5">
      <c r="D1844" s="3" t="s">
        <v>57</v>
      </c>
    </row>
    <row r="1845" spans="4:4" ht="17.649999999999999" x14ac:dyDescent="0.5">
      <c r="D1845" s="3" t="s">
        <v>47</v>
      </c>
    </row>
    <row r="1846" spans="4:4" ht="17.649999999999999" x14ac:dyDescent="0.5">
      <c r="D1846" s="3" t="s">
        <v>61</v>
      </c>
    </row>
    <row r="1847" spans="4:4" ht="17.649999999999999" x14ac:dyDescent="0.5">
      <c r="D1847" s="3" t="s">
        <v>66</v>
      </c>
    </row>
    <row r="1848" spans="4:4" ht="17.649999999999999" x14ac:dyDescent="0.5">
      <c r="D1848" s="3" t="s">
        <v>65</v>
      </c>
    </row>
    <row r="1849" spans="4:4" ht="17.649999999999999" x14ac:dyDescent="0.5">
      <c r="D1849" s="3" t="s">
        <v>114</v>
      </c>
    </row>
    <row r="1850" spans="4:4" ht="17.649999999999999" x14ac:dyDescent="0.5">
      <c r="D1850" s="3" t="s">
        <v>135</v>
      </c>
    </row>
    <row r="1851" spans="4:4" ht="17.649999999999999" x14ac:dyDescent="0.5">
      <c r="D1851" s="3" t="s">
        <v>45</v>
      </c>
    </row>
    <row r="1852" spans="4:4" ht="17.649999999999999" x14ac:dyDescent="0.5">
      <c r="D1852" s="3" t="s">
        <v>117</v>
      </c>
    </row>
    <row r="1853" spans="4:4" ht="17.649999999999999" x14ac:dyDescent="0.5">
      <c r="D1853" s="3" t="s">
        <v>118</v>
      </c>
    </row>
    <row r="1854" spans="4:4" ht="17.649999999999999" x14ac:dyDescent="0.5">
      <c r="D1854" s="3" t="s">
        <v>84</v>
      </c>
    </row>
    <row r="1855" spans="4:4" ht="17.649999999999999" x14ac:dyDescent="0.5">
      <c r="D1855" s="3" t="s">
        <v>76</v>
      </c>
    </row>
    <row r="1856" spans="4:4" ht="17.649999999999999" x14ac:dyDescent="0.5">
      <c r="D1856" s="3" t="s">
        <v>50</v>
      </c>
    </row>
    <row r="1857" spans="4:4" ht="17.649999999999999" x14ac:dyDescent="0.5">
      <c r="D1857" s="3" t="s">
        <v>111</v>
      </c>
    </row>
    <row r="1858" spans="4:4" ht="17.649999999999999" x14ac:dyDescent="0.5">
      <c r="D1858" s="3" t="s">
        <v>90</v>
      </c>
    </row>
    <row r="1859" spans="4:4" ht="17.649999999999999" x14ac:dyDescent="0.5">
      <c r="D1859" s="3" t="s">
        <v>107</v>
      </c>
    </row>
    <row r="1860" spans="4:4" ht="17.649999999999999" x14ac:dyDescent="0.5">
      <c r="D1860" s="3" t="s">
        <v>52</v>
      </c>
    </row>
    <row r="1861" spans="4:4" ht="17.649999999999999" x14ac:dyDescent="0.5">
      <c r="D1861" s="3" t="s">
        <v>105</v>
      </c>
    </row>
    <row r="1862" spans="4:4" ht="17.649999999999999" x14ac:dyDescent="0.5">
      <c r="D1862" s="3" t="s">
        <v>53</v>
      </c>
    </row>
    <row r="1863" spans="4:4" ht="17.649999999999999" x14ac:dyDescent="0.5">
      <c r="D1863" s="3" t="s">
        <v>65</v>
      </c>
    </row>
    <row r="1864" spans="4:4" ht="17.649999999999999" x14ac:dyDescent="0.5">
      <c r="D1864" s="3" t="s">
        <v>74</v>
      </c>
    </row>
    <row r="1865" spans="4:4" ht="17.649999999999999" x14ac:dyDescent="0.5">
      <c r="D1865" s="3" t="s">
        <v>57</v>
      </c>
    </row>
    <row r="1866" spans="4:4" ht="17.649999999999999" x14ac:dyDescent="0.5">
      <c r="D1866" s="3" t="s">
        <v>78</v>
      </c>
    </row>
    <row r="1867" spans="4:4" ht="17.649999999999999" x14ac:dyDescent="0.5">
      <c r="D1867" s="3" t="s">
        <v>134</v>
      </c>
    </row>
    <row r="1868" spans="4:4" ht="17.649999999999999" x14ac:dyDescent="0.5">
      <c r="D1868" s="3" t="s">
        <v>44</v>
      </c>
    </row>
    <row r="1869" spans="4:4" ht="17.649999999999999" x14ac:dyDescent="0.5">
      <c r="D1869" s="3" t="s">
        <v>57</v>
      </c>
    </row>
    <row r="1870" spans="4:4" ht="17.649999999999999" x14ac:dyDescent="0.5">
      <c r="D1870" s="3" t="s">
        <v>50</v>
      </c>
    </row>
    <row r="1871" spans="4:4" ht="17.649999999999999" x14ac:dyDescent="0.5">
      <c r="D1871" s="3" t="s">
        <v>54</v>
      </c>
    </row>
    <row r="1872" spans="4:4" ht="17.649999999999999" x14ac:dyDescent="0.5">
      <c r="D1872" s="3" t="s">
        <v>63</v>
      </c>
    </row>
    <row r="1873" spans="4:4" ht="17.649999999999999" x14ac:dyDescent="0.5">
      <c r="D1873" s="3" t="s">
        <v>84</v>
      </c>
    </row>
    <row r="1874" spans="4:4" ht="17.649999999999999" x14ac:dyDescent="0.5">
      <c r="D1874" s="3" t="s">
        <v>43</v>
      </c>
    </row>
    <row r="1875" spans="4:4" ht="17.649999999999999" x14ac:dyDescent="0.5">
      <c r="D1875" s="3" t="s">
        <v>48</v>
      </c>
    </row>
    <row r="1876" spans="4:4" ht="17.649999999999999" x14ac:dyDescent="0.5">
      <c r="D1876" s="3" t="s">
        <v>47</v>
      </c>
    </row>
    <row r="1877" spans="4:4" ht="17.649999999999999" x14ac:dyDescent="0.5">
      <c r="D1877" s="3" t="s">
        <v>72</v>
      </c>
    </row>
    <row r="1878" spans="4:4" ht="17.649999999999999" x14ac:dyDescent="0.5">
      <c r="D1878" s="3" t="s">
        <v>98</v>
      </c>
    </row>
    <row r="1879" spans="4:4" ht="17.649999999999999" x14ac:dyDescent="0.5">
      <c r="D1879" s="3" t="s">
        <v>57</v>
      </c>
    </row>
    <row r="1880" spans="4:4" ht="17.649999999999999" x14ac:dyDescent="0.5">
      <c r="D1880" s="3" t="s">
        <v>110</v>
      </c>
    </row>
    <row r="1881" spans="4:4" ht="17.649999999999999" x14ac:dyDescent="0.5">
      <c r="D1881" s="3" t="s">
        <v>80</v>
      </c>
    </row>
    <row r="1882" spans="4:4" ht="17.649999999999999" x14ac:dyDescent="0.5">
      <c r="D1882" s="3" t="s">
        <v>135</v>
      </c>
    </row>
    <row r="1883" spans="4:4" ht="17.649999999999999" x14ac:dyDescent="0.5">
      <c r="D1883" s="3" t="s">
        <v>94</v>
      </c>
    </row>
    <row r="1884" spans="4:4" ht="17.649999999999999" x14ac:dyDescent="0.5">
      <c r="D1884" s="3" t="s">
        <v>96</v>
      </c>
    </row>
    <row r="1885" spans="4:4" ht="17.649999999999999" x14ac:dyDescent="0.5">
      <c r="D1885" s="3" t="s">
        <v>69</v>
      </c>
    </row>
    <row r="1886" spans="4:4" ht="17.649999999999999" x14ac:dyDescent="0.5">
      <c r="D1886" s="3" t="s">
        <v>107</v>
      </c>
    </row>
    <row r="1887" spans="4:4" ht="17.649999999999999" x14ac:dyDescent="0.5">
      <c r="D1887" s="3" t="s">
        <v>96</v>
      </c>
    </row>
    <row r="1888" spans="4:4" ht="17.649999999999999" x14ac:dyDescent="0.5">
      <c r="D1888" s="3" t="s">
        <v>53</v>
      </c>
    </row>
    <row r="1889" spans="4:4" ht="17.649999999999999" x14ac:dyDescent="0.5">
      <c r="D1889" s="3" t="s">
        <v>99</v>
      </c>
    </row>
    <row r="1890" spans="4:4" ht="17.649999999999999" x14ac:dyDescent="0.5">
      <c r="D1890" s="3" t="s">
        <v>67</v>
      </c>
    </row>
    <row r="1891" spans="4:4" ht="17.649999999999999" x14ac:dyDescent="0.5">
      <c r="D1891" s="3" t="s">
        <v>74</v>
      </c>
    </row>
    <row r="1892" spans="4:4" ht="17.649999999999999" x14ac:dyDescent="0.5">
      <c r="D1892" s="3" t="s">
        <v>80</v>
      </c>
    </row>
    <row r="1893" spans="4:4" ht="17.649999999999999" x14ac:dyDescent="0.5">
      <c r="D1893" s="3" t="s">
        <v>96</v>
      </c>
    </row>
    <row r="1894" spans="4:4" ht="17.649999999999999" x14ac:dyDescent="0.5">
      <c r="D1894" s="3" t="s">
        <v>61</v>
      </c>
    </row>
    <row r="1895" spans="4:4" ht="17.649999999999999" x14ac:dyDescent="0.5">
      <c r="D1895" s="3" t="s">
        <v>57</v>
      </c>
    </row>
    <row r="1896" spans="4:4" ht="17.649999999999999" x14ac:dyDescent="0.5">
      <c r="D1896" s="3" t="s">
        <v>94</v>
      </c>
    </row>
    <row r="1897" spans="4:4" ht="17.649999999999999" x14ac:dyDescent="0.5">
      <c r="D1897" s="3" t="s">
        <v>59</v>
      </c>
    </row>
    <row r="1898" spans="4:4" ht="17.649999999999999" x14ac:dyDescent="0.5">
      <c r="D1898" s="3" t="s">
        <v>65</v>
      </c>
    </row>
    <row r="1899" spans="4:4" ht="17.649999999999999" x14ac:dyDescent="0.5">
      <c r="D1899" s="3" t="s">
        <v>46</v>
      </c>
    </row>
    <row r="1900" spans="4:4" ht="17.649999999999999" x14ac:dyDescent="0.5">
      <c r="D1900" s="3" t="s">
        <v>47</v>
      </c>
    </row>
    <row r="1901" spans="4:4" ht="17.649999999999999" x14ac:dyDescent="0.5">
      <c r="D1901" s="3" t="s">
        <v>117</v>
      </c>
    </row>
    <row r="1902" spans="4:4" ht="17.649999999999999" x14ac:dyDescent="0.5">
      <c r="D1902" s="3" t="s">
        <v>44</v>
      </c>
    </row>
    <row r="1903" spans="4:4" ht="17.649999999999999" x14ac:dyDescent="0.5">
      <c r="D1903" s="3" t="s">
        <v>89</v>
      </c>
    </row>
    <row r="1904" spans="4:4" ht="17.649999999999999" x14ac:dyDescent="0.5">
      <c r="D1904" s="3" t="s">
        <v>69</v>
      </c>
    </row>
    <row r="1905" spans="4:4" ht="17.649999999999999" x14ac:dyDescent="0.5">
      <c r="D1905" s="3" t="s">
        <v>57</v>
      </c>
    </row>
    <row r="1906" spans="4:4" ht="17.649999999999999" x14ac:dyDescent="0.5">
      <c r="D1906" s="3" t="s">
        <v>115</v>
      </c>
    </row>
    <row r="1907" spans="4:4" ht="17.649999999999999" x14ac:dyDescent="0.5">
      <c r="D1907" s="3" t="s">
        <v>111</v>
      </c>
    </row>
    <row r="1908" spans="4:4" ht="17.649999999999999" x14ac:dyDescent="0.5">
      <c r="D1908" s="3" t="s">
        <v>92</v>
      </c>
    </row>
    <row r="1909" spans="4:4" ht="17.649999999999999" x14ac:dyDescent="0.5">
      <c r="D1909" s="3" t="s">
        <v>63</v>
      </c>
    </row>
    <row r="1910" spans="4:4" ht="17.649999999999999" x14ac:dyDescent="0.5">
      <c r="D1910" s="3" t="s">
        <v>83</v>
      </c>
    </row>
    <row r="1911" spans="4:4" ht="17.649999999999999" x14ac:dyDescent="0.5">
      <c r="D1911" s="3" t="s">
        <v>129</v>
      </c>
    </row>
    <row r="1912" spans="4:4" ht="17.649999999999999" x14ac:dyDescent="0.5">
      <c r="D1912" s="3" t="s">
        <v>120</v>
      </c>
    </row>
    <row r="1913" spans="4:4" ht="17.649999999999999" x14ac:dyDescent="0.5">
      <c r="D1913" s="3" t="s">
        <v>42</v>
      </c>
    </row>
    <row r="1914" spans="4:4" ht="17.649999999999999" x14ac:dyDescent="0.5">
      <c r="D1914" s="3" t="s">
        <v>49</v>
      </c>
    </row>
    <row r="1915" spans="4:4" ht="17.649999999999999" x14ac:dyDescent="0.5">
      <c r="D1915" s="3" t="s">
        <v>55</v>
      </c>
    </row>
    <row r="1916" spans="4:4" ht="17.649999999999999" x14ac:dyDescent="0.5">
      <c r="D1916" s="3" t="s">
        <v>93</v>
      </c>
    </row>
    <row r="1917" spans="4:4" ht="17.649999999999999" x14ac:dyDescent="0.5">
      <c r="D1917" s="3" t="s">
        <v>64</v>
      </c>
    </row>
    <row r="1918" spans="4:4" ht="17.649999999999999" x14ac:dyDescent="0.5">
      <c r="D1918" s="3" t="s">
        <v>135</v>
      </c>
    </row>
    <row r="1919" spans="4:4" ht="17.649999999999999" x14ac:dyDescent="0.5">
      <c r="D1919" s="3" t="s">
        <v>56</v>
      </c>
    </row>
    <row r="1920" spans="4:4" ht="17.649999999999999" x14ac:dyDescent="0.5">
      <c r="D1920" s="3" t="s">
        <v>59</v>
      </c>
    </row>
    <row r="1921" spans="4:4" ht="17.649999999999999" x14ac:dyDescent="0.5">
      <c r="D1921" s="3" t="s">
        <v>121</v>
      </c>
    </row>
    <row r="1922" spans="4:4" ht="17.649999999999999" x14ac:dyDescent="0.5">
      <c r="D1922" s="3" t="s">
        <v>130</v>
      </c>
    </row>
    <row r="1923" spans="4:4" ht="17.649999999999999" x14ac:dyDescent="0.5">
      <c r="D1923" s="3" t="s">
        <v>76</v>
      </c>
    </row>
    <row r="1924" spans="4:4" ht="17.649999999999999" x14ac:dyDescent="0.5">
      <c r="D1924" s="3" t="s">
        <v>93</v>
      </c>
    </row>
    <row r="1925" spans="4:4" ht="17.649999999999999" x14ac:dyDescent="0.5">
      <c r="D1925" s="3" t="s">
        <v>56</v>
      </c>
    </row>
    <row r="1926" spans="4:4" ht="17.649999999999999" x14ac:dyDescent="0.5">
      <c r="D1926" s="3" t="s">
        <v>68</v>
      </c>
    </row>
    <row r="1927" spans="4:4" ht="17.649999999999999" x14ac:dyDescent="0.5">
      <c r="D1927" s="3" t="s">
        <v>110</v>
      </c>
    </row>
    <row r="1928" spans="4:4" ht="17.649999999999999" x14ac:dyDescent="0.5">
      <c r="D1928" s="3" t="s">
        <v>112</v>
      </c>
    </row>
    <row r="1929" spans="4:4" ht="17.649999999999999" x14ac:dyDescent="0.5">
      <c r="D1929" s="3" t="s">
        <v>43</v>
      </c>
    </row>
    <row r="1930" spans="4:4" ht="17.649999999999999" x14ac:dyDescent="0.5">
      <c r="D1930" s="3" t="s">
        <v>117</v>
      </c>
    </row>
    <row r="1931" spans="4:4" ht="17.649999999999999" x14ac:dyDescent="0.5">
      <c r="D1931" s="3" t="s">
        <v>133</v>
      </c>
    </row>
    <row r="1932" spans="4:4" ht="17.649999999999999" x14ac:dyDescent="0.5">
      <c r="D1932" s="3" t="s">
        <v>64</v>
      </c>
    </row>
    <row r="1933" spans="4:4" ht="17.649999999999999" x14ac:dyDescent="0.5">
      <c r="D1933" s="3" t="s">
        <v>74</v>
      </c>
    </row>
    <row r="1934" spans="4:4" ht="17.649999999999999" x14ac:dyDescent="0.5">
      <c r="D1934" s="3" t="s">
        <v>109</v>
      </c>
    </row>
    <row r="1935" spans="4:4" ht="17.649999999999999" x14ac:dyDescent="0.5">
      <c r="D1935" s="3" t="s">
        <v>72</v>
      </c>
    </row>
    <row r="1936" spans="4:4" ht="17.649999999999999" x14ac:dyDescent="0.5">
      <c r="D1936" s="3" t="s">
        <v>43</v>
      </c>
    </row>
    <row r="1937" spans="4:4" ht="17.649999999999999" x14ac:dyDescent="0.5">
      <c r="D1937" s="3" t="s">
        <v>73</v>
      </c>
    </row>
    <row r="1938" spans="4:4" ht="17.649999999999999" x14ac:dyDescent="0.5">
      <c r="D1938" s="3" t="s">
        <v>83</v>
      </c>
    </row>
    <row r="1939" spans="4:4" ht="17.649999999999999" x14ac:dyDescent="0.5">
      <c r="D1939" s="3" t="s">
        <v>56</v>
      </c>
    </row>
    <row r="1940" spans="4:4" ht="17.649999999999999" x14ac:dyDescent="0.5">
      <c r="D1940" s="3" t="s">
        <v>69</v>
      </c>
    </row>
    <row r="1941" spans="4:4" ht="17.649999999999999" x14ac:dyDescent="0.5">
      <c r="D1941" s="3" t="s">
        <v>101</v>
      </c>
    </row>
    <row r="1942" spans="4:4" ht="17.649999999999999" x14ac:dyDescent="0.5">
      <c r="D1942" s="3" t="s">
        <v>105</v>
      </c>
    </row>
    <row r="1943" spans="4:4" ht="17.649999999999999" x14ac:dyDescent="0.5">
      <c r="D1943" s="3" t="s">
        <v>61</v>
      </c>
    </row>
    <row r="1944" spans="4:4" ht="17.649999999999999" x14ac:dyDescent="0.5">
      <c r="D1944" s="3" t="s">
        <v>69</v>
      </c>
    </row>
    <row r="1945" spans="4:4" ht="17.649999999999999" x14ac:dyDescent="0.5">
      <c r="D1945" s="3" t="s">
        <v>57</v>
      </c>
    </row>
    <row r="1946" spans="4:4" ht="17.649999999999999" x14ac:dyDescent="0.5">
      <c r="D1946" s="3" t="s">
        <v>41</v>
      </c>
    </row>
    <row r="1947" spans="4:4" ht="17.649999999999999" x14ac:dyDescent="0.5">
      <c r="D1947" s="3" t="s">
        <v>101</v>
      </c>
    </row>
    <row r="1948" spans="4:4" ht="17.649999999999999" x14ac:dyDescent="0.5">
      <c r="D1948" s="3" t="s">
        <v>117</v>
      </c>
    </row>
    <row r="1949" spans="4:4" ht="17.649999999999999" x14ac:dyDescent="0.5">
      <c r="D1949" s="3" t="s">
        <v>133</v>
      </c>
    </row>
    <row r="1950" spans="4:4" ht="17.649999999999999" x14ac:dyDescent="0.5">
      <c r="D1950" s="3" t="s">
        <v>78</v>
      </c>
    </row>
    <row r="1951" spans="4:4" ht="17.649999999999999" x14ac:dyDescent="0.5">
      <c r="D1951" s="3" t="s">
        <v>129</v>
      </c>
    </row>
    <row r="1952" spans="4:4" ht="17.649999999999999" x14ac:dyDescent="0.5">
      <c r="D1952" s="3" t="s">
        <v>64</v>
      </c>
    </row>
    <row r="1953" spans="4:4" ht="17.649999999999999" x14ac:dyDescent="0.5">
      <c r="D1953" s="3" t="s">
        <v>101</v>
      </c>
    </row>
    <row r="1954" spans="4:4" ht="17.649999999999999" x14ac:dyDescent="0.5">
      <c r="D1954" s="3" t="s">
        <v>62</v>
      </c>
    </row>
    <row r="1955" spans="4:4" ht="17.649999999999999" x14ac:dyDescent="0.5">
      <c r="D1955" s="3" t="s">
        <v>46</v>
      </c>
    </row>
    <row r="1956" spans="4:4" ht="17.649999999999999" x14ac:dyDescent="0.5">
      <c r="D1956" s="3" t="s">
        <v>92</v>
      </c>
    </row>
    <row r="1957" spans="4:4" ht="17.649999999999999" x14ac:dyDescent="0.5">
      <c r="D1957" s="3" t="s">
        <v>66</v>
      </c>
    </row>
    <row r="1958" spans="4:4" ht="17.649999999999999" x14ac:dyDescent="0.5">
      <c r="D1958" s="3" t="s">
        <v>50</v>
      </c>
    </row>
    <row r="1959" spans="4:4" ht="17.649999999999999" x14ac:dyDescent="0.5">
      <c r="D1959" s="3" t="s">
        <v>119</v>
      </c>
    </row>
    <row r="1960" spans="4:4" ht="17.649999999999999" x14ac:dyDescent="0.5">
      <c r="D1960" s="3" t="s">
        <v>54</v>
      </c>
    </row>
    <row r="1961" spans="4:4" ht="17.649999999999999" x14ac:dyDescent="0.5">
      <c r="D1961" s="3" t="s">
        <v>101</v>
      </c>
    </row>
    <row r="1962" spans="4:4" ht="17.649999999999999" x14ac:dyDescent="0.5">
      <c r="D1962" s="3" t="s">
        <v>65</v>
      </c>
    </row>
    <row r="1963" spans="4:4" ht="17.649999999999999" x14ac:dyDescent="0.5">
      <c r="D1963" s="3" t="s">
        <v>83</v>
      </c>
    </row>
    <row r="1964" spans="4:4" ht="17.649999999999999" x14ac:dyDescent="0.5">
      <c r="D1964" s="3" t="s">
        <v>133</v>
      </c>
    </row>
    <row r="1965" spans="4:4" ht="17.649999999999999" x14ac:dyDescent="0.5">
      <c r="D1965" s="3" t="s">
        <v>66</v>
      </c>
    </row>
    <row r="1966" spans="4:4" ht="17.649999999999999" x14ac:dyDescent="0.5">
      <c r="D1966" s="3" t="s">
        <v>54</v>
      </c>
    </row>
    <row r="1967" spans="4:4" ht="17.649999999999999" x14ac:dyDescent="0.5">
      <c r="D1967" s="3" t="s">
        <v>94</v>
      </c>
    </row>
    <row r="1968" spans="4:4" ht="17.649999999999999" x14ac:dyDescent="0.5">
      <c r="D1968" s="3" t="s">
        <v>57</v>
      </c>
    </row>
    <row r="1969" spans="4:4" ht="17.649999999999999" x14ac:dyDescent="0.5">
      <c r="D1969" s="3" t="s">
        <v>85</v>
      </c>
    </row>
    <row r="1970" spans="4:4" ht="17.649999999999999" x14ac:dyDescent="0.5">
      <c r="D1970" s="3" t="s">
        <v>101</v>
      </c>
    </row>
    <row r="1971" spans="4:4" ht="17.649999999999999" x14ac:dyDescent="0.5">
      <c r="D1971" s="3" t="s">
        <v>110</v>
      </c>
    </row>
    <row r="1972" spans="4:4" ht="17.649999999999999" x14ac:dyDescent="0.5">
      <c r="D1972" s="3" t="s">
        <v>112</v>
      </c>
    </row>
    <row r="1973" spans="4:4" ht="17.649999999999999" x14ac:dyDescent="0.5">
      <c r="D1973" s="3" t="s">
        <v>103</v>
      </c>
    </row>
    <row r="1974" spans="4:4" ht="17.649999999999999" x14ac:dyDescent="0.5">
      <c r="D1974" s="3" t="s">
        <v>105</v>
      </c>
    </row>
    <row r="1975" spans="4:4" ht="17.649999999999999" x14ac:dyDescent="0.5">
      <c r="D1975" s="3" t="s">
        <v>78</v>
      </c>
    </row>
    <row r="1976" spans="4:4" ht="17.649999999999999" x14ac:dyDescent="0.5">
      <c r="D1976" s="3" t="s">
        <v>80</v>
      </c>
    </row>
    <row r="1977" spans="4:4" ht="17.649999999999999" x14ac:dyDescent="0.5">
      <c r="D1977" s="3" t="s">
        <v>83</v>
      </c>
    </row>
    <row r="1978" spans="4:4" ht="17.649999999999999" x14ac:dyDescent="0.5">
      <c r="D1978" s="3" t="s">
        <v>112</v>
      </c>
    </row>
    <row r="1979" spans="4:4" ht="17.649999999999999" x14ac:dyDescent="0.5">
      <c r="D1979" s="3" t="s">
        <v>131</v>
      </c>
    </row>
    <row r="1980" spans="4:4" ht="17.649999999999999" x14ac:dyDescent="0.5">
      <c r="D1980" s="3" t="s">
        <v>91</v>
      </c>
    </row>
    <row r="1981" spans="4:4" ht="17.649999999999999" x14ac:dyDescent="0.5">
      <c r="D1981" s="3" t="s">
        <v>87</v>
      </c>
    </row>
    <row r="1982" spans="4:4" ht="17.649999999999999" x14ac:dyDescent="0.5">
      <c r="D1982" s="3" t="s">
        <v>90</v>
      </c>
    </row>
    <row r="1983" spans="4:4" ht="17.649999999999999" x14ac:dyDescent="0.5">
      <c r="D1983" s="3" t="s">
        <v>134</v>
      </c>
    </row>
    <row r="1984" spans="4:4" ht="17.649999999999999" x14ac:dyDescent="0.5">
      <c r="D1984" s="3" t="s">
        <v>98</v>
      </c>
    </row>
    <row r="1985" spans="4:4" ht="17.649999999999999" x14ac:dyDescent="0.5">
      <c r="D1985" s="3" t="s">
        <v>52</v>
      </c>
    </row>
    <row r="1986" spans="4:4" ht="17.649999999999999" x14ac:dyDescent="0.5">
      <c r="D1986" s="3" t="s">
        <v>102</v>
      </c>
    </row>
    <row r="1987" spans="4:4" ht="17.649999999999999" x14ac:dyDescent="0.5">
      <c r="D1987" s="3" t="s">
        <v>76</v>
      </c>
    </row>
    <row r="1988" spans="4:4" ht="17.649999999999999" x14ac:dyDescent="0.5">
      <c r="D1988" s="3" t="s">
        <v>46</v>
      </c>
    </row>
    <row r="1989" spans="4:4" ht="17.649999999999999" x14ac:dyDescent="0.5">
      <c r="D1989" s="3" t="s">
        <v>112</v>
      </c>
    </row>
    <row r="1990" spans="4:4" ht="17.649999999999999" x14ac:dyDescent="0.5">
      <c r="D1990" s="3" t="s">
        <v>70</v>
      </c>
    </row>
    <row r="1991" spans="4:4" ht="17.649999999999999" x14ac:dyDescent="0.5">
      <c r="D1991" s="3" t="s">
        <v>51</v>
      </c>
    </row>
    <row r="1992" spans="4:4" ht="17.649999999999999" x14ac:dyDescent="0.5">
      <c r="D1992" s="3" t="s">
        <v>119</v>
      </c>
    </row>
    <row r="1993" spans="4:4" ht="17.649999999999999" x14ac:dyDescent="0.5">
      <c r="D1993" s="3" t="s">
        <v>94</v>
      </c>
    </row>
    <row r="1994" spans="4:4" ht="17.649999999999999" x14ac:dyDescent="0.5">
      <c r="D1994" s="3" t="s">
        <v>47</v>
      </c>
    </row>
    <row r="1995" spans="4:4" ht="17.649999999999999" x14ac:dyDescent="0.5">
      <c r="D1995" s="3" t="s">
        <v>67</v>
      </c>
    </row>
    <row r="1996" spans="4:4" ht="17.649999999999999" x14ac:dyDescent="0.5">
      <c r="D1996" s="3" t="s">
        <v>95</v>
      </c>
    </row>
    <row r="1997" spans="4:4" ht="17.649999999999999" x14ac:dyDescent="0.5">
      <c r="D1997" s="3" t="s">
        <v>127</v>
      </c>
    </row>
    <row r="1998" spans="4:4" ht="17.649999999999999" x14ac:dyDescent="0.5">
      <c r="D1998" s="3" t="s">
        <v>106</v>
      </c>
    </row>
    <row r="1999" spans="4:4" ht="17.649999999999999" x14ac:dyDescent="0.5">
      <c r="D1999" s="3" t="s">
        <v>79</v>
      </c>
    </row>
    <row r="2000" spans="4:4" ht="17.649999999999999" x14ac:dyDescent="0.5">
      <c r="D2000" s="3" t="s">
        <v>101</v>
      </c>
    </row>
    <row r="2001" spans="4:4" ht="17.649999999999999" x14ac:dyDescent="0.5">
      <c r="D2001" s="3" t="s">
        <v>75</v>
      </c>
    </row>
    <row r="2002" spans="4:4" ht="17.649999999999999" x14ac:dyDescent="0.5">
      <c r="D2002" s="3" t="s">
        <v>83</v>
      </c>
    </row>
    <row r="2003" spans="4:4" ht="17.649999999999999" x14ac:dyDescent="0.5">
      <c r="D2003" s="3" t="s">
        <v>56</v>
      </c>
    </row>
    <row r="2004" spans="4:4" ht="17.649999999999999" x14ac:dyDescent="0.5">
      <c r="D2004" s="3" t="s">
        <v>41</v>
      </c>
    </row>
    <row r="2005" spans="4:4" ht="17.649999999999999" x14ac:dyDescent="0.5">
      <c r="D2005" s="3" t="s">
        <v>101</v>
      </c>
    </row>
    <row r="2006" spans="4:4" ht="17.649999999999999" x14ac:dyDescent="0.5">
      <c r="D2006" s="3" t="s">
        <v>124</v>
      </c>
    </row>
    <row r="2007" spans="4:4" ht="17.649999999999999" x14ac:dyDescent="0.5">
      <c r="D2007" s="3" t="s">
        <v>80</v>
      </c>
    </row>
    <row r="2008" spans="4:4" ht="17.649999999999999" x14ac:dyDescent="0.5">
      <c r="D2008" s="3" t="s">
        <v>85</v>
      </c>
    </row>
    <row r="2009" spans="4:4" ht="17.649999999999999" x14ac:dyDescent="0.5">
      <c r="D2009" s="3" t="s">
        <v>100</v>
      </c>
    </row>
    <row r="2010" spans="4:4" ht="17.649999999999999" x14ac:dyDescent="0.5">
      <c r="D2010" s="3" t="s">
        <v>81</v>
      </c>
    </row>
    <row r="2011" spans="4:4" ht="17.649999999999999" x14ac:dyDescent="0.5">
      <c r="D2011" s="3" t="s">
        <v>108</v>
      </c>
    </row>
    <row r="2012" spans="4:4" ht="17.649999999999999" x14ac:dyDescent="0.5">
      <c r="D2012" s="3" t="s">
        <v>105</v>
      </c>
    </row>
    <row r="2013" spans="4:4" ht="17.649999999999999" x14ac:dyDescent="0.5">
      <c r="D2013" s="3" t="s">
        <v>63</v>
      </c>
    </row>
    <row r="2014" spans="4:4" ht="17.649999999999999" x14ac:dyDescent="0.5">
      <c r="D2014" s="3" t="s">
        <v>88</v>
      </c>
    </row>
    <row r="2015" spans="4:4" ht="17.649999999999999" x14ac:dyDescent="0.5">
      <c r="D2015" s="3" t="s">
        <v>95</v>
      </c>
    </row>
    <row r="2016" spans="4:4" ht="17.649999999999999" x14ac:dyDescent="0.5">
      <c r="D2016" s="3" t="s">
        <v>98</v>
      </c>
    </row>
    <row r="2017" spans="4:4" ht="17.649999999999999" x14ac:dyDescent="0.5">
      <c r="D2017" s="3" t="s">
        <v>57</v>
      </c>
    </row>
    <row r="2018" spans="4:4" ht="17.649999999999999" x14ac:dyDescent="0.5">
      <c r="D2018" s="3" t="s">
        <v>60</v>
      </c>
    </row>
    <row r="2019" spans="4:4" ht="17.649999999999999" x14ac:dyDescent="0.5">
      <c r="D2019" s="3" t="s">
        <v>101</v>
      </c>
    </row>
    <row r="2020" spans="4:4" ht="17.649999999999999" x14ac:dyDescent="0.5">
      <c r="D2020" s="3" t="s">
        <v>87</v>
      </c>
    </row>
    <row r="2021" spans="4:4" ht="17.649999999999999" x14ac:dyDescent="0.5">
      <c r="D2021" s="3" t="s">
        <v>115</v>
      </c>
    </row>
    <row r="2022" spans="4:4" ht="17.649999999999999" x14ac:dyDescent="0.5">
      <c r="D2022" s="3" t="s">
        <v>70</v>
      </c>
    </row>
    <row r="2023" spans="4:4" ht="17.649999999999999" x14ac:dyDescent="0.5">
      <c r="D2023" s="3" t="s">
        <v>102</v>
      </c>
    </row>
    <row r="2024" spans="4:4" ht="17.649999999999999" x14ac:dyDescent="0.5">
      <c r="D2024" s="3" t="s">
        <v>67</v>
      </c>
    </row>
    <row r="2025" spans="4:4" ht="17.649999999999999" x14ac:dyDescent="0.5">
      <c r="D2025" s="3" t="s">
        <v>131</v>
      </c>
    </row>
    <row r="2026" spans="4:4" ht="17.649999999999999" x14ac:dyDescent="0.5">
      <c r="D2026" s="3" t="s">
        <v>85</v>
      </c>
    </row>
    <row r="2027" spans="4:4" ht="17.649999999999999" x14ac:dyDescent="0.5">
      <c r="D2027" s="3" t="s">
        <v>78</v>
      </c>
    </row>
    <row r="2028" spans="4:4" ht="17.649999999999999" x14ac:dyDescent="0.5">
      <c r="D2028" s="3" t="s">
        <v>83</v>
      </c>
    </row>
    <row r="2029" spans="4:4" ht="17.649999999999999" x14ac:dyDescent="0.5">
      <c r="D2029" s="3" t="s">
        <v>98</v>
      </c>
    </row>
    <row r="2030" spans="4:4" ht="17.649999999999999" x14ac:dyDescent="0.5">
      <c r="D2030" s="3" t="s">
        <v>80</v>
      </c>
    </row>
    <row r="2031" spans="4:4" ht="17.649999999999999" x14ac:dyDescent="0.5">
      <c r="D2031" s="3" t="s">
        <v>90</v>
      </c>
    </row>
    <row r="2032" spans="4:4" ht="17.649999999999999" x14ac:dyDescent="0.5">
      <c r="D2032" s="3" t="s">
        <v>112</v>
      </c>
    </row>
    <row r="2033" spans="4:4" ht="17.649999999999999" x14ac:dyDescent="0.5">
      <c r="D2033" s="3" t="s">
        <v>81</v>
      </c>
    </row>
    <row r="2034" spans="4:4" ht="17.649999999999999" x14ac:dyDescent="0.5">
      <c r="D2034" s="3" t="s">
        <v>69</v>
      </c>
    </row>
    <row r="2035" spans="4:4" ht="17.649999999999999" x14ac:dyDescent="0.5">
      <c r="D2035" s="3" t="s">
        <v>100</v>
      </c>
    </row>
    <row r="2036" spans="4:4" ht="17.649999999999999" x14ac:dyDescent="0.5">
      <c r="D2036" s="3" t="s">
        <v>101</v>
      </c>
    </row>
    <row r="2037" spans="4:4" ht="17.649999999999999" x14ac:dyDescent="0.5">
      <c r="D2037" s="3" t="s">
        <v>43</v>
      </c>
    </row>
    <row r="2038" spans="4:4" ht="17.649999999999999" x14ac:dyDescent="0.5">
      <c r="D2038" s="3" t="s">
        <v>63</v>
      </c>
    </row>
    <row r="2039" spans="4:4" ht="17.649999999999999" x14ac:dyDescent="0.5">
      <c r="D2039" s="3" t="s">
        <v>74</v>
      </c>
    </row>
    <row r="2040" spans="4:4" ht="17.649999999999999" x14ac:dyDescent="0.5">
      <c r="D2040" s="3" t="s">
        <v>57</v>
      </c>
    </row>
    <row r="2041" spans="4:4" ht="17.649999999999999" x14ac:dyDescent="0.5">
      <c r="D2041" s="3" t="s">
        <v>55</v>
      </c>
    </row>
    <row r="2042" spans="4:4" ht="17.649999999999999" x14ac:dyDescent="0.5">
      <c r="D2042" s="3" t="s">
        <v>73</v>
      </c>
    </row>
    <row r="2043" spans="4:4" ht="17.649999999999999" x14ac:dyDescent="0.5">
      <c r="D2043" s="3" t="s">
        <v>49</v>
      </c>
    </row>
    <row r="2044" spans="4:4" ht="17.649999999999999" x14ac:dyDescent="0.5">
      <c r="D2044" s="3" t="s">
        <v>64</v>
      </c>
    </row>
    <row r="2045" spans="4:4" ht="17.649999999999999" x14ac:dyDescent="0.5">
      <c r="D2045" s="3" t="s">
        <v>48</v>
      </c>
    </row>
    <row r="2046" spans="4:4" ht="17.649999999999999" x14ac:dyDescent="0.5">
      <c r="D2046" s="3" t="s">
        <v>97</v>
      </c>
    </row>
    <row r="2047" spans="4:4" ht="17.649999999999999" x14ac:dyDescent="0.5">
      <c r="D2047" s="3" t="s">
        <v>128</v>
      </c>
    </row>
    <row r="2048" spans="4:4" ht="17.649999999999999" x14ac:dyDescent="0.5">
      <c r="D2048" s="3" t="s">
        <v>82</v>
      </c>
    </row>
    <row r="2049" spans="4:4" ht="17.649999999999999" x14ac:dyDescent="0.5">
      <c r="D2049" s="3" t="s">
        <v>53</v>
      </c>
    </row>
    <row r="2050" spans="4:4" ht="17.649999999999999" x14ac:dyDescent="0.5">
      <c r="D2050" s="3" t="s">
        <v>71</v>
      </c>
    </row>
    <row r="2051" spans="4:4" ht="17.649999999999999" x14ac:dyDescent="0.5">
      <c r="D2051" s="3" t="s">
        <v>84</v>
      </c>
    </row>
    <row r="2052" spans="4:4" ht="17.649999999999999" x14ac:dyDescent="0.5">
      <c r="D2052" s="3" t="s">
        <v>117</v>
      </c>
    </row>
    <row r="2053" spans="4:4" ht="17.649999999999999" x14ac:dyDescent="0.5">
      <c r="D2053" s="3" t="s">
        <v>65</v>
      </c>
    </row>
    <row r="2054" spans="4:4" ht="17.649999999999999" x14ac:dyDescent="0.5">
      <c r="D2054" s="3" t="s">
        <v>126</v>
      </c>
    </row>
    <row r="2055" spans="4:4" ht="17.649999999999999" x14ac:dyDescent="0.5">
      <c r="D2055" s="3" t="s">
        <v>42</v>
      </c>
    </row>
    <row r="2056" spans="4:4" ht="17.649999999999999" x14ac:dyDescent="0.5">
      <c r="D2056" s="3" t="s">
        <v>105</v>
      </c>
    </row>
    <row r="2057" spans="4:4" ht="17.649999999999999" x14ac:dyDescent="0.5">
      <c r="D2057" s="3" t="s">
        <v>73</v>
      </c>
    </row>
    <row r="2058" spans="4:4" ht="17.649999999999999" x14ac:dyDescent="0.5">
      <c r="D2058" s="3" t="s">
        <v>44</v>
      </c>
    </row>
    <row r="2059" spans="4:4" ht="17.649999999999999" x14ac:dyDescent="0.5">
      <c r="D2059" s="3" t="s">
        <v>70</v>
      </c>
    </row>
    <row r="2060" spans="4:4" ht="17.649999999999999" x14ac:dyDescent="0.5">
      <c r="D2060" s="3" t="s">
        <v>43</v>
      </c>
    </row>
    <row r="2061" spans="4:4" ht="17.649999999999999" x14ac:dyDescent="0.5">
      <c r="D2061" s="3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1:23" ht="25.15" x14ac:dyDescent="0.7">
      <c r="A1" t="s">
        <v>154</v>
      </c>
      <c r="D1" s="1" t="s">
        <v>152</v>
      </c>
      <c r="Q1" s="1" t="s">
        <v>152</v>
      </c>
    </row>
    <row r="2" spans="1:23" x14ac:dyDescent="0.5">
      <c r="A2" t="s">
        <v>155</v>
      </c>
      <c r="D2" s="2" t="s">
        <v>8</v>
      </c>
      <c r="E2" s="2" t="s">
        <v>9</v>
      </c>
      <c r="F2" s="2" t="s">
        <v>10</v>
      </c>
      <c r="Q2" s="2" t="s">
        <v>8</v>
      </c>
      <c r="R2" s="2" t="s">
        <v>9</v>
      </c>
      <c r="S2" s="2" t="s">
        <v>10</v>
      </c>
    </row>
    <row r="3" spans="1:23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  <c r="Q3" s="2" t="s">
        <v>11</v>
      </c>
      <c r="R3" s="2" t="s">
        <v>12</v>
      </c>
      <c r="S3" s="2" t="s">
        <v>13</v>
      </c>
      <c r="T3" s="2" t="s">
        <v>14</v>
      </c>
      <c r="U3" s="2" t="s">
        <v>15</v>
      </c>
      <c r="V3" s="2" t="s">
        <v>16</v>
      </c>
      <c r="W3" s="2" t="s">
        <v>17</v>
      </c>
    </row>
    <row r="4" spans="1:23" x14ac:dyDescent="0.5">
      <c r="D4" s="2">
        <v>0</v>
      </c>
      <c r="E4" s="2">
        <v>1</v>
      </c>
      <c r="F4" s="2">
        <v>1</v>
      </c>
      <c r="G4" s="2">
        <v>0</v>
      </c>
      <c r="H4" s="2">
        <v>0</v>
      </c>
      <c r="I4" s="2">
        <v>0</v>
      </c>
      <c r="J4" s="2">
        <v>1</v>
      </c>
      <c r="Q4" s="2">
        <v>0</v>
      </c>
      <c r="R4" s="2">
        <v>1</v>
      </c>
      <c r="S4" s="2">
        <v>1</v>
      </c>
      <c r="T4" s="2">
        <v>0</v>
      </c>
      <c r="U4" s="2">
        <v>0</v>
      </c>
      <c r="V4" s="2">
        <v>0</v>
      </c>
      <c r="W4" s="2">
        <v>1</v>
      </c>
    </row>
    <row r="5" spans="1:23" ht="17.649999999999999" x14ac:dyDescent="0.5">
      <c r="D5" s="3"/>
      <c r="Q5" s="3"/>
    </row>
    <row r="6" spans="1:23" ht="17.649999999999999" x14ac:dyDescent="0.5">
      <c r="D6" s="3" t="s">
        <v>18</v>
      </c>
      <c r="Q6" s="3" t="s">
        <v>18</v>
      </c>
    </row>
    <row r="7" spans="1:23" ht="17.649999999999999" x14ac:dyDescent="0.5">
      <c r="D7" s="3" t="s">
        <v>19</v>
      </c>
      <c r="Q7" s="3" t="s">
        <v>19</v>
      </c>
    </row>
    <row r="8" spans="1:23" ht="17.649999999999999" x14ac:dyDescent="0.5">
      <c r="D8" s="3" t="s">
        <v>20</v>
      </c>
      <c r="Q8" s="3" t="s">
        <v>20</v>
      </c>
    </row>
    <row r="10" spans="1:23" ht="25.15" x14ac:dyDescent="0.7">
      <c r="D10" s="1" t="s">
        <v>21</v>
      </c>
      <c r="Q10" s="1" t="s">
        <v>21</v>
      </c>
    </row>
    <row r="11" spans="1:23" x14ac:dyDescent="0.5">
      <c r="D11" s="2" t="s">
        <v>8</v>
      </c>
      <c r="E11" s="2" t="s">
        <v>9</v>
      </c>
      <c r="F11" s="2" t="s">
        <v>10</v>
      </c>
      <c r="Q11" s="2" t="s">
        <v>8</v>
      </c>
      <c r="R11" s="2" t="s">
        <v>9</v>
      </c>
      <c r="S11" s="2" t="s">
        <v>10</v>
      </c>
    </row>
    <row r="12" spans="1:23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  <c r="Q12" s="2" t="s">
        <v>11</v>
      </c>
      <c r="R12" s="2" t="s">
        <v>12</v>
      </c>
      <c r="S12" s="2" t="s">
        <v>13</v>
      </c>
      <c r="T12" s="2" t="s">
        <v>14</v>
      </c>
      <c r="U12" s="2" t="s">
        <v>15</v>
      </c>
      <c r="V12" s="2" t="s">
        <v>16</v>
      </c>
      <c r="W12" s="2" t="s">
        <v>17</v>
      </c>
    </row>
    <row r="13" spans="1:23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  <c r="Q13" s="2">
        <v>500</v>
      </c>
      <c r="R13" s="2">
        <v>500</v>
      </c>
      <c r="S13" s="2">
        <v>332</v>
      </c>
      <c r="T13" s="2">
        <v>334</v>
      </c>
      <c r="U13" s="2">
        <v>334</v>
      </c>
      <c r="V13" s="2">
        <v>501</v>
      </c>
      <c r="W13" s="2">
        <v>499</v>
      </c>
    </row>
    <row r="14" spans="1:23" ht="17.649999999999999" x14ac:dyDescent="0.5">
      <c r="D14" s="3"/>
      <c r="Q14" s="3"/>
    </row>
    <row r="15" spans="1:23" x14ac:dyDescent="0.5">
      <c r="D15" s="2" t="s">
        <v>22</v>
      </c>
      <c r="Q15" s="2" t="s">
        <v>22</v>
      </c>
    </row>
    <row r="16" spans="1:23" x14ac:dyDescent="0.5">
      <c r="D16" s="2">
        <v>1000</v>
      </c>
      <c r="Q16" s="2">
        <v>1000</v>
      </c>
    </row>
    <row r="17" spans="4:30" ht="17.649999999999999" x14ac:dyDescent="0.5">
      <c r="D17" s="3"/>
      <c r="Q17" s="3"/>
    </row>
    <row r="18" spans="4:30" ht="17.649999999999999" x14ac:dyDescent="0.5">
      <c r="D18" s="3"/>
      <c r="Q18" s="3"/>
    </row>
    <row r="20" spans="4:30" ht="25.15" x14ac:dyDescent="0.7">
      <c r="D20" s="1" t="s">
        <v>23</v>
      </c>
      <c r="Q20" s="1" t="s">
        <v>23</v>
      </c>
    </row>
    <row r="21" spans="4:30" x14ac:dyDescent="0.5">
      <c r="D21" s="2" t="s">
        <v>8</v>
      </c>
      <c r="E21" s="2" t="s">
        <v>9</v>
      </c>
      <c r="F21" s="2" t="s">
        <v>10</v>
      </c>
      <c r="Q21" s="2" t="s">
        <v>8</v>
      </c>
      <c r="R21" s="2" t="s">
        <v>9</v>
      </c>
      <c r="S21" s="2" t="s">
        <v>10</v>
      </c>
    </row>
    <row r="22" spans="4:30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  <c r="Q22" s="2" t="s">
        <v>11</v>
      </c>
      <c r="R22" s="2" t="s">
        <v>12</v>
      </c>
      <c r="S22" s="2" t="s">
        <v>13</v>
      </c>
      <c r="T22" s="2" t="s">
        <v>14</v>
      </c>
      <c r="U22" s="2" t="s">
        <v>15</v>
      </c>
      <c r="V22" s="2" t="s">
        <v>16</v>
      </c>
      <c r="W22" s="2" t="s">
        <v>17</v>
      </c>
    </row>
    <row r="23" spans="4:30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  <c r="Q23" s="2">
        <v>500</v>
      </c>
      <c r="R23" s="2">
        <v>500</v>
      </c>
      <c r="S23" s="2">
        <v>332</v>
      </c>
      <c r="T23" s="2">
        <v>334</v>
      </c>
      <c r="U23" s="2">
        <v>334</v>
      </c>
      <c r="V23" s="2">
        <v>501</v>
      </c>
      <c r="W23" s="2">
        <v>499</v>
      </c>
    </row>
    <row r="24" spans="4:30" ht="17.649999999999999" x14ac:dyDescent="0.5">
      <c r="D24" s="3"/>
      <c r="Q24" s="3"/>
    </row>
    <row r="25" spans="4:30" x14ac:dyDescent="0.5">
      <c r="D25" s="2" t="s">
        <v>22</v>
      </c>
      <c r="Q25" s="2" t="s">
        <v>22</v>
      </c>
    </row>
    <row r="26" spans="4:30" x14ac:dyDescent="0.5">
      <c r="D26" s="2">
        <v>1000</v>
      </c>
      <c r="Q26" s="2">
        <v>1000</v>
      </c>
    </row>
    <row r="27" spans="4:30" ht="17.649999999999999" x14ac:dyDescent="0.5">
      <c r="D27" s="3" t="s">
        <v>24</v>
      </c>
      <c r="Q27" s="3" t="s">
        <v>24</v>
      </c>
    </row>
    <row r="28" spans="4:30" x14ac:dyDescent="0.5">
      <c r="D28" s="2" t="s">
        <v>25</v>
      </c>
      <c r="Q28" s="2" t="s">
        <v>25</v>
      </c>
    </row>
    <row r="29" spans="4:30" x14ac:dyDescent="0.5">
      <c r="D29" s="2"/>
      <c r="E29" s="2" t="s">
        <v>26</v>
      </c>
      <c r="Q29" s="2"/>
      <c r="R29" s="2" t="s">
        <v>26</v>
      </c>
    </row>
    <row r="30" spans="4:30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  <c r="Q30" s="2" t="s">
        <v>27</v>
      </c>
      <c r="R30" s="2">
        <v>1</v>
      </c>
      <c r="S30" s="2">
        <v>2</v>
      </c>
      <c r="T30" s="2">
        <v>3</v>
      </c>
      <c r="U30" s="2">
        <v>4</v>
      </c>
      <c r="V30" s="2">
        <v>5</v>
      </c>
      <c r="W30" s="2">
        <v>6</v>
      </c>
      <c r="X30" s="2">
        <v>7</v>
      </c>
      <c r="Y30" s="2">
        <v>8</v>
      </c>
      <c r="Z30" s="2">
        <v>9</v>
      </c>
      <c r="AA30" s="2">
        <v>10</v>
      </c>
      <c r="AB30" s="2">
        <v>11</v>
      </c>
      <c r="AC30" s="2">
        <v>12</v>
      </c>
      <c r="AD30">
        <f>AC30-P30</f>
        <v>0</v>
      </c>
    </row>
    <row r="31" spans="4:30" x14ac:dyDescent="0.5">
      <c r="D31" s="2">
        <v>1</v>
      </c>
      <c r="E31" s="2">
        <v>38</v>
      </c>
      <c r="F31" s="2">
        <v>44</v>
      </c>
      <c r="G31" s="2">
        <v>53</v>
      </c>
      <c r="H31" s="2">
        <v>46</v>
      </c>
      <c r="I31" s="2">
        <v>44</v>
      </c>
      <c r="J31" s="2">
        <v>36</v>
      </c>
      <c r="K31" s="2">
        <v>38</v>
      </c>
      <c r="L31" s="2">
        <v>44</v>
      </c>
      <c r="M31" s="2">
        <v>49</v>
      </c>
      <c r="N31" s="2">
        <v>34</v>
      </c>
      <c r="O31" s="2">
        <v>37</v>
      </c>
      <c r="P31" s="2">
        <v>45</v>
      </c>
      <c r="Q31" s="2">
        <v>1</v>
      </c>
      <c r="R31" s="2">
        <v>38</v>
      </c>
      <c r="S31" s="2">
        <v>44</v>
      </c>
      <c r="T31" s="2">
        <v>53</v>
      </c>
      <c r="U31" s="2">
        <v>46</v>
      </c>
      <c r="V31" s="2">
        <v>44</v>
      </c>
      <c r="W31" s="2">
        <v>36</v>
      </c>
      <c r="X31" s="2">
        <v>38</v>
      </c>
      <c r="Y31" s="2">
        <v>44</v>
      </c>
      <c r="Z31" s="2">
        <v>49</v>
      </c>
      <c r="AA31" s="2">
        <v>34</v>
      </c>
      <c r="AB31" s="2">
        <v>37</v>
      </c>
      <c r="AC31" s="2">
        <v>45</v>
      </c>
      <c r="AD31">
        <f t="shared" ref="AD31:AD46" si="0">AC31-P31</f>
        <v>0</v>
      </c>
    </row>
    <row r="32" spans="4:30" x14ac:dyDescent="0.5">
      <c r="D32" s="2">
        <v>2</v>
      </c>
      <c r="E32" s="2">
        <v>43</v>
      </c>
      <c r="F32" s="2">
        <v>40</v>
      </c>
      <c r="G32" s="2">
        <v>34</v>
      </c>
      <c r="H32" s="2">
        <v>42</v>
      </c>
      <c r="I32" s="2">
        <v>38</v>
      </c>
      <c r="J32" s="2">
        <v>42</v>
      </c>
      <c r="K32" s="2">
        <v>40</v>
      </c>
      <c r="L32" s="2">
        <v>45</v>
      </c>
      <c r="M32" s="2">
        <v>42</v>
      </c>
      <c r="N32" s="2">
        <v>34</v>
      </c>
      <c r="O32" s="2">
        <v>45</v>
      </c>
      <c r="P32" s="2">
        <v>47</v>
      </c>
      <c r="Q32" s="2">
        <v>2</v>
      </c>
      <c r="R32" s="2">
        <v>43</v>
      </c>
      <c r="S32" s="2">
        <v>40</v>
      </c>
      <c r="T32" s="2">
        <v>34</v>
      </c>
      <c r="U32" s="2">
        <v>42</v>
      </c>
      <c r="V32" s="2">
        <v>38</v>
      </c>
      <c r="W32" s="2">
        <v>42</v>
      </c>
      <c r="X32" s="2">
        <v>40</v>
      </c>
      <c r="Y32" s="2">
        <v>45</v>
      </c>
      <c r="Z32" s="2">
        <v>42</v>
      </c>
      <c r="AA32" s="2">
        <v>34</v>
      </c>
      <c r="AB32" s="2">
        <v>45</v>
      </c>
      <c r="AC32" s="2">
        <v>47</v>
      </c>
      <c r="AD32">
        <f t="shared" si="0"/>
        <v>0</v>
      </c>
    </row>
    <row r="33" spans="4:30" ht="17.649999999999999" x14ac:dyDescent="0.5">
      <c r="D33" s="3"/>
      <c r="Q33" s="3"/>
      <c r="AD33">
        <f t="shared" si="0"/>
        <v>0</v>
      </c>
    </row>
    <row r="34" spans="4:30" x14ac:dyDescent="0.5">
      <c r="D34" s="2" t="s">
        <v>28</v>
      </c>
      <c r="Q34" s="2" t="s">
        <v>28</v>
      </c>
      <c r="AD34">
        <f t="shared" si="0"/>
        <v>0</v>
      </c>
    </row>
    <row r="35" spans="4:30" x14ac:dyDescent="0.5">
      <c r="D35" s="2"/>
      <c r="E35" s="2" t="s">
        <v>26</v>
      </c>
      <c r="Q35" s="2"/>
      <c r="R35" s="2" t="s">
        <v>26</v>
      </c>
      <c r="AD35">
        <f t="shared" si="0"/>
        <v>0</v>
      </c>
    </row>
    <row r="36" spans="4:30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  <c r="Q36" s="2" t="s">
        <v>27</v>
      </c>
      <c r="R36" s="2">
        <v>1</v>
      </c>
      <c r="S36" s="2">
        <v>2</v>
      </c>
      <c r="T36" s="2">
        <v>3</v>
      </c>
      <c r="U36" s="2">
        <v>4</v>
      </c>
      <c r="V36" s="2">
        <v>5</v>
      </c>
      <c r="W36" s="2">
        <v>6</v>
      </c>
      <c r="X36" s="2">
        <v>7</v>
      </c>
      <c r="Y36" s="2">
        <v>8</v>
      </c>
      <c r="Z36" s="2">
        <v>9</v>
      </c>
      <c r="AA36" s="2">
        <v>10</v>
      </c>
      <c r="AB36" s="2">
        <v>11</v>
      </c>
      <c r="AC36" s="2">
        <v>12</v>
      </c>
      <c r="AD36">
        <f t="shared" si="0"/>
        <v>0</v>
      </c>
    </row>
    <row r="37" spans="4:30" x14ac:dyDescent="0.5">
      <c r="D37" s="2">
        <v>1</v>
      </c>
      <c r="E37" s="2">
        <v>45</v>
      </c>
      <c r="F37" s="2">
        <v>39</v>
      </c>
      <c r="G37" s="2">
        <v>31</v>
      </c>
      <c r="H37" s="2">
        <v>37</v>
      </c>
      <c r="I37" s="2">
        <v>40</v>
      </c>
      <c r="J37" s="2">
        <v>47</v>
      </c>
      <c r="K37" s="2">
        <v>45</v>
      </c>
      <c r="L37" s="2">
        <v>39</v>
      </c>
      <c r="M37" s="2">
        <v>35</v>
      </c>
      <c r="N37" s="2">
        <v>49</v>
      </c>
      <c r="O37" s="2">
        <v>46</v>
      </c>
      <c r="P37" s="2">
        <v>39</v>
      </c>
      <c r="Q37" s="2">
        <v>1</v>
      </c>
      <c r="R37" s="2">
        <v>45</v>
      </c>
      <c r="S37" s="2">
        <v>39</v>
      </c>
      <c r="T37" s="2">
        <v>31</v>
      </c>
      <c r="U37" s="2">
        <v>37</v>
      </c>
      <c r="V37" s="2">
        <v>40</v>
      </c>
      <c r="W37" s="2">
        <v>47</v>
      </c>
      <c r="X37" s="2">
        <v>45</v>
      </c>
      <c r="Y37" s="2">
        <v>39</v>
      </c>
      <c r="Z37" s="2">
        <v>35</v>
      </c>
      <c r="AA37" s="2">
        <v>49</v>
      </c>
      <c r="AB37" s="2">
        <v>46</v>
      </c>
      <c r="AC37" s="2">
        <v>39</v>
      </c>
      <c r="AD37">
        <f t="shared" si="0"/>
        <v>0</v>
      </c>
    </row>
    <row r="38" spans="4:30" x14ac:dyDescent="0.5">
      <c r="D38" s="2">
        <v>2</v>
      </c>
      <c r="E38" s="2">
        <v>40</v>
      </c>
      <c r="F38" s="2">
        <v>43</v>
      </c>
      <c r="G38" s="2">
        <v>50</v>
      </c>
      <c r="H38" s="2">
        <v>41</v>
      </c>
      <c r="I38" s="2">
        <v>46</v>
      </c>
      <c r="J38" s="2">
        <v>41</v>
      </c>
      <c r="K38" s="2">
        <v>43</v>
      </c>
      <c r="L38" s="2">
        <v>38</v>
      </c>
      <c r="M38" s="2">
        <v>42</v>
      </c>
      <c r="N38" s="2">
        <v>49</v>
      </c>
      <c r="O38" s="2">
        <v>38</v>
      </c>
      <c r="P38" s="2">
        <v>37</v>
      </c>
      <c r="Q38" s="2">
        <v>2</v>
      </c>
      <c r="R38" s="2">
        <v>40</v>
      </c>
      <c r="S38" s="2">
        <v>43</v>
      </c>
      <c r="T38" s="2">
        <v>50</v>
      </c>
      <c r="U38" s="2">
        <v>41</v>
      </c>
      <c r="V38" s="2">
        <v>46</v>
      </c>
      <c r="W38" s="2">
        <v>41</v>
      </c>
      <c r="X38" s="2">
        <v>43</v>
      </c>
      <c r="Y38" s="2">
        <v>38</v>
      </c>
      <c r="Z38" s="2">
        <v>42</v>
      </c>
      <c r="AA38" s="2">
        <v>49</v>
      </c>
      <c r="AB38" s="2">
        <v>38</v>
      </c>
      <c r="AC38" s="2">
        <v>37</v>
      </c>
      <c r="AD38">
        <f t="shared" si="0"/>
        <v>0</v>
      </c>
    </row>
    <row r="39" spans="4:30" ht="17.649999999999999" x14ac:dyDescent="0.5">
      <c r="D39" s="3" t="s">
        <v>137</v>
      </c>
      <c r="E39">
        <f t="shared" ref="E39:P39" si="1">E31-E37</f>
        <v>-7</v>
      </c>
      <c r="F39">
        <f t="shared" si="1"/>
        <v>5</v>
      </c>
      <c r="G39">
        <f t="shared" si="1"/>
        <v>22</v>
      </c>
      <c r="H39">
        <f t="shared" si="1"/>
        <v>9</v>
      </c>
      <c r="I39">
        <f t="shared" si="1"/>
        <v>4</v>
      </c>
      <c r="J39">
        <f t="shared" si="1"/>
        <v>-11</v>
      </c>
      <c r="K39">
        <f t="shared" si="1"/>
        <v>-7</v>
      </c>
      <c r="L39">
        <f t="shared" si="1"/>
        <v>5</v>
      </c>
      <c r="M39">
        <f t="shared" si="1"/>
        <v>14</v>
      </c>
      <c r="N39">
        <f t="shared" si="1"/>
        <v>-15</v>
      </c>
      <c r="O39">
        <f t="shared" si="1"/>
        <v>-9</v>
      </c>
      <c r="P39">
        <f t="shared" si="1"/>
        <v>6</v>
      </c>
      <c r="Q39" s="3"/>
      <c r="AD39">
        <f t="shared" si="0"/>
        <v>-6</v>
      </c>
    </row>
    <row r="40" spans="4:30" ht="17.649999999999999" x14ac:dyDescent="0.5">
      <c r="D40" s="3" t="s">
        <v>138</v>
      </c>
      <c r="E40">
        <f t="shared" ref="E40:P40" si="2">E32-E38</f>
        <v>3</v>
      </c>
      <c r="F40">
        <f t="shared" si="2"/>
        <v>-3</v>
      </c>
      <c r="G40">
        <f t="shared" si="2"/>
        <v>-16</v>
      </c>
      <c r="H40">
        <f t="shared" si="2"/>
        <v>1</v>
      </c>
      <c r="I40">
        <f t="shared" si="2"/>
        <v>-8</v>
      </c>
      <c r="J40">
        <f t="shared" si="2"/>
        <v>1</v>
      </c>
      <c r="K40">
        <f t="shared" si="2"/>
        <v>-3</v>
      </c>
      <c r="L40">
        <f t="shared" si="2"/>
        <v>7</v>
      </c>
      <c r="M40">
        <f t="shared" si="2"/>
        <v>0</v>
      </c>
      <c r="N40">
        <f t="shared" si="2"/>
        <v>-15</v>
      </c>
      <c r="O40">
        <f t="shared" si="2"/>
        <v>7</v>
      </c>
      <c r="P40">
        <f t="shared" si="2"/>
        <v>10</v>
      </c>
      <c r="Q40" s="3"/>
      <c r="AD40">
        <f t="shared" si="0"/>
        <v>-10</v>
      </c>
    </row>
    <row r="41" spans="4:30" x14ac:dyDescent="0.5">
      <c r="D41" s="2" t="s">
        <v>29</v>
      </c>
      <c r="Q41" s="2" t="s">
        <v>29</v>
      </c>
      <c r="AD41">
        <f t="shared" si="0"/>
        <v>0</v>
      </c>
    </row>
    <row r="42" spans="4:30" x14ac:dyDescent="0.5">
      <c r="D42" s="2"/>
      <c r="E42" s="2" t="s">
        <v>26</v>
      </c>
      <c r="Q42" s="2"/>
      <c r="R42" s="2" t="s">
        <v>26</v>
      </c>
      <c r="AD42">
        <f t="shared" si="0"/>
        <v>0</v>
      </c>
    </row>
    <row r="43" spans="4:30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  <c r="Q43" s="2" t="s">
        <v>27</v>
      </c>
      <c r="R43" s="2">
        <v>1</v>
      </c>
      <c r="S43" s="2">
        <v>2</v>
      </c>
      <c r="T43" s="2">
        <v>3</v>
      </c>
      <c r="U43" s="2">
        <v>4</v>
      </c>
      <c r="V43" s="2">
        <v>5</v>
      </c>
      <c r="W43" s="2">
        <v>6</v>
      </c>
      <c r="X43" s="2">
        <v>7</v>
      </c>
      <c r="Y43" s="2">
        <v>8</v>
      </c>
      <c r="Z43" s="2">
        <v>9</v>
      </c>
      <c r="AA43" s="2">
        <v>10</v>
      </c>
      <c r="AB43" s="2">
        <v>11</v>
      </c>
      <c r="AC43" s="2">
        <v>12</v>
      </c>
      <c r="AD43">
        <f t="shared" si="0"/>
        <v>0</v>
      </c>
    </row>
    <row r="44" spans="4:30" x14ac:dyDescent="0.5">
      <c r="D44" s="2" t="s">
        <v>25</v>
      </c>
      <c r="E44" s="2">
        <v>81</v>
      </c>
      <c r="F44" s="2">
        <v>84</v>
      </c>
      <c r="G44" s="2">
        <v>87</v>
      </c>
      <c r="H44" s="2">
        <v>88</v>
      </c>
      <c r="I44" s="2">
        <v>82</v>
      </c>
      <c r="J44" s="2">
        <v>78</v>
      </c>
      <c r="K44" s="2">
        <v>78</v>
      </c>
      <c r="L44" s="2">
        <v>89</v>
      </c>
      <c r="M44" s="2">
        <v>91</v>
      </c>
      <c r="N44" s="2">
        <v>68</v>
      </c>
      <c r="O44" s="2">
        <v>82</v>
      </c>
      <c r="P44" s="2">
        <v>92</v>
      </c>
      <c r="Q44" s="2" t="s">
        <v>25</v>
      </c>
      <c r="R44" s="2">
        <v>81</v>
      </c>
      <c r="S44" s="2">
        <v>84</v>
      </c>
      <c r="T44" s="2">
        <v>87</v>
      </c>
      <c r="U44" s="2">
        <v>88</v>
      </c>
      <c r="V44" s="2">
        <v>82</v>
      </c>
      <c r="W44" s="2">
        <v>78</v>
      </c>
      <c r="X44" s="2">
        <v>78</v>
      </c>
      <c r="Y44" s="2">
        <v>89</v>
      </c>
      <c r="Z44" s="2">
        <v>91</v>
      </c>
      <c r="AA44" s="2">
        <v>68</v>
      </c>
      <c r="AB44" s="2">
        <v>82</v>
      </c>
      <c r="AC44" s="2">
        <v>92</v>
      </c>
      <c r="AD44">
        <f t="shared" si="0"/>
        <v>0</v>
      </c>
    </row>
    <row r="45" spans="4:30" x14ac:dyDescent="0.5">
      <c r="D45" s="2" t="s">
        <v>28</v>
      </c>
      <c r="E45" s="2">
        <v>85</v>
      </c>
      <c r="F45" s="2">
        <v>82</v>
      </c>
      <c r="G45" s="2">
        <v>81</v>
      </c>
      <c r="H45" s="2">
        <v>78</v>
      </c>
      <c r="I45" s="2">
        <v>86</v>
      </c>
      <c r="J45" s="2">
        <v>88</v>
      </c>
      <c r="K45" s="2">
        <v>88</v>
      </c>
      <c r="L45" s="2">
        <v>77</v>
      </c>
      <c r="M45" s="2">
        <v>77</v>
      </c>
      <c r="N45" s="2">
        <v>98</v>
      </c>
      <c r="O45" s="2">
        <v>84</v>
      </c>
      <c r="P45" s="2">
        <v>76</v>
      </c>
      <c r="Q45" s="2" t="s">
        <v>28</v>
      </c>
      <c r="R45" s="2">
        <v>85</v>
      </c>
      <c r="S45" s="2">
        <v>82</v>
      </c>
      <c r="T45" s="2">
        <v>81</v>
      </c>
      <c r="U45" s="2">
        <v>78</v>
      </c>
      <c r="V45" s="2">
        <v>86</v>
      </c>
      <c r="W45" s="2">
        <v>88</v>
      </c>
      <c r="X45" s="2">
        <v>88</v>
      </c>
      <c r="Y45" s="2">
        <v>77</v>
      </c>
      <c r="Z45" s="2">
        <v>77</v>
      </c>
      <c r="AA45" s="2">
        <v>98</v>
      </c>
      <c r="AB45" s="2">
        <v>84</v>
      </c>
      <c r="AC45" s="2">
        <v>76</v>
      </c>
      <c r="AD45">
        <f t="shared" si="0"/>
        <v>0</v>
      </c>
    </row>
    <row r="46" spans="4:30" x14ac:dyDescent="0.5">
      <c r="D46" s="2" t="s">
        <v>30</v>
      </c>
      <c r="E46" s="2">
        <v>-4</v>
      </c>
      <c r="F46" s="2">
        <v>2</v>
      </c>
      <c r="G46" s="2">
        <v>6</v>
      </c>
      <c r="H46" s="2">
        <v>10</v>
      </c>
      <c r="I46" s="2">
        <v>-4</v>
      </c>
      <c r="J46" s="2">
        <v>-10</v>
      </c>
      <c r="K46" s="2">
        <v>-10</v>
      </c>
      <c r="L46" s="2">
        <v>12</v>
      </c>
      <c r="M46" s="2">
        <v>14</v>
      </c>
      <c r="N46" s="2">
        <v>-30</v>
      </c>
      <c r="O46" s="2">
        <v>-2</v>
      </c>
      <c r="P46" s="2">
        <v>16</v>
      </c>
      <c r="Q46" s="2" t="s">
        <v>30</v>
      </c>
      <c r="R46" s="2">
        <v>-4</v>
      </c>
      <c r="S46" s="2">
        <v>2</v>
      </c>
      <c r="T46" s="2">
        <v>6</v>
      </c>
      <c r="U46" s="2">
        <v>10</v>
      </c>
      <c r="V46" s="2">
        <v>-4</v>
      </c>
      <c r="W46" s="2">
        <v>-10</v>
      </c>
      <c r="X46" s="2">
        <v>-10</v>
      </c>
      <c r="Y46" s="2">
        <v>12</v>
      </c>
      <c r="Z46" s="2">
        <v>14</v>
      </c>
      <c r="AA46" s="2">
        <v>-30</v>
      </c>
      <c r="AB46" s="2">
        <v>-2</v>
      </c>
      <c r="AC46" s="2">
        <v>16</v>
      </c>
      <c r="AD46">
        <f t="shared" si="0"/>
        <v>0</v>
      </c>
    </row>
    <row r="47" spans="4:30" ht="17.649999999999999" x14ac:dyDescent="0.5">
      <c r="D47" s="3"/>
      <c r="Q47" s="3"/>
    </row>
    <row r="48" spans="4:30" x14ac:dyDescent="0.5">
      <c r="D48" s="2" t="s">
        <v>31</v>
      </c>
      <c r="Q48" s="2" t="s">
        <v>31</v>
      </c>
    </row>
    <row r="49" spans="4:25" x14ac:dyDescent="0.5">
      <c r="D49" s="2"/>
      <c r="E49" s="2" t="s">
        <v>32</v>
      </c>
      <c r="Q49" s="2"/>
      <c r="R49" s="2" t="s">
        <v>32</v>
      </c>
    </row>
    <row r="50" spans="4:25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  <c r="Q50" s="2"/>
      <c r="R50" s="2" t="s">
        <v>11</v>
      </c>
      <c r="S50" s="2" t="s">
        <v>12</v>
      </c>
      <c r="T50" s="2" t="s">
        <v>33</v>
      </c>
      <c r="U50" s="2" t="s">
        <v>34</v>
      </c>
      <c r="V50" s="2" t="s">
        <v>35</v>
      </c>
      <c r="W50" s="2" t="s">
        <v>16</v>
      </c>
      <c r="X50" s="2" t="s">
        <v>17</v>
      </c>
    </row>
    <row r="51" spans="4:25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  <c r="Q51" s="2" t="s">
        <v>25</v>
      </c>
      <c r="R51" s="2">
        <v>500</v>
      </c>
      <c r="S51" s="2">
        <v>500</v>
      </c>
      <c r="T51" s="2">
        <v>332</v>
      </c>
      <c r="U51" s="2">
        <v>334</v>
      </c>
      <c r="V51" s="2">
        <v>334</v>
      </c>
      <c r="W51" s="2">
        <v>501</v>
      </c>
      <c r="X51" s="2">
        <v>499</v>
      </c>
    </row>
    <row r="52" spans="4:25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  <c r="Q52" s="2" t="s">
        <v>28</v>
      </c>
      <c r="R52" s="2">
        <v>500</v>
      </c>
      <c r="S52" s="2">
        <v>500</v>
      </c>
      <c r="T52" s="2">
        <v>332</v>
      </c>
      <c r="U52" s="2">
        <v>334</v>
      </c>
      <c r="V52" s="2">
        <v>334</v>
      </c>
      <c r="W52" s="2">
        <v>501</v>
      </c>
      <c r="X52" s="2">
        <v>499</v>
      </c>
    </row>
    <row r="53" spans="4:25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Q53" s="2" t="s">
        <v>30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</row>
    <row r="54" spans="4:25" ht="17.649999999999999" x14ac:dyDescent="0.5">
      <c r="D54" s="3"/>
      <c r="Q54" s="3"/>
    </row>
    <row r="56" spans="4:25" x14ac:dyDescent="0.5">
      <c r="D56" s="2" t="s">
        <v>36</v>
      </c>
      <c r="E56" s="2">
        <v>1</v>
      </c>
      <c r="F56" s="2">
        <v>4</v>
      </c>
      <c r="G56" s="2">
        <v>90</v>
      </c>
      <c r="H56" s="2">
        <v>497</v>
      </c>
      <c r="I56" s="2">
        <v>804</v>
      </c>
      <c r="J56" s="2">
        <v>496</v>
      </c>
      <c r="K56" s="2">
        <v>105</v>
      </c>
      <c r="L56" s="2">
        <v>3</v>
      </c>
      <c r="Q56" s="2" t="s">
        <v>36</v>
      </c>
      <c r="R56" s="2">
        <v>1</v>
      </c>
      <c r="S56" s="2">
        <v>4</v>
      </c>
      <c r="T56" s="2">
        <v>90</v>
      </c>
      <c r="U56" s="2">
        <v>497</v>
      </c>
      <c r="V56" s="2">
        <v>804</v>
      </c>
      <c r="W56" s="2">
        <v>496</v>
      </c>
      <c r="X56" s="2">
        <v>105</v>
      </c>
      <c r="Y56" s="2">
        <v>3</v>
      </c>
    </row>
    <row r="57" spans="4:25" x14ac:dyDescent="0.5">
      <c r="D57" s="2" t="s">
        <v>37</v>
      </c>
      <c r="E57" s="2">
        <v>4</v>
      </c>
      <c r="F57" s="2">
        <v>3</v>
      </c>
      <c r="G57" s="2">
        <v>2</v>
      </c>
      <c r="H57" s="2">
        <v>1</v>
      </c>
      <c r="I57" s="2">
        <v>0</v>
      </c>
      <c r="J57" s="2">
        <v>-1</v>
      </c>
      <c r="K57" s="2">
        <v>-2</v>
      </c>
      <c r="L57" s="2">
        <v>-3</v>
      </c>
      <c r="Q57" s="2" t="s">
        <v>37</v>
      </c>
      <c r="R57" s="2">
        <v>4</v>
      </c>
      <c r="S57" s="2">
        <v>3</v>
      </c>
      <c r="T57" s="2">
        <v>2</v>
      </c>
      <c r="U57" s="2">
        <v>1</v>
      </c>
      <c r="V57" s="2">
        <v>0</v>
      </c>
      <c r="W57" s="2">
        <v>-1</v>
      </c>
      <c r="X57" s="2">
        <v>-2</v>
      </c>
      <c r="Y57" s="2">
        <v>-3</v>
      </c>
    </row>
    <row r="59" spans="4:25" ht="25.15" x14ac:dyDescent="0.7">
      <c r="D59" s="1" t="s">
        <v>38</v>
      </c>
      <c r="Q59" s="1" t="s">
        <v>38</v>
      </c>
    </row>
    <row r="60" spans="4:25" ht="17.649999999999999" x14ac:dyDescent="0.5">
      <c r="D60" s="3" t="s">
        <v>39</v>
      </c>
      <c r="Q60" s="3" t="s">
        <v>39</v>
      </c>
    </row>
    <row r="61" spans="4:25" ht="17.649999999999999" x14ac:dyDescent="0.5">
      <c r="D61" s="3" t="s">
        <v>153</v>
      </c>
      <c r="Q61" s="3" t="s">
        <v>153</v>
      </c>
    </row>
    <row r="62" spans="4:25" ht="17.649999999999999" x14ac:dyDescent="0.5">
      <c r="D62" s="3" t="s">
        <v>69</v>
      </c>
      <c r="Q62" s="3" t="s">
        <v>69</v>
      </c>
    </row>
    <row r="63" spans="4:25" ht="17.649999999999999" x14ac:dyDescent="0.5">
      <c r="D63" s="3" t="s">
        <v>51</v>
      </c>
      <c r="Q63" s="3" t="s">
        <v>51</v>
      </c>
    </row>
    <row r="64" spans="4:25" ht="17.649999999999999" x14ac:dyDescent="0.5">
      <c r="D64" s="3" t="s">
        <v>84</v>
      </c>
      <c r="Q64" s="3" t="s">
        <v>84</v>
      </c>
    </row>
    <row r="65" spans="4:17" ht="17.649999999999999" x14ac:dyDescent="0.5">
      <c r="D65" s="3" t="s">
        <v>92</v>
      </c>
      <c r="Q65" s="3" t="s">
        <v>92</v>
      </c>
    </row>
    <row r="66" spans="4:17" ht="17.649999999999999" x14ac:dyDescent="0.5">
      <c r="D66" s="3" t="s">
        <v>96</v>
      </c>
      <c r="Q66" s="3" t="s">
        <v>96</v>
      </c>
    </row>
    <row r="67" spans="4:17" ht="17.649999999999999" x14ac:dyDescent="0.5">
      <c r="D67" s="3" t="s">
        <v>80</v>
      </c>
      <c r="Q67" s="3" t="s">
        <v>80</v>
      </c>
    </row>
    <row r="68" spans="4:17" ht="17.649999999999999" x14ac:dyDescent="0.5">
      <c r="D68" s="3" t="s">
        <v>43</v>
      </c>
      <c r="Q68" s="3" t="s">
        <v>43</v>
      </c>
    </row>
    <row r="69" spans="4:17" ht="17.649999999999999" x14ac:dyDescent="0.5">
      <c r="D69" s="3" t="s">
        <v>61</v>
      </c>
      <c r="Q69" s="3" t="s">
        <v>61</v>
      </c>
    </row>
    <row r="70" spans="4:17" ht="17.649999999999999" x14ac:dyDescent="0.5">
      <c r="D70" s="3" t="s">
        <v>84</v>
      </c>
      <c r="Q70" s="3" t="s">
        <v>84</v>
      </c>
    </row>
    <row r="71" spans="4:17" ht="17.649999999999999" x14ac:dyDescent="0.5">
      <c r="D71" s="3" t="s">
        <v>68</v>
      </c>
      <c r="Q71" s="3" t="s">
        <v>68</v>
      </c>
    </row>
    <row r="72" spans="4:17" ht="17.649999999999999" x14ac:dyDescent="0.5">
      <c r="D72" s="3" t="s">
        <v>116</v>
      </c>
      <c r="Q72" s="3" t="s">
        <v>116</v>
      </c>
    </row>
    <row r="73" spans="4:17" ht="17.649999999999999" x14ac:dyDescent="0.5">
      <c r="D73" s="3" t="s">
        <v>43</v>
      </c>
      <c r="Q73" s="3" t="s">
        <v>43</v>
      </c>
    </row>
    <row r="74" spans="4:17" ht="17.649999999999999" x14ac:dyDescent="0.5">
      <c r="D74" s="3" t="s">
        <v>101</v>
      </c>
      <c r="Q74" s="3" t="s">
        <v>101</v>
      </c>
    </row>
    <row r="75" spans="4:17" ht="17.649999999999999" x14ac:dyDescent="0.5">
      <c r="D75" s="3" t="s">
        <v>107</v>
      </c>
      <c r="Q75" s="3" t="s">
        <v>107</v>
      </c>
    </row>
    <row r="76" spans="4:17" ht="17.649999999999999" x14ac:dyDescent="0.5">
      <c r="D76" s="3" t="s">
        <v>92</v>
      </c>
      <c r="Q76" s="3" t="s">
        <v>92</v>
      </c>
    </row>
    <row r="77" spans="4:17" ht="17.649999999999999" x14ac:dyDescent="0.5">
      <c r="D77" s="3" t="s">
        <v>119</v>
      </c>
      <c r="Q77" s="3" t="s">
        <v>119</v>
      </c>
    </row>
    <row r="78" spans="4:17" ht="17.649999999999999" x14ac:dyDescent="0.5">
      <c r="D78" s="3" t="s">
        <v>44</v>
      </c>
      <c r="Q78" s="3" t="s">
        <v>44</v>
      </c>
    </row>
    <row r="79" spans="4:17" ht="17.649999999999999" x14ac:dyDescent="0.5">
      <c r="D79" s="3" t="s">
        <v>66</v>
      </c>
      <c r="Q79" s="3" t="s">
        <v>66</v>
      </c>
    </row>
    <row r="80" spans="4:17" ht="17.649999999999999" x14ac:dyDescent="0.5">
      <c r="D80" s="3" t="s">
        <v>69</v>
      </c>
      <c r="Q80" s="3" t="s">
        <v>69</v>
      </c>
    </row>
    <row r="81" spans="4:17" ht="17.649999999999999" x14ac:dyDescent="0.5">
      <c r="D81" s="3" t="s">
        <v>41</v>
      </c>
      <c r="Q81" s="3" t="s">
        <v>41</v>
      </c>
    </row>
    <row r="82" spans="4:17" ht="17.649999999999999" x14ac:dyDescent="0.5">
      <c r="D82" s="3" t="s">
        <v>49</v>
      </c>
      <c r="Q82" s="3" t="s">
        <v>49</v>
      </c>
    </row>
    <row r="83" spans="4:17" ht="17.649999999999999" x14ac:dyDescent="0.5">
      <c r="D83" s="3" t="s">
        <v>86</v>
      </c>
      <c r="Q83" s="3" t="s">
        <v>86</v>
      </c>
    </row>
    <row r="84" spans="4:17" ht="17.649999999999999" x14ac:dyDescent="0.5">
      <c r="D84" s="3" t="s">
        <v>94</v>
      </c>
      <c r="Q84" s="3" t="s">
        <v>94</v>
      </c>
    </row>
    <row r="85" spans="4:17" ht="17.649999999999999" x14ac:dyDescent="0.5">
      <c r="D85" s="3" t="s">
        <v>85</v>
      </c>
      <c r="Q85" s="3" t="s">
        <v>85</v>
      </c>
    </row>
    <row r="86" spans="4:17" ht="17.649999999999999" x14ac:dyDescent="0.5">
      <c r="D86" s="3" t="s">
        <v>120</v>
      </c>
      <c r="Q86" s="3" t="s">
        <v>120</v>
      </c>
    </row>
    <row r="87" spans="4:17" ht="17.649999999999999" x14ac:dyDescent="0.5">
      <c r="D87" s="3" t="s">
        <v>51</v>
      </c>
      <c r="Q87" s="3" t="s">
        <v>51</v>
      </c>
    </row>
    <row r="88" spans="4:17" ht="17.649999999999999" x14ac:dyDescent="0.5">
      <c r="D88" s="3" t="s">
        <v>54</v>
      </c>
      <c r="Q88" s="3" t="s">
        <v>54</v>
      </c>
    </row>
    <row r="89" spans="4:17" ht="17.649999999999999" x14ac:dyDescent="0.5">
      <c r="D89" s="3" t="s">
        <v>109</v>
      </c>
      <c r="Q89" s="3" t="s">
        <v>109</v>
      </c>
    </row>
    <row r="90" spans="4:17" ht="17.649999999999999" x14ac:dyDescent="0.5">
      <c r="D90" s="3" t="s">
        <v>61</v>
      </c>
      <c r="Q90" s="3" t="s">
        <v>61</v>
      </c>
    </row>
    <row r="91" spans="4:17" ht="17.649999999999999" x14ac:dyDescent="0.5">
      <c r="D91" s="3" t="s">
        <v>57</v>
      </c>
      <c r="Q91" s="3" t="s">
        <v>57</v>
      </c>
    </row>
    <row r="92" spans="4:17" ht="17.649999999999999" x14ac:dyDescent="0.5">
      <c r="D92" s="3" t="s">
        <v>54</v>
      </c>
      <c r="Q92" s="3" t="s">
        <v>54</v>
      </c>
    </row>
    <row r="93" spans="4:17" ht="17.649999999999999" x14ac:dyDescent="0.5">
      <c r="D93" s="3" t="s">
        <v>85</v>
      </c>
      <c r="Q93" s="3" t="s">
        <v>85</v>
      </c>
    </row>
    <row r="94" spans="4:17" ht="17.649999999999999" x14ac:dyDescent="0.5">
      <c r="D94" s="3" t="s">
        <v>104</v>
      </c>
      <c r="Q94" s="3" t="s">
        <v>104</v>
      </c>
    </row>
    <row r="95" spans="4:17" ht="17.649999999999999" x14ac:dyDescent="0.5">
      <c r="D95" s="3" t="s">
        <v>52</v>
      </c>
      <c r="Q95" s="3" t="s">
        <v>52</v>
      </c>
    </row>
    <row r="96" spans="4:17" ht="17.649999999999999" x14ac:dyDescent="0.5">
      <c r="D96" s="3" t="s">
        <v>130</v>
      </c>
      <c r="Q96" s="3" t="s">
        <v>130</v>
      </c>
    </row>
    <row r="97" spans="4:17" ht="17.649999999999999" x14ac:dyDescent="0.5">
      <c r="D97" s="3" t="s">
        <v>78</v>
      </c>
      <c r="Q97" s="3" t="s">
        <v>78</v>
      </c>
    </row>
    <row r="98" spans="4:17" ht="17.649999999999999" x14ac:dyDescent="0.5">
      <c r="D98" s="3" t="s">
        <v>61</v>
      </c>
      <c r="Q98" s="3" t="s">
        <v>61</v>
      </c>
    </row>
    <row r="99" spans="4:17" ht="17.649999999999999" x14ac:dyDescent="0.5">
      <c r="D99" s="3" t="s">
        <v>49</v>
      </c>
      <c r="Q99" s="3" t="s">
        <v>49</v>
      </c>
    </row>
    <row r="100" spans="4:17" ht="17.649999999999999" x14ac:dyDescent="0.5">
      <c r="D100" s="3" t="s">
        <v>84</v>
      </c>
      <c r="Q100" s="3" t="s">
        <v>84</v>
      </c>
    </row>
    <row r="101" spans="4:17" ht="17.649999999999999" x14ac:dyDescent="0.5">
      <c r="D101" s="3" t="s">
        <v>60</v>
      </c>
      <c r="Q101" s="3" t="s">
        <v>60</v>
      </c>
    </row>
    <row r="102" spans="4:17" ht="17.649999999999999" x14ac:dyDescent="0.5">
      <c r="D102" s="3" t="s">
        <v>63</v>
      </c>
      <c r="Q102" s="3" t="s">
        <v>63</v>
      </c>
    </row>
    <row r="103" spans="4:17" ht="17.649999999999999" x14ac:dyDescent="0.5">
      <c r="D103" s="3" t="s">
        <v>84</v>
      </c>
      <c r="Q103" s="3" t="s">
        <v>84</v>
      </c>
    </row>
    <row r="104" spans="4:17" ht="17.649999999999999" x14ac:dyDescent="0.5">
      <c r="D104" s="3" t="s">
        <v>75</v>
      </c>
      <c r="Q104" s="3" t="s">
        <v>75</v>
      </c>
    </row>
    <row r="105" spans="4:17" ht="17.649999999999999" x14ac:dyDescent="0.5">
      <c r="D105" s="3" t="s">
        <v>78</v>
      </c>
      <c r="Q105" s="3" t="s">
        <v>78</v>
      </c>
    </row>
    <row r="106" spans="4:17" ht="17.649999999999999" x14ac:dyDescent="0.5">
      <c r="D106" s="3" t="s">
        <v>101</v>
      </c>
      <c r="Q106" s="3" t="s">
        <v>101</v>
      </c>
    </row>
    <row r="107" spans="4:17" ht="17.649999999999999" x14ac:dyDescent="0.5">
      <c r="D107" s="3" t="s">
        <v>49</v>
      </c>
      <c r="Q107" s="3" t="s">
        <v>49</v>
      </c>
    </row>
    <row r="108" spans="4:17" ht="17.649999999999999" x14ac:dyDescent="0.5">
      <c r="D108" s="3" t="s">
        <v>46</v>
      </c>
      <c r="Q108" s="3" t="s">
        <v>46</v>
      </c>
    </row>
    <row r="109" spans="4:17" ht="17.649999999999999" x14ac:dyDescent="0.5">
      <c r="D109" s="3" t="s">
        <v>49</v>
      </c>
      <c r="Q109" s="3" t="s">
        <v>49</v>
      </c>
    </row>
    <row r="110" spans="4:17" ht="17.649999999999999" x14ac:dyDescent="0.5">
      <c r="D110" s="3" t="s">
        <v>56</v>
      </c>
      <c r="Q110" s="3" t="s">
        <v>56</v>
      </c>
    </row>
    <row r="111" spans="4:17" ht="17.649999999999999" x14ac:dyDescent="0.5">
      <c r="D111" s="3" t="s">
        <v>84</v>
      </c>
      <c r="Q111" s="3" t="s">
        <v>84</v>
      </c>
    </row>
    <row r="112" spans="4:17" ht="17.649999999999999" x14ac:dyDescent="0.5">
      <c r="D112" s="3" t="s">
        <v>100</v>
      </c>
      <c r="Q112" s="3" t="s">
        <v>100</v>
      </c>
    </row>
    <row r="113" spans="4:17" ht="17.649999999999999" x14ac:dyDescent="0.5">
      <c r="D113" s="3" t="s">
        <v>74</v>
      </c>
      <c r="Q113" s="3" t="s">
        <v>74</v>
      </c>
    </row>
    <row r="114" spans="4:17" ht="17.649999999999999" x14ac:dyDescent="0.5">
      <c r="D114" s="3" t="s">
        <v>58</v>
      </c>
      <c r="Q114" s="3" t="s">
        <v>58</v>
      </c>
    </row>
    <row r="115" spans="4:17" ht="17.649999999999999" x14ac:dyDescent="0.5">
      <c r="D115" s="3" t="s">
        <v>114</v>
      </c>
      <c r="Q115" s="3" t="s">
        <v>114</v>
      </c>
    </row>
    <row r="116" spans="4:17" ht="17.649999999999999" x14ac:dyDescent="0.5">
      <c r="D116" s="3" t="s">
        <v>66</v>
      </c>
      <c r="Q116" s="3" t="s">
        <v>66</v>
      </c>
    </row>
    <row r="117" spans="4:17" ht="17.649999999999999" x14ac:dyDescent="0.5">
      <c r="D117" s="3" t="s">
        <v>117</v>
      </c>
      <c r="Q117" s="3" t="s">
        <v>117</v>
      </c>
    </row>
    <row r="118" spans="4:17" ht="17.649999999999999" x14ac:dyDescent="0.5">
      <c r="D118" s="3" t="s">
        <v>69</v>
      </c>
      <c r="Q118" s="3" t="s">
        <v>69</v>
      </c>
    </row>
    <row r="119" spans="4:17" ht="17.649999999999999" x14ac:dyDescent="0.5">
      <c r="D119" s="3" t="s">
        <v>73</v>
      </c>
      <c r="Q119" s="3" t="s">
        <v>73</v>
      </c>
    </row>
    <row r="120" spans="4:17" ht="17.649999999999999" x14ac:dyDescent="0.5">
      <c r="D120" s="3" t="s">
        <v>59</v>
      </c>
      <c r="Q120" s="3" t="s">
        <v>59</v>
      </c>
    </row>
    <row r="121" spans="4:17" ht="17.649999999999999" x14ac:dyDescent="0.5">
      <c r="D121" s="3" t="s">
        <v>117</v>
      </c>
      <c r="Q121" s="3" t="s">
        <v>117</v>
      </c>
    </row>
    <row r="122" spans="4:17" ht="17.649999999999999" x14ac:dyDescent="0.5">
      <c r="D122" s="3" t="s">
        <v>90</v>
      </c>
      <c r="Q122" s="3" t="s">
        <v>90</v>
      </c>
    </row>
    <row r="123" spans="4:17" ht="17.649999999999999" x14ac:dyDescent="0.5">
      <c r="D123" s="3" t="s">
        <v>75</v>
      </c>
      <c r="Q123" s="3" t="s">
        <v>75</v>
      </c>
    </row>
    <row r="124" spans="4:17" ht="17.649999999999999" x14ac:dyDescent="0.5">
      <c r="D124" s="3" t="s">
        <v>51</v>
      </c>
      <c r="Q124" s="3" t="s">
        <v>51</v>
      </c>
    </row>
    <row r="125" spans="4:17" ht="17.649999999999999" x14ac:dyDescent="0.5">
      <c r="D125" s="3" t="s">
        <v>115</v>
      </c>
      <c r="Q125" s="3" t="s">
        <v>115</v>
      </c>
    </row>
    <row r="126" spans="4:17" ht="17.649999999999999" x14ac:dyDescent="0.5">
      <c r="D126" s="3" t="s">
        <v>64</v>
      </c>
      <c r="Q126" s="3" t="s">
        <v>64</v>
      </c>
    </row>
    <row r="127" spans="4:17" ht="17.649999999999999" x14ac:dyDescent="0.5">
      <c r="D127" s="3" t="s">
        <v>65</v>
      </c>
      <c r="Q127" s="3" t="s">
        <v>65</v>
      </c>
    </row>
    <row r="128" spans="4:17" ht="17.649999999999999" x14ac:dyDescent="0.5">
      <c r="D128" s="3" t="s">
        <v>81</v>
      </c>
      <c r="Q128" s="3" t="s">
        <v>81</v>
      </c>
    </row>
    <row r="129" spans="4:17" ht="17.649999999999999" x14ac:dyDescent="0.5">
      <c r="D129" s="3" t="s">
        <v>131</v>
      </c>
      <c r="Q129" s="3" t="s">
        <v>131</v>
      </c>
    </row>
    <row r="130" spans="4:17" ht="17.649999999999999" x14ac:dyDescent="0.5">
      <c r="D130" s="3" t="s">
        <v>48</v>
      </c>
      <c r="Q130" s="3" t="s">
        <v>48</v>
      </c>
    </row>
    <row r="131" spans="4:17" ht="17.649999999999999" x14ac:dyDescent="0.5">
      <c r="D131" s="3" t="s">
        <v>87</v>
      </c>
      <c r="Q131" s="3" t="s">
        <v>87</v>
      </c>
    </row>
    <row r="132" spans="4:17" ht="17.649999999999999" x14ac:dyDescent="0.5">
      <c r="D132" s="3" t="s">
        <v>66</v>
      </c>
      <c r="Q132" s="3" t="s">
        <v>66</v>
      </c>
    </row>
    <row r="133" spans="4:17" ht="17.649999999999999" x14ac:dyDescent="0.5">
      <c r="D133" s="3" t="s">
        <v>65</v>
      </c>
      <c r="Q133" s="3" t="s">
        <v>65</v>
      </c>
    </row>
    <row r="134" spans="4:17" ht="17.649999999999999" x14ac:dyDescent="0.5">
      <c r="D134" s="3" t="s">
        <v>77</v>
      </c>
      <c r="Q134" s="3" t="s">
        <v>77</v>
      </c>
    </row>
    <row r="135" spans="4:17" ht="17.649999999999999" x14ac:dyDescent="0.5">
      <c r="D135" s="3" t="s">
        <v>61</v>
      </c>
      <c r="Q135" s="3" t="s">
        <v>61</v>
      </c>
    </row>
    <row r="136" spans="4:17" ht="17.649999999999999" x14ac:dyDescent="0.5">
      <c r="D136" s="3" t="s">
        <v>49</v>
      </c>
      <c r="Q136" s="3" t="s">
        <v>49</v>
      </c>
    </row>
    <row r="137" spans="4:17" ht="17.649999999999999" x14ac:dyDescent="0.5">
      <c r="D137" s="3" t="s">
        <v>78</v>
      </c>
      <c r="Q137" s="3" t="s">
        <v>78</v>
      </c>
    </row>
    <row r="138" spans="4:17" ht="17.649999999999999" x14ac:dyDescent="0.5">
      <c r="D138" s="3" t="s">
        <v>80</v>
      </c>
      <c r="Q138" s="3" t="s">
        <v>80</v>
      </c>
    </row>
    <row r="139" spans="4:17" ht="17.649999999999999" x14ac:dyDescent="0.5">
      <c r="D139" s="3" t="s">
        <v>67</v>
      </c>
      <c r="Q139" s="3" t="s">
        <v>67</v>
      </c>
    </row>
    <row r="140" spans="4:17" ht="17.649999999999999" x14ac:dyDescent="0.5">
      <c r="D140" s="3" t="s">
        <v>46</v>
      </c>
      <c r="Q140" s="3" t="s">
        <v>46</v>
      </c>
    </row>
    <row r="141" spans="4:17" ht="17.649999999999999" x14ac:dyDescent="0.5">
      <c r="D141" s="3" t="s">
        <v>81</v>
      </c>
      <c r="Q141" s="3" t="s">
        <v>81</v>
      </c>
    </row>
    <row r="142" spans="4:17" ht="17.649999999999999" x14ac:dyDescent="0.5">
      <c r="D142" s="3" t="s">
        <v>96</v>
      </c>
      <c r="Q142" s="3" t="s">
        <v>96</v>
      </c>
    </row>
    <row r="143" spans="4:17" ht="17.649999999999999" x14ac:dyDescent="0.5">
      <c r="D143" s="3" t="s">
        <v>78</v>
      </c>
      <c r="Q143" s="3" t="s">
        <v>78</v>
      </c>
    </row>
    <row r="144" spans="4:17" ht="17.649999999999999" x14ac:dyDescent="0.5">
      <c r="D144" s="3" t="s">
        <v>64</v>
      </c>
      <c r="Q144" s="3" t="s">
        <v>64</v>
      </c>
    </row>
    <row r="145" spans="4:17" ht="17.649999999999999" x14ac:dyDescent="0.5">
      <c r="D145" s="3" t="s">
        <v>62</v>
      </c>
      <c r="Q145" s="3" t="s">
        <v>62</v>
      </c>
    </row>
    <row r="146" spans="4:17" ht="17.649999999999999" x14ac:dyDescent="0.5">
      <c r="D146" s="3" t="s">
        <v>94</v>
      </c>
      <c r="Q146" s="3" t="s">
        <v>94</v>
      </c>
    </row>
    <row r="147" spans="4:17" ht="17.649999999999999" x14ac:dyDescent="0.5">
      <c r="D147" s="3" t="s">
        <v>79</v>
      </c>
      <c r="Q147" s="3" t="s">
        <v>79</v>
      </c>
    </row>
    <row r="148" spans="4:17" ht="17.649999999999999" x14ac:dyDescent="0.5">
      <c r="D148" s="3" t="s">
        <v>46</v>
      </c>
      <c r="Q148" s="3" t="s">
        <v>46</v>
      </c>
    </row>
    <row r="149" spans="4:17" ht="17.649999999999999" x14ac:dyDescent="0.5">
      <c r="D149" s="3" t="s">
        <v>107</v>
      </c>
      <c r="Q149" s="3" t="s">
        <v>107</v>
      </c>
    </row>
    <row r="150" spans="4:17" ht="17.649999999999999" x14ac:dyDescent="0.5">
      <c r="D150" s="3" t="s">
        <v>57</v>
      </c>
      <c r="Q150" s="3" t="s">
        <v>57</v>
      </c>
    </row>
    <row r="151" spans="4:17" ht="17.649999999999999" x14ac:dyDescent="0.5">
      <c r="D151" s="3" t="s">
        <v>51</v>
      </c>
      <c r="Q151" s="3" t="s">
        <v>51</v>
      </c>
    </row>
    <row r="152" spans="4:17" ht="17.649999999999999" x14ac:dyDescent="0.5">
      <c r="D152" s="3" t="s">
        <v>117</v>
      </c>
      <c r="Q152" s="3" t="s">
        <v>117</v>
      </c>
    </row>
    <row r="153" spans="4:17" ht="17.649999999999999" x14ac:dyDescent="0.5">
      <c r="D153" s="3" t="s">
        <v>42</v>
      </c>
      <c r="Q153" s="3" t="s">
        <v>42</v>
      </c>
    </row>
    <row r="154" spans="4:17" ht="17.649999999999999" x14ac:dyDescent="0.5">
      <c r="D154" s="3" t="s">
        <v>75</v>
      </c>
      <c r="Q154" s="3" t="s">
        <v>75</v>
      </c>
    </row>
    <row r="155" spans="4:17" ht="17.649999999999999" x14ac:dyDescent="0.5">
      <c r="D155" s="3" t="s">
        <v>90</v>
      </c>
      <c r="Q155" s="3" t="s">
        <v>90</v>
      </c>
    </row>
    <row r="156" spans="4:17" ht="17.649999999999999" x14ac:dyDescent="0.5">
      <c r="D156" s="3" t="s">
        <v>103</v>
      </c>
      <c r="Q156" s="3" t="s">
        <v>103</v>
      </c>
    </row>
    <row r="157" spans="4:17" ht="17.649999999999999" x14ac:dyDescent="0.5">
      <c r="D157" s="3" t="s">
        <v>68</v>
      </c>
      <c r="Q157" s="3" t="s">
        <v>68</v>
      </c>
    </row>
    <row r="158" spans="4:17" ht="17.649999999999999" x14ac:dyDescent="0.5">
      <c r="D158" s="3" t="s">
        <v>73</v>
      </c>
      <c r="Q158" s="3" t="s">
        <v>73</v>
      </c>
    </row>
    <row r="159" spans="4:17" ht="17.649999999999999" x14ac:dyDescent="0.5">
      <c r="D159" s="3" t="s">
        <v>85</v>
      </c>
      <c r="Q159" s="3" t="s">
        <v>85</v>
      </c>
    </row>
    <row r="160" spans="4:17" ht="17.649999999999999" x14ac:dyDescent="0.5">
      <c r="D160" s="3" t="s">
        <v>101</v>
      </c>
      <c r="Q160" s="3" t="s">
        <v>101</v>
      </c>
    </row>
    <row r="161" spans="4:17" ht="17.649999999999999" x14ac:dyDescent="0.5">
      <c r="D161" s="3" t="s">
        <v>43</v>
      </c>
      <c r="Q161" s="3" t="s">
        <v>43</v>
      </c>
    </row>
    <row r="162" spans="4:17" ht="17.649999999999999" x14ac:dyDescent="0.5">
      <c r="D162" s="3" t="s">
        <v>90</v>
      </c>
      <c r="Q162" s="3" t="s">
        <v>90</v>
      </c>
    </row>
    <row r="163" spans="4:17" ht="17.649999999999999" x14ac:dyDescent="0.5">
      <c r="D163" s="3" t="s">
        <v>123</v>
      </c>
      <c r="Q163" s="3" t="s">
        <v>123</v>
      </c>
    </row>
    <row r="164" spans="4:17" ht="17.649999999999999" x14ac:dyDescent="0.5">
      <c r="D164" s="3" t="s">
        <v>135</v>
      </c>
      <c r="Q164" s="3" t="s">
        <v>135</v>
      </c>
    </row>
    <row r="165" spans="4:17" ht="17.649999999999999" x14ac:dyDescent="0.5">
      <c r="D165" s="3" t="s">
        <v>57</v>
      </c>
      <c r="Q165" s="3" t="s">
        <v>57</v>
      </c>
    </row>
    <row r="166" spans="4:17" ht="17.649999999999999" x14ac:dyDescent="0.5">
      <c r="D166" s="3" t="s">
        <v>75</v>
      </c>
      <c r="Q166" s="3" t="s">
        <v>75</v>
      </c>
    </row>
    <row r="167" spans="4:17" ht="17.649999999999999" x14ac:dyDescent="0.5">
      <c r="D167" s="3" t="s">
        <v>74</v>
      </c>
      <c r="Q167" s="3" t="s">
        <v>74</v>
      </c>
    </row>
    <row r="168" spans="4:17" ht="17.649999999999999" x14ac:dyDescent="0.5">
      <c r="D168" s="3" t="s">
        <v>61</v>
      </c>
      <c r="Q168" s="3" t="s">
        <v>61</v>
      </c>
    </row>
    <row r="169" spans="4:17" ht="17.649999999999999" x14ac:dyDescent="0.5">
      <c r="D169" s="3" t="s">
        <v>104</v>
      </c>
      <c r="Q169" s="3" t="s">
        <v>104</v>
      </c>
    </row>
    <row r="170" spans="4:17" ht="17.649999999999999" x14ac:dyDescent="0.5">
      <c r="D170" s="3" t="s">
        <v>57</v>
      </c>
      <c r="Q170" s="3" t="s">
        <v>57</v>
      </c>
    </row>
    <row r="171" spans="4:17" ht="17.649999999999999" x14ac:dyDescent="0.5">
      <c r="D171" s="3" t="s">
        <v>115</v>
      </c>
      <c r="Q171" s="3" t="s">
        <v>115</v>
      </c>
    </row>
    <row r="172" spans="4:17" ht="17.649999999999999" x14ac:dyDescent="0.5">
      <c r="D172" s="3" t="s">
        <v>92</v>
      </c>
      <c r="Q172" s="3" t="s">
        <v>92</v>
      </c>
    </row>
    <row r="173" spans="4:17" ht="17.649999999999999" x14ac:dyDescent="0.5">
      <c r="D173" s="3" t="s">
        <v>107</v>
      </c>
      <c r="Q173" s="3" t="s">
        <v>107</v>
      </c>
    </row>
    <row r="174" spans="4:17" ht="17.649999999999999" x14ac:dyDescent="0.5">
      <c r="D174" s="3" t="s">
        <v>92</v>
      </c>
      <c r="Q174" s="3" t="s">
        <v>92</v>
      </c>
    </row>
    <row r="175" spans="4:17" ht="17.649999999999999" x14ac:dyDescent="0.5">
      <c r="D175" s="3" t="s">
        <v>81</v>
      </c>
      <c r="Q175" s="3" t="s">
        <v>81</v>
      </c>
    </row>
    <row r="176" spans="4:17" ht="17.649999999999999" x14ac:dyDescent="0.5">
      <c r="D176" s="3" t="s">
        <v>91</v>
      </c>
      <c r="Q176" s="3" t="s">
        <v>91</v>
      </c>
    </row>
    <row r="177" spans="4:17" ht="17.649999999999999" x14ac:dyDescent="0.5">
      <c r="D177" s="3" t="s">
        <v>109</v>
      </c>
      <c r="Q177" s="3" t="s">
        <v>109</v>
      </c>
    </row>
    <row r="178" spans="4:17" ht="17.649999999999999" x14ac:dyDescent="0.5">
      <c r="D178" s="3" t="s">
        <v>119</v>
      </c>
      <c r="Q178" s="3" t="s">
        <v>119</v>
      </c>
    </row>
    <row r="179" spans="4:17" ht="17.649999999999999" x14ac:dyDescent="0.5">
      <c r="D179" s="3" t="s">
        <v>74</v>
      </c>
      <c r="Q179" s="3" t="s">
        <v>74</v>
      </c>
    </row>
    <row r="180" spans="4:17" ht="17.649999999999999" x14ac:dyDescent="0.5">
      <c r="D180" s="3" t="s">
        <v>106</v>
      </c>
      <c r="Q180" s="3" t="s">
        <v>106</v>
      </c>
    </row>
    <row r="181" spans="4:17" ht="17.649999999999999" x14ac:dyDescent="0.5">
      <c r="D181" s="3" t="s">
        <v>63</v>
      </c>
      <c r="Q181" s="3" t="s">
        <v>63</v>
      </c>
    </row>
    <row r="182" spans="4:17" ht="17.649999999999999" x14ac:dyDescent="0.5">
      <c r="D182" s="3" t="s">
        <v>84</v>
      </c>
      <c r="Q182" s="3" t="s">
        <v>84</v>
      </c>
    </row>
    <row r="183" spans="4:17" ht="17.649999999999999" x14ac:dyDescent="0.5">
      <c r="D183" s="3" t="s">
        <v>50</v>
      </c>
      <c r="Q183" s="3" t="s">
        <v>50</v>
      </c>
    </row>
    <row r="184" spans="4:17" ht="17.649999999999999" x14ac:dyDescent="0.5">
      <c r="D184" s="3" t="s">
        <v>68</v>
      </c>
      <c r="Q184" s="3" t="s">
        <v>68</v>
      </c>
    </row>
    <row r="185" spans="4:17" ht="17.649999999999999" x14ac:dyDescent="0.5">
      <c r="D185" s="3" t="s">
        <v>127</v>
      </c>
      <c r="Q185" s="3" t="s">
        <v>127</v>
      </c>
    </row>
    <row r="186" spans="4:17" ht="17.649999999999999" x14ac:dyDescent="0.5">
      <c r="D186" s="3" t="s">
        <v>49</v>
      </c>
      <c r="Q186" s="3" t="s">
        <v>49</v>
      </c>
    </row>
    <row r="187" spans="4:17" ht="17.649999999999999" x14ac:dyDescent="0.5">
      <c r="D187" s="3" t="s">
        <v>65</v>
      </c>
      <c r="Q187" s="3" t="s">
        <v>65</v>
      </c>
    </row>
    <row r="188" spans="4:17" ht="17.649999999999999" x14ac:dyDescent="0.5">
      <c r="D188" s="3" t="s">
        <v>112</v>
      </c>
      <c r="Q188" s="3" t="s">
        <v>112</v>
      </c>
    </row>
    <row r="189" spans="4:17" ht="17.649999999999999" x14ac:dyDescent="0.5">
      <c r="D189" s="3" t="s">
        <v>62</v>
      </c>
      <c r="Q189" s="3" t="s">
        <v>62</v>
      </c>
    </row>
    <row r="190" spans="4:17" ht="17.649999999999999" x14ac:dyDescent="0.5">
      <c r="D190" s="3" t="s">
        <v>64</v>
      </c>
      <c r="Q190" s="3" t="s">
        <v>64</v>
      </c>
    </row>
    <row r="191" spans="4:17" ht="17.649999999999999" x14ac:dyDescent="0.5">
      <c r="D191" s="3" t="s">
        <v>44</v>
      </c>
      <c r="Q191" s="3" t="s">
        <v>44</v>
      </c>
    </row>
    <row r="192" spans="4:17" ht="17.649999999999999" x14ac:dyDescent="0.5">
      <c r="D192" s="3" t="s">
        <v>74</v>
      </c>
      <c r="Q192" s="3" t="s">
        <v>74</v>
      </c>
    </row>
    <row r="193" spans="4:17" ht="17.649999999999999" x14ac:dyDescent="0.5">
      <c r="D193" s="3" t="s">
        <v>103</v>
      </c>
      <c r="Q193" s="3" t="s">
        <v>103</v>
      </c>
    </row>
    <row r="194" spans="4:17" ht="17.649999999999999" x14ac:dyDescent="0.5">
      <c r="D194" s="3" t="s">
        <v>76</v>
      </c>
      <c r="Q194" s="3" t="s">
        <v>76</v>
      </c>
    </row>
    <row r="195" spans="4:17" ht="17.649999999999999" x14ac:dyDescent="0.5">
      <c r="D195" s="3" t="s">
        <v>63</v>
      </c>
      <c r="Q195" s="3" t="s">
        <v>63</v>
      </c>
    </row>
    <row r="196" spans="4:17" ht="17.649999999999999" x14ac:dyDescent="0.5">
      <c r="D196" s="3" t="s">
        <v>67</v>
      </c>
      <c r="Q196" s="3" t="s">
        <v>67</v>
      </c>
    </row>
    <row r="197" spans="4:17" ht="17.649999999999999" x14ac:dyDescent="0.5">
      <c r="D197" s="3" t="s">
        <v>47</v>
      </c>
      <c r="Q197" s="3" t="s">
        <v>47</v>
      </c>
    </row>
    <row r="198" spans="4:17" ht="17.649999999999999" x14ac:dyDescent="0.5">
      <c r="D198" s="3" t="s">
        <v>68</v>
      </c>
      <c r="Q198" s="3" t="s">
        <v>68</v>
      </c>
    </row>
    <row r="199" spans="4:17" ht="17.649999999999999" x14ac:dyDescent="0.5">
      <c r="D199" s="3" t="s">
        <v>75</v>
      </c>
      <c r="Q199" s="3" t="s">
        <v>75</v>
      </c>
    </row>
    <row r="200" spans="4:17" ht="17.649999999999999" x14ac:dyDescent="0.5">
      <c r="D200" s="3" t="s">
        <v>107</v>
      </c>
      <c r="Q200" s="3" t="s">
        <v>107</v>
      </c>
    </row>
    <row r="201" spans="4:17" ht="17.649999999999999" x14ac:dyDescent="0.5">
      <c r="D201" s="3" t="s">
        <v>61</v>
      </c>
      <c r="Q201" s="3" t="s">
        <v>61</v>
      </c>
    </row>
    <row r="202" spans="4:17" ht="17.649999999999999" x14ac:dyDescent="0.5">
      <c r="D202" s="3" t="s">
        <v>105</v>
      </c>
      <c r="Q202" s="3" t="s">
        <v>105</v>
      </c>
    </row>
    <row r="203" spans="4:17" ht="17.649999999999999" x14ac:dyDescent="0.5">
      <c r="D203" s="3" t="s">
        <v>135</v>
      </c>
      <c r="Q203" s="3" t="s">
        <v>135</v>
      </c>
    </row>
    <row r="204" spans="4:17" ht="17.649999999999999" x14ac:dyDescent="0.5">
      <c r="D204" s="3" t="s">
        <v>85</v>
      </c>
      <c r="Q204" s="3" t="s">
        <v>85</v>
      </c>
    </row>
    <row r="205" spans="4:17" ht="17.649999999999999" x14ac:dyDescent="0.5">
      <c r="D205" s="3" t="s">
        <v>61</v>
      </c>
      <c r="Q205" s="3" t="s">
        <v>61</v>
      </c>
    </row>
    <row r="206" spans="4:17" ht="17.649999999999999" x14ac:dyDescent="0.5">
      <c r="D206" s="3" t="s">
        <v>68</v>
      </c>
      <c r="Q206" s="3" t="s">
        <v>68</v>
      </c>
    </row>
    <row r="207" spans="4:17" ht="17.649999999999999" x14ac:dyDescent="0.5">
      <c r="D207" s="3" t="s">
        <v>112</v>
      </c>
      <c r="Q207" s="3" t="s">
        <v>112</v>
      </c>
    </row>
    <row r="208" spans="4:17" ht="17.649999999999999" x14ac:dyDescent="0.5">
      <c r="D208" s="3" t="s">
        <v>98</v>
      </c>
      <c r="Q208" s="3" t="s">
        <v>98</v>
      </c>
    </row>
    <row r="209" spans="4:17" ht="17.649999999999999" x14ac:dyDescent="0.5">
      <c r="D209" s="3" t="s">
        <v>81</v>
      </c>
      <c r="Q209" s="3" t="s">
        <v>81</v>
      </c>
    </row>
    <row r="210" spans="4:17" ht="17.649999999999999" x14ac:dyDescent="0.5">
      <c r="D210" s="3" t="s">
        <v>65</v>
      </c>
      <c r="Q210" s="3" t="s">
        <v>65</v>
      </c>
    </row>
    <row r="211" spans="4:17" ht="17.649999999999999" x14ac:dyDescent="0.5">
      <c r="D211" s="3" t="s">
        <v>83</v>
      </c>
      <c r="Q211" s="3" t="s">
        <v>83</v>
      </c>
    </row>
    <row r="212" spans="4:17" ht="17.649999999999999" x14ac:dyDescent="0.5">
      <c r="D212" s="3" t="s">
        <v>49</v>
      </c>
      <c r="Q212" s="3" t="s">
        <v>49</v>
      </c>
    </row>
    <row r="213" spans="4:17" ht="17.649999999999999" x14ac:dyDescent="0.5">
      <c r="D213" s="3" t="s">
        <v>87</v>
      </c>
      <c r="Q213" s="3" t="s">
        <v>87</v>
      </c>
    </row>
    <row r="214" spans="4:17" ht="17.649999999999999" x14ac:dyDescent="0.5">
      <c r="D214" s="3" t="s">
        <v>75</v>
      </c>
      <c r="Q214" s="3" t="s">
        <v>75</v>
      </c>
    </row>
    <row r="215" spans="4:17" ht="17.649999999999999" x14ac:dyDescent="0.5">
      <c r="D215" s="3" t="s">
        <v>67</v>
      </c>
      <c r="Q215" s="3" t="s">
        <v>67</v>
      </c>
    </row>
    <row r="216" spans="4:17" ht="17.649999999999999" x14ac:dyDescent="0.5">
      <c r="D216" s="3" t="s">
        <v>73</v>
      </c>
      <c r="Q216" s="3" t="s">
        <v>73</v>
      </c>
    </row>
    <row r="217" spans="4:17" ht="17.649999999999999" x14ac:dyDescent="0.5">
      <c r="D217" s="3" t="s">
        <v>98</v>
      </c>
      <c r="Q217" s="3" t="s">
        <v>98</v>
      </c>
    </row>
    <row r="218" spans="4:17" ht="17.649999999999999" x14ac:dyDescent="0.5">
      <c r="D218" s="3" t="s">
        <v>107</v>
      </c>
      <c r="Q218" s="3" t="s">
        <v>107</v>
      </c>
    </row>
    <row r="219" spans="4:17" ht="17.649999999999999" x14ac:dyDescent="0.5">
      <c r="D219" s="3" t="s">
        <v>83</v>
      </c>
      <c r="Q219" s="3" t="s">
        <v>83</v>
      </c>
    </row>
    <row r="220" spans="4:17" ht="17.649999999999999" x14ac:dyDescent="0.5">
      <c r="D220" s="3" t="s">
        <v>91</v>
      </c>
      <c r="Q220" s="3" t="s">
        <v>91</v>
      </c>
    </row>
    <row r="221" spans="4:17" ht="17.649999999999999" x14ac:dyDescent="0.5">
      <c r="D221" s="3" t="s">
        <v>68</v>
      </c>
      <c r="Q221" s="3" t="s">
        <v>68</v>
      </c>
    </row>
    <row r="222" spans="4:17" ht="17.649999999999999" x14ac:dyDescent="0.5">
      <c r="D222" s="3" t="s">
        <v>95</v>
      </c>
      <c r="Q222" s="3" t="s">
        <v>95</v>
      </c>
    </row>
    <row r="223" spans="4:17" ht="17.649999999999999" x14ac:dyDescent="0.5">
      <c r="D223" s="3" t="s">
        <v>102</v>
      </c>
      <c r="Q223" s="3" t="s">
        <v>102</v>
      </c>
    </row>
    <row r="224" spans="4:17" ht="17.649999999999999" x14ac:dyDescent="0.5">
      <c r="D224" s="3" t="s">
        <v>104</v>
      </c>
      <c r="Q224" s="3" t="s">
        <v>104</v>
      </c>
    </row>
    <row r="225" spans="4:17" ht="17.649999999999999" x14ac:dyDescent="0.5">
      <c r="D225" s="3" t="s">
        <v>126</v>
      </c>
      <c r="Q225" s="3" t="s">
        <v>126</v>
      </c>
    </row>
    <row r="226" spans="4:17" ht="17.649999999999999" x14ac:dyDescent="0.5">
      <c r="D226" s="3" t="s">
        <v>82</v>
      </c>
      <c r="Q226" s="3" t="s">
        <v>82</v>
      </c>
    </row>
    <row r="227" spans="4:17" ht="17.649999999999999" x14ac:dyDescent="0.5">
      <c r="D227" s="3" t="s">
        <v>70</v>
      </c>
      <c r="Q227" s="3" t="s">
        <v>70</v>
      </c>
    </row>
    <row r="228" spans="4:17" ht="17.649999999999999" x14ac:dyDescent="0.5">
      <c r="D228" s="3" t="s">
        <v>115</v>
      </c>
      <c r="Q228" s="3" t="s">
        <v>115</v>
      </c>
    </row>
    <row r="229" spans="4:17" ht="17.649999999999999" x14ac:dyDescent="0.5">
      <c r="D229" s="3" t="s">
        <v>103</v>
      </c>
      <c r="Q229" s="3" t="s">
        <v>103</v>
      </c>
    </row>
    <row r="230" spans="4:17" ht="17.649999999999999" x14ac:dyDescent="0.5">
      <c r="D230" s="3" t="s">
        <v>67</v>
      </c>
      <c r="Q230" s="3" t="s">
        <v>67</v>
      </c>
    </row>
    <row r="231" spans="4:17" ht="17.649999999999999" x14ac:dyDescent="0.5">
      <c r="D231" s="3" t="s">
        <v>98</v>
      </c>
      <c r="Q231" s="3" t="s">
        <v>98</v>
      </c>
    </row>
    <row r="232" spans="4:17" ht="17.649999999999999" x14ac:dyDescent="0.5">
      <c r="D232" s="3" t="s">
        <v>44</v>
      </c>
      <c r="Q232" s="3" t="s">
        <v>44</v>
      </c>
    </row>
    <row r="233" spans="4:17" ht="17.649999999999999" x14ac:dyDescent="0.5">
      <c r="D233" s="3" t="s">
        <v>77</v>
      </c>
      <c r="Q233" s="3" t="s">
        <v>77</v>
      </c>
    </row>
    <row r="234" spans="4:17" ht="17.649999999999999" x14ac:dyDescent="0.5">
      <c r="D234" s="3" t="s">
        <v>103</v>
      </c>
      <c r="Q234" s="3" t="s">
        <v>103</v>
      </c>
    </row>
    <row r="235" spans="4:17" ht="17.649999999999999" x14ac:dyDescent="0.5">
      <c r="D235" s="3" t="s">
        <v>41</v>
      </c>
      <c r="Q235" s="3" t="s">
        <v>41</v>
      </c>
    </row>
    <row r="236" spans="4:17" ht="17.649999999999999" x14ac:dyDescent="0.5">
      <c r="D236" s="3" t="s">
        <v>65</v>
      </c>
      <c r="Q236" s="3" t="s">
        <v>65</v>
      </c>
    </row>
    <row r="237" spans="4:17" ht="17.649999999999999" x14ac:dyDescent="0.5">
      <c r="D237" s="3" t="s">
        <v>105</v>
      </c>
      <c r="Q237" s="3" t="s">
        <v>105</v>
      </c>
    </row>
    <row r="238" spans="4:17" ht="17.649999999999999" x14ac:dyDescent="0.5">
      <c r="D238" s="3" t="s">
        <v>44</v>
      </c>
      <c r="Q238" s="3" t="s">
        <v>44</v>
      </c>
    </row>
    <row r="239" spans="4:17" ht="17.649999999999999" x14ac:dyDescent="0.5">
      <c r="D239" s="3" t="s">
        <v>53</v>
      </c>
      <c r="Q239" s="3" t="s">
        <v>53</v>
      </c>
    </row>
    <row r="240" spans="4:17" ht="17.649999999999999" x14ac:dyDescent="0.5">
      <c r="D240" s="3" t="s">
        <v>70</v>
      </c>
      <c r="Q240" s="3" t="s">
        <v>70</v>
      </c>
    </row>
    <row r="241" spans="4:17" ht="17.649999999999999" x14ac:dyDescent="0.5">
      <c r="D241" s="3" t="s">
        <v>101</v>
      </c>
      <c r="Q241" s="3" t="s">
        <v>101</v>
      </c>
    </row>
    <row r="242" spans="4:17" ht="17.649999999999999" x14ac:dyDescent="0.5">
      <c r="D242" s="3" t="s">
        <v>80</v>
      </c>
      <c r="Q242" s="3" t="s">
        <v>80</v>
      </c>
    </row>
    <row r="243" spans="4:17" ht="17.649999999999999" x14ac:dyDescent="0.5">
      <c r="D243" s="3" t="s">
        <v>47</v>
      </c>
      <c r="Q243" s="3" t="s">
        <v>47</v>
      </c>
    </row>
    <row r="244" spans="4:17" ht="17.649999999999999" x14ac:dyDescent="0.5">
      <c r="D244" s="3" t="s">
        <v>56</v>
      </c>
      <c r="Q244" s="3" t="s">
        <v>56</v>
      </c>
    </row>
    <row r="245" spans="4:17" ht="17.649999999999999" x14ac:dyDescent="0.5">
      <c r="D245" s="3" t="s">
        <v>90</v>
      </c>
      <c r="Q245" s="3" t="s">
        <v>90</v>
      </c>
    </row>
    <row r="246" spans="4:17" ht="17.649999999999999" x14ac:dyDescent="0.5">
      <c r="D246" s="3" t="s">
        <v>96</v>
      </c>
      <c r="Q246" s="3" t="s">
        <v>96</v>
      </c>
    </row>
    <row r="247" spans="4:17" ht="17.649999999999999" x14ac:dyDescent="0.5">
      <c r="D247" s="3" t="s">
        <v>99</v>
      </c>
      <c r="Q247" s="3" t="s">
        <v>99</v>
      </c>
    </row>
    <row r="248" spans="4:17" ht="17.649999999999999" x14ac:dyDescent="0.5">
      <c r="D248" s="3" t="s">
        <v>43</v>
      </c>
      <c r="Q248" s="3" t="s">
        <v>43</v>
      </c>
    </row>
    <row r="249" spans="4:17" ht="17.649999999999999" x14ac:dyDescent="0.5">
      <c r="D249" s="3" t="s">
        <v>84</v>
      </c>
      <c r="Q249" s="3" t="s">
        <v>84</v>
      </c>
    </row>
    <row r="250" spans="4:17" ht="17.649999999999999" x14ac:dyDescent="0.5">
      <c r="D250" s="3" t="s">
        <v>48</v>
      </c>
      <c r="Q250" s="3" t="s">
        <v>48</v>
      </c>
    </row>
    <row r="251" spans="4:17" ht="17.649999999999999" x14ac:dyDescent="0.5">
      <c r="D251" s="3" t="s">
        <v>78</v>
      </c>
      <c r="Q251" s="3" t="s">
        <v>78</v>
      </c>
    </row>
    <row r="252" spans="4:17" ht="17.649999999999999" x14ac:dyDescent="0.5">
      <c r="D252" s="3" t="s">
        <v>114</v>
      </c>
      <c r="Q252" s="3" t="s">
        <v>114</v>
      </c>
    </row>
    <row r="253" spans="4:17" ht="17.649999999999999" x14ac:dyDescent="0.5">
      <c r="D253" s="3" t="s">
        <v>55</v>
      </c>
      <c r="Q253" s="3" t="s">
        <v>55</v>
      </c>
    </row>
    <row r="254" spans="4:17" ht="17.649999999999999" x14ac:dyDescent="0.5">
      <c r="D254" s="3" t="s">
        <v>57</v>
      </c>
      <c r="Q254" s="3" t="s">
        <v>57</v>
      </c>
    </row>
    <row r="255" spans="4:17" ht="17.649999999999999" x14ac:dyDescent="0.5">
      <c r="D255" s="3" t="s">
        <v>119</v>
      </c>
      <c r="Q255" s="3" t="s">
        <v>119</v>
      </c>
    </row>
    <row r="256" spans="4:17" ht="17.649999999999999" x14ac:dyDescent="0.5">
      <c r="D256" s="3" t="s">
        <v>75</v>
      </c>
      <c r="Q256" s="3" t="s">
        <v>75</v>
      </c>
    </row>
    <row r="257" spans="4:17" ht="17.649999999999999" x14ac:dyDescent="0.5">
      <c r="D257" s="3" t="s">
        <v>115</v>
      </c>
      <c r="Q257" s="3" t="s">
        <v>115</v>
      </c>
    </row>
    <row r="258" spans="4:17" ht="17.649999999999999" x14ac:dyDescent="0.5">
      <c r="D258" s="3" t="s">
        <v>91</v>
      </c>
      <c r="Q258" s="3" t="s">
        <v>91</v>
      </c>
    </row>
    <row r="259" spans="4:17" ht="17.649999999999999" x14ac:dyDescent="0.5">
      <c r="D259" s="3" t="s">
        <v>66</v>
      </c>
      <c r="Q259" s="3" t="s">
        <v>66</v>
      </c>
    </row>
    <row r="260" spans="4:17" ht="17.649999999999999" x14ac:dyDescent="0.5">
      <c r="D260" s="3" t="s">
        <v>121</v>
      </c>
      <c r="Q260" s="3" t="s">
        <v>121</v>
      </c>
    </row>
    <row r="261" spans="4:17" ht="17.649999999999999" x14ac:dyDescent="0.5">
      <c r="D261" s="3" t="s">
        <v>83</v>
      </c>
      <c r="Q261" s="3" t="s">
        <v>83</v>
      </c>
    </row>
    <row r="262" spans="4:17" ht="17.649999999999999" x14ac:dyDescent="0.5">
      <c r="D262" s="3" t="s">
        <v>43</v>
      </c>
      <c r="Q262" s="3" t="s">
        <v>43</v>
      </c>
    </row>
    <row r="263" spans="4:17" ht="17.649999999999999" x14ac:dyDescent="0.5">
      <c r="D263" s="3" t="s">
        <v>96</v>
      </c>
      <c r="Q263" s="3" t="s">
        <v>96</v>
      </c>
    </row>
    <row r="264" spans="4:17" ht="17.649999999999999" x14ac:dyDescent="0.5">
      <c r="D264" s="3" t="s">
        <v>66</v>
      </c>
      <c r="Q264" s="3" t="s">
        <v>66</v>
      </c>
    </row>
    <row r="265" spans="4:17" ht="17.649999999999999" x14ac:dyDescent="0.5">
      <c r="D265" s="3" t="s">
        <v>113</v>
      </c>
      <c r="Q265" s="3" t="s">
        <v>113</v>
      </c>
    </row>
    <row r="266" spans="4:17" ht="17.649999999999999" x14ac:dyDescent="0.5">
      <c r="D266" s="3" t="s">
        <v>56</v>
      </c>
      <c r="Q266" s="3" t="s">
        <v>56</v>
      </c>
    </row>
    <row r="267" spans="4:17" ht="17.649999999999999" x14ac:dyDescent="0.5">
      <c r="D267" s="3" t="s">
        <v>51</v>
      </c>
      <c r="Q267" s="3" t="s">
        <v>51</v>
      </c>
    </row>
    <row r="268" spans="4:17" ht="17.649999999999999" x14ac:dyDescent="0.5">
      <c r="D268" s="3" t="s">
        <v>61</v>
      </c>
      <c r="Q268" s="3" t="s">
        <v>61</v>
      </c>
    </row>
    <row r="269" spans="4:17" ht="17.649999999999999" x14ac:dyDescent="0.5">
      <c r="D269" s="3" t="s">
        <v>80</v>
      </c>
      <c r="Q269" s="3" t="s">
        <v>80</v>
      </c>
    </row>
    <row r="270" spans="4:17" ht="17.649999999999999" x14ac:dyDescent="0.5">
      <c r="D270" s="3" t="s">
        <v>44</v>
      </c>
      <c r="Q270" s="3" t="s">
        <v>44</v>
      </c>
    </row>
    <row r="271" spans="4:17" ht="17.649999999999999" x14ac:dyDescent="0.5">
      <c r="D271" s="3" t="s">
        <v>87</v>
      </c>
      <c r="Q271" s="3" t="s">
        <v>87</v>
      </c>
    </row>
    <row r="272" spans="4:17" ht="17.649999999999999" x14ac:dyDescent="0.5">
      <c r="D272" s="3" t="s">
        <v>56</v>
      </c>
      <c r="Q272" s="3" t="s">
        <v>56</v>
      </c>
    </row>
    <row r="273" spans="4:17" ht="17.649999999999999" x14ac:dyDescent="0.5">
      <c r="D273" s="3" t="s">
        <v>90</v>
      </c>
      <c r="Q273" s="3" t="s">
        <v>90</v>
      </c>
    </row>
    <row r="274" spans="4:17" ht="17.649999999999999" x14ac:dyDescent="0.5">
      <c r="D274" s="3" t="s">
        <v>96</v>
      </c>
      <c r="Q274" s="3" t="s">
        <v>96</v>
      </c>
    </row>
    <row r="275" spans="4:17" ht="17.649999999999999" x14ac:dyDescent="0.5">
      <c r="D275" s="3" t="s">
        <v>66</v>
      </c>
      <c r="Q275" s="3" t="s">
        <v>66</v>
      </c>
    </row>
    <row r="276" spans="4:17" ht="17.649999999999999" x14ac:dyDescent="0.5">
      <c r="D276" s="3" t="s">
        <v>55</v>
      </c>
      <c r="Q276" s="3" t="s">
        <v>55</v>
      </c>
    </row>
    <row r="277" spans="4:17" ht="17.649999999999999" x14ac:dyDescent="0.5">
      <c r="D277" s="3" t="s">
        <v>43</v>
      </c>
      <c r="Q277" s="3" t="s">
        <v>43</v>
      </c>
    </row>
    <row r="278" spans="4:17" ht="17.649999999999999" x14ac:dyDescent="0.5">
      <c r="D278" s="3" t="s">
        <v>103</v>
      </c>
      <c r="Q278" s="3" t="s">
        <v>103</v>
      </c>
    </row>
    <row r="279" spans="4:17" ht="17.649999999999999" x14ac:dyDescent="0.5">
      <c r="D279" s="3" t="s">
        <v>55</v>
      </c>
      <c r="Q279" s="3" t="s">
        <v>55</v>
      </c>
    </row>
    <row r="280" spans="4:17" ht="17.649999999999999" x14ac:dyDescent="0.5">
      <c r="D280" s="3" t="s">
        <v>50</v>
      </c>
      <c r="Q280" s="3" t="s">
        <v>50</v>
      </c>
    </row>
    <row r="281" spans="4:17" ht="17.649999999999999" x14ac:dyDescent="0.5">
      <c r="D281" s="3" t="s">
        <v>98</v>
      </c>
      <c r="Q281" s="3" t="s">
        <v>98</v>
      </c>
    </row>
    <row r="282" spans="4:17" ht="17.649999999999999" x14ac:dyDescent="0.5">
      <c r="D282" s="3" t="s">
        <v>51</v>
      </c>
      <c r="Q282" s="3" t="s">
        <v>51</v>
      </c>
    </row>
    <row r="283" spans="4:17" ht="17.649999999999999" x14ac:dyDescent="0.5">
      <c r="D283" s="3" t="s">
        <v>46</v>
      </c>
      <c r="Q283" s="3" t="s">
        <v>46</v>
      </c>
    </row>
    <row r="284" spans="4:17" ht="17.649999999999999" x14ac:dyDescent="0.5">
      <c r="D284" s="3" t="s">
        <v>123</v>
      </c>
      <c r="Q284" s="3" t="s">
        <v>123</v>
      </c>
    </row>
    <row r="285" spans="4:17" ht="17.649999999999999" x14ac:dyDescent="0.5">
      <c r="D285" s="3" t="s">
        <v>52</v>
      </c>
      <c r="Q285" s="3" t="s">
        <v>52</v>
      </c>
    </row>
    <row r="286" spans="4:17" ht="17.649999999999999" x14ac:dyDescent="0.5">
      <c r="D286" s="3" t="s">
        <v>120</v>
      </c>
      <c r="Q286" s="3" t="s">
        <v>120</v>
      </c>
    </row>
    <row r="287" spans="4:17" ht="17.649999999999999" x14ac:dyDescent="0.5">
      <c r="D287" s="3" t="s">
        <v>115</v>
      </c>
      <c r="Q287" s="3" t="s">
        <v>115</v>
      </c>
    </row>
    <row r="288" spans="4:17" ht="17.649999999999999" x14ac:dyDescent="0.5">
      <c r="D288" s="3" t="s">
        <v>87</v>
      </c>
      <c r="Q288" s="3" t="s">
        <v>87</v>
      </c>
    </row>
    <row r="289" spans="4:17" ht="17.649999999999999" x14ac:dyDescent="0.5">
      <c r="D289" s="3" t="s">
        <v>122</v>
      </c>
      <c r="Q289" s="3" t="s">
        <v>122</v>
      </c>
    </row>
    <row r="290" spans="4:17" ht="17.649999999999999" x14ac:dyDescent="0.5">
      <c r="D290" s="3" t="s">
        <v>47</v>
      </c>
      <c r="Q290" s="3" t="s">
        <v>47</v>
      </c>
    </row>
    <row r="291" spans="4:17" ht="17.649999999999999" x14ac:dyDescent="0.5">
      <c r="D291" s="3" t="s">
        <v>55</v>
      </c>
      <c r="Q291" s="3" t="s">
        <v>55</v>
      </c>
    </row>
    <row r="292" spans="4:17" ht="17.649999999999999" x14ac:dyDescent="0.5">
      <c r="D292" s="3" t="s">
        <v>110</v>
      </c>
      <c r="Q292" s="3" t="s">
        <v>110</v>
      </c>
    </row>
    <row r="293" spans="4:17" ht="17.649999999999999" x14ac:dyDescent="0.5">
      <c r="D293" s="3" t="s">
        <v>96</v>
      </c>
      <c r="Q293" s="3" t="s">
        <v>96</v>
      </c>
    </row>
    <row r="294" spans="4:17" ht="17.649999999999999" x14ac:dyDescent="0.5">
      <c r="D294" s="3" t="s">
        <v>84</v>
      </c>
      <c r="Q294" s="3" t="s">
        <v>84</v>
      </c>
    </row>
    <row r="295" spans="4:17" ht="17.649999999999999" x14ac:dyDescent="0.5">
      <c r="D295" s="3" t="s">
        <v>78</v>
      </c>
      <c r="Q295" s="3" t="s">
        <v>78</v>
      </c>
    </row>
    <row r="296" spans="4:17" ht="17.649999999999999" x14ac:dyDescent="0.5">
      <c r="D296" s="3" t="s">
        <v>54</v>
      </c>
      <c r="Q296" s="3" t="s">
        <v>54</v>
      </c>
    </row>
    <row r="297" spans="4:17" ht="17.649999999999999" x14ac:dyDescent="0.5">
      <c r="D297" s="3" t="s">
        <v>81</v>
      </c>
      <c r="Q297" s="3" t="s">
        <v>81</v>
      </c>
    </row>
    <row r="298" spans="4:17" ht="17.649999999999999" x14ac:dyDescent="0.5">
      <c r="D298" s="3" t="s">
        <v>82</v>
      </c>
      <c r="Q298" s="3" t="s">
        <v>82</v>
      </c>
    </row>
    <row r="299" spans="4:17" ht="17.649999999999999" x14ac:dyDescent="0.5">
      <c r="D299" s="3" t="s">
        <v>117</v>
      </c>
      <c r="Q299" s="3" t="s">
        <v>117</v>
      </c>
    </row>
    <row r="300" spans="4:17" ht="17.649999999999999" x14ac:dyDescent="0.5">
      <c r="D300" s="3" t="s">
        <v>63</v>
      </c>
      <c r="Q300" s="3" t="s">
        <v>63</v>
      </c>
    </row>
    <row r="301" spans="4:17" ht="17.649999999999999" x14ac:dyDescent="0.5">
      <c r="D301" s="3" t="s">
        <v>118</v>
      </c>
      <c r="Q301" s="3" t="s">
        <v>118</v>
      </c>
    </row>
    <row r="302" spans="4:17" ht="17.649999999999999" x14ac:dyDescent="0.5">
      <c r="D302" s="3" t="s">
        <v>54</v>
      </c>
      <c r="Q302" s="3" t="s">
        <v>54</v>
      </c>
    </row>
    <row r="303" spans="4:17" ht="17.649999999999999" x14ac:dyDescent="0.5">
      <c r="D303" s="3" t="s">
        <v>78</v>
      </c>
      <c r="Q303" s="3" t="s">
        <v>78</v>
      </c>
    </row>
    <row r="304" spans="4:17" ht="17.649999999999999" x14ac:dyDescent="0.5">
      <c r="D304" s="3" t="s">
        <v>77</v>
      </c>
      <c r="Q304" s="3" t="s">
        <v>77</v>
      </c>
    </row>
    <row r="305" spans="4:17" ht="17.649999999999999" x14ac:dyDescent="0.5">
      <c r="D305" s="3" t="s">
        <v>97</v>
      </c>
      <c r="Q305" s="3" t="s">
        <v>97</v>
      </c>
    </row>
    <row r="306" spans="4:17" ht="17.649999999999999" x14ac:dyDescent="0.5">
      <c r="D306" s="3" t="s">
        <v>78</v>
      </c>
      <c r="Q306" s="3" t="s">
        <v>78</v>
      </c>
    </row>
    <row r="307" spans="4:17" ht="17.649999999999999" x14ac:dyDescent="0.5">
      <c r="D307" s="3" t="s">
        <v>70</v>
      </c>
      <c r="Q307" s="3" t="s">
        <v>70</v>
      </c>
    </row>
    <row r="308" spans="4:17" ht="17.649999999999999" x14ac:dyDescent="0.5">
      <c r="D308" s="3" t="s">
        <v>85</v>
      </c>
      <c r="Q308" s="3" t="s">
        <v>85</v>
      </c>
    </row>
    <row r="309" spans="4:17" ht="17.649999999999999" x14ac:dyDescent="0.5">
      <c r="D309" s="3" t="s">
        <v>80</v>
      </c>
      <c r="Q309" s="3" t="s">
        <v>80</v>
      </c>
    </row>
    <row r="310" spans="4:17" ht="17.649999999999999" x14ac:dyDescent="0.5">
      <c r="D310" s="3" t="s">
        <v>78</v>
      </c>
      <c r="Q310" s="3" t="s">
        <v>78</v>
      </c>
    </row>
    <row r="311" spans="4:17" ht="17.649999999999999" x14ac:dyDescent="0.5">
      <c r="D311" s="3" t="s">
        <v>81</v>
      </c>
      <c r="Q311" s="3" t="s">
        <v>81</v>
      </c>
    </row>
    <row r="312" spans="4:17" ht="17.649999999999999" x14ac:dyDescent="0.5">
      <c r="D312" s="3" t="s">
        <v>73</v>
      </c>
      <c r="Q312" s="3" t="s">
        <v>73</v>
      </c>
    </row>
    <row r="313" spans="4:17" ht="17.649999999999999" x14ac:dyDescent="0.5">
      <c r="D313" s="3" t="s">
        <v>50</v>
      </c>
      <c r="Q313" s="3" t="s">
        <v>50</v>
      </c>
    </row>
    <row r="314" spans="4:17" ht="17.649999999999999" x14ac:dyDescent="0.5">
      <c r="D314" s="3" t="s">
        <v>74</v>
      </c>
      <c r="Q314" s="3" t="s">
        <v>74</v>
      </c>
    </row>
    <row r="315" spans="4:17" ht="17.649999999999999" x14ac:dyDescent="0.5">
      <c r="D315" s="3" t="s">
        <v>130</v>
      </c>
      <c r="Q315" s="3" t="s">
        <v>130</v>
      </c>
    </row>
    <row r="316" spans="4:17" ht="17.649999999999999" x14ac:dyDescent="0.5">
      <c r="D316" s="3" t="s">
        <v>87</v>
      </c>
      <c r="Q316" s="3" t="s">
        <v>87</v>
      </c>
    </row>
    <row r="317" spans="4:17" ht="17.649999999999999" x14ac:dyDescent="0.5">
      <c r="D317" s="3" t="s">
        <v>65</v>
      </c>
      <c r="Q317" s="3" t="s">
        <v>65</v>
      </c>
    </row>
    <row r="318" spans="4:17" ht="17.649999999999999" x14ac:dyDescent="0.5">
      <c r="D318" s="3" t="s">
        <v>54</v>
      </c>
      <c r="Q318" s="3" t="s">
        <v>54</v>
      </c>
    </row>
    <row r="319" spans="4:17" ht="17.649999999999999" x14ac:dyDescent="0.5">
      <c r="D319" s="3" t="s">
        <v>68</v>
      </c>
      <c r="Q319" s="3" t="s">
        <v>68</v>
      </c>
    </row>
    <row r="320" spans="4:17" ht="17.649999999999999" x14ac:dyDescent="0.5">
      <c r="D320" s="3" t="s">
        <v>56</v>
      </c>
      <c r="Q320" s="3" t="s">
        <v>56</v>
      </c>
    </row>
    <row r="321" spans="4:17" ht="17.649999999999999" x14ac:dyDescent="0.5">
      <c r="D321" s="3" t="s">
        <v>50</v>
      </c>
      <c r="Q321" s="3" t="s">
        <v>50</v>
      </c>
    </row>
    <row r="322" spans="4:17" ht="17.649999999999999" x14ac:dyDescent="0.5">
      <c r="D322" s="3" t="s">
        <v>111</v>
      </c>
      <c r="Q322" s="3" t="s">
        <v>111</v>
      </c>
    </row>
    <row r="323" spans="4:17" ht="17.649999999999999" x14ac:dyDescent="0.5">
      <c r="D323" s="3" t="s">
        <v>112</v>
      </c>
      <c r="Q323" s="3" t="s">
        <v>112</v>
      </c>
    </row>
    <row r="324" spans="4:17" ht="17.649999999999999" x14ac:dyDescent="0.5">
      <c r="D324" s="3" t="s">
        <v>103</v>
      </c>
      <c r="Q324" s="3" t="s">
        <v>103</v>
      </c>
    </row>
    <row r="325" spans="4:17" ht="17.649999999999999" x14ac:dyDescent="0.5">
      <c r="D325" s="3" t="s">
        <v>98</v>
      </c>
      <c r="Q325" s="3" t="s">
        <v>98</v>
      </c>
    </row>
    <row r="326" spans="4:17" ht="17.649999999999999" x14ac:dyDescent="0.5">
      <c r="D326" s="3" t="s">
        <v>90</v>
      </c>
      <c r="Q326" s="3" t="s">
        <v>90</v>
      </c>
    </row>
    <row r="327" spans="4:17" ht="17.649999999999999" x14ac:dyDescent="0.5">
      <c r="D327" s="3" t="s">
        <v>41</v>
      </c>
      <c r="Q327" s="3" t="s">
        <v>41</v>
      </c>
    </row>
    <row r="328" spans="4:17" ht="17.649999999999999" x14ac:dyDescent="0.5">
      <c r="D328" s="3" t="s">
        <v>77</v>
      </c>
      <c r="Q328" s="3" t="s">
        <v>77</v>
      </c>
    </row>
    <row r="329" spans="4:17" ht="17.649999999999999" x14ac:dyDescent="0.5">
      <c r="D329" s="3" t="s">
        <v>72</v>
      </c>
      <c r="Q329" s="3" t="s">
        <v>72</v>
      </c>
    </row>
    <row r="330" spans="4:17" ht="17.649999999999999" x14ac:dyDescent="0.5">
      <c r="D330" s="3" t="s">
        <v>47</v>
      </c>
      <c r="Q330" s="3" t="s">
        <v>47</v>
      </c>
    </row>
    <row r="331" spans="4:17" ht="17.649999999999999" x14ac:dyDescent="0.5">
      <c r="D331" s="3" t="s">
        <v>46</v>
      </c>
      <c r="Q331" s="3" t="s">
        <v>46</v>
      </c>
    </row>
    <row r="332" spans="4:17" ht="17.649999999999999" x14ac:dyDescent="0.5">
      <c r="D332" s="3" t="s">
        <v>73</v>
      </c>
      <c r="Q332" s="3" t="s">
        <v>73</v>
      </c>
    </row>
    <row r="333" spans="4:17" ht="17.649999999999999" x14ac:dyDescent="0.5">
      <c r="D333" s="3" t="s">
        <v>107</v>
      </c>
      <c r="Q333" s="3" t="s">
        <v>107</v>
      </c>
    </row>
    <row r="334" spans="4:17" ht="17.649999999999999" x14ac:dyDescent="0.5">
      <c r="D334" s="3" t="s">
        <v>81</v>
      </c>
      <c r="Q334" s="3" t="s">
        <v>81</v>
      </c>
    </row>
    <row r="335" spans="4:17" ht="17.649999999999999" x14ac:dyDescent="0.5">
      <c r="D335" s="3" t="s">
        <v>134</v>
      </c>
      <c r="Q335" s="3" t="s">
        <v>134</v>
      </c>
    </row>
    <row r="336" spans="4:17" ht="17.649999999999999" x14ac:dyDescent="0.5">
      <c r="D336" s="3" t="s">
        <v>75</v>
      </c>
      <c r="Q336" s="3" t="s">
        <v>75</v>
      </c>
    </row>
    <row r="337" spans="4:17" ht="17.649999999999999" x14ac:dyDescent="0.5">
      <c r="D337" s="3" t="s">
        <v>48</v>
      </c>
      <c r="Q337" s="3" t="s">
        <v>48</v>
      </c>
    </row>
    <row r="338" spans="4:17" ht="17.649999999999999" x14ac:dyDescent="0.5">
      <c r="D338" s="3" t="s">
        <v>103</v>
      </c>
      <c r="Q338" s="3" t="s">
        <v>103</v>
      </c>
    </row>
    <row r="339" spans="4:17" ht="17.649999999999999" x14ac:dyDescent="0.5">
      <c r="D339" s="3" t="s">
        <v>41</v>
      </c>
      <c r="Q339" s="3" t="s">
        <v>41</v>
      </c>
    </row>
    <row r="340" spans="4:17" ht="17.649999999999999" x14ac:dyDescent="0.5">
      <c r="D340" s="3" t="s">
        <v>77</v>
      </c>
      <c r="Q340" s="3" t="s">
        <v>77</v>
      </c>
    </row>
    <row r="341" spans="4:17" ht="17.649999999999999" x14ac:dyDescent="0.5">
      <c r="D341" s="3" t="s">
        <v>88</v>
      </c>
      <c r="Q341" s="3" t="s">
        <v>88</v>
      </c>
    </row>
    <row r="342" spans="4:17" ht="17.649999999999999" x14ac:dyDescent="0.5">
      <c r="D342" s="3" t="s">
        <v>85</v>
      </c>
      <c r="Q342" s="3" t="s">
        <v>85</v>
      </c>
    </row>
    <row r="343" spans="4:17" ht="17.649999999999999" x14ac:dyDescent="0.5">
      <c r="D343" s="3" t="s">
        <v>90</v>
      </c>
      <c r="Q343" s="3" t="s">
        <v>90</v>
      </c>
    </row>
    <row r="344" spans="4:17" ht="17.649999999999999" x14ac:dyDescent="0.5">
      <c r="D344" s="3" t="s">
        <v>51</v>
      </c>
      <c r="Q344" s="3" t="s">
        <v>51</v>
      </c>
    </row>
    <row r="345" spans="4:17" ht="17.649999999999999" x14ac:dyDescent="0.5">
      <c r="D345" s="3" t="s">
        <v>105</v>
      </c>
      <c r="Q345" s="3" t="s">
        <v>105</v>
      </c>
    </row>
    <row r="346" spans="4:17" ht="17.649999999999999" x14ac:dyDescent="0.5">
      <c r="D346" s="3" t="s">
        <v>112</v>
      </c>
      <c r="Q346" s="3" t="s">
        <v>112</v>
      </c>
    </row>
    <row r="347" spans="4:17" ht="17.649999999999999" x14ac:dyDescent="0.5">
      <c r="D347" s="3" t="s">
        <v>43</v>
      </c>
      <c r="Q347" s="3" t="s">
        <v>43</v>
      </c>
    </row>
    <row r="348" spans="4:17" ht="17.649999999999999" x14ac:dyDescent="0.5">
      <c r="D348" s="3" t="s">
        <v>109</v>
      </c>
      <c r="Q348" s="3" t="s">
        <v>109</v>
      </c>
    </row>
    <row r="349" spans="4:17" ht="17.649999999999999" x14ac:dyDescent="0.5">
      <c r="D349" s="3" t="s">
        <v>77</v>
      </c>
      <c r="Q349" s="3" t="s">
        <v>77</v>
      </c>
    </row>
    <row r="350" spans="4:17" ht="17.649999999999999" x14ac:dyDescent="0.5">
      <c r="D350" s="3" t="s">
        <v>47</v>
      </c>
      <c r="Q350" s="3" t="s">
        <v>47</v>
      </c>
    </row>
    <row r="351" spans="4:17" ht="17.649999999999999" x14ac:dyDescent="0.5">
      <c r="D351" s="3" t="s">
        <v>68</v>
      </c>
      <c r="Q351" s="3" t="s">
        <v>68</v>
      </c>
    </row>
    <row r="352" spans="4:17" ht="17.649999999999999" x14ac:dyDescent="0.5">
      <c r="D352" s="3" t="s">
        <v>124</v>
      </c>
      <c r="Q352" s="3" t="s">
        <v>124</v>
      </c>
    </row>
    <row r="353" spans="4:17" ht="17.649999999999999" x14ac:dyDescent="0.5">
      <c r="D353" s="3" t="s">
        <v>114</v>
      </c>
      <c r="Q353" s="3" t="s">
        <v>114</v>
      </c>
    </row>
    <row r="354" spans="4:17" ht="17.649999999999999" x14ac:dyDescent="0.5">
      <c r="D354" s="3" t="s">
        <v>61</v>
      </c>
      <c r="Q354" s="3" t="s">
        <v>61</v>
      </c>
    </row>
    <row r="355" spans="4:17" ht="17.649999999999999" x14ac:dyDescent="0.5">
      <c r="D355" s="3" t="s">
        <v>105</v>
      </c>
      <c r="Q355" s="3" t="s">
        <v>105</v>
      </c>
    </row>
    <row r="356" spans="4:17" ht="17.649999999999999" x14ac:dyDescent="0.5">
      <c r="D356" s="3" t="s">
        <v>101</v>
      </c>
      <c r="Q356" s="3" t="s">
        <v>101</v>
      </c>
    </row>
    <row r="357" spans="4:17" ht="17.649999999999999" x14ac:dyDescent="0.5">
      <c r="D357" s="3" t="s">
        <v>49</v>
      </c>
      <c r="Q357" s="3" t="s">
        <v>49</v>
      </c>
    </row>
    <row r="358" spans="4:17" ht="17.649999999999999" x14ac:dyDescent="0.5">
      <c r="D358" s="3" t="s">
        <v>77</v>
      </c>
      <c r="Q358" s="3" t="s">
        <v>77</v>
      </c>
    </row>
    <row r="359" spans="4:17" ht="17.649999999999999" x14ac:dyDescent="0.5">
      <c r="D359" s="3" t="s">
        <v>78</v>
      </c>
      <c r="Q359" s="3" t="s">
        <v>78</v>
      </c>
    </row>
    <row r="360" spans="4:17" ht="17.649999999999999" x14ac:dyDescent="0.5">
      <c r="D360" s="3" t="s">
        <v>44</v>
      </c>
      <c r="Q360" s="3" t="s">
        <v>44</v>
      </c>
    </row>
    <row r="361" spans="4:17" ht="17.649999999999999" x14ac:dyDescent="0.5">
      <c r="D361" s="3" t="s">
        <v>117</v>
      </c>
      <c r="Q361" s="3" t="s">
        <v>117</v>
      </c>
    </row>
    <row r="362" spans="4:17" ht="17.649999999999999" x14ac:dyDescent="0.5">
      <c r="D362" s="3" t="s">
        <v>84</v>
      </c>
      <c r="Q362" s="3" t="s">
        <v>84</v>
      </c>
    </row>
    <row r="363" spans="4:17" ht="17.649999999999999" x14ac:dyDescent="0.5">
      <c r="D363" s="3" t="s">
        <v>131</v>
      </c>
      <c r="Q363" s="3" t="s">
        <v>131</v>
      </c>
    </row>
    <row r="364" spans="4:17" ht="17.649999999999999" x14ac:dyDescent="0.5">
      <c r="D364" s="3" t="s">
        <v>43</v>
      </c>
      <c r="Q364" s="3" t="s">
        <v>43</v>
      </c>
    </row>
    <row r="365" spans="4:17" ht="17.649999999999999" x14ac:dyDescent="0.5">
      <c r="D365" s="3" t="s">
        <v>72</v>
      </c>
      <c r="Q365" s="3" t="s">
        <v>72</v>
      </c>
    </row>
    <row r="366" spans="4:17" ht="17.649999999999999" x14ac:dyDescent="0.5">
      <c r="D366" s="3" t="s">
        <v>62</v>
      </c>
      <c r="Q366" s="3" t="s">
        <v>62</v>
      </c>
    </row>
    <row r="367" spans="4:17" ht="17.649999999999999" x14ac:dyDescent="0.5">
      <c r="D367" s="3" t="s">
        <v>82</v>
      </c>
      <c r="Q367" s="3" t="s">
        <v>82</v>
      </c>
    </row>
    <row r="368" spans="4:17" ht="17.649999999999999" x14ac:dyDescent="0.5">
      <c r="D368" s="3" t="s">
        <v>73</v>
      </c>
      <c r="Q368" s="3" t="s">
        <v>73</v>
      </c>
    </row>
    <row r="369" spans="4:17" ht="17.649999999999999" x14ac:dyDescent="0.5">
      <c r="D369" s="3" t="s">
        <v>70</v>
      </c>
      <c r="Q369" s="3" t="s">
        <v>70</v>
      </c>
    </row>
    <row r="370" spans="4:17" ht="17.649999999999999" x14ac:dyDescent="0.5">
      <c r="D370" s="3" t="s">
        <v>47</v>
      </c>
      <c r="Q370" s="3" t="s">
        <v>47</v>
      </c>
    </row>
    <row r="371" spans="4:17" ht="17.649999999999999" x14ac:dyDescent="0.5">
      <c r="D371" s="3" t="s">
        <v>57</v>
      </c>
      <c r="Q371" s="3" t="s">
        <v>57</v>
      </c>
    </row>
    <row r="372" spans="4:17" ht="17.649999999999999" x14ac:dyDescent="0.5">
      <c r="D372" s="3" t="s">
        <v>82</v>
      </c>
      <c r="Q372" s="3" t="s">
        <v>82</v>
      </c>
    </row>
    <row r="373" spans="4:17" ht="17.649999999999999" x14ac:dyDescent="0.5">
      <c r="D373" s="3" t="s">
        <v>76</v>
      </c>
      <c r="Q373" s="3" t="s">
        <v>76</v>
      </c>
    </row>
    <row r="374" spans="4:17" ht="17.649999999999999" x14ac:dyDescent="0.5">
      <c r="D374" s="3" t="s">
        <v>115</v>
      </c>
      <c r="Q374" s="3" t="s">
        <v>115</v>
      </c>
    </row>
    <row r="375" spans="4:17" ht="17.649999999999999" x14ac:dyDescent="0.5">
      <c r="D375" s="3" t="s">
        <v>56</v>
      </c>
      <c r="Q375" s="3" t="s">
        <v>56</v>
      </c>
    </row>
    <row r="376" spans="4:17" ht="17.649999999999999" x14ac:dyDescent="0.5">
      <c r="D376" s="3" t="s">
        <v>103</v>
      </c>
      <c r="Q376" s="3" t="s">
        <v>103</v>
      </c>
    </row>
    <row r="377" spans="4:17" ht="17.649999999999999" x14ac:dyDescent="0.5">
      <c r="D377" s="3" t="s">
        <v>101</v>
      </c>
      <c r="Q377" s="3" t="s">
        <v>101</v>
      </c>
    </row>
    <row r="378" spans="4:17" ht="17.649999999999999" x14ac:dyDescent="0.5">
      <c r="D378" s="3" t="s">
        <v>51</v>
      </c>
      <c r="Q378" s="3" t="s">
        <v>51</v>
      </c>
    </row>
    <row r="379" spans="4:17" ht="17.649999999999999" x14ac:dyDescent="0.5">
      <c r="D379" s="3" t="s">
        <v>120</v>
      </c>
      <c r="Q379" s="3" t="s">
        <v>120</v>
      </c>
    </row>
    <row r="380" spans="4:17" ht="17.649999999999999" x14ac:dyDescent="0.5">
      <c r="D380" s="3" t="s">
        <v>77</v>
      </c>
      <c r="Q380" s="3" t="s">
        <v>77</v>
      </c>
    </row>
    <row r="381" spans="4:17" ht="17.649999999999999" x14ac:dyDescent="0.5">
      <c r="D381" s="3" t="s">
        <v>108</v>
      </c>
      <c r="Q381" s="3" t="s">
        <v>108</v>
      </c>
    </row>
    <row r="382" spans="4:17" ht="17.649999999999999" x14ac:dyDescent="0.5">
      <c r="D382" s="3" t="s">
        <v>78</v>
      </c>
      <c r="Q382" s="3" t="s">
        <v>78</v>
      </c>
    </row>
    <row r="383" spans="4:17" ht="17.649999999999999" x14ac:dyDescent="0.5">
      <c r="D383" s="3" t="s">
        <v>67</v>
      </c>
      <c r="Q383" s="3" t="s">
        <v>67</v>
      </c>
    </row>
    <row r="384" spans="4:17" ht="17.649999999999999" x14ac:dyDescent="0.5">
      <c r="D384" s="3" t="s">
        <v>131</v>
      </c>
      <c r="Q384" s="3" t="s">
        <v>131</v>
      </c>
    </row>
    <row r="385" spans="4:17" ht="17.649999999999999" x14ac:dyDescent="0.5">
      <c r="D385" s="3" t="s">
        <v>77</v>
      </c>
      <c r="Q385" s="3" t="s">
        <v>77</v>
      </c>
    </row>
    <row r="386" spans="4:17" ht="17.649999999999999" x14ac:dyDescent="0.5">
      <c r="D386" s="3" t="s">
        <v>73</v>
      </c>
      <c r="Q386" s="3" t="s">
        <v>73</v>
      </c>
    </row>
    <row r="387" spans="4:17" ht="17.649999999999999" x14ac:dyDescent="0.5">
      <c r="D387" s="3" t="s">
        <v>103</v>
      </c>
      <c r="Q387" s="3" t="s">
        <v>103</v>
      </c>
    </row>
    <row r="388" spans="4:17" ht="17.649999999999999" x14ac:dyDescent="0.5">
      <c r="D388" s="3" t="s">
        <v>57</v>
      </c>
      <c r="Q388" s="3" t="s">
        <v>57</v>
      </c>
    </row>
    <row r="389" spans="4:17" ht="17.649999999999999" x14ac:dyDescent="0.5">
      <c r="D389" s="3" t="s">
        <v>104</v>
      </c>
      <c r="Q389" s="3" t="s">
        <v>104</v>
      </c>
    </row>
    <row r="390" spans="4:17" ht="17.649999999999999" x14ac:dyDescent="0.5">
      <c r="D390" s="3" t="s">
        <v>93</v>
      </c>
      <c r="Q390" s="3" t="s">
        <v>93</v>
      </c>
    </row>
    <row r="391" spans="4:17" ht="17.649999999999999" x14ac:dyDescent="0.5">
      <c r="D391" s="3" t="s">
        <v>109</v>
      </c>
      <c r="Q391" s="3" t="s">
        <v>109</v>
      </c>
    </row>
    <row r="392" spans="4:17" ht="17.649999999999999" x14ac:dyDescent="0.5">
      <c r="D392" s="3" t="s">
        <v>102</v>
      </c>
      <c r="Q392" s="3" t="s">
        <v>102</v>
      </c>
    </row>
    <row r="393" spans="4:17" ht="17.649999999999999" x14ac:dyDescent="0.5">
      <c r="D393" s="3" t="s">
        <v>67</v>
      </c>
      <c r="Q393" s="3" t="s">
        <v>67</v>
      </c>
    </row>
    <row r="394" spans="4:17" ht="17.649999999999999" x14ac:dyDescent="0.5">
      <c r="D394" s="3" t="s">
        <v>75</v>
      </c>
      <c r="Q394" s="3" t="s">
        <v>75</v>
      </c>
    </row>
    <row r="395" spans="4:17" ht="17.649999999999999" x14ac:dyDescent="0.5">
      <c r="D395" s="3" t="s">
        <v>56</v>
      </c>
      <c r="Q395" s="3" t="s">
        <v>56</v>
      </c>
    </row>
    <row r="396" spans="4:17" ht="17.649999999999999" x14ac:dyDescent="0.5">
      <c r="D396" s="3" t="s">
        <v>90</v>
      </c>
      <c r="Q396" s="3" t="s">
        <v>90</v>
      </c>
    </row>
    <row r="397" spans="4:17" ht="17.649999999999999" x14ac:dyDescent="0.5">
      <c r="D397" s="3" t="s">
        <v>103</v>
      </c>
      <c r="Q397" s="3" t="s">
        <v>103</v>
      </c>
    </row>
    <row r="398" spans="4:17" ht="17.649999999999999" x14ac:dyDescent="0.5">
      <c r="D398" s="3" t="s">
        <v>74</v>
      </c>
      <c r="Q398" s="3" t="s">
        <v>74</v>
      </c>
    </row>
    <row r="399" spans="4:17" ht="17.649999999999999" x14ac:dyDescent="0.5">
      <c r="D399" s="3" t="s">
        <v>50</v>
      </c>
      <c r="Q399" s="3" t="s">
        <v>50</v>
      </c>
    </row>
    <row r="400" spans="4:17" ht="17.649999999999999" x14ac:dyDescent="0.5">
      <c r="D400" s="3" t="s">
        <v>118</v>
      </c>
      <c r="Q400" s="3" t="s">
        <v>118</v>
      </c>
    </row>
    <row r="401" spans="4:17" ht="17.649999999999999" x14ac:dyDescent="0.5">
      <c r="D401" s="3" t="s">
        <v>121</v>
      </c>
      <c r="Q401" s="3" t="s">
        <v>121</v>
      </c>
    </row>
    <row r="402" spans="4:17" ht="17.649999999999999" x14ac:dyDescent="0.5">
      <c r="D402" s="3" t="s">
        <v>90</v>
      </c>
      <c r="Q402" s="3" t="s">
        <v>90</v>
      </c>
    </row>
    <row r="403" spans="4:17" ht="17.649999999999999" x14ac:dyDescent="0.5">
      <c r="D403" s="3" t="s">
        <v>73</v>
      </c>
      <c r="Q403" s="3" t="s">
        <v>73</v>
      </c>
    </row>
    <row r="404" spans="4:17" ht="17.649999999999999" x14ac:dyDescent="0.5">
      <c r="D404" s="3" t="s">
        <v>119</v>
      </c>
      <c r="Q404" s="3" t="s">
        <v>119</v>
      </c>
    </row>
    <row r="405" spans="4:17" ht="17.649999999999999" x14ac:dyDescent="0.5">
      <c r="D405" s="3" t="s">
        <v>101</v>
      </c>
      <c r="Q405" s="3" t="s">
        <v>101</v>
      </c>
    </row>
    <row r="406" spans="4:17" ht="17.649999999999999" x14ac:dyDescent="0.5">
      <c r="D406" s="3" t="s">
        <v>56</v>
      </c>
      <c r="Q406" s="3" t="s">
        <v>56</v>
      </c>
    </row>
    <row r="407" spans="4:17" ht="17.649999999999999" x14ac:dyDescent="0.5">
      <c r="D407" s="3" t="s">
        <v>51</v>
      </c>
      <c r="Q407" s="3" t="s">
        <v>51</v>
      </c>
    </row>
    <row r="408" spans="4:17" ht="17.649999999999999" x14ac:dyDescent="0.5">
      <c r="D408" s="3" t="s">
        <v>62</v>
      </c>
      <c r="Q408" s="3" t="s">
        <v>62</v>
      </c>
    </row>
    <row r="409" spans="4:17" ht="17.649999999999999" x14ac:dyDescent="0.5">
      <c r="D409" s="3" t="s">
        <v>120</v>
      </c>
      <c r="Q409" s="3" t="s">
        <v>120</v>
      </c>
    </row>
    <row r="410" spans="4:17" ht="17.649999999999999" x14ac:dyDescent="0.5">
      <c r="D410" s="3" t="s">
        <v>94</v>
      </c>
      <c r="Q410" s="3" t="s">
        <v>94</v>
      </c>
    </row>
    <row r="411" spans="4:17" ht="17.649999999999999" x14ac:dyDescent="0.5">
      <c r="D411" s="3" t="s">
        <v>129</v>
      </c>
      <c r="Q411" s="3" t="s">
        <v>129</v>
      </c>
    </row>
    <row r="412" spans="4:17" ht="17.649999999999999" x14ac:dyDescent="0.5">
      <c r="D412" s="3" t="s">
        <v>49</v>
      </c>
      <c r="Q412" s="3" t="s">
        <v>49</v>
      </c>
    </row>
    <row r="413" spans="4:17" ht="17.649999999999999" x14ac:dyDescent="0.5">
      <c r="D413" s="3" t="s">
        <v>50</v>
      </c>
      <c r="Q413" s="3" t="s">
        <v>50</v>
      </c>
    </row>
    <row r="414" spans="4:17" ht="17.649999999999999" x14ac:dyDescent="0.5">
      <c r="D414" s="3" t="s">
        <v>101</v>
      </c>
      <c r="Q414" s="3" t="s">
        <v>101</v>
      </c>
    </row>
    <row r="415" spans="4:17" ht="17.649999999999999" x14ac:dyDescent="0.5">
      <c r="D415" s="3" t="s">
        <v>77</v>
      </c>
      <c r="Q415" s="3" t="s">
        <v>77</v>
      </c>
    </row>
    <row r="416" spans="4:17" ht="17.649999999999999" x14ac:dyDescent="0.5">
      <c r="D416" s="3" t="s">
        <v>92</v>
      </c>
      <c r="Q416" s="3" t="s">
        <v>92</v>
      </c>
    </row>
    <row r="417" spans="4:17" ht="17.649999999999999" x14ac:dyDescent="0.5">
      <c r="D417" s="3" t="s">
        <v>123</v>
      </c>
      <c r="Q417" s="3" t="s">
        <v>123</v>
      </c>
    </row>
    <row r="418" spans="4:17" ht="17.649999999999999" x14ac:dyDescent="0.5">
      <c r="D418" s="3" t="s">
        <v>87</v>
      </c>
      <c r="Q418" s="3" t="s">
        <v>87</v>
      </c>
    </row>
    <row r="419" spans="4:17" ht="17.649999999999999" x14ac:dyDescent="0.5">
      <c r="D419" s="3" t="s">
        <v>67</v>
      </c>
      <c r="Q419" s="3" t="s">
        <v>67</v>
      </c>
    </row>
    <row r="420" spans="4:17" ht="17.649999999999999" x14ac:dyDescent="0.5">
      <c r="D420" s="3" t="s">
        <v>78</v>
      </c>
      <c r="Q420" s="3" t="s">
        <v>78</v>
      </c>
    </row>
    <row r="421" spans="4:17" ht="17.649999999999999" x14ac:dyDescent="0.5">
      <c r="D421" s="3" t="s">
        <v>52</v>
      </c>
      <c r="Q421" s="3" t="s">
        <v>52</v>
      </c>
    </row>
    <row r="422" spans="4:17" ht="17.649999999999999" x14ac:dyDescent="0.5">
      <c r="D422" s="3" t="s">
        <v>105</v>
      </c>
      <c r="Q422" s="3" t="s">
        <v>105</v>
      </c>
    </row>
    <row r="423" spans="4:17" ht="17.649999999999999" x14ac:dyDescent="0.5">
      <c r="D423" s="3" t="s">
        <v>63</v>
      </c>
      <c r="Q423" s="3" t="s">
        <v>63</v>
      </c>
    </row>
    <row r="424" spans="4:17" ht="17.649999999999999" x14ac:dyDescent="0.5">
      <c r="D424" s="3" t="s">
        <v>81</v>
      </c>
      <c r="Q424" s="3" t="s">
        <v>81</v>
      </c>
    </row>
    <row r="425" spans="4:17" ht="17.649999999999999" x14ac:dyDescent="0.5">
      <c r="D425" s="3" t="s">
        <v>103</v>
      </c>
      <c r="Q425" s="3" t="s">
        <v>103</v>
      </c>
    </row>
    <row r="426" spans="4:17" ht="17.649999999999999" x14ac:dyDescent="0.5">
      <c r="D426" s="3" t="s">
        <v>65</v>
      </c>
      <c r="Q426" s="3" t="s">
        <v>65</v>
      </c>
    </row>
    <row r="427" spans="4:17" ht="17.649999999999999" x14ac:dyDescent="0.5">
      <c r="D427" s="3" t="s">
        <v>83</v>
      </c>
      <c r="Q427" s="3" t="s">
        <v>83</v>
      </c>
    </row>
    <row r="428" spans="4:17" ht="17.649999999999999" x14ac:dyDescent="0.5">
      <c r="D428" s="3" t="s">
        <v>121</v>
      </c>
      <c r="Q428" s="3" t="s">
        <v>121</v>
      </c>
    </row>
    <row r="429" spans="4:17" ht="17.649999999999999" x14ac:dyDescent="0.5">
      <c r="D429" s="3" t="s">
        <v>107</v>
      </c>
      <c r="Q429" s="3" t="s">
        <v>107</v>
      </c>
    </row>
    <row r="430" spans="4:17" ht="17.649999999999999" x14ac:dyDescent="0.5">
      <c r="D430" s="3" t="s">
        <v>50</v>
      </c>
      <c r="Q430" s="3" t="s">
        <v>50</v>
      </c>
    </row>
    <row r="431" spans="4:17" ht="17.649999999999999" x14ac:dyDescent="0.5">
      <c r="D431" s="3" t="s">
        <v>54</v>
      </c>
      <c r="Q431" s="3" t="s">
        <v>54</v>
      </c>
    </row>
    <row r="432" spans="4:17" ht="17.649999999999999" x14ac:dyDescent="0.5">
      <c r="D432" s="3" t="s">
        <v>52</v>
      </c>
      <c r="Q432" s="3" t="s">
        <v>52</v>
      </c>
    </row>
    <row r="433" spans="4:17" ht="17.649999999999999" x14ac:dyDescent="0.5">
      <c r="D433" s="3" t="s">
        <v>87</v>
      </c>
      <c r="Q433" s="3" t="s">
        <v>87</v>
      </c>
    </row>
    <row r="434" spans="4:17" ht="17.649999999999999" x14ac:dyDescent="0.5">
      <c r="D434" s="3" t="s">
        <v>60</v>
      </c>
      <c r="Q434" s="3" t="s">
        <v>60</v>
      </c>
    </row>
    <row r="435" spans="4:17" ht="17.649999999999999" x14ac:dyDescent="0.5">
      <c r="D435" s="3" t="s">
        <v>130</v>
      </c>
      <c r="Q435" s="3" t="s">
        <v>130</v>
      </c>
    </row>
    <row r="436" spans="4:17" ht="17.649999999999999" x14ac:dyDescent="0.5">
      <c r="D436" s="3" t="s">
        <v>91</v>
      </c>
      <c r="Q436" s="3" t="s">
        <v>91</v>
      </c>
    </row>
    <row r="437" spans="4:17" ht="17.649999999999999" x14ac:dyDescent="0.5">
      <c r="D437" s="3" t="s">
        <v>53</v>
      </c>
      <c r="Q437" s="3" t="s">
        <v>53</v>
      </c>
    </row>
    <row r="438" spans="4:17" ht="17.649999999999999" x14ac:dyDescent="0.5">
      <c r="D438" s="3" t="s">
        <v>101</v>
      </c>
      <c r="Q438" s="3" t="s">
        <v>101</v>
      </c>
    </row>
    <row r="439" spans="4:17" ht="17.649999999999999" x14ac:dyDescent="0.5">
      <c r="D439" s="3" t="s">
        <v>49</v>
      </c>
      <c r="Q439" s="3" t="s">
        <v>49</v>
      </c>
    </row>
    <row r="440" spans="4:17" ht="17.649999999999999" x14ac:dyDescent="0.5">
      <c r="D440" s="3" t="s">
        <v>85</v>
      </c>
      <c r="Q440" s="3" t="s">
        <v>85</v>
      </c>
    </row>
    <row r="441" spans="4:17" ht="17.649999999999999" x14ac:dyDescent="0.5">
      <c r="D441" s="3" t="s">
        <v>108</v>
      </c>
      <c r="Q441" s="3" t="s">
        <v>108</v>
      </c>
    </row>
    <row r="442" spans="4:17" ht="17.649999999999999" x14ac:dyDescent="0.5">
      <c r="D442" s="3" t="s">
        <v>43</v>
      </c>
      <c r="Q442" s="3" t="s">
        <v>43</v>
      </c>
    </row>
    <row r="443" spans="4:17" ht="17.649999999999999" x14ac:dyDescent="0.5">
      <c r="D443" s="3" t="s">
        <v>72</v>
      </c>
      <c r="Q443" s="3" t="s">
        <v>72</v>
      </c>
    </row>
    <row r="444" spans="4:17" ht="17.649999999999999" x14ac:dyDescent="0.5">
      <c r="D444" s="3" t="s">
        <v>53</v>
      </c>
      <c r="Q444" s="3" t="s">
        <v>53</v>
      </c>
    </row>
    <row r="445" spans="4:17" ht="17.649999999999999" x14ac:dyDescent="0.5">
      <c r="D445" s="3" t="s">
        <v>69</v>
      </c>
      <c r="Q445" s="3" t="s">
        <v>69</v>
      </c>
    </row>
    <row r="446" spans="4:17" ht="17.649999999999999" x14ac:dyDescent="0.5">
      <c r="D446" s="3" t="s">
        <v>73</v>
      </c>
      <c r="Q446" s="3" t="s">
        <v>73</v>
      </c>
    </row>
    <row r="447" spans="4:17" ht="17.649999999999999" x14ac:dyDescent="0.5">
      <c r="D447" s="3" t="s">
        <v>80</v>
      </c>
      <c r="Q447" s="3" t="s">
        <v>80</v>
      </c>
    </row>
    <row r="448" spans="4:17" ht="17.649999999999999" x14ac:dyDescent="0.5">
      <c r="D448" s="3" t="s">
        <v>44</v>
      </c>
      <c r="Q448" s="3" t="s">
        <v>44</v>
      </c>
    </row>
    <row r="449" spans="4:17" ht="17.649999999999999" x14ac:dyDescent="0.5">
      <c r="D449" s="3" t="s">
        <v>131</v>
      </c>
      <c r="Q449" s="3" t="s">
        <v>131</v>
      </c>
    </row>
    <row r="450" spans="4:17" ht="17.649999999999999" x14ac:dyDescent="0.5">
      <c r="D450" s="3" t="s">
        <v>48</v>
      </c>
      <c r="Q450" s="3" t="s">
        <v>48</v>
      </c>
    </row>
    <row r="451" spans="4:17" ht="17.649999999999999" x14ac:dyDescent="0.5">
      <c r="D451" s="3" t="s">
        <v>75</v>
      </c>
      <c r="Q451" s="3" t="s">
        <v>75</v>
      </c>
    </row>
    <row r="452" spans="4:17" ht="17.649999999999999" x14ac:dyDescent="0.5">
      <c r="D452" s="3" t="s">
        <v>50</v>
      </c>
      <c r="Q452" s="3" t="s">
        <v>50</v>
      </c>
    </row>
    <row r="453" spans="4:17" ht="17.649999999999999" x14ac:dyDescent="0.5">
      <c r="D453" s="3" t="s">
        <v>41</v>
      </c>
      <c r="Q453" s="3" t="s">
        <v>41</v>
      </c>
    </row>
    <row r="454" spans="4:17" ht="17.649999999999999" x14ac:dyDescent="0.5">
      <c r="D454" s="3" t="s">
        <v>99</v>
      </c>
      <c r="Q454" s="3" t="s">
        <v>99</v>
      </c>
    </row>
    <row r="455" spans="4:17" ht="17.649999999999999" x14ac:dyDescent="0.5">
      <c r="D455" s="3" t="s">
        <v>87</v>
      </c>
      <c r="Q455" s="3" t="s">
        <v>87</v>
      </c>
    </row>
    <row r="456" spans="4:17" ht="17.649999999999999" x14ac:dyDescent="0.5">
      <c r="D456" s="3" t="s">
        <v>68</v>
      </c>
      <c r="Q456" s="3" t="s">
        <v>68</v>
      </c>
    </row>
    <row r="457" spans="4:17" ht="17.649999999999999" x14ac:dyDescent="0.5">
      <c r="D457" s="3" t="s">
        <v>69</v>
      </c>
      <c r="Q457" s="3" t="s">
        <v>69</v>
      </c>
    </row>
    <row r="458" spans="4:17" ht="17.649999999999999" x14ac:dyDescent="0.5">
      <c r="D458" s="3" t="s">
        <v>86</v>
      </c>
      <c r="Q458" s="3" t="s">
        <v>86</v>
      </c>
    </row>
    <row r="459" spans="4:17" ht="17.649999999999999" x14ac:dyDescent="0.5">
      <c r="D459" s="3" t="s">
        <v>62</v>
      </c>
      <c r="Q459" s="3" t="s">
        <v>62</v>
      </c>
    </row>
    <row r="460" spans="4:17" ht="17.649999999999999" x14ac:dyDescent="0.5">
      <c r="D460" s="3" t="s">
        <v>63</v>
      </c>
      <c r="Q460" s="3" t="s">
        <v>63</v>
      </c>
    </row>
    <row r="461" spans="4:17" ht="17.649999999999999" x14ac:dyDescent="0.5">
      <c r="D461" s="3" t="s">
        <v>66</v>
      </c>
      <c r="Q461" s="3" t="s">
        <v>66</v>
      </c>
    </row>
    <row r="462" spans="4:17" ht="17.649999999999999" x14ac:dyDescent="0.5">
      <c r="D462" s="3" t="s">
        <v>115</v>
      </c>
      <c r="Q462" s="3" t="s">
        <v>115</v>
      </c>
    </row>
    <row r="463" spans="4:17" ht="17.649999999999999" x14ac:dyDescent="0.5">
      <c r="D463" s="3" t="s">
        <v>69</v>
      </c>
      <c r="Q463" s="3" t="s">
        <v>69</v>
      </c>
    </row>
    <row r="464" spans="4:17" ht="17.649999999999999" x14ac:dyDescent="0.5">
      <c r="D464" s="3" t="s">
        <v>54</v>
      </c>
      <c r="Q464" s="3" t="s">
        <v>54</v>
      </c>
    </row>
    <row r="465" spans="4:17" ht="17.649999999999999" x14ac:dyDescent="0.5">
      <c r="D465" s="3" t="s">
        <v>76</v>
      </c>
      <c r="Q465" s="3" t="s">
        <v>76</v>
      </c>
    </row>
    <row r="466" spans="4:17" ht="17.649999999999999" x14ac:dyDescent="0.5">
      <c r="D466" s="3" t="s">
        <v>59</v>
      </c>
      <c r="Q466" s="3" t="s">
        <v>59</v>
      </c>
    </row>
    <row r="467" spans="4:17" ht="17.649999999999999" x14ac:dyDescent="0.5">
      <c r="D467" s="3" t="s">
        <v>78</v>
      </c>
      <c r="Q467" s="3" t="s">
        <v>78</v>
      </c>
    </row>
    <row r="468" spans="4:17" ht="17.649999999999999" x14ac:dyDescent="0.5">
      <c r="D468" s="3" t="s">
        <v>101</v>
      </c>
      <c r="Q468" s="3" t="s">
        <v>101</v>
      </c>
    </row>
    <row r="469" spans="4:17" ht="17.649999999999999" x14ac:dyDescent="0.5">
      <c r="D469" s="3" t="s">
        <v>91</v>
      </c>
      <c r="Q469" s="3" t="s">
        <v>91</v>
      </c>
    </row>
    <row r="470" spans="4:17" ht="17.649999999999999" x14ac:dyDescent="0.5">
      <c r="D470" s="3" t="s">
        <v>101</v>
      </c>
      <c r="Q470" s="3" t="s">
        <v>101</v>
      </c>
    </row>
    <row r="471" spans="4:17" ht="17.649999999999999" x14ac:dyDescent="0.5">
      <c r="D471" s="3" t="s">
        <v>81</v>
      </c>
      <c r="Q471" s="3" t="s">
        <v>81</v>
      </c>
    </row>
    <row r="472" spans="4:17" ht="17.649999999999999" x14ac:dyDescent="0.5">
      <c r="D472" s="3" t="s">
        <v>75</v>
      </c>
      <c r="Q472" s="3" t="s">
        <v>75</v>
      </c>
    </row>
    <row r="473" spans="4:17" ht="17.649999999999999" x14ac:dyDescent="0.5">
      <c r="D473" s="3" t="s">
        <v>68</v>
      </c>
      <c r="Q473" s="3" t="s">
        <v>68</v>
      </c>
    </row>
    <row r="474" spans="4:17" ht="17.649999999999999" x14ac:dyDescent="0.5">
      <c r="D474" s="3" t="s">
        <v>103</v>
      </c>
      <c r="Q474" s="3" t="s">
        <v>103</v>
      </c>
    </row>
    <row r="475" spans="4:17" ht="17.649999999999999" x14ac:dyDescent="0.5">
      <c r="D475" s="3" t="s">
        <v>69</v>
      </c>
      <c r="Q475" s="3" t="s">
        <v>69</v>
      </c>
    </row>
    <row r="476" spans="4:17" ht="17.649999999999999" x14ac:dyDescent="0.5">
      <c r="D476" s="3" t="s">
        <v>88</v>
      </c>
      <c r="Q476" s="3" t="s">
        <v>88</v>
      </c>
    </row>
    <row r="477" spans="4:17" ht="17.649999999999999" x14ac:dyDescent="0.5">
      <c r="D477" s="3" t="s">
        <v>102</v>
      </c>
      <c r="Q477" s="3" t="s">
        <v>102</v>
      </c>
    </row>
    <row r="478" spans="4:17" ht="17.649999999999999" x14ac:dyDescent="0.5">
      <c r="D478" s="3" t="s">
        <v>80</v>
      </c>
      <c r="Q478" s="3" t="s">
        <v>80</v>
      </c>
    </row>
    <row r="479" spans="4:17" ht="17.649999999999999" x14ac:dyDescent="0.5">
      <c r="D479" s="3" t="s">
        <v>77</v>
      </c>
      <c r="Q479" s="3" t="s">
        <v>77</v>
      </c>
    </row>
    <row r="480" spans="4:17" ht="17.649999999999999" x14ac:dyDescent="0.5">
      <c r="D480" s="3" t="s">
        <v>94</v>
      </c>
      <c r="Q480" s="3" t="s">
        <v>94</v>
      </c>
    </row>
    <row r="481" spans="4:17" ht="17.649999999999999" x14ac:dyDescent="0.5">
      <c r="D481" s="3" t="s">
        <v>96</v>
      </c>
      <c r="Q481" s="3" t="s">
        <v>96</v>
      </c>
    </row>
    <row r="482" spans="4:17" ht="17.649999999999999" x14ac:dyDescent="0.5">
      <c r="D482" s="3" t="s">
        <v>51</v>
      </c>
      <c r="Q482" s="3" t="s">
        <v>51</v>
      </c>
    </row>
    <row r="483" spans="4:17" ht="17.649999999999999" x14ac:dyDescent="0.5">
      <c r="D483" s="3" t="s">
        <v>64</v>
      </c>
      <c r="Q483" s="3" t="s">
        <v>64</v>
      </c>
    </row>
    <row r="484" spans="4:17" ht="17.649999999999999" x14ac:dyDescent="0.5">
      <c r="D484" s="3" t="s">
        <v>75</v>
      </c>
      <c r="Q484" s="3" t="s">
        <v>75</v>
      </c>
    </row>
    <row r="485" spans="4:17" ht="17.649999999999999" x14ac:dyDescent="0.5">
      <c r="D485" s="3" t="s">
        <v>94</v>
      </c>
      <c r="Q485" s="3" t="s">
        <v>94</v>
      </c>
    </row>
    <row r="486" spans="4:17" ht="17.649999999999999" x14ac:dyDescent="0.5">
      <c r="D486" s="3" t="s">
        <v>118</v>
      </c>
      <c r="Q486" s="3" t="s">
        <v>118</v>
      </c>
    </row>
    <row r="487" spans="4:17" ht="17.649999999999999" x14ac:dyDescent="0.5">
      <c r="D487" s="3" t="s">
        <v>59</v>
      </c>
      <c r="Q487" s="3" t="s">
        <v>59</v>
      </c>
    </row>
    <row r="488" spans="4:17" ht="17.649999999999999" x14ac:dyDescent="0.5">
      <c r="D488" s="3" t="s">
        <v>94</v>
      </c>
      <c r="Q488" s="3" t="s">
        <v>94</v>
      </c>
    </row>
    <row r="489" spans="4:17" ht="17.649999999999999" x14ac:dyDescent="0.5">
      <c r="D489" s="3" t="s">
        <v>113</v>
      </c>
      <c r="Q489" s="3" t="s">
        <v>113</v>
      </c>
    </row>
    <row r="490" spans="4:17" ht="17.649999999999999" x14ac:dyDescent="0.5">
      <c r="D490" s="3" t="s">
        <v>88</v>
      </c>
      <c r="Q490" s="3" t="s">
        <v>88</v>
      </c>
    </row>
    <row r="491" spans="4:17" ht="17.649999999999999" x14ac:dyDescent="0.5">
      <c r="D491" s="3" t="s">
        <v>55</v>
      </c>
      <c r="Q491" s="3" t="s">
        <v>55</v>
      </c>
    </row>
    <row r="492" spans="4:17" ht="17.649999999999999" x14ac:dyDescent="0.5">
      <c r="D492" s="3" t="s">
        <v>66</v>
      </c>
      <c r="Q492" s="3" t="s">
        <v>66</v>
      </c>
    </row>
    <row r="493" spans="4:17" ht="17.649999999999999" x14ac:dyDescent="0.5">
      <c r="D493" s="3" t="s">
        <v>68</v>
      </c>
      <c r="Q493" s="3" t="s">
        <v>68</v>
      </c>
    </row>
    <row r="494" spans="4:17" ht="17.649999999999999" x14ac:dyDescent="0.5">
      <c r="D494" s="3" t="s">
        <v>56</v>
      </c>
      <c r="Q494" s="3" t="s">
        <v>56</v>
      </c>
    </row>
    <row r="495" spans="4:17" ht="17.649999999999999" x14ac:dyDescent="0.5">
      <c r="D495" s="3" t="s">
        <v>78</v>
      </c>
      <c r="Q495" s="3" t="s">
        <v>78</v>
      </c>
    </row>
    <row r="496" spans="4:17" ht="17.649999999999999" x14ac:dyDescent="0.5">
      <c r="D496" s="3" t="s">
        <v>85</v>
      </c>
      <c r="Q496" s="3" t="s">
        <v>85</v>
      </c>
    </row>
    <row r="497" spans="4:17" ht="17.649999999999999" x14ac:dyDescent="0.5">
      <c r="D497" s="3" t="s">
        <v>43</v>
      </c>
      <c r="Q497" s="3" t="s">
        <v>43</v>
      </c>
    </row>
    <row r="498" spans="4:17" ht="17.649999999999999" x14ac:dyDescent="0.5">
      <c r="D498" s="3" t="s">
        <v>100</v>
      </c>
      <c r="Q498" s="3" t="s">
        <v>100</v>
      </c>
    </row>
    <row r="499" spans="4:17" ht="17.649999999999999" x14ac:dyDescent="0.5">
      <c r="D499" s="3" t="s">
        <v>126</v>
      </c>
      <c r="Q499" s="3" t="s">
        <v>126</v>
      </c>
    </row>
    <row r="500" spans="4:17" ht="17.649999999999999" x14ac:dyDescent="0.5">
      <c r="D500" s="3" t="s">
        <v>75</v>
      </c>
      <c r="Q500" s="3" t="s">
        <v>75</v>
      </c>
    </row>
    <row r="501" spans="4:17" ht="17.649999999999999" x14ac:dyDescent="0.5">
      <c r="D501" s="3" t="s">
        <v>74</v>
      </c>
      <c r="Q501" s="3" t="s">
        <v>74</v>
      </c>
    </row>
    <row r="502" spans="4:17" ht="17.649999999999999" x14ac:dyDescent="0.5">
      <c r="D502" s="3" t="s">
        <v>102</v>
      </c>
      <c r="Q502" s="3" t="s">
        <v>102</v>
      </c>
    </row>
    <row r="503" spans="4:17" ht="17.649999999999999" x14ac:dyDescent="0.5">
      <c r="D503" s="3" t="s">
        <v>87</v>
      </c>
      <c r="Q503" s="3" t="s">
        <v>87</v>
      </c>
    </row>
    <row r="504" spans="4:17" ht="17.649999999999999" x14ac:dyDescent="0.5">
      <c r="D504" s="3" t="s">
        <v>88</v>
      </c>
      <c r="Q504" s="3" t="s">
        <v>88</v>
      </c>
    </row>
    <row r="505" spans="4:17" ht="17.649999999999999" x14ac:dyDescent="0.5">
      <c r="D505" s="3" t="s">
        <v>63</v>
      </c>
      <c r="Q505" s="3" t="s">
        <v>63</v>
      </c>
    </row>
    <row r="506" spans="4:17" ht="17.649999999999999" x14ac:dyDescent="0.5">
      <c r="D506" s="3" t="s">
        <v>127</v>
      </c>
      <c r="Q506" s="3" t="s">
        <v>127</v>
      </c>
    </row>
    <row r="507" spans="4:17" ht="17.649999999999999" x14ac:dyDescent="0.5">
      <c r="D507" s="3" t="s">
        <v>64</v>
      </c>
      <c r="Q507" s="3" t="s">
        <v>64</v>
      </c>
    </row>
    <row r="508" spans="4:17" ht="17.649999999999999" x14ac:dyDescent="0.5">
      <c r="D508" s="3" t="s">
        <v>88</v>
      </c>
      <c r="Q508" s="3" t="s">
        <v>88</v>
      </c>
    </row>
    <row r="509" spans="4:17" ht="17.649999999999999" x14ac:dyDescent="0.5">
      <c r="D509" s="3" t="s">
        <v>57</v>
      </c>
      <c r="Q509" s="3" t="s">
        <v>57</v>
      </c>
    </row>
    <row r="510" spans="4:17" ht="17.649999999999999" x14ac:dyDescent="0.5">
      <c r="D510" s="3" t="s">
        <v>107</v>
      </c>
      <c r="Q510" s="3" t="s">
        <v>107</v>
      </c>
    </row>
    <row r="511" spans="4:17" ht="17.649999999999999" x14ac:dyDescent="0.5">
      <c r="D511" s="3" t="s">
        <v>130</v>
      </c>
      <c r="Q511" s="3" t="s">
        <v>130</v>
      </c>
    </row>
    <row r="512" spans="4:17" ht="17.649999999999999" x14ac:dyDescent="0.5">
      <c r="D512" s="3" t="s">
        <v>106</v>
      </c>
      <c r="Q512" s="3" t="s">
        <v>106</v>
      </c>
    </row>
    <row r="513" spans="4:17" ht="17.649999999999999" x14ac:dyDescent="0.5">
      <c r="D513" s="3" t="s">
        <v>117</v>
      </c>
      <c r="Q513" s="3" t="s">
        <v>117</v>
      </c>
    </row>
    <row r="514" spans="4:17" ht="17.649999999999999" x14ac:dyDescent="0.5">
      <c r="D514" s="3" t="s">
        <v>84</v>
      </c>
      <c r="Q514" s="3" t="s">
        <v>84</v>
      </c>
    </row>
    <row r="515" spans="4:17" ht="17.649999999999999" x14ac:dyDescent="0.5">
      <c r="D515" s="3" t="s">
        <v>112</v>
      </c>
      <c r="Q515" s="3" t="s">
        <v>112</v>
      </c>
    </row>
    <row r="516" spans="4:17" ht="17.649999999999999" x14ac:dyDescent="0.5">
      <c r="D516" s="3" t="s">
        <v>45</v>
      </c>
      <c r="Q516" s="3" t="s">
        <v>45</v>
      </c>
    </row>
    <row r="517" spans="4:17" ht="17.649999999999999" x14ac:dyDescent="0.5">
      <c r="D517" s="3" t="s">
        <v>117</v>
      </c>
      <c r="Q517" s="3" t="s">
        <v>117</v>
      </c>
    </row>
    <row r="518" spans="4:17" ht="17.649999999999999" x14ac:dyDescent="0.5">
      <c r="D518" s="3" t="s">
        <v>90</v>
      </c>
      <c r="Q518" s="3" t="s">
        <v>90</v>
      </c>
    </row>
    <row r="519" spans="4:17" ht="17.649999999999999" x14ac:dyDescent="0.5">
      <c r="D519" s="3" t="s">
        <v>98</v>
      </c>
      <c r="Q519" s="3" t="s">
        <v>98</v>
      </c>
    </row>
    <row r="520" spans="4:17" ht="17.649999999999999" x14ac:dyDescent="0.5">
      <c r="D520" s="3" t="s">
        <v>61</v>
      </c>
      <c r="Q520" s="3" t="s">
        <v>61</v>
      </c>
    </row>
    <row r="521" spans="4:17" ht="17.649999999999999" x14ac:dyDescent="0.5">
      <c r="D521" s="3" t="s">
        <v>91</v>
      </c>
      <c r="Q521" s="3" t="s">
        <v>91</v>
      </c>
    </row>
    <row r="522" spans="4:17" ht="17.649999999999999" x14ac:dyDescent="0.5">
      <c r="D522" s="3" t="s">
        <v>64</v>
      </c>
      <c r="Q522" s="3" t="s">
        <v>64</v>
      </c>
    </row>
    <row r="523" spans="4:17" ht="17.649999999999999" x14ac:dyDescent="0.5">
      <c r="D523" s="3" t="s">
        <v>134</v>
      </c>
      <c r="Q523" s="3" t="s">
        <v>134</v>
      </c>
    </row>
    <row r="524" spans="4:17" ht="17.649999999999999" x14ac:dyDescent="0.5">
      <c r="D524" s="3" t="s">
        <v>104</v>
      </c>
      <c r="Q524" s="3" t="s">
        <v>104</v>
      </c>
    </row>
    <row r="525" spans="4:17" ht="17.649999999999999" x14ac:dyDescent="0.5">
      <c r="D525" s="3" t="s">
        <v>77</v>
      </c>
      <c r="Q525" s="3" t="s">
        <v>77</v>
      </c>
    </row>
    <row r="526" spans="4:17" ht="17.649999999999999" x14ac:dyDescent="0.5">
      <c r="D526" s="3" t="s">
        <v>81</v>
      </c>
      <c r="Q526" s="3" t="s">
        <v>81</v>
      </c>
    </row>
    <row r="527" spans="4:17" ht="17.649999999999999" x14ac:dyDescent="0.5">
      <c r="D527" s="3" t="s">
        <v>130</v>
      </c>
      <c r="Q527" s="3" t="s">
        <v>130</v>
      </c>
    </row>
    <row r="528" spans="4:17" ht="17.649999999999999" x14ac:dyDescent="0.5">
      <c r="D528" s="3" t="s">
        <v>111</v>
      </c>
      <c r="Q528" s="3" t="s">
        <v>111</v>
      </c>
    </row>
    <row r="529" spans="4:17" ht="17.649999999999999" x14ac:dyDescent="0.5">
      <c r="D529" s="3" t="s">
        <v>65</v>
      </c>
      <c r="Q529" s="3" t="s">
        <v>65</v>
      </c>
    </row>
    <row r="530" spans="4:17" ht="17.649999999999999" x14ac:dyDescent="0.5">
      <c r="D530" s="3" t="s">
        <v>41</v>
      </c>
      <c r="Q530" s="3" t="s">
        <v>41</v>
      </c>
    </row>
    <row r="531" spans="4:17" ht="17.649999999999999" x14ac:dyDescent="0.5">
      <c r="D531" s="3" t="s">
        <v>91</v>
      </c>
      <c r="Q531" s="3" t="s">
        <v>91</v>
      </c>
    </row>
    <row r="532" spans="4:17" ht="17.649999999999999" x14ac:dyDescent="0.5">
      <c r="D532" s="3" t="s">
        <v>122</v>
      </c>
      <c r="Q532" s="3" t="s">
        <v>122</v>
      </c>
    </row>
    <row r="533" spans="4:17" ht="17.649999999999999" x14ac:dyDescent="0.5">
      <c r="D533" s="3" t="s">
        <v>91</v>
      </c>
      <c r="Q533" s="3" t="s">
        <v>91</v>
      </c>
    </row>
    <row r="534" spans="4:17" ht="17.649999999999999" x14ac:dyDescent="0.5">
      <c r="D534" s="3" t="s">
        <v>44</v>
      </c>
      <c r="Q534" s="3" t="s">
        <v>44</v>
      </c>
    </row>
    <row r="535" spans="4:17" ht="17.649999999999999" x14ac:dyDescent="0.5">
      <c r="D535" s="3" t="s">
        <v>71</v>
      </c>
      <c r="Q535" s="3" t="s">
        <v>71</v>
      </c>
    </row>
    <row r="536" spans="4:17" ht="17.649999999999999" x14ac:dyDescent="0.5">
      <c r="D536" s="3" t="s">
        <v>111</v>
      </c>
      <c r="Q536" s="3" t="s">
        <v>111</v>
      </c>
    </row>
    <row r="537" spans="4:17" ht="17.649999999999999" x14ac:dyDescent="0.5">
      <c r="D537" s="3" t="s">
        <v>59</v>
      </c>
      <c r="Q537" s="3" t="s">
        <v>59</v>
      </c>
    </row>
    <row r="538" spans="4:17" ht="17.649999999999999" x14ac:dyDescent="0.5">
      <c r="D538" s="3" t="s">
        <v>104</v>
      </c>
      <c r="Q538" s="3" t="s">
        <v>104</v>
      </c>
    </row>
    <row r="539" spans="4:17" ht="17.649999999999999" x14ac:dyDescent="0.5">
      <c r="D539" s="3" t="s">
        <v>94</v>
      </c>
      <c r="Q539" s="3" t="s">
        <v>94</v>
      </c>
    </row>
    <row r="540" spans="4:17" ht="17.649999999999999" x14ac:dyDescent="0.5">
      <c r="D540" s="3" t="s">
        <v>100</v>
      </c>
      <c r="Q540" s="3" t="s">
        <v>100</v>
      </c>
    </row>
    <row r="541" spans="4:17" ht="17.649999999999999" x14ac:dyDescent="0.5">
      <c r="D541" s="3" t="s">
        <v>87</v>
      </c>
      <c r="Q541" s="3" t="s">
        <v>87</v>
      </c>
    </row>
    <row r="542" spans="4:17" ht="17.649999999999999" x14ac:dyDescent="0.5">
      <c r="D542" s="3" t="s">
        <v>46</v>
      </c>
      <c r="Q542" s="3" t="s">
        <v>46</v>
      </c>
    </row>
    <row r="543" spans="4:17" ht="17.649999999999999" x14ac:dyDescent="0.5">
      <c r="D543" s="3" t="s">
        <v>56</v>
      </c>
      <c r="Q543" s="3" t="s">
        <v>56</v>
      </c>
    </row>
    <row r="544" spans="4:17" ht="17.649999999999999" x14ac:dyDescent="0.5">
      <c r="D544" s="3" t="s">
        <v>100</v>
      </c>
      <c r="Q544" s="3" t="s">
        <v>100</v>
      </c>
    </row>
    <row r="545" spans="4:17" ht="17.649999999999999" x14ac:dyDescent="0.5">
      <c r="D545" s="3" t="s">
        <v>56</v>
      </c>
      <c r="Q545" s="3" t="s">
        <v>56</v>
      </c>
    </row>
    <row r="546" spans="4:17" ht="17.649999999999999" x14ac:dyDescent="0.5">
      <c r="D546" s="3" t="s">
        <v>63</v>
      </c>
      <c r="Q546" s="3" t="s">
        <v>63</v>
      </c>
    </row>
    <row r="547" spans="4:17" ht="17.649999999999999" x14ac:dyDescent="0.5">
      <c r="D547" s="3" t="s">
        <v>100</v>
      </c>
      <c r="Q547" s="3" t="s">
        <v>100</v>
      </c>
    </row>
    <row r="548" spans="4:17" ht="17.649999999999999" x14ac:dyDescent="0.5">
      <c r="D548" s="3" t="s">
        <v>124</v>
      </c>
      <c r="Q548" s="3" t="s">
        <v>124</v>
      </c>
    </row>
    <row r="549" spans="4:17" ht="17.649999999999999" x14ac:dyDescent="0.5">
      <c r="D549" s="3" t="s">
        <v>80</v>
      </c>
      <c r="Q549" s="3" t="s">
        <v>80</v>
      </c>
    </row>
    <row r="550" spans="4:17" ht="17.649999999999999" x14ac:dyDescent="0.5">
      <c r="D550" s="3" t="s">
        <v>41</v>
      </c>
      <c r="Q550" s="3" t="s">
        <v>41</v>
      </c>
    </row>
    <row r="551" spans="4:17" ht="17.649999999999999" x14ac:dyDescent="0.5">
      <c r="D551" s="3" t="s">
        <v>99</v>
      </c>
      <c r="Q551" s="3" t="s">
        <v>99</v>
      </c>
    </row>
    <row r="552" spans="4:17" ht="17.649999999999999" x14ac:dyDescent="0.5">
      <c r="D552" s="3" t="s">
        <v>69</v>
      </c>
      <c r="Q552" s="3" t="s">
        <v>69</v>
      </c>
    </row>
    <row r="553" spans="4:17" ht="17.649999999999999" x14ac:dyDescent="0.5">
      <c r="D553" s="3" t="s">
        <v>65</v>
      </c>
      <c r="Q553" s="3" t="s">
        <v>65</v>
      </c>
    </row>
    <row r="554" spans="4:17" ht="17.649999999999999" x14ac:dyDescent="0.5">
      <c r="D554" s="3" t="s">
        <v>41</v>
      </c>
      <c r="Q554" s="3" t="s">
        <v>41</v>
      </c>
    </row>
    <row r="555" spans="4:17" ht="17.649999999999999" x14ac:dyDescent="0.5">
      <c r="D555" s="3" t="s">
        <v>133</v>
      </c>
      <c r="Q555" s="3" t="s">
        <v>133</v>
      </c>
    </row>
    <row r="556" spans="4:17" ht="17.649999999999999" x14ac:dyDescent="0.5">
      <c r="D556" s="3" t="s">
        <v>96</v>
      </c>
      <c r="Q556" s="3" t="s">
        <v>96</v>
      </c>
    </row>
    <row r="557" spans="4:17" ht="17.649999999999999" x14ac:dyDescent="0.5">
      <c r="D557" s="3" t="s">
        <v>43</v>
      </c>
      <c r="Q557" s="3" t="s">
        <v>43</v>
      </c>
    </row>
    <row r="558" spans="4:17" ht="17.649999999999999" x14ac:dyDescent="0.5">
      <c r="D558" s="3" t="s">
        <v>66</v>
      </c>
      <c r="Q558" s="3" t="s">
        <v>66</v>
      </c>
    </row>
    <row r="559" spans="4:17" ht="17.649999999999999" x14ac:dyDescent="0.5">
      <c r="D559" s="3" t="s">
        <v>110</v>
      </c>
      <c r="Q559" s="3" t="s">
        <v>110</v>
      </c>
    </row>
    <row r="560" spans="4:17" ht="17.649999999999999" x14ac:dyDescent="0.5">
      <c r="D560" s="3" t="s">
        <v>105</v>
      </c>
      <c r="Q560" s="3" t="s">
        <v>105</v>
      </c>
    </row>
    <row r="561" spans="4:17" ht="17.649999999999999" x14ac:dyDescent="0.5">
      <c r="D561" s="3" t="s">
        <v>53</v>
      </c>
      <c r="Q561" s="3" t="s">
        <v>53</v>
      </c>
    </row>
    <row r="562" spans="4:17" ht="17.649999999999999" x14ac:dyDescent="0.5">
      <c r="D562" s="3" t="s">
        <v>84</v>
      </c>
      <c r="Q562" s="3" t="s">
        <v>84</v>
      </c>
    </row>
    <row r="563" spans="4:17" ht="17.649999999999999" x14ac:dyDescent="0.5">
      <c r="D563" s="3" t="s">
        <v>55</v>
      </c>
      <c r="Q563" s="3" t="s">
        <v>55</v>
      </c>
    </row>
    <row r="564" spans="4:17" ht="17.649999999999999" x14ac:dyDescent="0.5">
      <c r="D564" s="3" t="s">
        <v>105</v>
      </c>
      <c r="Q564" s="3" t="s">
        <v>105</v>
      </c>
    </row>
    <row r="565" spans="4:17" ht="17.649999999999999" x14ac:dyDescent="0.5">
      <c r="D565" s="3" t="s">
        <v>117</v>
      </c>
      <c r="Q565" s="3" t="s">
        <v>117</v>
      </c>
    </row>
    <row r="566" spans="4:17" ht="17.649999999999999" x14ac:dyDescent="0.5">
      <c r="D566" s="3" t="s">
        <v>101</v>
      </c>
      <c r="Q566" s="3" t="s">
        <v>101</v>
      </c>
    </row>
    <row r="567" spans="4:17" ht="17.649999999999999" x14ac:dyDescent="0.5">
      <c r="D567" s="3" t="s">
        <v>85</v>
      </c>
      <c r="Q567" s="3" t="s">
        <v>85</v>
      </c>
    </row>
    <row r="568" spans="4:17" ht="17.649999999999999" x14ac:dyDescent="0.5">
      <c r="D568" s="3" t="s">
        <v>49</v>
      </c>
      <c r="Q568" s="3" t="s">
        <v>49</v>
      </c>
    </row>
    <row r="569" spans="4:17" ht="17.649999999999999" x14ac:dyDescent="0.5">
      <c r="D569" s="3" t="s">
        <v>53</v>
      </c>
      <c r="Q569" s="3" t="s">
        <v>53</v>
      </c>
    </row>
    <row r="570" spans="4:17" ht="17.649999999999999" x14ac:dyDescent="0.5">
      <c r="D570" s="3" t="s">
        <v>41</v>
      </c>
      <c r="Q570" s="3" t="s">
        <v>41</v>
      </c>
    </row>
    <row r="571" spans="4:17" ht="17.649999999999999" x14ac:dyDescent="0.5">
      <c r="D571" s="3" t="s">
        <v>66</v>
      </c>
      <c r="Q571" s="3" t="s">
        <v>66</v>
      </c>
    </row>
    <row r="572" spans="4:17" ht="17.649999999999999" x14ac:dyDescent="0.5">
      <c r="D572" s="3" t="s">
        <v>83</v>
      </c>
      <c r="Q572" s="3" t="s">
        <v>83</v>
      </c>
    </row>
    <row r="573" spans="4:17" ht="17.649999999999999" x14ac:dyDescent="0.5">
      <c r="D573" s="3" t="s">
        <v>56</v>
      </c>
      <c r="Q573" s="3" t="s">
        <v>56</v>
      </c>
    </row>
    <row r="574" spans="4:17" ht="17.649999999999999" x14ac:dyDescent="0.5">
      <c r="D574" s="3" t="s">
        <v>115</v>
      </c>
      <c r="Q574" s="3" t="s">
        <v>115</v>
      </c>
    </row>
    <row r="575" spans="4:17" ht="17.649999999999999" x14ac:dyDescent="0.5">
      <c r="D575" s="3" t="s">
        <v>120</v>
      </c>
      <c r="Q575" s="3" t="s">
        <v>120</v>
      </c>
    </row>
    <row r="576" spans="4:17" ht="17.649999999999999" x14ac:dyDescent="0.5">
      <c r="D576" s="3" t="s">
        <v>53</v>
      </c>
      <c r="Q576" s="3" t="s">
        <v>53</v>
      </c>
    </row>
    <row r="577" spans="4:17" ht="17.649999999999999" x14ac:dyDescent="0.5">
      <c r="D577" s="3" t="s">
        <v>52</v>
      </c>
      <c r="Q577" s="3" t="s">
        <v>52</v>
      </c>
    </row>
    <row r="578" spans="4:17" ht="17.649999999999999" x14ac:dyDescent="0.5">
      <c r="D578" s="3" t="s">
        <v>52</v>
      </c>
      <c r="Q578" s="3" t="s">
        <v>52</v>
      </c>
    </row>
    <row r="579" spans="4:17" ht="17.649999999999999" x14ac:dyDescent="0.5">
      <c r="D579" s="3" t="s">
        <v>49</v>
      </c>
      <c r="Q579" s="3" t="s">
        <v>49</v>
      </c>
    </row>
    <row r="580" spans="4:17" ht="17.649999999999999" x14ac:dyDescent="0.5">
      <c r="D580" s="3" t="s">
        <v>63</v>
      </c>
      <c r="Q580" s="3" t="s">
        <v>63</v>
      </c>
    </row>
    <row r="581" spans="4:17" ht="17.649999999999999" x14ac:dyDescent="0.5">
      <c r="D581" s="3" t="s">
        <v>100</v>
      </c>
      <c r="Q581" s="3" t="s">
        <v>100</v>
      </c>
    </row>
    <row r="582" spans="4:17" ht="17.649999999999999" x14ac:dyDescent="0.5">
      <c r="D582" s="3" t="s">
        <v>118</v>
      </c>
      <c r="Q582" s="3" t="s">
        <v>118</v>
      </c>
    </row>
    <row r="583" spans="4:17" ht="17.649999999999999" x14ac:dyDescent="0.5">
      <c r="D583" s="3" t="s">
        <v>128</v>
      </c>
      <c r="Q583" s="3" t="s">
        <v>128</v>
      </c>
    </row>
    <row r="584" spans="4:17" ht="17.649999999999999" x14ac:dyDescent="0.5">
      <c r="D584" s="3" t="s">
        <v>59</v>
      </c>
      <c r="Q584" s="3" t="s">
        <v>59</v>
      </c>
    </row>
    <row r="585" spans="4:17" ht="17.649999999999999" x14ac:dyDescent="0.5">
      <c r="D585" s="3" t="s">
        <v>43</v>
      </c>
      <c r="Q585" s="3" t="s">
        <v>43</v>
      </c>
    </row>
    <row r="586" spans="4:17" ht="17.649999999999999" x14ac:dyDescent="0.5">
      <c r="D586" s="3" t="s">
        <v>83</v>
      </c>
      <c r="Q586" s="3" t="s">
        <v>83</v>
      </c>
    </row>
    <row r="587" spans="4:17" ht="17.649999999999999" x14ac:dyDescent="0.5">
      <c r="D587" s="3" t="s">
        <v>90</v>
      </c>
      <c r="Q587" s="3" t="s">
        <v>90</v>
      </c>
    </row>
    <row r="588" spans="4:17" ht="17.649999999999999" x14ac:dyDescent="0.5">
      <c r="D588" s="3" t="s">
        <v>112</v>
      </c>
      <c r="Q588" s="3" t="s">
        <v>112</v>
      </c>
    </row>
    <row r="589" spans="4:17" ht="17.649999999999999" x14ac:dyDescent="0.5">
      <c r="D589" s="3" t="s">
        <v>85</v>
      </c>
      <c r="Q589" s="3" t="s">
        <v>85</v>
      </c>
    </row>
    <row r="590" spans="4:17" ht="17.649999999999999" x14ac:dyDescent="0.5">
      <c r="D590" s="3" t="s">
        <v>51</v>
      </c>
      <c r="Q590" s="3" t="s">
        <v>51</v>
      </c>
    </row>
    <row r="591" spans="4:17" ht="17.649999999999999" x14ac:dyDescent="0.5">
      <c r="D591" s="3" t="s">
        <v>89</v>
      </c>
      <c r="Q591" s="3" t="s">
        <v>89</v>
      </c>
    </row>
    <row r="592" spans="4:17" ht="17.649999999999999" x14ac:dyDescent="0.5">
      <c r="D592" s="3" t="s">
        <v>41</v>
      </c>
      <c r="Q592" s="3" t="s">
        <v>41</v>
      </c>
    </row>
    <row r="593" spans="4:17" ht="17.649999999999999" x14ac:dyDescent="0.5">
      <c r="D593" s="3" t="s">
        <v>87</v>
      </c>
      <c r="Q593" s="3" t="s">
        <v>87</v>
      </c>
    </row>
    <row r="594" spans="4:17" ht="17.649999999999999" x14ac:dyDescent="0.5">
      <c r="D594" s="3" t="s">
        <v>133</v>
      </c>
      <c r="Q594" s="3" t="s">
        <v>133</v>
      </c>
    </row>
    <row r="595" spans="4:17" ht="17.649999999999999" x14ac:dyDescent="0.5">
      <c r="D595" s="3" t="s">
        <v>112</v>
      </c>
      <c r="Q595" s="3" t="s">
        <v>112</v>
      </c>
    </row>
    <row r="596" spans="4:17" ht="17.649999999999999" x14ac:dyDescent="0.5">
      <c r="D596" s="3" t="s">
        <v>82</v>
      </c>
      <c r="Q596" s="3" t="s">
        <v>82</v>
      </c>
    </row>
    <row r="597" spans="4:17" ht="17.649999999999999" x14ac:dyDescent="0.5">
      <c r="D597" s="3" t="s">
        <v>53</v>
      </c>
      <c r="Q597" s="3" t="s">
        <v>53</v>
      </c>
    </row>
    <row r="598" spans="4:17" ht="17.649999999999999" x14ac:dyDescent="0.5">
      <c r="D598" s="3" t="s">
        <v>77</v>
      </c>
      <c r="Q598" s="3" t="s">
        <v>77</v>
      </c>
    </row>
    <row r="599" spans="4:17" ht="17.649999999999999" x14ac:dyDescent="0.5">
      <c r="D599" s="3" t="s">
        <v>74</v>
      </c>
      <c r="Q599" s="3" t="s">
        <v>74</v>
      </c>
    </row>
    <row r="600" spans="4:17" ht="17.649999999999999" x14ac:dyDescent="0.5">
      <c r="D600" s="3" t="s">
        <v>68</v>
      </c>
      <c r="Q600" s="3" t="s">
        <v>68</v>
      </c>
    </row>
    <row r="601" spans="4:17" ht="17.649999999999999" x14ac:dyDescent="0.5">
      <c r="D601" s="3" t="s">
        <v>84</v>
      </c>
      <c r="Q601" s="3" t="s">
        <v>84</v>
      </c>
    </row>
    <row r="602" spans="4:17" ht="17.649999999999999" x14ac:dyDescent="0.5">
      <c r="D602" s="3" t="s">
        <v>85</v>
      </c>
      <c r="Q602" s="3" t="s">
        <v>85</v>
      </c>
    </row>
    <row r="603" spans="4:17" ht="17.649999999999999" x14ac:dyDescent="0.5">
      <c r="D603" s="3" t="s">
        <v>101</v>
      </c>
      <c r="Q603" s="3" t="s">
        <v>101</v>
      </c>
    </row>
    <row r="604" spans="4:17" ht="17.649999999999999" x14ac:dyDescent="0.5">
      <c r="D604" s="3" t="s">
        <v>47</v>
      </c>
      <c r="Q604" s="3" t="s">
        <v>47</v>
      </c>
    </row>
    <row r="605" spans="4:17" ht="17.649999999999999" x14ac:dyDescent="0.5">
      <c r="D605" s="3" t="s">
        <v>41</v>
      </c>
      <c r="Q605" s="3" t="s">
        <v>41</v>
      </c>
    </row>
    <row r="606" spans="4:17" ht="17.649999999999999" x14ac:dyDescent="0.5">
      <c r="D606" s="3" t="s">
        <v>98</v>
      </c>
      <c r="Q606" s="3" t="s">
        <v>98</v>
      </c>
    </row>
    <row r="607" spans="4:17" ht="17.649999999999999" x14ac:dyDescent="0.5">
      <c r="D607" s="3" t="s">
        <v>66</v>
      </c>
      <c r="Q607" s="3" t="s">
        <v>66</v>
      </c>
    </row>
    <row r="608" spans="4:17" ht="17.649999999999999" x14ac:dyDescent="0.5">
      <c r="D608" s="3" t="s">
        <v>46</v>
      </c>
      <c r="Q608" s="3" t="s">
        <v>46</v>
      </c>
    </row>
    <row r="609" spans="4:17" ht="17.649999999999999" x14ac:dyDescent="0.5">
      <c r="D609" s="3" t="s">
        <v>49</v>
      </c>
      <c r="Q609" s="3" t="s">
        <v>49</v>
      </c>
    </row>
    <row r="610" spans="4:17" ht="17.649999999999999" x14ac:dyDescent="0.5">
      <c r="D610" s="3" t="s">
        <v>128</v>
      </c>
      <c r="Q610" s="3" t="s">
        <v>128</v>
      </c>
    </row>
    <row r="611" spans="4:17" ht="17.649999999999999" x14ac:dyDescent="0.5">
      <c r="D611" s="3" t="s">
        <v>115</v>
      </c>
      <c r="Q611" s="3" t="s">
        <v>115</v>
      </c>
    </row>
    <row r="612" spans="4:17" ht="17.649999999999999" x14ac:dyDescent="0.5">
      <c r="D612" s="3" t="s">
        <v>78</v>
      </c>
      <c r="Q612" s="3" t="s">
        <v>78</v>
      </c>
    </row>
    <row r="613" spans="4:17" ht="17.649999999999999" x14ac:dyDescent="0.5">
      <c r="D613" s="3" t="s">
        <v>105</v>
      </c>
      <c r="Q613" s="3" t="s">
        <v>105</v>
      </c>
    </row>
    <row r="614" spans="4:17" ht="17.649999999999999" x14ac:dyDescent="0.5">
      <c r="D614" s="3" t="s">
        <v>67</v>
      </c>
      <c r="Q614" s="3" t="s">
        <v>67</v>
      </c>
    </row>
    <row r="615" spans="4:17" ht="17.649999999999999" x14ac:dyDescent="0.5">
      <c r="D615" s="3" t="s">
        <v>43</v>
      </c>
      <c r="Q615" s="3" t="s">
        <v>43</v>
      </c>
    </row>
    <row r="616" spans="4:17" ht="17.649999999999999" x14ac:dyDescent="0.5">
      <c r="D616" s="3" t="s">
        <v>115</v>
      </c>
      <c r="Q616" s="3" t="s">
        <v>115</v>
      </c>
    </row>
    <row r="617" spans="4:17" ht="17.649999999999999" x14ac:dyDescent="0.5">
      <c r="D617" s="3" t="s">
        <v>103</v>
      </c>
      <c r="Q617" s="3" t="s">
        <v>103</v>
      </c>
    </row>
    <row r="618" spans="4:17" ht="17.649999999999999" x14ac:dyDescent="0.5">
      <c r="D618" s="3" t="s">
        <v>114</v>
      </c>
      <c r="Q618" s="3" t="s">
        <v>114</v>
      </c>
    </row>
    <row r="619" spans="4:17" ht="17.649999999999999" x14ac:dyDescent="0.5">
      <c r="D619" s="3" t="s">
        <v>111</v>
      </c>
      <c r="Q619" s="3" t="s">
        <v>111</v>
      </c>
    </row>
    <row r="620" spans="4:17" ht="17.649999999999999" x14ac:dyDescent="0.5">
      <c r="D620" s="3" t="s">
        <v>49</v>
      </c>
      <c r="Q620" s="3" t="s">
        <v>49</v>
      </c>
    </row>
    <row r="621" spans="4:17" ht="17.649999999999999" x14ac:dyDescent="0.5">
      <c r="D621" s="3" t="s">
        <v>115</v>
      </c>
      <c r="Q621" s="3" t="s">
        <v>115</v>
      </c>
    </row>
    <row r="622" spans="4:17" ht="17.649999999999999" x14ac:dyDescent="0.5">
      <c r="D622" s="3" t="s">
        <v>105</v>
      </c>
      <c r="Q622" s="3" t="s">
        <v>105</v>
      </c>
    </row>
    <row r="623" spans="4:17" ht="17.649999999999999" x14ac:dyDescent="0.5">
      <c r="D623" s="3" t="s">
        <v>41</v>
      </c>
      <c r="Q623" s="3" t="s">
        <v>41</v>
      </c>
    </row>
    <row r="624" spans="4:17" ht="17.649999999999999" x14ac:dyDescent="0.5">
      <c r="D624" s="3" t="s">
        <v>77</v>
      </c>
      <c r="Q624" s="3" t="s">
        <v>77</v>
      </c>
    </row>
    <row r="625" spans="4:17" ht="17.649999999999999" x14ac:dyDescent="0.5">
      <c r="D625" s="3" t="s">
        <v>90</v>
      </c>
      <c r="Q625" s="3" t="s">
        <v>90</v>
      </c>
    </row>
    <row r="626" spans="4:17" ht="17.649999999999999" x14ac:dyDescent="0.5">
      <c r="D626" s="3" t="s">
        <v>97</v>
      </c>
      <c r="Q626" s="3" t="s">
        <v>97</v>
      </c>
    </row>
    <row r="627" spans="4:17" ht="17.649999999999999" x14ac:dyDescent="0.5">
      <c r="D627" s="3" t="s">
        <v>84</v>
      </c>
      <c r="Q627" s="3" t="s">
        <v>84</v>
      </c>
    </row>
    <row r="628" spans="4:17" ht="17.649999999999999" x14ac:dyDescent="0.5">
      <c r="D628" s="3" t="s">
        <v>108</v>
      </c>
      <c r="Q628" s="3" t="s">
        <v>108</v>
      </c>
    </row>
    <row r="629" spans="4:17" ht="17.649999999999999" x14ac:dyDescent="0.5">
      <c r="D629" s="3" t="s">
        <v>73</v>
      </c>
      <c r="Q629" s="3" t="s">
        <v>73</v>
      </c>
    </row>
    <row r="630" spans="4:17" ht="17.649999999999999" x14ac:dyDescent="0.5">
      <c r="D630" s="3" t="s">
        <v>56</v>
      </c>
      <c r="Q630" s="3" t="s">
        <v>56</v>
      </c>
    </row>
    <row r="631" spans="4:17" ht="17.649999999999999" x14ac:dyDescent="0.5">
      <c r="D631" s="3" t="s">
        <v>112</v>
      </c>
      <c r="Q631" s="3" t="s">
        <v>112</v>
      </c>
    </row>
    <row r="632" spans="4:17" ht="17.649999999999999" x14ac:dyDescent="0.5">
      <c r="D632" s="3" t="s">
        <v>50</v>
      </c>
      <c r="Q632" s="3" t="s">
        <v>50</v>
      </c>
    </row>
    <row r="633" spans="4:17" ht="17.649999999999999" x14ac:dyDescent="0.5">
      <c r="D633" s="3" t="s">
        <v>124</v>
      </c>
      <c r="Q633" s="3" t="s">
        <v>124</v>
      </c>
    </row>
    <row r="634" spans="4:17" ht="17.649999999999999" x14ac:dyDescent="0.5">
      <c r="D634" s="3" t="s">
        <v>45</v>
      </c>
      <c r="Q634" s="3" t="s">
        <v>45</v>
      </c>
    </row>
    <row r="635" spans="4:17" ht="17.649999999999999" x14ac:dyDescent="0.5">
      <c r="D635" s="3" t="s">
        <v>100</v>
      </c>
      <c r="Q635" s="3" t="s">
        <v>100</v>
      </c>
    </row>
    <row r="636" spans="4:17" ht="17.649999999999999" x14ac:dyDescent="0.5">
      <c r="D636" s="3" t="s">
        <v>42</v>
      </c>
      <c r="Q636" s="3" t="s">
        <v>42</v>
      </c>
    </row>
    <row r="637" spans="4:17" ht="17.649999999999999" x14ac:dyDescent="0.5">
      <c r="D637" s="3" t="s">
        <v>55</v>
      </c>
      <c r="Q637" s="3" t="s">
        <v>55</v>
      </c>
    </row>
    <row r="638" spans="4:17" ht="17.649999999999999" x14ac:dyDescent="0.5">
      <c r="D638" s="3" t="s">
        <v>75</v>
      </c>
      <c r="Q638" s="3" t="s">
        <v>75</v>
      </c>
    </row>
    <row r="639" spans="4:17" ht="17.649999999999999" x14ac:dyDescent="0.5">
      <c r="D639" s="3" t="s">
        <v>88</v>
      </c>
      <c r="Q639" s="3" t="s">
        <v>88</v>
      </c>
    </row>
    <row r="640" spans="4:17" ht="17.649999999999999" x14ac:dyDescent="0.5">
      <c r="D640" s="3" t="s">
        <v>92</v>
      </c>
      <c r="Q640" s="3" t="s">
        <v>92</v>
      </c>
    </row>
    <row r="641" spans="4:17" ht="17.649999999999999" x14ac:dyDescent="0.5">
      <c r="D641" s="3" t="s">
        <v>98</v>
      </c>
      <c r="Q641" s="3" t="s">
        <v>98</v>
      </c>
    </row>
    <row r="642" spans="4:17" ht="17.649999999999999" x14ac:dyDescent="0.5">
      <c r="D642" s="3" t="s">
        <v>80</v>
      </c>
      <c r="Q642" s="3" t="s">
        <v>80</v>
      </c>
    </row>
    <row r="643" spans="4:17" ht="17.649999999999999" x14ac:dyDescent="0.5">
      <c r="D643" s="3" t="s">
        <v>43</v>
      </c>
      <c r="Q643" s="3" t="s">
        <v>43</v>
      </c>
    </row>
    <row r="644" spans="4:17" ht="17.649999999999999" x14ac:dyDescent="0.5">
      <c r="D644" s="3" t="s">
        <v>83</v>
      </c>
      <c r="Q644" s="3" t="s">
        <v>83</v>
      </c>
    </row>
    <row r="645" spans="4:17" ht="17.649999999999999" x14ac:dyDescent="0.5">
      <c r="D645" s="3" t="s">
        <v>117</v>
      </c>
      <c r="Q645" s="3" t="s">
        <v>117</v>
      </c>
    </row>
    <row r="646" spans="4:17" ht="17.649999999999999" x14ac:dyDescent="0.5">
      <c r="D646" s="3" t="s">
        <v>68</v>
      </c>
      <c r="Q646" s="3" t="s">
        <v>68</v>
      </c>
    </row>
    <row r="647" spans="4:17" ht="17.649999999999999" x14ac:dyDescent="0.5">
      <c r="D647" s="3" t="s">
        <v>70</v>
      </c>
      <c r="Q647" s="3" t="s">
        <v>70</v>
      </c>
    </row>
    <row r="648" spans="4:17" ht="17.649999999999999" x14ac:dyDescent="0.5">
      <c r="D648" s="3" t="s">
        <v>86</v>
      </c>
      <c r="Q648" s="3" t="s">
        <v>86</v>
      </c>
    </row>
    <row r="649" spans="4:17" ht="17.649999999999999" x14ac:dyDescent="0.5">
      <c r="D649" s="3" t="s">
        <v>125</v>
      </c>
      <c r="Q649" s="3" t="s">
        <v>125</v>
      </c>
    </row>
    <row r="650" spans="4:17" ht="17.649999999999999" x14ac:dyDescent="0.5">
      <c r="D650" s="3" t="s">
        <v>68</v>
      </c>
      <c r="Q650" s="3" t="s">
        <v>68</v>
      </c>
    </row>
    <row r="651" spans="4:17" ht="17.649999999999999" x14ac:dyDescent="0.5">
      <c r="D651" s="3" t="s">
        <v>71</v>
      </c>
      <c r="Q651" s="3" t="s">
        <v>71</v>
      </c>
    </row>
    <row r="652" spans="4:17" ht="17.649999999999999" x14ac:dyDescent="0.5">
      <c r="D652" s="3" t="s">
        <v>105</v>
      </c>
      <c r="Q652" s="3" t="s">
        <v>105</v>
      </c>
    </row>
    <row r="653" spans="4:17" ht="17.649999999999999" x14ac:dyDescent="0.5">
      <c r="D653" s="3" t="s">
        <v>53</v>
      </c>
      <c r="Q653" s="3" t="s">
        <v>53</v>
      </c>
    </row>
    <row r="654" spans="4:17" ht="17.649999999999999" x14ac:dyDescent="0.5">
      <c r="D654" s="3" t="s">
        <v>52</v>
      </c>
      <c r="Q654" s="3" t="s">
        <v>52</v>
      </c>
    </row>
    <row r="655" spans="4:17" ht="17.649999999999999" x14ac:dyDescent="0.5">
      <c r="D655" s="3" t="s">
        <v>49</v>
      </c>
      <c r="Q655" s="3" t="s">
        <v>49</v>
      </c>
    </row>
    <row r="656" spans="4:17" ht="17.649999999999999" x14ac:dyDescent="0.5">
      <c r="D656" s="3" t="s">
        <v>72</v>
      </c>
      <c r="Q656" s="3" t="s">
        <v>72</v>
      </c>
    </row>
    <row r="657" spans="4:17" ht="17.649999999999999" x14ac:dyDescent="0.5">
      <c r="D657" s="3" t="s">
        <v>83</v>
      </c>
      <c r="Q657" s="3" t="s">
        <v>83</v>
      </c>
    </row>
    <row r="658" spans="4:17" ht="17.649999999999999" x14ac:dyDescent="0.5">
      <c r="D658" s="3" t="s">
        <v>65</v>
      </c>
      <c r="Q658" s="3" t="s">
        <v>65</v>
      </c>
    </row>
    <row r="659" spans="4:17" ht="17.649999999999999" x14ac:dyDescent="0.5">
      <c r="D659" s="3" t="s">
        <v>57</v>
      </c>
      <c r="Q659" s="3" t="s">
        <v>57</v>
      </c>
    </row>
    <row r="660" spans="4:17" ht="17.649999999999999" x14ac:dyDescent="0.5">
      <c r="D660" s="3" t="s">
        <v>102</v>
      </c>
      <c r="Q660" s="3" t="s">
        <v>102</v>
      </c>
    </row>
    <row r="661" spans="4:17" ht="17.649999999999999" x14ac:dyDescent="0.5">
      <c r="D661" s="3" t="s">
        <v>64</v>
      </c>
      <c r="Q661" s="3" t="s">
        <v>64</v>
      </c>
    </row>
    <row r="662" spans="4:17" ht="17.649999999999999" x14ac:dyDescent="0.5">
      <c r="D662" s="3" t="s">
        <v>84</v>
      </c>
      <c r="Q662" s="3" t="s">
        <v>84</v>
      </c>
    </row>
    <row r="663" spans="4:17" ht="17.649999999999999" x14ac:dyDescent="0.5">
      <c r="D663" s="3" t="s">
        <v>91</v>
      </c>
      <c r="Q663" s="3" t="s">
        <v>91</v>
      </c>
    </row>
    <row r="664" spans="4:17" ht="17.649999999999999" x14ac:dyDescent="0.5">
      <c r="D664" s="3" t="s">
        <v>96</v>
      </c>
      <c r="Q664" s="3" t="s">
        <v>96</v>
      </c>
    </row>
    <row r="665" spans="4:17" ht="17.649999999999999" x14ac:dyDescent="0.5">
      <c r="D665" s="3" t="s">
        <v>69</v>
      </c>
      <c r="Q665" s="3" t="s">
        <v>69</v>
      </c>
    </row>
    <row r="666" spans="4:17" ht="17.649999999999999" x14ac:dyDescent="0.5">
      <c r="D666" s="3" t="s">
        <v>132</v>
      </c>
      <c r="Q666" s="3" t="s">
        <v>132</v>
      </c>
    </row>
    <row r="667" spans="4:17" ht="17.649999999999999" x14ac:dyDescent="0.5">
      <c r="D667" s="3" t="s">
        <v>82</v>
      </c>
      <c r="Q667" s="3" t="s">
        <v>82</v>
      </c>
    </row>
    <row r="668" spans="4:17" ht="17.649999999999999" x14ac:dyDescent="0.5">
      <c r="D668" s="3" t="s">
        <v>77</v>
      </c>
      <c r="Q668" s="3" t="s">
        <v>77</v>
      </c>
    </row>
    <row r="669" spans="4:17" ht="17.649999999999999" x14ac:dyDescent="0.5">
      <c r="D669" s="3" t="s">
        <v>115</v>
      </c>
      <c r="Q669" s="3" t="s">
        <v>115</v>
      </c>
    </row>
    <row r="670" spans="4:17" ht="17.649999999999999" x14ac:dyDescent="0.5">
      <c r="D670" s="3" t="s">
        <v>69</v>
      </c>
      <c r="Q670" s="3" t="s">
        <v>69</v>
      </c>
    </row>
    <row r="671" spans="4:17" ht="17.649999999999999" x14ac:dyDescent="0.5">
      <c r="D671" s="3" t="s">
        <v>48</v>
      </c>
      <c r="Q671" s="3" t="s">
        <v>48</v>
      </c>
    </row>
    <row r="672" spans="4:17" ht="17.649999999999999" x14ac:dyDescent="0.5">
      <c r="D672" s="3" t="s">
        <v>103</v>
      </c>
      <c r="Q672" s="3" t="s">
        <v>103</v>
      </c>
    </row>
    <row r="673" spans="4:17" ht="17.649999999999999" x14ac:dyDescent="0.5">
      <c r="D673" s="3" t="s">
        <v>41</v>
      </c>
      <c r="Q673" s="3" t="s">
        <v>41</v>
      </c>
    </row>
    <row r="674" spans="4:17" ht="17.649999999999999" x14ac:dyDescent="0.5">
      <c r="D674" s="3" t="s">
        <v>124</v>
      </c>
      <c r="Q674" s="3" t="s">
        <v>124</v>
      </c>
    </row>
    <row r="675" spans="4:17" ht="17.649999999999999" x14ac:dyDescent="0.5">
      <c r="D675" s="3" t="s">
        <v>128</v>
      </c>
      <c r="Q675" s="3" t="s">
        <v>128</v>
      </c>
    </row>
    <row r="676" spans="4:17" ht="17.649999999999999" x14ac:dyDescent="0.5">
      <c r="D676" s="3" t="s">
        <v>115</v>
      </c>
      <c r="Q676" s="3" t="s">
        <v>115</v>
      </c>
    </row>
    <row r="677" spans="4:17" ht="17.649999999999999" x14ac:dyDescent="0.5">
      <c r="D677" s="3" t="s">
        <v>78</v>
      </c>
      <c r="Q677" s="3" t="s">
        <v>78</v>
      </c>
    </row>
    <row r="678" spans="4:17" ht="17.649999999999999" x14ac:dyDescent="0.5">
      <c r="D678" s="3" t="s">
        <v>123</v>
      </c>
      <c r="Q678" s="3" t="s">
        <v>123</v>
      </c>
    </row>
    <row r="679" spans="4:17" ht="17.649999999999999" x14ac:dyDescent="0.5">
      <c r="D679" s="3" t="s">
        <v>93</v>
      </c>
      <c r="Q679" s="3" t="s">
        <v>93</v>
      </c>
    </row>
    <row r="680" spans="4:17" ht="17.649999999999999" x14ac:dyDescent="0.5">
      <c r="D680" s="3" t="s">
        <v>59</v>
      </c>
      <c r="Q680" s="3" t="s">
        <v>59</v>
      </c>
    </row>
    <row r="681" spans="4:17" ht="17.649999999999999" x14ac:dyDescent="0.5">
      <c r="D681" s="3" t="s">
        <v>83</v>
      </c>
      <c r="Q681" s="3" t="s">
        <v>83</v>
      </c>
    </row>
    <row r="682" spans="4:17" ht="17.649999999999999" x14ac:dyDescent="0.5">
      <c r="D682" s="3" t="s">
        <v>56</v>
      </c>
      <c r="Q682" s="3" t="s">
        <v>56</v>
      </c>
    </row>
    <row r="683" spans="4:17" ht="17.649999999999999" x14ac:dyDescent="0.5">
      <c r="D683" s="3" t="s">
        <v>94</v>
      </c>
      <c r="Q683" s="3" t="s">
        <v>94</v>
      </c>
    </row>
    <row r="684" spans="4:17" ht="17.649999999999999" x14ac:dyDescent="0.5">
      <c r="D684" s="3" t="s">
        <v>75</v>
      </c>
      <c r="Q684" s="3" t="s">
        <v>75</v>
      </c>
    </row>
    <row r="685" spans="4:17" ht="17.649999999999999" x14ac:dyDescent="0.5">
      <c r="D685" s="3" t="s">
        <v>100</v>
      </c>
      <c r="Q685" s="3" t="s">
        <v>100</v>
      </c>
    </row>
    <row r="686" spans="4:17" ht="17.649999999999999" x14ac:dyDescent="0.5">
      <c r="D686" s="3" t="s">
        <v>50</v>
      </c>
      <c r="Q686" s="3" t="s">
        <v>50</v>
      </c>
    </row>
    <row r="687" spans="4:17" ht="17.649999999999999" x14ac:dyDescent="0.5">
      <c r="D687" s="3" t="s">
        <v>81</v>
      </c>
      <c r="Q687" s="3" t="s">
        <v>81</v>
      </c>
    </row>
    <row r="688" spans="4:17" ht="17.649999999999999" x14ac:dyDescent="0.5">
      <c r="D688" s="3" t="s">
        <v>63</v>
      </c>
      <c r="Q688" s="3" t="s">
        <v>63</v>
      </c>
    </row>
    <row r="689" spans="4:17" ht="17.649999999999999" x14ac:dyDescent="0.5">
      <c r="D689" s="3" t="s">
        <v>103</v>
      </c>
      <c r="Q689" s="3" t="s">
        <v>103</v>
      </c>
    </row>
    <row r="690" spans="4:17" ht="17.649999999999999" x14ac:dyDescent="0.5">
      <c r="D690" s="3" t="s">
        <v>87</v>
      </c>
      <c r="Q690" s="3" t="s">
        <v>87</v>
      </c>
    </row>
    <row r="691" spans="4:17" ht="17.649999999999999" x14ac:dyDescent="0.5">
      <c r="D691" s="3" t="s">
        <v>134</v>
      </c>
      <c r="Q691" s="3" t="s">
        <v>134</v>
      </c>
    </row>
    <row r="692" spans="4:17" ht="17.649999999999999" x14ac:dyDescent="0.5">
      <c r="D692" s="3" t="s">
        <v>77</v>
      </c>
      <c r="Q692" s="3" t="s">
        <v>77</v>
      </c>
    </row>
    <row r="693" spans="4:17" ht="17.649999999999999" x14ac:dyDescent="0.5">
      <c r="D693" s="3" t="s">
        <v>128</v>
      </c>
      <c r="Q693" s="3" t="s">
        <v>128</v>
      </c>
    </row>
    <row r="694" spans="4:17" ht="17.649999999999999" x14ac:dyDescent="0.5">
      <c r="D694" s="3" t="s">
        <v>91</v>
      </c>
      <c r="Q694" s="3" t="s">
        <v>91</v>
      </c>
    </row>
    <row r="695" spans="4:17" ht="17.649999999999999" x14ac:dyDescent="0.5">
      <c r="D695" s="3" t="s">
        <v>117</v>
      </c>
      <c r="Q695" s="3" t="s">
        <v>117</v>
      </c>
    </row>
    <row r="696" spans="4:17" ht="17.649999999999999" x14ac:dyDescent="0.5">
      <c r="D696" s="3" t="s">
        <v>112</v>
      </c>
      <c r="Q696" s="3" t="s">
        <v>112</v>
      </c>
    </row>
    <row r="697" spans="4:17" ht="17.649999999999999" x14ac:dyDescent="0.5">
      <c r="D697" s="3" t="s">
        <v>62</v>
      </c>
      <c r="Q697" s="3" t="s">
        <v>62</v>
      </c>
    </row>
    <row r="698" spans="4:17" ht="17.649999999999999" x14ac:dyDescent="0.5">
      <c r="D698" s="3" t="s">
        <v>115</v>
      </c>
      <c r="Q698" s="3" t="s">
        <v>115</v>
      </c>
    </row>
    <row r="699" spans="4:17" ht="17.649999999999999" x14ac:dyDescent="0.5">
      <c r="D699" s="3" t="s">
        <v>107</v>
      </c>
      <c r="Q699" s="3" t="s">
        <v>107</v>
      </c>
    </row>
    <row r="700" spans="4:17" ht="17.649999999999999" x14ac:dyDescent="0.5">
      <c r="D700" s="3" t="s">
        <v>105</v>
      </c>
      <c r="Q700" s="3" t="s">
        <v>105</v>
      </c>
    </row>
    <row r="701" spans="4:17" ht="17.649999999999999" x14ac:dyDescent="0.5">
      <c r="D701" s="3" t="s">
        <v>117</v>
      </c>
      <c r="Q701" s="3" t="s">
        <v>117</v>
      </c>
    </row>
    <row r="702" spans="4:17" ht="17.649999999999999" x14ac:dyDescent="0.5">
      <c r="D702" s="3" t="s">
        <v>59</v>
      </c>
      <c r="Q702" s="3" t="s">
        <v>59</v>
      </c>
    </row>
    <row r="703" spans="4:17" ht="17.649999999999999" x14ac:dyDescent="0.5">
      <c r="D703" s="3" t="s">
        <v>88</v>
      </c>
      <c r="Q703" s="3" t="s">
        <v>88</v>
      </c>
    </row>
    <row r="704" spans="4:17" ht="17.649999999999999" x14ac:dyDescent="0.5">
      <c r="D704" s="3" t="s">
        <v>103</v>
      </c>
      <c r="Q704" s="3" t="s">
        <v>103</v>
      </c>
    </row>
    <row r="705" spans="4:17" ht="17.649999999999999" x14ac:dyDescent="0.5">
      <c r="D705" s="3" t="s">
        <v>41</v>
      </c>
      <c r="Q705" s="3" t="s">
        <v>41</v>
      </c>
    </row>
    <row r="706" spans="4:17" ht="17.649999999999999" x14ac:dyDescent="0.5">
      <c r="D706" s="3" t="s">
        <v>117</v>
      </c>
      <c r="Q706" s="3" t="s">
        <v>117</v>
      </c>
    </row>
    <row r="707" spans="4:17" ht="17.649999999999999" x14ac:dyDescent="0.5">
      <c r="D707" s="3" t="s">
        <v>115</v>
      </c>
      <c r="Q707" s="3" t="s">
        <v>115</v>
      </c>
    </row>
    <row r="708" spans="4:17" ht="17.649999999999999" x14ac:dyDescent="0.5">
      <c r="D708" s="3" t="s">
        <v>42</v>
      </c>
      <c r="Q708" s="3" t="s">
        <v>42</v>
      </c>
    </row>
    <row r="709" spans="4:17" ht="17.649999999999999" x14ac:dyDescent="0.5">
      <c r="D709" s="3" t="s">
        <v>101</v>
      </c>
      <c r="Q709" s="3" t="s">
        <v>101</v>
      </c>
    </row>
    <row r="710" spans="4:17" ht="17.649999999999999" x14ac:dyDescent="0.5">
      <c r="D710" s="3" t="s">
        <v>45</v>
      </c>
      <c r="Q710" s="3" t="s">
        <v>45</v>
      </c>
    </row>
    <row r="711" spans="4:17" ht="17.649999999999999" x14ac:dyDescent="0.5">
      <c r="D711" s="3" t="s">
        <v>69</v>
      </c>
      <c r="Q711" s="3" t="s">
        <v>69</v>
      </c>
    </row>
    <row r="712" spans="4:17" ht="17.649999999999999" x14ac:dyDescent="0.5">
      <c r="D712" s="3" t="s">
        <v>96</v>
      </c>
      <c r="Q712" s="3" t="s">
        <v>96</v>
      </c>
    </row>
    <row r="713" spans="4:17" ht="17.649999999999999" x14ac:dyDescent="0.5">
      <c r="D713" s="3" t="s">
        <v>107</v>
      </c>
      <c r="Q713" s="3" t="s">
        <v>107</v>
      </c>
    </row>
    <row r="714" spans="4:17" ht="17.649999999999999" x14ac:dyDescent="0.5">
      <c r="D714" s="3" t="s">
        <v>50</v>
      </c>
      <c r="Q714" s="3" t="s">
        <v>50</v>
      </c>
    </row>
    <row r="715" spans="4:17" ht="17.649999999999999" x14ac:dyDescent="0.5">
      <c r="D715" s="3" t="s">
        <v>43</v>
      </c>
      <c r="Q715" s="3" t="s">
        <v>43</v>
      </c>
    </row>
    <row r="716" spans="4:17" ht="17.649999999999999" x14ac:dyDescent="0.5">
      <c r="D716" s="3" t="s">
        <v>92</v>
      </c>
      <c r="Q716" s="3" t="s">
        <v>92</v>
      </c>
    </row>
    <row r="717" spans="4:17" ht="17.649999999999999" x14ac:dyDescent="0.5">
      <c r="D717" s="3" t="s">
        <v>80</v>
      </c>
      <c r="Q717" s="3" t="s">
        <v>80</v>
      </c>
    </row>
    <row r="718" spans="4:17" ht="17.649999999999999" x14ac:dyDescent="0.5">
      <c r="D718" s="3" t="s">
        <v>90</v>
      </c>
      <c r="Q718" s="3" t="s">
        <v>90</v>
      </c>
    </row>
    <row r="719" spans="4:17" ht="17.649999999999999" x14ac:dyDescent="0.5">
      <c r="D719" s="3" t="s">
        <v>43</v>
      </c>
      <c r="Q719" s="3" t="s">
        <v>43</v>
      </c>
    </row>
    <row r="720" spans="4:17" ht="17.649999999999999" x14ac:dyDescent="0.5">
      <c r="D720" s="3" t="s">
        <v>107</v>
      </c>
      <c r="Q720" s="3" t="s">
        <v>107</v>
      </c>
    </row>
    <row r="721" spans="4:17" ht="17.649999999999999" x14ac:dyDescent="0.5">
      <c r="D721" s="3" t="s">
        <v>76</v>
      </c>
      <c r="Q721" s="3" t="s">
        <v>76</v>
      </c>
    </row>
    <row r="722" spans="4:17" ht="17.649999999999999" x14ac:dyDescent="0.5">
      <c r="D722" s="3" t="s">
        <v>74</v>
      </c>
      <c r="Q722" s="3" t="s">
        <v>74</v>
      </c>
    </row>
    <row r="723" spans="4:17" ht="17.649999999999999" x14ac:dyDescent="0.5">
      <c r="D723" s="3" t="s">
        <v>98</v>
      </c>
      <c r="Q723" s="3" t="s">
        <v>98</v>
      </c>
    </row>
    <row r="724" spans="4:17" ht="17.649999999999999" x14ac:dyDescent="0.5">
      <c r="D724" s="3" t="s">
        <v>76</v>
      </c>
      <c r="Q724" s="3" t="s">
        <v>76</v>
      </c>
    </row>
    <row r="725" spans="4:17" ht="17.649999999999999" x14ac:dyDescent="0.5">
      <c r="D725" s="3" t="s">
        <v>117</v>
      </c>
      <c r="Q725" s="3" t="s">
        <v>117</v>
      </c>
    </row>
    <row r="726" spans="4:17" ht="17.649999999999999" x14ac:dyDescent="0.5">
      <c r="D726" s="3" t="s">
        <v>79</v>
      </c>
      <c r="Q726" s="3" t="s">
        <v>79</v>
      </c>
    </row>
    <row r="727" spans="4:17" ht="17.649999999999999" x14ac:dyDescent="0.5">
      <c r="D727" s="3" t="s">
        <v>112</v>
      </c>
      <c r="Q727" s="3" t="s">
        <v>112</v>
      </c>
    </row>
    <row r="728" spans="4:17" ht="17.649999999999999" x14ac:dyDescent="0.5">
      <c r="D728" s="3" t="s">
        <v>68</v>
      </c>
      <c r="Q728" s="3" t="s">
        <v>68</v>
      </c>
    </row>
    <row r="729" spans="4:17" ht="17.649999999999999" x14ac:dyDescent="0.5">
      <c r="D729" s="3" t="s">
        <v>43</v>
      </c>
      <c r="Q729" s="3" t="s">
        <v>43</v>
      </c>
    </row>
    <row r="730" spans="4:17" ht="17.649999999999999" x14ac:dyDescent="0.5">
      <c r="D730" s="3" t="s">
        <v>61</v>
      </c>
      <c r="Q730" s="3" t="s">
        <v>61</v>
      </c>
    </row>
    <row r="731" spans="4:17" ht="17.649999999999999" x14ac:dyDescent="0.5">
      <c r="D731" s="3" t="s">
        <v>96</v>
      </c>
      <c r="Q731" s="3" t="s">
        <v>96</v>
      </c>
    </row>
    <row r="732" spans="4:17" ht="17.649999999999999" x14ac:dyDescent="0.5">
      <c r="D732" s="3" t="s">
        <v>70</v>
      </c>
      <c r="Q732" s="3" t="s">
        <v>70</v>
      </c>
    </row>
    <row r="733" spans="4:17" ht="17.649999999999999" x14ac:dyDescent="0.5">
      <c r="D733" s="3" t="s">
        <v>59</v>
      </c>
      <c r="Q733" s="3" t="s">
        <v>59</v>
      </c>
    </row>
    <row r="734" spans="4:17" ht="17.649999999999999" x14ac:dyDescent="0.5">
      <c r="D734" s="3" t="s">
        <v>98</v>
      </c>
      <c r="Q734" s="3" t="s">
        <v>98</v>
      </c>
    </row>
    <row r="735" spans="4:17" ht="17.649999999999999" x14ac:dyDescent="0.5">
      <c r="D735" s="3" t="s">
        <v>63</v>
      </c>
      <c r="Q735" s="3" t="s">
        <v>63</v>
      </c>
    </row>
    <row r="736" spans="4:17" ht="17.649999999999999" x14ac:dyDescent="0.5">
      <c r="D736" s="3" t="s">
        <v>77</v>
      </c>
      <c r="Q736" s="3" t="s">
        <v>77</v>
      </c>
    </row>
    <row r="737" spans="4:17" ht="17.649999999999999" x14ac:dyDescent="0.5">
      <c r="D737" s="3" t="s">
        <v>65</v>
      </c>
      <c r="Q737" s="3" t="s">
        <v>65</v>
      </c>
    </row>
    <row r="738" spans="4:17" ht="17.649999999999999" x14ac:dyDescent="0.5">
      <c r="D738" s="3" t="s">
        <v>54</v>
      </c>
      <c r="Q738" s="3" t="s">
        <v>54</v>
      </c>
    </row>
    <row r="739" spans="4:17" ht="17.649999999999999" x14ac:dyDescent="0.5">
      <c r="D739" s="3" t="s">
        <v>41</v>
      </c>
      <c r="Q739" s="3" t="s">
        <v>41</v>
      </c>
    </row>
    <row r="740" spans="4:17" ht="17.649999999999999" x14ac:dyDescent="0.5">
      <c r="D740" s="3" t="s">
        <v>117</v>
      </c>
      <c r="Q740" s="3" t="s">
        <v>117</v>
      </c>
    </row>
    <row r="741" spans="4:17" ht="17.649999999999999" x14ac:dyDescent="0.5">
      <c r="D741" s="3" t="s">
        <v>64</v>
      </c>
      <c r="Q741" s="3" t="s">
        <v>64</v>
      </c>
    </row>
    <row r="742" spans="4:17" ht="17.649999999999999" x14ac:dyDescent="0.5">
      <c r="D742" s="3" t="s">
        <v>101</v>
      </c>
      <c r="Q742" s="3" t="s">
        <v>101</v>
      </c>
    </row>
    <row r="743" spans="4:17" ht="17.649999999999999" x14ac:dyDescent="0.5">
      <c r="D743" s="3" t="s">
        <v>59</v>
      </c>
      <c r="Q743" s="3" t="s">
        <v>59</v>
      </c>
    </row>
    <row r="744" spans="4:17" ht="17.649999999999999" x14ac:dyDescent="0.5">
      <c r="D744" s="3" t="s">
        <v>90</v>
      </c>
      <c r="Q744" s="3" t="s">
        <v>90</v>
      </c>
    </row>
    <row r="745" spans="4:17" ht="17.649999999999999" x14ac:dyDescent="0.5">
      <c r="D745" s="3" t="s">
        <v>97</v>
      </c>
      <c r="Q745" s="3" t="s">
        <v>97</v>
      </c>
    </row>
    <row r="746" spans="4:17" ht="17.649999999999999" x14ac:dyDescent="0.5">
      <c r="D746" s="3" t="s">
        <v>50</v>
      </c>
      <c r="Q746" s="3" t="s">
        <v>50</v>
      </c>
    </row>
    <row r="747" spans="4:17" ht="17.649999999999999" x14ac:dyDescent="0.5">
      <c r="D747" s="3" t="s">
        <v>81</v>
      </c>
      <c r="Q747" s="3" t="s">
        <v>81</v>
      </c>
    </row>
    <row r="748" spans="4:17" ht="17.649999999999999" x14ac:dyDescent="0.5">
      <c r="D748" s="3" t="s">
        <v>103</v>
      </c>
      <c r="Q748" s="3" t="s">
        <v>103</v>
      </c>
    </row>
    <row r="749" spans="4:17" ht="17.649999999999999" x14ac:dyDescent="0.5">
      <c r="D749" s="3" t="s">
        <v>90</v>
      </c>
      <c r="Q749" s="3" t="s">
        <v>90</v>
      </c>
    </row>
    <row r="750" spans="4:17" ht="17.649999999999999" x14ac:dyDescent="0.5">
      <c r="D750" s="3" t="s">
        <v>115</v>
      </c>
      <c r="Q750" s="3" t="s">
        <v>115</v>
      </c>
    </row>
    <row r="751" spans="4:17" ht="17.649999999999999" x14ac:dyDescent="0.5">
      <c r="D751" s="3" t="s">
        <v>127</v>
      </c>
      <c r="Q751" s="3" t="s">
        <v>127</v>
      </c>
    </row>
    <row r="752" spans="4:17" ht="17.649999999999999" x14ac:dyDescent="0.5">
      <c r="D752" s="3" t="s">
        <v>59</v>
      </c>
      <c r="Q752" s="3" t="s">
        <v>59</v>
      </c>
    </row>
    <row r="753" spans="4:17" ht="17.649999999999999" x14ac:dyDescent="0.5">
      <c r="D753" s="3" t="s">
        <v>54</v>
      </c>
      <c r="Q753" s="3" t="s">
        <v>54</v>
      </c>
    </row>
    <row r="754" spans="4:17" ht="17.649999999999999" x14ac:dyDescent="0.5">
      <c r="D754" s="3" t="s">
        <v>96</v>
      </c>
      <c r="Q754" s="3" t="s">
        <v>96</v>
      </c>
    </row>
    <row r="755" spans="4:17" ht="17.649999999999999" x14ac:dyDescent="0.5">
      <c r="D755" s="3" t="s">
        <v>53</v>
      </c>
      <c r="Q755" s="3" t="s">
        <v>53</v>
      </c>
    </row>
    <row r="756" spans="4:17" ht="17.649999999999999" x14ac:dyDescent="0.5">
      <c r="D756" s="3" t="s">
        <v>91</v>
      </c>
      <c r="Q756" s="3" t="s">
        <v>91</v>
      </c>
    </row>
    <row r="757" spans="4:17" ht="17.649999999999999" x14ac:dyDescent="0.5">
      <c r="D757" s="3" t="s">
        <v>43</v>
      </c>
      <c r="Q757" s="3" t="s">
        <v>43</v>
      </c>
    </row>
    <row r="758" spans="4:17" ht="17.649999999999999" x14ac:dyDescent="0.5">
      <c r="D758" s="3" t="s">
        <v>86</v>
      </c>
      <c r="Q758" s="3" t="s">
        <v>86</v>
      </c>
    </row>
    <row r="759" spans="4:17" ht="17.649999999999999" x14ac:dyDescent="0.5">
      <c r="D759" s="3" t="s">
        <v>61</v>
      </c>
      <c r="Q759" s="3" t="s">
        <v>61</v>
      </c>
    </row>
    <row r="760" spans="4:17" ht="17.649999999999999" x14ac:dyDescent="0.5">
      <c r="D760" s="3" t="s">
        <v>91</v>
      </c>
      <c r="Q760" s="3" t="s">
        <v>91</v>
      </c>
    </row>
    <row r="761" spans="4:17" ht="17.649999999999999" x14ac:dyDescent="0.5">
      <c r="D761" s="3" t="s">
        <v>50</v>
      </c>
      <c r="Q761" s="3" t="s">
        <v>50</v>
      </c>
    </row>
    <row r="762" spans="4:17" ht="17.649999999999999" x14ac:dyDescent="0.5">
      <c r="D762" s="3" t="s">
        <v>126</v>
      </c>
      <c r="Q762" s="3" t="s">
        <v>126</v>
      </c>
    </row>
    <row r="763" spans="4:17" ht="17.649999999999999" x14ac:dyDescent="0.5">
      <c r="D763" s="3" t="s">
        <v>73</v>
      </c>
      <c r="Q763" s="3" t="s">
        <v>73</v>
      </c>
    </row>
    <row r="764" spans="4:17" ht="17.649999999999999" x14ac:dyDescent="0.5">
      <c r="D764" s="3" t="s">
        <v>118</v>
      </c>
      <c r="Q764" s="3" t="s">
        <v>118</v>
      </c>
    </row>
    <row r="765" spans="4:17" ht="17.649999999999999" x14ac:dyDescent="0.5">
      <c r="D765" s="3" t="s">
        <v>63</v>
      </c>
      <c r="Q765" s="3" t="s">
        <v>63</v>
      </c>
    </row>
    <row r="766" spans="4:17" ht="17.649999999999999" x14ac:dyDescent="0.5">
      <c r="D766" s="3" t="s">
        <v>118</v>
      </c>
      <c r="Q766" s="3" t="s">
        <v>118</v>
      </c>
    </row>
    <row r="767" spans="4:17" ht="17.649999999999999" x14ac:dyDescent="0.5">
      <c r="D767" s="3" t="s">
        <v>46</v>
      </c>
      <c r="Q767" s="3" t="s">
        <v>46</v>
      </c>
    </row>
    <row r="768" spans="4:17" ht="17.649999999999999" x14ac:dyDescent="0.5">
      <c r="D768" s="3" t="s">
        <v>49</v>
      </c>
      <c r="Q768" s="3" t="s">
        <v>49</v>
      </c>
    </row>
    <row r="769" spans="4:17" ht="17.649999999999999" x14ac:dyDescent="0.5">
      <c r="D769" s="3" t="s">
        <v>55</v>
      </c>
      <c r="Q769" s="3" t="s">
        <v>55</v>
      </c>
    </row>
    <row r="770" spans="4:17" ht="17.649999999999999" x14ac:dyDescent="0.5">
      <c r="D770" s="3" t="s">
        <v>68</v>
      </c>
      <c r="Q770" s="3" t="s">
        <v>68</v>
      </c>
    </row>
    <row r="771" spans="4:17" ht="17.649999999999999" x14ac:dyDescent="0.5">
      <c r="D771" s="3" t="s">
        <v>52</v>
      </c>
      <c r="Q771" s="3" t="s">
        <v>52</v>
      </c>
    </row>
    <row r="772" spans="4:17" ht="17.649999999999999" x14ac:dyDescent="0.5">
      <c r="D772" s="3" t="s">
        <v>107</v>
      </c>
      <c r="Q772" s="3" t="s">
        <v>107</v>
      </c>
    </row>
    <row r="773" spans="4:17" ht="17.649999999999999" x14ac:dyDescent="0.5">
      <c r="D773" s="3" t="s">
        <v>94</v>
      </c>
      <c r="Q773" s="3" t="s">
        <v>94</v>
      </c>
    </row>
    <row r="774" spans="4:17" ht="17.649999999999999" x14ac:dyDescent="0.5">
      <c r="D774" s="3" t="s">
        <v>49</v>
      </c>
      <c r="Q774" s="3" t="s">
        <v>49</v>
      </c>
    </row>
    <row r="775" spans="4:17" ht="17.649999999999999" x14ac:dyDescent="0.5">
      <c r="D775" s="3" t="s">
        <v>91</v>
      </c>
      <c r="Q775" s="3" t="s">
        <v>91</v>
      </c>
    </row>
    <row r="776" spans="4:17" ht="17.649999999999999" x14ac:dyDescent="0.5">
      <c r="D776" s="3" t="s">
        <v>128</v>
      </c>
      <c r="Q776" s="3" t="s">
        <v>128</v>
      </c>
    </row>
    <row r="777" spans="4:17" ht="17.649999999999999" x14ac:dyDescent="0.5">
      <c r="D777" s="3" t="s">
        <v>66</v>
      </c>
      <c r="Q777" s="3" t="s">
        <v>66</v>
      </c>
    </row>
    <row r="778" spans="4:17" ht="17.649999999999999" x14ac:dyDescent="0.5">
      <c r="D778" s="3" t="s">
        <v>50</v>
      </c>
      <c r="Q778" s="3" t="s">
        <v>50</v>
      </c>
    </row>
    <row r="779" spans="4:17" ht="17.649999999999999" x14ac:dyDescent="0.5">
      <c r="D779" s="3" t="s">
        <v>96</v>
      </c>
      <c r="Q779" s="3" t="s">
        <v>96</v>
      </c>
    </row>
    <row r="780" spans="4:17" ht="17.649999999999999" x14ac:dyDescent="0.5">
      <c r="D780" s="3" t="s">
        <v>58</v>
      </c>
      <c r="Q780" s="3" t="s">
        <v>58</v>
      </c>
    </row>
    <row r="781" spans="4:17" ht="17.649999999999999" x14ac:dyDescent="0.5">
      <c r="D781" s="3" t="s">
        <v>68</v>
      </c>
      <c r="Q781" s="3" t="s">
        <v>68</v>
      </c>
    </row>
    <row r="782" spans="4:17" ht="17.649999999999999" x14ac:dyDescent="0.5">
      <c r="D782" s="3" t="s">
        <v>105</v>
      </c>
      <c r="Q782" s="3" t="s">
        <v>105</v>
      </c>
    </row>
    <row r="783" spans="4:17" ht="17.649999999999999" x14ac:dyDescent="0.5">
      <c r="D783" s="3" t="s">
        <v>124</v>
      </c>
      <c r="Q783" s="3" t="s">
        <v>124</v>
      </c>
    </row>
    <row r="784" spans="4:17" ht="17.649999999999999" x14ac:dyDescent="0.5">
      <c r="D784" s="3" t="s">
        <v>51</v>
      </c>
      <c r="Q784" s="3" t="s">
        <v>51</v>
      </c>
    </row>
    <row r="785" spans="4:17" ht="17.649999999999999" x14ac:dyDescent="0.5">
      <c r="D785" s="3" t="s">
        <v>95</v>
      </c>
      <c r="Q785" s="3" t="s">
        <v>95</v>
      </c>
    </row>
    <row r="786" spans="4:17" ht="17.649999999999999" x14ac:dyDescent="0.5">
      <c r="D786" s="3" t="s">
        <v>50</v>
      </c>
      <c r="Q786" s="3" t="s">
        <v>50</v>
      </c>
    </row>
    <row r="787" spans="4:17" ht="17.649999999999999" x14ac:dyDescent="0.5">
      <c r="D787" s="3" t="s">
        <v>80</v>
      </c>
      <c r="Q787" s="3" t="s">
        <v>80</v>
      </c>
    </row>
    <row r="788" spans="4:17" ht="17.649999999999999" x14ac:dyDescent="0.5">
      <c r="D788" s="3" t="s">
        <v>44</v>
      </c>
      <c r="Q788" s="3" t="s">
        <v>44</v>
      </c>
    </row>
    <row r="789" spans="4:17" ht="17.649999999999999" x14ac:dyDescent="0.5">
      <c r="D789" s="3" t="s">
        <v>47</v>
      </c>
      <c r="Q789" s="3" t="s">
        <v>47</v>
      </c>
    </row>
    <row r="790" spans="4:17" ht="17.649999999999999" x14ac:dyDescent="0.5">
      <c r="D790" s="3" t="s">
        <v>59</v>
      </c>
      <c r="Q790" s="3" t="s">
        <v>59</v>
      </c>
    </row>
    <row r="791" spans="4:17" ht="17.649999999999999" x14ac:dyDescent="0.5">
      <c r="D791" s="3" t="s">
        <v>115</v>
      </c>
      <c r="Q791" s="3" t="s">
        <v>115</v>
      </c>
    </row>
    <row r="792" spans="4:17" ht="17.649999999999999" x14ac:dyDescent="0.5">
      <c r="D792" s="3" t="s">
        <v>56</v>
      </c>
      <c r="Q792" s="3" t="s">
        <v>56</v>
      </c>
    </row>
    <row r="793" spans="4:17" ht="17.649999999999999" x14ac:dyDescent="0.5">
      <c r="D793" s="3" t="s">
        <v>112</v>
      </c>
      <c r="Q793" s="3" t="s">
        <v>112</v>
      </c>
    </row>
    <row r="794" spans="4:17" ht="17.649999999999999" x14ac:dyDescent="0.5">
      <c r="D794" s="3" t="s">
        <v>83</v>
      </c>
      <c r="Q794" s="3" t="s">
        <v>83</v>
      </c>
    </row>
    <row r="795" spans="4:17" ht="17.649999999999999" x14ac:dyDescent="0.5">
      <c r="D795" s="3" t="s">
        <v>97</v>
      </c>
      <c r="Q795" s="3" t="s">
        <v>97</v>
      </c>
    </row>
    <row r="796" spans="4:17" ht="17.649999999999999" x14ac:dyDescent="0.5">
      <c r="D796" s="3" t="s">
        <v>77</v>
      </c>
      <c r="Q796" s="3" t="s">
        <v>77</v>
      </c>
    </row>
    <row r="797" spans="4:17" ht="17.649999999999999" x14ac:dyDescent="0.5">
      <c r="D797" s="3" t="s">
        <v>108</v>
      </c>
      <c r="Q797" s="3" t="s">
        <v>108</v>
      </c>
    </row>
    <row r="798" spans="4:17" ht="17.649999999999999" x14ac:dyDescent="0.5">
      <c r="D798" s="3" t="s">
        <v>110</v>
      </c>
      <c r="Q798" s="3" t="s">
        <v>110</v>
      </c>
    </row>
    <row r="799" spans="4:17" ht="17.649999999999999" x14ac:dyDescent="0.5">
      <c r="D799" s="3" t="s">
        <v>66</v>
      </c>
      <c r="Q799" s="3" t="s">
        <v>66</v>
      </c>
    </row>
    <row r="800" spans="4:17" ht="17.649999999999999" x14ac:dyDescent="0.5">
      <c r="D800" s="3" t="s">
        <v>103</v>
      </c>
      <c r="Q800" s="3" t="s">
        <v>103</v>
      </c>
    </row>
    <row r="801" spans="4:17" ht="17.649999999999999" x14ac:dyDescent="0.5">
      <c r="D801" s="3" t="s">
        <v>74</v>
      </c>
      <c r="Q801" s="3" t="s">
        <v>74</v>
      </c>
    </row>
    <row r="802" spans="4:17" ht="17.649999999999999" x14ac:dyDescent="0.5">
      <c r="D802" s="3" t="s">
        <v>113</v>
      </c>
      <c r="Q802" s="3" t="s">
        <v>113</v>
      </c>
    </row>
    <row r="803" spans="4:17" ht="17.649999999999999" x14ac:dyDescent="0.5">
      <c r="D803" s="3" t="s">
        <v>101</v>
      </c>
      <c r="Q803" s="3" t="s">
        <v>101</v>
      </c>
    </row>
    <row r="804" spans="4:17" ht="17.649999999999999" x14ac:dyDescent="0.5">
      <c r="D804" s="3" t="s">
        <v>117</v>
      </c>
      <c r="Q804" s="3" t="s">
        <v>117</v>
      </c>
    </row>
    <row r="805" spans="4:17" ht="17.649999999999999" x14ac:dyDescent="0.5">
      <c r="D805" s="3" t="s">
        <v>69</v>
      </c>
      <c r="Q805" s="3" t="s">
        <v>69</v>
      </c>
    </row>
    <row r="806" spans="4:17" ht="17.649999999999999" x14ac:dyDescent="0.5">
      <c r="D806" s="3" t="s">
        <v>83</v>
      </c>
      <c r="Q806" s="3" t="s">
        <v>83</v>
      </c>
    </row>
    <row r="807" spans="4:17" ht="17.649999999999999" x14ac:dyDescent="0.5">
      <c r="D807" s="3" t="s">
        <v>44</v>
      </c>
      <c r="Q807" s="3" t="s">
        <v>44</v>
      </c>
    </row>
    <row r="808" spans="4:17" ht="17.649999999999999" x14ac:dyDescent="0.5">
      <c r="D808" s="3" t="s">
        <v>97</v>
      </c>
      <c r="Q808" s="3" t="s">
        <v>97</v>
      </c>
    </row>
    <row r="809" spans="4:17" ht="17.649999999999999" x14ac:dyDescent="0.5">
      <c r="D809" s="3" t="s">
        <v>66</v>
      </c>
      <c r="Q809" s="3" t="s">
        <v>66</v>
      </c>
    </row>
    <row r="810" spans="4:17" ht="17.649999999999999" x14ac:dyDescent="0.5">
      <c r="D810" s="3" t="s">
        <v>68</v>
      </c>
      <c r="Q810" s="3" t="s">
        <v>68</v>
      </c>
    </row>
    <row r="811" spans="4:17" ht="17.649999999999999" x14ac:dyDescent="0.5">
      <c r="D811" s="3" t="s">
        <v>98</v>
      </c>
      <c r="Q811" s="3" t="s">
        <v>98</v>
      </c>
    </row>
    <row r="812" spans="4:17" ht="17.649999999999999" x14ac:dyDescent="0.5">
      <c r="D812" s="3" t="s">
        <v>51</v>
      </c>
      <c r="Q812" s="3" t="s">
        <v>51</v>
      </c>
    </row>
    <row r="813" spans="4:17" ht="17.649999999999999" x14ac:dyDescent="0.5">
      <c r="D813" s="3" t="s">
        <v>55</v>
      </c>
      <c r="Q813" s="3" t="s">
        <v>55</v>
      </c>
    </row>
    <row r="814" spans="4:17" ht="17.649999999999999" x14ac:dyDescent="0.5">
      <c r="D814" s="3" t="s">
        <v>118</v>
      </c>
      <c r="Q814" s="3" t="s">
        <v>118</v>
      </c>
    </row>
    <row r="815" spans="4:17" ht="17.649999999999999" x14ac:dyDescent="0.5">
      <c r="D815" s="3" t="s">
        <v>69</v>
      </c>
      <c r="Q815" s="3" t="s">
        <v>69</v>
      </c>
    </row>
    <row r="816" spans="4:17" ht="17.649999999999999" x14ac:dyDescent="0.5">
      <c r="D816" s="3" t="s">
        <v>69</v>
      </c>
      <c r="Q816" s="3" t="s">
        <v>69</v>
      </c>
    </row>
    <row r="817" spans="4:17" ht="17.649999999999999" x14ac:dyDescent="0.5">
      <c r="D817" s="3" t="s">
        <v>135</v>
      </c>
      <c r="Q817" s="3" t="s">
        <v>135</v>
      </c>
    </row>
    <row r="818" spans="4:17" ht="17.649999999999999" x14ac:dyDescent="0.5">
      <c r="D818" s="3" t="s">
        <v>103</v>
      </c>
      <c r="Q818" s="3" t="s">
        <v>103</v>
      </c>
    </row>
    <row r="819" spans="4:17" ht="17.649999999999999" x14ac:dyDescent="0.5">
      <c r="D819" s="3" t="s">
        <v>117</v>
      </c>
      <c r="Q819" s="3" t="s">
        <v>117</v>
      </c>
    </row>
    <row r="820" spans="4:17" ht="17.649999999999999" x14ac:dyDescent="0.5">
      <c r="D820" s="3" t="s">
        <v>119</v>
      </c>
      <c r="Q820" s="3" t="s">
        <v>119</v>
      </c>
    </row>
    <row r="821" spans="4:17" ht="17.649999999999999" x14ac:dyDescent="0.5">
      <c r="D821" s="3" t="s">
        <v>109</v>
      </c>
      <c r="Q821" s="3" t="s">
        <v>109</v>
      </c>
    </row>
    <row r="822" spans="4:17" ht="17.649999999999999" x14ac:dyDescent="0.5">
      <c r="D822" s="3" t="s">
        <v>83</v>
      </c>
      <c r="Q822" s="3" t="s">
        <v>83</v>
      </c>
    </row>
    <row r="823" spans="4:17" ht="17.649999999999999" x14ac:dyDescent="0.5">
      <c r="D823" s="3" t="s">
        <v>77</v>
      </c>
      <c r="Q823" s="3" t="s">
        <v>77</v>
      </c>
    </row>
    <row r="824" spans="4:17" ht="17.649999999999999" x14ac:dyDescent="0.5">
      <c r="D824" s="3" t="s">
        <v>101</v>
      </c>
      <c r="Q824" s="3" t="s">
        <v>101</v>
      </c>
    </row>
    <row r="825" spans="4:17" ht="17.649999999999999" x14ac:dyDescent="0.5">
      <c r="D825" s="3" t="s">
        <v>66</v>
      </c>
      <c r="Q825" s="3" t="s">
        <v>66</v>
      </c>
    </row>
    <row r="826" spans="4:17" ht="17.649999999999999" x14ac:dyDescent="0.5">
      <c r="D826" s="3" t="s">
        <v>66</v>
      </c>
      <c r="Q826" s="3" t="s">
        <v>66</v>
      </c>
    </row>
    <row r="827" spans="4:17" ht="17.649999999999999" x14ac:dyDescent="0.5">
      <c r="D827" s="3" t="s">
        <v>112</v>
      </c>
      <c r="Q827" s="3" t="s">
        <v>112</v>
      </c>
    </row>
    <row r="828" spans="4:17" ht="17.649999999999999" x14ac:dyDescent="0.5">
      <c r="D828" s="3" t="s">
        <v>54</v>
      </c>
      <c r="Q828" s="3" t="s">
        <v>54</v>
      </c>
    </row>
    <row r="829" spans="4:17" ht="17.649999999999999" x14ac:dyDescent="0.5">
      <c r="D829" s="3" t="s">
        <v>74</v>
      </c>
      <c r="Q829" s="3" t="s">
        <v>74</v>
      </c>
    </row>
    <row r="830" spans="4:17" ht="17.649999999999999" x14ac:dyDescent="0.5">
      <c r="D830" s="3" t="s">
        <v>132</v>
      </c>
      <c r="Q830" s="3" t="s">
        <v>132</v>
      </c>
    </row>
    <row r="831" spans="4:17" ht="17.649999999999999" x14ac:dyDescent="0.5">
      <c r="D831" s="3" t="s">
        <v>104</v>
      </c>
      <c r="Q831" s="3" t="s">
        <v>104</v>
      </c>
    </row>
    <row r="832" spans="4:17" ht="17.649999999999999" x14ac:dyDescent="0.5">
      <c r="D832" s="3" t="s">
        <v>80</v>
      </c>
      <c r="Q832" s="3" t="s">
        <v>80</v>
      </c>
    </row>
    <row r="833" spans="4:17" ht="17.649999999999999" x14ac:dyDescent="0.5">
      <c r="D833" s="3" t="s">
        <v>106</v>
      </c>
      <c r="Q833" s="3" t="s">
        <v>106</v>
      </c>
    </row>
    <row r="834" spans="4:17" ht="17.649999999999999" x14ac:dyDescent="0.5">
      <c r="D834" s="3" t="s">
        <v>67</v>
      </c>
      <c r="Q834" s="3" t="s">
        <v>67</v>
      </c>
    </row>
    <row r="835" spans="4:17" ht="17.649999999999999" x14ac:dyDescent="0.5">
      <c r="D835" s="3" t="s">
        <v>62</v>
      </c>
      <c r="Q835" s="3" t="s">
        <v>62</v>
      </c>
    </row>
    <row r="836" spans="4:17" ht="17.649999999999999" x14ac:dyDescent="0.5">
      <c r="D836" s="3" t="s">
        <v>67</v>
      </c>
      <c r="Q836" s="3" t="s">
        <v>67</v>
      </c>
    </row>
    <row r="837" spans="4:17" ht="17.649999999999999" x14ac:dyDescent="0.5">
      <c r="D837" s="3" t="s">
        <v>115</v>
      </c>
      <c r="Q837" s="3" t="s">
        <v>115</v>
      </c>
    </row>
    <row r="838" spans="4:17" ht="17.649999999999999" x14ac:dyDescent="0.5">
      <c r="D838" s="3" t="s">
        <v>84</v>
      </c>
      <c r="Q838" s="3" t="s">
        <v>84</v>
      </c>
    </row>
    <row r="839" spans="4:17" ht="17.649999999999999" x14ac:dyDescent="0.5">
      <c r="D839" s="3" t="s">
        <v>83</v>
      </c>
      <c r="Q839" s="3" t="s">
        <v>83</v>
      </c>
    </row>
    <row r="840" spans="4:17" ht="17.649999999999999" x14ac:dyDescent="0.5">
      <c r="D840" s="3" t="s">
        <v>105</v>
      </c>
      <c r="Q840" s="3" t="s">
        <v>105</v>
      </c>
    </row>
    <row r="841" spans="4:17" ht="17.649999999999999" x14ac:dyDescent="0.5">
      <c r="D841" s="3" t="s">
        <v>103</v>
      </c>
      <c r="Q841" s="3" t="s">
        <v>103</v>
      </c>
    </row>
    <row r="842" spans="4:17" ht="17.649999999999999" x14ac:dyDescent="0.5">
      <c r="D842" s="3" t="s">
        <v>61</v>
      </c>
      <c r="Q842" s="3" t="s">
        <v>61</v>
      </c>
    </row>
    <row r="843" spans="4:17" ht="17.649999999999999" x14ac:dyDescent="0.5">
      <c r="D843" s="3" t="s">
        <v>93</v>
      </c>
      <c r="Q843" s="3" t="s">
        <v>93</v>
      </c>
    </row>
    <row r="844" spans="4:17" ht="17.649999999999999" x14ac:dyDescent="0.5">
      <c r="D844" s="3" t="s">
        <v>50</v>
      </c>
      <c r="Q844" s="3" t="s">
        <v>50</v>
      </c>
    </row>
    <row r="845" spans="4:17" ht="17.649999999999999" x14ac:dyDescent="0.5">
      <c r="D845" s="3" t="s">
        <v>107</v>
      </c>
      <c r="Q845" s="3" t="s">
        <v>107</v>
      </c>
    </row>
    <row r="846" spans="4:17" ht="17.649999999999999" x14ac:dyDescent="0.5">
      <c r="D846" s="3" t="s">
        <v>75</v>
      </c>
      <c r="Q846" s="3" t="s">
        <v>75</v>
      </c>
    </row>
    <row r="847" spans="4:17" ht="17.649999999999999" x14ac:dyDescent="0.5">
      <c r="D847" s="3" t="s">
        <v>73</v>
      </c>
      <c r="Q847" s="3" t="s">
        <v>73</v>
      </c>
    </row>
    <row r="848" spans="4:17" ht="17.649999999999999" x14ac:dyDescent="0.5">
      <c r="D848" s="3" t="s">
        <v>57</v>
      </c>
      <c r="Q848" s="3" t="s">
        <v>57</v>
      </c>
    </row>
    <row r="849" spans="4:17" ht="17.649999999999999" x14ac:dyDescent="0.5">
      <c r="D849" s="3" t="s">
        <v>94</v>
      </c>
      <c r="Q849" s="3" t="s">
        <v>94</v>
      </c>
    </row>
    <row r="850" spans="4:17" ht="17.649999999999999" x14ac:dyDescent="0.5">
      <c r="D850" s="3" t="s">
        <v>43</v>
      </c>
      <c r="Q850" s="3" t="s">
        <v>43</v>
      </c>
    </row>
    <row r="851" spans="4:17" ht="17.649999999999999" x14ac:dyDescent="0.5">
      <c r="D851" s="3" t="s">
        <v>74</v>
      </c>
      <c r="Q851" s="3" t="s">
        <v>74</v>
      </c>
    </row>
    <row r="852" spans="4:17" ht="17.649999999999999" x14ac:dyDescent="0.5">
      <c r="D852" s="3" t="s">
        <v>53</v>
      </c>
      <c r="Q852" s="3" t="s">
        <v>53</v>
      </c>
    </row>
    <row r="853" spans="4:17" ht="17.649999999999999" x14ac:dyDescent="0.5">
      <c r="D853" s="3" t="s">
        <v>115</v>
      </c>
      <c r="Q853" s="3" t="s">
        <v>115</v>
      </c>
    </row>
    <row r="854" spans="4:17" ht="17.649999999999999" x14ac:dyDescent="0.5">
      <c r="D854" s="3" t="s">
        <v>51</v>
      </c>
      <c r="Q854" s="3" t="s">
        <v>51</v>
      </c>
    </row>
    <row r="855" spans="4:17" ht="17.649999999999999" x14ac:dyDescent="0.5">
      <c r="D855" s="3" t="s">
        <v>79</v>
      </c>
      <c r="Q855" s="3" t="s">
        <v>79</v>
      </c>
    </row>
    <row r="856" spans="4:17" ht="17.649999999999999" x14ac:dyDescent="0.5">
      <c r="D856" s="3" t="s">
        <v>112</v>
      </c>
      <c r="Q856" s="3" t="s">
        <v>112</v>
      </c>
    </row>
    <row r="857" spans="4:17" ht="17.649999999999999" x14ac:dyDescent="0.5">
      <c r="D857" s="3" t="s">
        <v>42</v>
      </c>
      <c r="Q857" s="3" t="s">
        <v>42</v>
      </c>
    </row>
    <row r="858" spans="4:17" ht="17.649999999999999" x14ac:dyDescent="0.5">
      <c r="D858" s="3" t="s">
        <v>74</v>
      </c>
      <c r="Q858" s="3" t="s">
        <v>74</v>
      </c>
    </row>
    <row r="859" spans="4:17" ht="17.649999999999999" x14ac:dyDescent="0.5">
      <c r="D859" s="3" t="s">
        <v>55</v>
      </c>
      <c r="Q859" s="3" t="s">
        <v>55</v>
      </c>
    </row>
    <row r="860" spans="4:17" ht="17.649999999999999" x14ac:dyDescent="0.5">
      <c r="D860" s="3" t="s">
        <v>101</v>
      </c>
      <c r="Q860" s="3" t="s">
        <v>101</v>
      </c>
    </row>
    <row r="861" spans="4:17" ht="17.649999999999999" x14ac:dyDescent="0.5">
      <c r="D861" s="3" t="s">
        <v>103</v>
      </c>
      <c r="Q861" s="3" t="s">
        <v>103</v>
      </c>
    </row>
    <row r="862" spans="4:17" ht="17.649999999999999" x14ac:dyDescent="0.5">
      <c r="D862" s="3" t="s">
        <v>44</v>
      </c>
      <c r="Q862" s="3" t="s">
        <v>44</v>
      </c>
    </row>
    <row r="863" spans="4:17" ht="17.649999999999999" x14ac:dyDescent="0.5">
      <c r="D863" s="3" t="s">
        <v>80</v>
      </c>
      <c r="Q863" s="3" t="s">
        <v>80</v>
      </c>
    </row>
    <row r="864" spans="4:17" ht="17.649999999999999" x14ac:dyDescent="0.5">
      <c r="D864" s="3" t="s">
        <v>90</v>
      </c>
      <c r="Q864" s="3" t="s">
        <v>90</v>
      </c>
    </row>
    <row r="865" spans="4:17" ht="17.649999999999999" x14ac:dyDescent="0.5">
      <c r="D865" s="3" t="s">
        <v>64</v>
      </c>
      <c r="Q865" s="3" t="s">
        <v>64</v>
      </c>
    </row>
    <row r="866" spans="4:17" ht="17.649999999999999" x14ac:dyDescent="0.5">
      <c r="D866" s="3" t="s">
        <v>98</v>
      </c>
      <c r="Q866" s="3" t="s">
        <v>98</v>
      </c>
    </row>
    <row r="867" spans="4:17" ht="17.649999999999999" x14ac:dyDescent="0.5">
      <c r="D867" s="3" t="s">
        <v>67</v>
      </c>
      <c r="Q867" s="3" t="s">
        <v>67</v>
      </c>
    </row>
    <row r="868" spans="4:17" ht="17.649999999999999" x14ac:dyDescent="0.5">
      <c r="D868" s="3" t="s">
        <v>46</v>
      </c>
      <c r="Q868" s="3" t="s">
        <v>46</v>
      </c>
    </row>
    <row r="869" spans="4:17" ht="17.649999999999999" x14ac:dyDescent="0.5">
      <c r="D869" s="3" t="s">
        <v>52</v>
      </c>
      <c r="Q869" s="3" t="s">
        <v>52</v>
      </c>
    </row>
    <row r="870" spans="4:17" ht="17.649999999999999" x14ac:dyDescent="0.5">
      <c r="D870" s="3" t="s">
        <v>68</v>
      </c>
      <c r="Q870" s="3" t="s">
        <v>68</v>
      </c>
    </row>
    <row r="871" spans="4:17" ht="17.649999999999999" x14ac:dyDescent="0.5">
      <c r="D871" s="3" t="s">
        <v>74</v>
      </c>
      <c r="Q871" s="3" t="s">
        <v>74</v>
      </c>
    </row>
    <row r="872" spans="4:17" ht="17.649999999999999" x14ac:dyDescent="0.5">
      <c r="D872" s="3" t="s">
        <v>112</v>
      </c>
      <c r="Q872" s="3" t="s">
        <v>112</v>
      </c>
    </row>
    <row r="873" spans="4:17" ht="17.649999999999999" x14ac:dyDescent="0.5">
      <c r="D873" s="3" t="s">
        <v>43</v>
      </c>
      <c r="Q873" s="3" t="s">
        <v>43</v>
      </c>
    </row>
    <row r="874" spans="4:17" ht="17.649999999999999" x14ac:dyDescent="0.5">
      <c r="D874" s="3" t="s">
        <v>44</v>
      </c>
      <c r="Q874" s="3" t="s">
        <v>44</v>
      </c>
    </row>
    <row r="875" spans="4:17" ht="17.649999999999999" x14ac:dyDescent="0.5">
      <c r="D875" s="3" t="s">
        <v>111</v>
      </c>
      <c r="Q875" s="3" t="s">
        <v>111</v>
      </c>
    </row>
    <row r="876" spans="4:17" ht="17.649999999999999" x14ac:dyDescent="0.5">
      <c r="D876" s="3" t="s">
        <v>74</v>
      </c>
      <c r="Q876" s="3" t="s">
        <v>74</v>
      </c>
    </row>
    <row r="877" spans="4:17" ht="17.649999999999999" x14ac:dyDescent="0.5">
      <c r="D877" s="3" t="s">
        <v>107</v>
      </c>
      <c r="Q877" s="3" t="s">
        <v>107</v>
      </c>
    </row>
    <row r="878" spans="4:17" ht="17.649999999999999" x14ac:dyDescent="0.5">
      <c r="D878" s="3" t="s">
        <v>88</v>
      </c>
      <c r="Q878" s="3" t="s">
        <v>88</v>
      </c>
    </row>
    <row r="879" spans="4:17" ht="17.649999999999999" x14ac:dyDescent="0.5">
      <c r="D879" s="3" t="s">
        <v>101</v>
      </c>
      <c r="Q879" s="3" t="s">
        <v>101</v>
      </c>
    </row>
    <row r="880" spans="4:17" ht="17.649999999999999" x14ac:dyDescent="0.5">
      <c r="D880" s="3" t="s">
        <v>73</v>
      </c>
      <c r="Q880" s="3" t="s">
        <v>73</v>
      </c>
    </row>
    <row r="881" spans="4:17" ht="17.649999999999999" x14ac:dyDescent="0.5">
      <c r="D881" s="3" t="s">
        <v>78</v>
      </c>
      <c r="Q881" s="3" t="s">
        <v>78</v>
      </c>
    </row>
    <row r="882" spans="4:17" ht="17.649999999999999" x14ac:dyDescent="0.5">
      <c r="D882" s="3" t="s">
        <v>131</v>
      </c>
      <c r="Q882" s="3" t="s">
        <v>131</v>
      </c>
    </row>
    <row r="883" spans="4:17" ht="17.649999999999999" x14ac:dyDescent="0.5">
      <c r="D883" s="3" t="s">
        <v>84</v>
      </c>
      <c r="Q883" s="3" t="s">
        <v>84</v>
      </c>
    </row>
    <row r="884" spans="4:17" ht="17.649999999999999" x14ac:dyDescent="0.5">
      <c r="D884" s="3" t="s">
        <v>78</v>
      </c>
      <c r="Q884" s="3" t="s">
        <v>78</v>
      </c>
    </row>
    <row r="885" spans="4:17" ht="17.649999999999999" x14ac:dyDescent="0.5">
      <c r="D885" s="3" t="s">
        <v>66</v>
      </c>
      <c r="Q885" s="3" t="s">
        <v>66</v>
      </c>
    </row>
    <row r="886" spans="4:17" ht="17.649999999999999" x14ac:dyDescent="0.5">
      <c r="D886" s="3" t="s">
        <v>52</v>
      </c>
      <c r="Q886" s="3" t="s">
        <v>52</v>
      </c>
    </row>
    <row r="887" spans="4:17" ht="17.649999999999999" x14ac:dyDescent="0.5">
      <c r="D887" s="3" t="s">
        <v>128</v>
      </c>
      <c r="Q887" s="3" t="s">
        <v>128</v>
      </c>
    </row>
    <row r="888" spans="4:17" ht="17.649999999999999" x14ac:dyDescent="0.5">
      <c r="D888" s="3" t="s">
        <v>92</v>
      </c>
      <c r="Q888" s="3" t="s">
        <v>92</v>
      </c>
    </row>
    <row r="889" spans="4:17" ht="17.649999999999999" x14ac:dyDescent="0.5">
      <c r="D889" s="3" t="s">
        <v>69</v>
      </c>
      <c r="Q889" s="3" t="s">
        <v>69</v>
      </c>
    </row>
    <row r="890" spans="4:17" ht="17.649999999999999" x14ac:dyDescent="0.5">
      <c r="D890" s="3" t="s">
        <v>126</v>
      </c>
      <c r="Q890" s="3" t="s">
        <v>126</v>
      </c>
    </row>
    <row r="891" spans="4:17" ht="17.649999999999999" x14ac:dyDescent="0.5">
      <c r="D891" s="3" t="s">
        <v>104</v>
      </c>
      <c r="Q891" s="3" t="s">
        <v>104</v>
      </c>
    </row>
    <row r="892" spans="4:17" ht="17.649999999999999" x14ac:dyDescent="0.5">
      <c r="D892" s="3" t="s">
        <v>106</v>
      </c>
      <c r="Q892" s="3" t="s">
        <v>106</v>
      </c>
    </row>
    <row r="893" spans="4:17" ht="17.649999999999999" x14ac:dyDescent="0.5">
      <c r="D893" s="3" t="s">
        <v>79</v>
      </c>
      <c r="Q893" s="3" t="s">
        <v>79</v>
      </c>
    </row>
    <row r="894" spans="4:17" ht="17.649999999999999" x14ac:dyDescent="0.5">
      <c r="D894" s="3" t="s">
        <v>96</v>
      </c>
      <c r="Q894" s="3" t="s">
        <v>96</v>
      </c>
    </row>
    <row r="895" spans="4:17" ht="17.649999999999999" x14ac:dyDescent="0.5">
      <c r="D895" s="3" t="s">
        <v>77</v>
      </c>
      <c r="Q895" s="3" t="s">
        <v>77</v>
      </c>
    </row>
    <row r="896" spans="4:17" ht="17.649999999999999" x14ac:dyDescent="0.5">
      <c r="D896" s="3" t="s">
        <v>67</v>
      </c>
      <c r="Q896" s="3" t="s">
        <v>67</v>
      </c>
    </row>
    <row r="897" spans="4:17" ht="17.649999999999999" x14ac:dyDescent="0.5">
      <c r="D897" s="3" t="s">
        <v>67</v>
      </c>
      <c r="Q897" s="3" t="s">
        <v>67</v>
      </c>
    </row>
    <row r="898" spans="4:17" ht="17.649999999999999" x14ac:dyDescent="0.5">
      <c r="D898" s="3" t="s">
        <v>123</v>
      </c>
      <c r="Q898" s="3" t="s">
        <v>123</v>
      </c>
    </row>
    <row r="899" spans="4:17" ht="17.649999999999999" x14ac:dyDescent="0.5">
      <c r="D899" s="3" t="s">
        <v>111</v>
      </c>
      <c r="Q899" s="3" t="s">
        <v>111</v>
      </c>
    </row>
    <row r="900" spans="4:17" ht="17.649999999999999" x14ac:dyDescent="0.5">
      <c r="D900" s="3" t="s">
        <v>103</v>
      </c>
      <c r="Q900" s="3" t="s">
        <v>103</v>
      </c>
    </row>
    <row r="901" spans="4:17" ht="17.649999999999999" x14ac:dyDescent="0.5">
      <c r="D901" s="3" t="s">
        <v>122</v>
      </c>
      <c r="Q901" s="3" t="s">
        <v>122</v>
      </c>
    </row>
    <row r="902" spans="4:17" ht="17.649999999999999" x14ac:dyDescent="0.5">
      <c r="D902" s="3" t="s">
        <v>84</v>
      </c>
      <c r="Q902" s="3" t="s">
        <v>84</v>
      </c>
    </row>
    <row r="903" spans="4:17" ht="17.649999999999999" x14ac:dyDescent="0.5">
      <c r="D903" s="3" t="s">
        <v>41</v>
      </c>
      <c r="Q903" s="3" t="s">
        <v>41</v>
      </c>
    </row>
    <row r="904" spans="4:17" ht="17.649999999999999" x14ac:dyDescent="0.5">
      <c r="D904" s="3" t="s">
        <v>98</v>
      </c>
      <c r="Q904" s="3" t="s">
        <v>98</v>
      </c>
    </row>
    <row r="905" spans="4:17" ht="17.649999999999999" x14ac:dyDescent="0.5">
      <c r="D905" s="3" t="s">
        <v>51</v>
      </c>
      <c r="Q905" s="3" t="s">
        <v>51</v>
      </c>
    </row>
    <row r="906" spans="4:17" ht="17.649999999999999" x14ac:dyDescent="0.5">
      <c r="D906" s="3" t="s">
        <v>47</v>
      </c>
      <c r="Q906" s="3" t="s">
        <v>47</v>
      </c>
    </row>
    <row r="907" spans="4:17" ht="17.649999999999999" x14ac:dyDescent="0.5">
      <c r="D907" s="3" t="s">
        <v>75</v>
      </c>
      <c r="Q907" s="3" t="s">
        <v>75</v>
      </c>
    </row>
    <row r="908" spans="4:17" ht="17.649999999999999" x14ac:dyDescent="0.5">
      <c r="D908" s="3" t="s">
        <v>51</v>
      </c>
      <c r="Q908" s="3" t="s">
        <v>51</v>
      </c>
    </row>
    <row r="909" spans="4:17" ht="17.649999999999999" x14ac:dyDescent="0.5">
      <c r="D909" s="3" t="s">
        <v>56</v>
      </c>
      <c r="Q909" s="3" t="s">
        <v>56</v>
      </c>
    </row>
    <row r="910" spans="4:17" ht="17.649999999999999" x14ac:dyDescent="0.5">
      <c r="D910" s="3" t="s">
        <v>96</v>
      </c>
      <c r="Q910" s="3" t="s">
        <v>96</v>
      </c>
    </row>
    <row r="911" spans="4:17" ht="17.649999999999999" x14ac:dyDescent="0.5">
      <c r="D911" s="3" t="s">
        <v>67</v>
      </c>
      <c r="Q911" s="3" t="s">
        <v>67</v>
      </c>
    </row>
    <row r="912" spans="4:17" ht="17.649999999999999" x14ac:dyDescent="0.5">
      <c r="D912" s="3" t="s">
        <v>48</v>
      </c>
      <c r="Q912" s="3" t="s">
        <v>48</v>
      </c>
    </row>
    <row r="913" spans="4:17" ht="17.649999999999999" x14ac:dyDescent="0.5">
      <c r="D913" s="3" t="s">
        <v>136</v>
      </c>
      <c r="Q913" s="3" t="s">
        <v>136</v>
      </c>
    </row>
    <row r="914" spans="4:17" ht="17.649999999999999" x14ac:dyDescent="0.5">
      <c r="D914" s="3" t="s">
        <v>59</v>
      </c>
      <c r="Q914" s="3" t="s">
        <v>59</v>
      </c>
    </row>
    <row r="915" spans="4:17" ht="17.649999999999999" x14ac:dyDescent="0.5">
      <c r="D915" s="3" t="s">
        <v>82</v>
      </c>
      <c r="Q915" s="3" t="s">
        <v>82</v>
      </c>
    </row>
    <row r="916" spans="4:17" ht="17.649999999999999" x14ac:dyDescent="0.5">
      <c r="D916" s="3" t="s">
        <v>52</v>
      </c>
      <c r="Q916" s="3" t="s">
        <v>52</v>
      </c>
    </row>
    <row r="917" spans="4:17" ht="17.649999999999999" x14ac:dyDescent="0.5">
      <c r="D917" s="3" t="s">
        <v>50</v>
      </c>
      <c r="Q917" s="3" t="s">
        <v>50</v>
      </c>
    </row>
    <row r="918" spans="4:17" ht="17.649999999999999" x14ac:dyDescent="0.5">
      <c r="D918" s="3" t="s">
        <v>48</v>
      </c>
      <c r="Q918" s="3" t="s">
        <v>48</v>
      </c>
    </row>
    <row r="919" spans="4:17" ht="17.649999999999999" x14ac:dyDescent="0.5">
      <c r="D919" s="3" t="s">
        <v>96</v>
      </c>
      <c r="Q919" s="3" t="s">
        <v>96</v>
      </c>
    </row>
    <row r="920" spans="4:17" ht="17.649999999999999" x14ac:dyDescent="0.5">
      <c r="D920" s="3" t="s">
        <v>95</v>
      </c>
      <c r="Q920" s="3" t="s">
        <v>95</v>
      </c>
    </row>
    <row r="921" spans="4:17" ht="17.649999999999999" x14ac:dyDescent="0.5">
      <c r="D921" s="3" t="s">
        <v>99</v>
      </c>
      <c r="Q921" s="3" t="s">
        <v>99</v>
      </c>
    </row>
    <row r="922" spans="4:17" ht="17.649999999999999" x14ac:dyDescent="0.5">
      <c r="D922" s="3" t="s">
        <v>75</v>
      </c>
      <c r="Q922" s="3" t="s">
        <v>75</v>
      </c>
    </row>
    <row r="923" spans="4:17" ht="17.649999999999999" x14ac:dyDescent="0.5">
      <c r="D923" s="3" t="s">
        <v>73</v>
      </c>
      <c r="Q923" s="3" t="s">
        <v>73</v>
      </c>
    </row>
    <row r="924" spans="4:17" ht="17.649999999999999" x14ac:dyDescent="0.5">
      <c r="D924" s="3" t="s">
        <v>48</v>
      </c>
      <c r="Q924" s="3" t="s">
        <v>48</v>
      </c>
    </row>
    <row r="925" spans="4:17" ht="17.649999999999999" x14ac:dyDescent="0.5">
      <c r="D925" s="3" t="s">
        <v>75</v>
      </c>
      <c r="Q925" s="3" t="s">
        <v>75</v>
      </c>
    </row>
    <row r="926" spans="4:17" ht="17.649999999999999" x14ac:dyDescent="0.5">
      <c r="D926" s="3" t="s">
        <v>51</v>
      </c>
      <c r="Q926" s="3" t="s">
        <v>51</v>
      </c>
    </row>
    <row r="927" spans="4:17" ht="17.649999999999999" x14ac:dyDescent="0.5">
      <c r="D927" s="3" t="s">
        <v>107</v>
      </c>
      <c r="Q927" s="3" t="s">
        <v>107</v>
      </c>
    </row>
    <row r="928" spans="4:17" ht="17.649999999999999" x14ac:dyDescent="0.5">
      <c r="D928" s="3" t="s">
        <v>74</v>
      </c>
      <c r="Q928" s="3" t="s">
        <v>74</v>
      </c>
    </row>
    <row r="929" spans="4:17" ht="17.649999999999999" x14ac:dyDescent="0.5">
      <c r="D929" s="3" t="s">
        <v>52</v>
      </c>
      <c r="Q929" s="3" t="s">
        <v>52</v>
      </c>
    </row>
    <row r="930" spans="4:17" ht="17.649999999999999" x14ac:dyDescent="0.5">
      <c r="D930" s="3" t="s">
        <v>63</v>
      </c>
      <c r="Q930" s="3" t="s">
        <v>63</v>
      </c>
    </row>
    <row r="931" spans="4:17" ht="17.649999999999999" x14ac:dyDescent="0.5">
      <c r="D931" s="3" t="s">
        <v>134</v>
      </c>
      <c r="Q931" s="3" t="s">
        <v>134</v>
      </c>
    </row>
    <row r="932" spans="4:17" ht="17.649999999999999" x14ac:dyDescent="0.5">
      <c r="D932" s="3" t="s">
        <v>87</v>
      </c>
      <c r="Q932" s="3" t="s">
        <v>87</v>
      </c>
    </row>
    <row r="933" spans="4:17" ht="17.649999999999999" x14ac:dyDescent="0.5">
      <c r="D933" s="3" t="s">
        <v>58</v>
      </c>
      <c r="Q933" s="3" t="s">
        <v>58</v>
      </c>
    </row>
    <row r="934" spans="4:17" ht="17.649999999999999" x14ac:dyDescent="0.5">
      <c r="D934" s="3" t="s">
        <v>94</v>
      </c>
      <c r="Q934" s="3" t="s">
        <v>94</v>
      </c>
    </row>
    <row r="935" spans="4:17" ht="17.649999999999999" x14ac:dyDescent="0.5">
      <c r="D935" s="3" t="s">
        <v>87</v>
      </c>
      <c r="Q935" s="3" t="s">
        <v>87</v>
      </c>
    </row>
    <row r="936" spans="4:17" ht="17.649999999999999" x14ac:dyDescent="0.5">
      <c r="D936" s="3" t="s">
        <v>46</v>
      </c>
      <c r="Q936" s="3" t="s">
        <v>46</v>
      </c>
    </row>
    <row r="937" spans="4:17" ht="17.649999999999999" x14ac:dyDescent="0.5">
      <c r="D937" s="3" t="s">
        <v>52</v>
      </c>
      <c r="Q937" s="3" t="s">
        <v>52</v>
      </c>
    </row>
    <row r="938" spans="4:17" ht="17.649999999999999" x14ac:dyDescent="0.5">
      <c r="D938" s="3" t="s">
        <v>68</v>
      </c>
      <c r="Q938" s="3" t="s">
        <v>68</v>
      </c>
    </row>
    <row r="939" spans="4:17" ht="17.649999999999999" x14ac:dyDescent="0.5">
      <c r="D939" s="3" t="s">
        <v>105</v>
      </c>
      <c r="Q939" s="3" t="s">
        <v>105</v>
      </c>
    </row>
    <row r="940" spans="4:17" ht="17.649999999999999" x14ac:dyDescent="0.5">
      <c r="D940" s="3" t="s">
        <v>128</v>
      </c>
      <c r="Q940" s="3" t="s">
        <v>128</v>
      </c>
    </row>
    <row r="941" spans="4:17" ht="17.649999999999999" x14ac:dyDescent="0.5">
      <c r="D941" s="3" t="s">
        <v>54</v>
      </c>
      <c r="Q941" s="3" t="s">
        <v>54</v>
      </c>
    </row>
    <row r="942" spans="4:17" ht="17.649999999999999" x14ac:dyDescent="0.5">
      <c r="D942" s="3" t="s">
        <v>66</v>
      </c>
      <c r="Q942" s="3" t="s">
        <v>66</v>
      </c>
    </row>
    <row r="943" spans="4:17" ht="17.649999999999999" x14ac:dyDescent="0.5">
      <c r="D943" s="3" t="s">
        <v>101</v>
      </c>
      <c r="Q943" s="3" t="s">
        <v>101</v>
      </c>
    </row>
    <row r="944" spans="4:17" ht="17.649999999999999" x14ac:dyDescent="0.5">
      <c r="D944" s="3" t="s">
        <v>94</v>
      </c>
      <c r="Q944" s="3" t="s">
        <v>94</v>
      </c>
    </row>
    <row r="945" spans="4:17" ht="17.649999999999999" x14ac:dyDescent="0.5">
      <c r="D945" s="3" t="s">
        <v>124</v>
      </c>
      <c r="Q945" s="3" t="s">
        <v>124</v>
      </c>
    </row>
    <row r="946" spans="4:17" ht="17.649999999999999" x14ac:dyDescent="0.5">
      <c r="D946" s="3" t="s">
        <v>59</v>
      </c>
      <c r="Q946" s="3" t="s">
        <v>59</v>
      </c>
    </row>
    <row r="947" spans="4:17" ht="17.649999999999999" x14ac:dyDescent="0.5">
      <c r="D947" s="3" t="s">
        <v>110</v>
      </c>
      <c r="Q947" s="3" t="s">
        <v>110</v>
      </c>
    </row>
    <row r="948" spans="4:17" ht="17.649999999999999" x14ac:dyDescent="0.5">
      <c r="D948" s="3" t="s">
        <v>55</v>
      </c>
      <c r="Q948" s="3" t="s">
        <v>55</v>
      </c>
    </row>
    <row r="949" spans="4:17" ht="17.649999999999999" x14ac:dyDescent="0.5">
      <c r="D949" s="3" t="s">
        <v>119</v>
      </c>
      <c r="Q949" s="3" t="s">
        <v>119</v>
      </c>
    </row>
    <row r="950" spans="4:17" ht="17.649999999999999" x14ac:dyDescent="0.5">
      <c r="D950" s="3" t="s">
        <v>92</v>
      </c>
      <c r="Q950" s="3" t="s">
        <v>92</v>
      </c>
    </row>
    <row r="951" spans="4:17" ht="17.649999999999999" x14ac:dyDescent="0.5">
      <c r="D951" s="3" t="s">
        <v>124</v>
      </c>
      <c r="Q951" s="3" t="s">
        <v>124</v>
      </c>
    </row>
    <row r="952" spans="4:17" ht="17.649999999999999" x14ac:dyDescent="0.5">
      <c r="D952" s="3" t="s">
        <v>43</v>
      </c>
      <c r="Q952" s="3" t="s">
        <v>43</v>
      </c>
    </row>
    <row r="953" spans="4:17" ht="17.649999999999999" x14ac:dyDescent="0.5">
      <c r="D953" s="3" t="s">
        <v>84</v>
      </c>
      <c r="Q953" s="3" t="s">
        <v>84</v>
      </c>
    </row>
    <row r="954" spans="4:17" ht="17.649999999999999" x14ac:dyDescent="0.5">
      <c r="D954" s="3" t="s">
        <v>115</v>
      </c>
      <c r="Q954" s="3" t="s">
        <v>115</v>
      </c>
    </row>
    <row r="955" spans="4:17" ht="17.649999999999999" x14ac:dyDescent="0.5">
      <c r="D955" s="3" t="s">
        <v>41</v>
      </c>
      <c r="Q955" s="3" t="s">
        <v>41</v>
      </c>
    </row>
    <row r="956" spans="4:17" ht="17.649999999999999" x14ac:dyDescent="0.5">
      <c r="D956" s="3" t="s">
        <v>49</v>
      </c>
      <c r="Q956" s="3" t="s">
        <v>49</v>
      </c>
    </row>
    <row r="957" spans="4:17" ht="17.649999999999999" x14ac:dyDescent="0.5">
      <c r="D957" s="3" t="s">
        <v>73</v>
      </c>
      <c r="Q957" s="3" t="s">
        <v>73</v>
      </c>
    </row>
    <row r="958" spans="4:17" ht="17.649999999999999" x14ac:dyDescent="0.5">
      <c r="D958" s="3" t="s">
        <v>48</v>
      </c>
      <c r="Q958" s="3" t="s">
        <v>48</v>
      </c>
    </row>
    <row r="959" spans="4:17" ht="17.649999999999999" x14ac:dyDescent="0.5">
      <c r="D959" s="3" t="s">
        <v>69</v>
      </c>
      <c r="Q959" s="3" t="s">
        <v>69</v>
      </c>
    </row>
    <row r="960" spans="4:17" ht="17.649999999999999" x14ac:dyDescent="0.5">
      <c r="D960" s="3" t="s">
        <v>71</v>
      </c>
      <c r="Q960" s="3" t="s">
        <v>71</v>
      </c>
    </row>
    <row r="961" spans="4:17" ht="17.649999999999999" x14ac:dyDescent="0.5">
      <c r="D961" s="3" t="s">
        <v>86</v>
      </c>
      <c r="Q961" s="3" t="s">
        <v>86</v>
      </c>
    </row>
    <row r="962" spans="4:17" ht="17.649999999999999" x14ac:dyDescent="0.5">
      <c r="D962" s="3" t="s">
        <v>83</v>
      </c>
      <c r="Q962" s="3" t="s">
        <v>83</v>
      </c>
    </row>
    <row r="963" spans="4:17" ht="17.649999999999999" x14ac:dyDescent="0.5">
      <c r="D963" s="3" t="s">
        <v>119</v>
      </c>
      <c r="Q963" s="3" t="s">
        <v>119</v>
      </c>
    </row>
    <row r="964" spans="4:17" ht="17.649999999999999" x14ac:dyDescent="0.5">
      <c r="D964" s="3" t="s">
        <v>132</v>
      </c>
      <c r="Q964" s="3" t="s">
        <v>132</v>
      </c>
    </row>
    <row r="965" spans="4:17" ht="17.649999999999999" x14ac:dyDescent="0.5">
      <c r="D965" s="3" t="s">
        <v>84</v>
      </c>
      <c r="Q965" s="3" t="s">
        <v>84</v>
      </c>
    </row>
    <row r="966" spans="4:17" ht="17.649999999999999" x14ac:dyDescent="0.5">
      <c r="D966" s="3" t="s">
        <v>133</v>
      </c>
      <c r="Q966" s="3" t="s">
        <v>133</v>
      </c>
    </row>
    <row r="967" spans="4:17" ht="17.649999999999999" x14ac:dyDescent="0.5">
      <c r="D967" s="3" t="s">
        <v>83</v>
      </c>
      <c r="Q967" s="3" t="s">
        <v>83</v>
      </c>
    </row>
    <row r="968" spans="4:17" ht="17.649999999999999" x14ac:dyDescent="0.5">
      <c r="D968" s="3" t="s">
        <v>98</v>
      </c>
      <c r="Q968" s="3" t="s">
        <v>98</v>
      </c>
    </row>
    <row r="969" spans="4:17" ht="17.649999999999999" x14ac:dyDescent="0.5">
      <c r="D969" s="3" t="s">
        <v>54</v>
      </c>
      <c r="Q969" s="3" t="s">
        <v>54</v>
      </c>
    </row>
    <row r="970" spans="4:17" ht="17.649999999999999" x14ac:dyDescent="0.5">
      <c r="D970" s="3" t="s">
        <v>58</v>
      </c>
      <c r="Q970" s="3" t="s">
        <v>58</v>
      </c>
    </row>
    <row r="971" spans="4:17" ht="17.649999999999999" x14ac:dyDescent="0.5">
      <c r="D971" s="3" t="s">
        <v>130</v>
      </c>
      <c r="Q971" s="3" t="s">
        <v>130</v>
      </c>
    </row>
    <row r="972" spans="4:17" ht="17.649999999999999" x14ac:dyDescent="0.5">
      <c r="D972" s="3" t="s">
        <v>136</v>
      </c>
      <c r="Q972" s="3" t="s">
        <v>136</v>
      </c>
    </row>
    <row r="973" spans="4:17" ht="17.649999999999999" x14ac:dyDescent="0.5">
      <c r="D973" s="3" t="s">
        <v>56</v>
      </c>
      <c r="Q973" s="3" t="s">
        <v>56</v>
      </c>
    </row>
    <row r="974" spans="4:17" ht="17.649999999999999" x14ac:dyDescent="0.5">
      <c r="D974" s="3" t="s">
        <v>82</v>
      </c>
      <c r="Q974" s="3" t="s">
        <v>82</v>
      </c>
    </row>
    <row r="975" spans="4:17" ht="17.649999999999999" x14ac:dyDescent="0.5">
      <c r="D975" s="3" t="s">
        <v>109</v>
      </c>
      <c r="Q975" s="3" t="s">
        <v>109</v>
      </c>
    </row>
    <row r="976" spans="4:17" ht="17.649999999999999" x14ac:dyDescent="0.5">
      <c r="D976" s="3" t="s">
        <v>91</v>
      </c>
      <c r="Q976" s="3" t="s">
        <v>91</v>
      </c>
    </row>
    <row r="977" spans="4:17" ht="17.649999999999999" x14ac:dyDescent="0.5">
      <c r="D977" s="3" t="s">
        <v>69</v>
      </c>
      <c r="Q977" s="3" t="s">
        <v>69</v>
      </c>
    </row>
    <row r="978" spans="4:17" ht="17.649999999999999" x14ac:dyDescent="0.5">
      <c r="D978" s="3" t="s">
        <v>106</v>
      </c>
      <c r="Q978" s="3" t="s">
        <v>106</v>
      </c>
    </row>
    <row r="979" spans="4:17" ht="17.649999999999999" x14ac:dyDescent="0.5">
      <c r="D979" s="3" t="s">
        <v>117</v>
      </c>
      <c r="Q979" s="3" t="s">
        <v>117</v>
      </c>
    </row>
    <row r="980" spans="4:17" ht="17.649999999999999" x14ac:dyDescent="0.5">
      <c r="D980" s="3" t="s">
        <v>105</v>
      </c>
      <c r="Q980" s="3" t="s">
        <v>105</v>
      </c>
    </row>
    <row r="981" spans="4:17" ht="17.649999999999999" x14ac:dyDescent="0.5">
      <c r="D981" s="3" t="s">
        <v>92</v>
      </c>
      <c r="Q981" s="3" t="s">
        <v>92</v>
      </c>
    </row>
    <row r="982" spans="4:17" ht="17.649999999999999" x14ac:dyDescent="0.5">
      <c r="D982" s="3" t="s">
        <v>119</v>
      </c>
      <c r="Q982" s="3" t="s">
        <v>119</v>
      </c>
    </row>
    <row r="983" spans="4:17" ht="17.649999999999999" x14ac:dyDescent="0.5">
      <c r="D983" s="3" t="s">
        <v>59</v>
      </c>
      <c r="Q983" s="3" t="s">
        <v>59</v>
      </c>
    </row>
    <row r="984" spans="4:17" ht="17.649999999999999" x14ac:dyDescent="0.5">
      <c r="D984" s="3" t="s">
        <v>51</v>
      </c>
      <c r="Q984" s="3" t="s">
        <v>51</v>
      </c>
    </row>
    <row r="985" spans="4:17" ht="17.649999999999999" x14ac:dyDescent="0.5">
      <c r="D985" s="3" t="s">
        <v>121</v>
      </c>
      <c r="Q985" s="3" t="s">
        <v>121</v>
      </c>
    </row>
    <row r="986" spans="4:17" ht="17.649999999999999" x14ac:dyDescent="0.5">
      <c r="D986" s="3" t="s">
        <v>52</v>
      </c>
      <c r="Q986" s="3" t="s">
        <v>52</v>
      </c>
    </row>
    <row r="987" spans="4:17" ht="17.649999999999999" x14ac:dyDescent="0.5">
      <c r="D987" s="3" t="s">
        <v>112</v>
      </c>
      <c r="Q987" s="3" t="s">
        <v>112</v>
      </c>
    </row>
    <row r="988" spans="4:17" ht="17.649999999999999" x14ac:dyDescent="0.5">
      <c r="D988" s="3" t="s">
        <v>92</v>
      </c>
      <c r="Q988" s="3" t="s">
        <v>92</v>
      </c>
    </row>
    <row r="989" spans="4:17" ht="17.649999999999999" x14ac:dyDescent="0.5">
      <c r="D989" s="3" t="s">
        <v>46</v>
      </c>
      <c r="Q989" s="3" t="s">
        <v>46</v>
      </c>
    </row>
    <row r="990" spans="4:17" ht="17.649999999999999" x14ac:dyDescent="0.5">
      <c r="D990" s="3" t="s">
        <v>111</v>
      </c>
      <c r="Q990" s="3" t="s">
        <v>111</v>
      </c>
    </row>
    <row r="991" spans="4:17" ht="17.649999999999999" x14ac:dyDescent="0.5">
      <c r="D991" s="3" t="s">
        <v>43</v>
      </c>
      <c r="Q991" s="3" t="s">
        <v>43</v>
      </c>
    </row>
    <row r="992" spans="4:17" ht="17.649999999999999" x14ac:dyDescent="0.5">
      <c r="D992" s="3" t="s">
        <v>53</v>
      </c>
      <c r="Q992" s="3" t="s">
        <v>53</v>
      </c>
    </row>
    <row r="993" spans="4:17" ht="17.649999999999999" x14ac:dyDescent="0.5">
      <c r="D993" s="3" t="s">
        <v>103</v>
      </c>
      <c r="Q993" s="3" t="s">
        <v>103</v>
      </c>
    </row>
    <row r="994" spans="4:17" ht="17.649999999999999" x14ac:dyDescent="0.5">
      <c r="D994" s="3" t="s">
        <v>59</v>
      </c>
      <c r="Q994" s="3" t="s">
        <v>59</v>
      </c>
    </row>
    <row r="995" spans="4:17" ht="17.649999999999999" x14ac:dyDescent="0.5">
      <c r="D995" s="3" t="s">
        <v>67</v>
      </c>
      <c r="Q995" s="3" t="s">
        <v>67</v>
      </c>
    </row>
    <row r="996" spans="4:17" ht="17.649999999999999" x14ac:dyDescent="0.5">
      <c r="D996" s="3" t="s">
        <v>121</v>
      </c>
      <c r="Q996" s="3" t="s">
        <v>121</v>
      </c>
    </row>
    <row r="997" spans="4:17" ht="17.649999999999999" x14ac:dyDescent="0.5">
      <c r="D997" s="3" t="s">
        <v>59</v>
      </c>
      <c r="Q997" s="3" t="s">
        <v>59</v>
      </c>
    </row>
    <row r="998" spans="4:17" ht="17.649999999999999" x14ac:dyDescent="0.5">
      <c r="D998" s="3" t="s">
        <v>112</v>
      </c>
      <c r="Q998" s="3" t="s">
        <v>112</v>
      </c>
    </row>
    <row r="999" spans="4:17" ht="17.649999999999999" x14ac:dyDescent="0.5">
      <c r="D999" s="3" t="s">
        <v>117</v>
      </c>
      <c r="Q999" s="3" t="s">
        <v>117</v>
      </c>
    </row>
    <row r="1000" spans="4:17" ht="17.649999999999999" x14ac:dyDescent="0.5">
      <c r="D1000" s="3" t="s">
        <v>129</v>
      </c>
      <c r="Q1000" s="3" t="s">
        <v>129</v>
      </c>
    </row>
    <row r="1001" spans="4:17" ht="17.649999999999999" x14ac:dyDescent="0.5">
      <c r="D1001" s="3" t="s">
        <v>47</v>
      </c>
      <c r="Q1001" s="3" t="s">
        <v>47</v>
      </c>
    </row>
    <row r="1002" spans="4:17" ht="17.649999999999999" x14ac:dyDescent="0.5">
      <c r="D1002" s="3" t="s">
        <v>117</v>
      </c>
      <c r="Q1002" s="3" t="s">
        <v>117</v>
      </c>
    </row>
    <row r="1003" spans="4:17" ht="17.649999999999999" x14ac:dyDescent="0.5">
      <c r="D1003" s="3" t="s">
        <v>87</v>
      </c>
      <c r="Q1003" s="3" t="s">
        <v>87</v>
      </c>
    </row>
    <row r="1004" spans="4:17" ht="17.649999999999999" x14ac:dyDescent="0.5">
      <c r="D1004" s="3" t="s">
        <v>53</v>
      </c>
      <c r="Q1004" s="3" t="s">
        <v>53</v>
      </c>
    </row>
    <row r="1005" spans="4:17" ht="17.649999999999999" x14ac:dyDescent="0.5">
      <c r="D1005" s="3" t="s">
        <v>84</v>
      </c>
      <c r="Q1005" s="3" t="s">
        <v>84</v>
      </c>
    </row>
    <row r="1006" spans="4:17" ht="17.649999999999999" x14ac:dyDescent="0.5">
      <c r="D1006" s="3" t="s">
        <v>83</v>
      </c>
      <c r="Q1006" s="3" t="s">
        <v>83</v>
      </c>
    </row>
    <row r="1007" spans="4:17" ht="17.649999999999999" x14ac:dyDescent="0.5">
      <c r="D1007" s="3" t="s">
        <v>103</v>
      </c>
      <c r="Q1007" s="3" t="s">
        <v>103</v>
      </c>
    </row>
    <row r="1008" spans="4:17" ht="17.649999999999999" x14ac:dyDescent="0.5">
      <c r="D1008" s="3" t="s">
        <v>115</v>
      </c>
      <c r="Q1008" s="3" t="s">
        <v>115</v>
      </c>
    </row>
    <row r="1009" spans="4:17" ht="17.649999999999999" x14ac:dyDescent="0.5">
      <c r="D1009" s="3" t="s">
        <v>119</v>
      </c>
      <c r="Q1009" s="3" t="s">
        <v>119</v>
      </c>
    </row>
    <row r="1010" spans="4:17" ht="17.649999999999999" x14ac:dyDescent="0.5">
      <c r="D1010" s="3" t="s">
        <v>61</v>
      </c>
      <c r="Q1010" s="3" t="s">
        <v>61</v>
      </c>
    </row>
    <row r="1011" spans="4:17" ht="17.649999999999999" x14ac:dyDescent="0.5">
      <c r="D1011" s="3" t="s">
        <v>63</v>
      </c>
      <c r="Q1011" s="3" t="s">
        <v>63</v>
      </c>
    </row>
    <row r="1012" spans="4:17" ht="17.649999999999999" x14ac:dyDescent="0.5">
      <c r="D1012" s="3" t="s">
        <v>95</v>
      </c>
      <c r="Q1012" s="3" t="s">
        <v>95</v>
      </c>
    </row>
    <row r="1013" spans="4:17" ht="17.649999999999999" x14ac:dyDescent="0.5">
      <c r="D1013" s="3" t="s">
        <v>87</v>
      </c>
      <c r="Q1013" s="3" t="s">
        <v>87</v>
      </c>
    </row>
    <row r="1014" spans="4:17" ht="17.649999999999999" x14ac:dyDescent="0.5">
      <c r="D1014" s="3" t="s">
        <v>98</v>
      </c>
      <c r="Q1014" s="3" t="s">
        <v>98</v>
      </c>
    </row>
    <row r="1015" spans="4:17" ht="17.649999999999999" x14ac:dyDescent="0.5">
      <c r="D1015" s="3" t="s">
        <v>77</v>
      </c>
      <c r="Q1015" s="3" t="s">
        <v>77</v>
      </c>
    </row>
    <row r="1016" spans="4:17" ht="17.649999999999999" x14ac:dyDescent="0.5">
      <c r="D1016" s="3" t="s">
        <v>128</v>
      </c>
      <c r="Q1016" s="3" t="s">
        <v>128</v>
      </c>
    </row>
    <row r="1017" spans="4:17" ht="17.649999999999999" x14ac:dyDescent="0.5">
      <c r="D1017" s="3" t="s">
        <v>67</v>
      </c>
      <c r="Q1017" s="3" t="s">
        <v>67</v>
      </c>
    </row>
    <row r="1018" spans="4:17" ht="17.649999999999999" x14ac:dyDescent="0.5">
      <c r="D1018" s="3" t="s">
        <v>73</v>
      </c>
      <c r="Q1018" s="3" t="s">
        <v>73</v>
      </c>
    </row>
    <row r="1019" spans="4:17" ht="17.649999999999999" x14ac:dyDescent="0.5">
      <c r="D1019" s="3" t="s">
        <v>64</v>
      </c>
      <c r="Q1019" s="3" t="s">
        <v>64</v>
      </c>
    </row>
    <row r="1020" spans="4:17" ht="17.649999999999999" x14ac:dyDescent="0.5">
      <c r="D1020" s="3" t="s">
        <v>101</v>
      </c>
      <c r="Q1020" s="3" t="s">
        <v>101</v>
      </c>
    </row>
    <row r="1021" spans="4:17" ht="17.649999999999999" x14ac:dyDescent="0.5">
      <c r="D1021" s="3" t="s">
        <v>46</v>
      </c>
      <c r="Q1021" s="3" t="s">
        <v>46</v>
      </c>
    </row>
    <row r="1022" spans="4:17" ht="17.649999999999999" x14ac:dyDescent="0.5">
      <c r="D1022" s="3" t="s">
        <v>52</v>
      </c>
      <c r="Q1022" s="3" t="s">
        <v>52</v>
      </c>
    </row>
    <row r="1023" spans="4:17" ht="17.649999999999999" x14ac:dyDescent="0.5">
      <c r="D1023" s="3" t="s">
        <v>62</v>
      </c>
      <c r="Q1023" s="3" t="s">
        <v>62</v>
      </c>
    </row>
    <row r="1024" spans="4:17" ht="17.649999999999999" x14ac:dyDescent="0.5">
      <c r="D1024" s="3" t="s">
        <v>105</v>
      </c>
      <c r="Q1024" s="3" t="s">
        <v>105</v>
      </c>
    </row>
    <row r="1025" spans="4:17" ht="17.649999999999999" x14ac:dyDescent="0.5">
      <c r="D1025" s="3" t="s">
        <v>73</v>
      </c>
      <c r="Q1025" s="3" t="s">
        <v>73</v>
      </c>
    </row>
    <row r="1026" spans="4:17" ht="17.649999999999999" x14ac:dyDescent="0.5">
      <c r="D1026" s="3" t="s">
        <v>56</v>
      </c>
      <c r="Q1026" s="3" t="s">
        <v>56</v>
      </c>
    </row>
    <row r="1027" spans="4:17" ht="17.649999999999999" x14ac:dyDescent="0.5">
      <c r="D1027" s="3" t="s">
        <v>88</v>
      </c>
      <c r="Q1027" s="3" t="s">
        <v>88</v>
      </c>
    </row>
    <row r="1028" spans="4:17" ht="17.649999999999999" x14ac:dyDescent="0.5">
      <c r="D1028" s="3" t="s">
        <v>54</v>
      </c>
      <c r="Q1028" s="3" t="s">
        <v>54</v>
      </c>
    </row>
    <row r="1029" spans="4:17" ht="17.649999999999999" x14ac:dyDescent="0.5">
      <c r="D1029" s="3" t="s">
        <v>57</v>
      </c>
      <c r="Q1029" s="3" t="s">
        <v>57</v>
      </c>
    </row>
    <row r="1030" spans="4:17" ht="17.649999999999999" x14ac:dyDescent="0.5">
      <c r="D1030" s="3" t="s">
        <v>61</v>
      </c>
      <c r="Q1030" s="3" t="s">
        <v>61</v>
      </c>
    </row>
    <row r="1031" spans="4:17" ht="17.649999999999999" x14ac:dyDescent="0.5">
      <c r="D1031" s="3" t="s">
        <v>72</v>
      </c>
      <c r="Q1031" s="3" t="s">
        <v>72</v>
      </c>
    </row>
    <row r="1032" spans="4:17" ht="17.649999999999999" x14ac:dyDescent="0.5">
      <c r="D1032" s="3" t="s">
        <v>67</v>
      </c>
      <c r="Q1032" s="3" t="s">
        <v>67</v>
      </c>
    </row>
    <row r="1033" spans="4:17" ht="17.649999999999999" x14ac:dyDescent="0.5">
      <c r="D1033" s="3" t="s">
        <v>98</v>
      </c>
      <c r="Q1033" s="3" t="s">
        <v>98</v>
      </c>
    </row>
    <row r="1034" spans="4:17" ht="17.649999999999999" x14ac:dyDescent="0.5">
      <c r="D1034" s="3" t="s">
        <v>51</v>
      </c>
      <c r="Q1034" s="3" t="s">
        <v>51</v>
      </c>
    </row>
    <row r="1035" spans="4:17" ht="17.649999999999999" x14ac:dyDescent="0.5">
      <c r="D1035" s="3" t="s">
        <v>68</v>
      </c>
      <c r="Q1035" s="3" t="s">
        <v>68</v>
      </c>
    </row>
    <row r="1036" spans="4:17" ht="17.649999999999999" x14ac:dyDescent="0.5">
      <c r="D1036" s="3" t="s">
        <v>127</v>
      </c>
      <c r="Q1036" s="3" t="s">
        <v>127</v>
      </c>
    </row>
    <row r="1037" spans="4:17" ht="17.649999999999999" x14ac:dyDescent="0.5">
      <c r="D1037" s="3" t="s">
        <v>56</v>
      </c>
      <c r="Q1037" s="3" t="s">
        <v>56</v>
      </c>
    </row>
    <row r="1038" spans="4:17" ht="17.649999999999999" x14ac:dyDescent="0.5">
      <c r="D1038" s="3" t="s">
        <v>103</v>
      </c>
      <c r="Q1038" s="3" t="s">
        <v>103</v>
      </c>
    </row>
    <row r="1039" spans="4:17" ht="17.649999999999999" x14ac:dyDescent="0.5">
      <c r="D1039" s="3" t="s">
        <v>104</v>
      </c>
      <c r="Q1039" s="3" t="s">
        <v>104</v>
      </c>
    </row>
    <row r="1040" spans="4:17" ht="17.649999999999999" x14ac:dyDescent="0.5">
      <c r="D1040" s="3" t="s">
        <v>96</v>
      </c>
      <c r="Q1040" s="3" t="s">
        <v>96</v>
      </c>
    </row>
    <row r="1041" spans="4:17" ht="17.649999999999999" x14ac:dyDescent="0.5">
      <c r="D1041" s="3" t="s">
        <v>65</v>
      </c>
      <c r="Q1041" s="3" t="s">
        <v>65</v>
      </c>
    </row>
    <row r="1042" spans="4:17" ht="17.649999999999999" x14ac:dyDescent="0.5">
      <c r="D1042" s="3" t="s">
        <v>42</v>
      </c>
      <c r="Q1042" s="3" t="s">
        <v>42</v>
      </c>
    </row>
    <row r="1043" spans="4:17" ht="17.649999999999999" x14ac:dyDescent="0.5">
      <c r="D1043" s="3" t="s">
        <v>111</v>
      </c>
      <c r="Q1043" s="3" t="s">
        <v>111</v>
      </c>
    </row>
    <row r="1044" spans="4:17" ht="17.649999999999999" x14ac:dyDescent="0.5">
      <c r="D1044" s="3" t="s">
        <v>63</v>
      </c>
      <c r="Q1044" s="3" t="s">
        <v>63</v>
      </c>
    </row>
    <row r="1045" spans="4:17" ht="17.649999999999999" x14ac:dyDescent="0.5">
      <c r="D1045" s="3" t="s">
        <v>75</v>
      </c>
      <c r="Q1045" s="3" t="s">
        <v>75</v>
      </c>
    </row>
    <row r="1046" spans="4:17" ht="17.649999999999999" x14ac:dyDescent="0.5">
      <c r="D1046" s="3" t="s">
        <v>43</v>
      </c>
      <c r="Q1046" s="3" t="s">
        <v>43</v>
      </c>
    </row>
    <row r="1047" spans="4:17" ht="17.649999999999999" x14ac:dyDescent="0.5">
      <c r="D1047" s="3" t="s">
        <v>44</v>
      </c>
      <c r="Q1047" s="3" t="s">
        <v>44</v>
      </c>
    </row>
    <row r="1048" spans="4:17" ht="17.649999999999999" x14ac:dyDescent="0.5">
      <c r="D1048" s="3" t="s">
        <v>129</v>
      </c>
      <c r="Q1048" s="3" t="s">
        <v>129</v>
      </c>
    </row>
    <row r="1049" spans="4:17" ht="17.649999999999999" x14ac:dyDescent="0.5">
      <c r="D1049" s="3" t="s">
        <v>41</v>
      </c>
      <c r="Q1049" s="3" t="s">
        <v>41</v>
      </c>
    </row>
    <row r="1050" spans="4:17" ht="17.649999999999999" x14ac:dyDescent="0.5">
      <c r="D1050" s="3" t="s">
        <v>48</v>
      </c>
      <c r="Q1050" s="3" t="s">
        <v>48</v>
      </c>
    </row>
    <row r="1051" spans="4:17" ht="17.649999999999999" x14ac:dyDescent="0.5">
      <c r="D1051" s="3" t="s">
        <v>43</v>
      </c>
      <c r="Q1051" s="3" t="s">
        <v>43</v>
      </c>
    </row>
    <row r="1052" spans="4:17" ht="17.649999999999999" x14ac:dyDescent="0.5">
      <c r="D1052" s="3" t="s">
        <v>112</v>
      </c>
      <c r="Q1052" s="3" t="s">
        <v>112</v>
      </c>
    </row>
    <row r="1053" spans="4:17" ht="17.649999999999999" x14ac:dyDescent="0.5">
      <c r="D1053" s="3" t="s">
        <v>98</v>
      </c>
      <c r="Q1053" s="3" t="s">
        <v>98</v>
      </c>
    </row>
    <row r="1054" spans="4:17" ht="17.649999999999999" x14ac:dyDescent="0.5">
      <c r="D1054" s="3" t="s">
        <v>105</v>
      </c>
      <c r="Q1054" s="3" t="s">
        <v>105</v>
      </c>
    </row>
    <row r="1055" spans="4:17" ht="17.649999999999999" x14ac:dyDescent="0.5">
      <c r="D1055" s="3" t="s">
        <v>65</v>
      </c>
      <c r="Q1055" s="3" t="s">
        <v>65</v>
      </c>
    </row>
    <row r="1056" spans="4:17" ht="17.649999999999999" x14ac:dyDescent="0.5">
      <c r="D1056" s="3" t="s">
        <v>64</v>
      </c>
      <c r="Q1056" s="3" t="s">
        <v>64</v>
      </c>
    </row>
    <row r="1057" spans="4:17" ht="17.649999999999999" x14ac:dyDescent="0.5">
      <c r="D1057" s="3" t="s">
        <v>116</v>
      </c>
      <c r="Q1057" s="3" t="s">
        <v>116</v>
      </c>
    </row>
    <row r="1058" spans="4:17" ht="17.649999999999999" x14ac:dyDescent="0.5">
      <c r="D1058" s="3" t="s">
        <v>55</v>
      </c>
      <c r="Q1058" s="3" t="s">
        <v>55</v>
      </c>
    </row>
    <row r="1059" spans="4:17" ht="17.649999999999999" x14ac:dyDescent="0.5">
      <c r="D1059" s="3" t="s">
        <v>59</v>
      </c>
      <c r="Q1059" s="3" t="s">
        <v>59</v>
      </c>
    </row>
    <row r="1060" spans="4:17" ht="17.649999999999999" x14ac:dyDescent="0.5">
      <c r="D1060" s="3" t="s">
        <v>63</v>
      </c>
      <c r="Q1060" s="3" t="s">
        <v>63</v>
      </c>
    </row>
    <row r="1061" spans="4:17" ht="17.649999999999999" x14ac:dyDescent="0.5">
      <c r="D1061" s="3" t="s">
        <v>84</v>
      </c>
      <c r="Q1061" s="3" t="s">
        <v>84</v>
      </c>
    </row>
    <row r="1062" spans="4:17" ht="17.649999999999999" x14ac:dyDescent="0.5">
      <c r="D1062" s="3" t="s">
        <v>46</v>
      </c>
      <c r="Q1062" s="3" t="s">
        <v>46</v>
      </c>
    </row>
    <row r="1063" spans="4:17" ht="17.649999999999999" x14ac:dyDescent="0.5">
      <c r="D1063" s="3" t="s">
        <v>90</v>
      </c>
      <c r="Q1063" s="3" t="s">
        <v>90</v>
      </c>
    </row>
    <row r="1064" spans="4:17" ht="17.649999999999999" x14ac:dyDescent="0.5">
      <c r="D1064" s="3" t="s">
        <v>124</v>
      </c>
      <c r="Q1064" s="3" t="s">
        <v>124</v>
      </c>
    </row>
    <row r="1065" spans="4:17" ht="17.649999999999999" x14ac:dyDescent="0.5">
      <c r="D1065" s="3" t="s">
        <v>41</v>
      </c>
      <c r="Q1065" s="3" t="s">
        <v>41</v>
      </c>
    </row>
    <row r="1066" spans="4:17" ht="17.649999999999999" x14ac:dyDescent="0.5">
      <c r="D1066" s="3" t="s">
        <v>84</v>
      </c>
      <c r="Q1066" s="3" t="s">
        <v>84</v>
      </c>
    </row>
    <row r="1067" spans="4:17" ht="17.649999999999999" x14ac:dyDescent="0.5">
      <c r="D1067" s="3" t="s">
        <v>52</v>
      </c>
      <c r="Q1067" s="3" t="s">
        <v>52</v>
      </c>
    </row>
    <row r="1068" spans="4:17" ht="17.649999999999999" x14ac:dyDescent="0.5">
      <c r="D1068" s="3" t="s">
        <v>62</v>
      </c>
      <c r="Q1068" s="3" t="s">
        <v>62</v>
      </c>
    </row>
    <row r="1069" spans="4:17" ht="17.649999999999999" x14ac:dyDescent="0.5">
      <c r="D1069" s="3" t="s">
        <v>55</v>
      </c>
      <c r="Q1069" s="3" t="s">
        <v>55</v>
      </c>
    </row>
    <row r="1070" spans="4:17" ht="17.649999999999999" x14ac:dyDescent="0.5">
      <c r="D1070" s="3" t="s">
        <v>83</v>
      </c>
      <c r="Q1070" s="3" t="s">
        <v>83</v>
      </c>
    </row>
    <row r="1071" spans="4:17" ht="17.649999999999999" x14ac:dyDescent="0.5">
      <c r="D1071" s="3" t="s">
        <v>59</v>
      </c>
      <c r="Q1071" s="3" t="s">
        <v>59</v>
      </c>
    </row>
    <row r="1072" spans="4:17" ht="17.649999999999999" x14ac:dyDescent="0.5">
      <c r="D1072" s="3" t="s">
        <v>98</v>
      </c>
      <c r="Q1072" s="3" t="s">
        <v>98</v>
      </c>
    </row>
    <row r="1073" spans="4:17" ht="17.649999999999999" x14ac:dyDescent="0.5">
      <c r="D1073" s="3" t="s">
        <v>78</v>
      </c>
      <c r="Q1073" s="3" t="s">
        <v>78</v>
      </c>
    </row>
    <row r="1074" spans="4:17" ht="17.649999999999999" x14ac:dyDescent="0.5">
      <c r="D1074" s="3" t="s">
        <v>107</v>
      </c>
      <c r="Q1074" s="3" t="s">
        <v>107</v>
      </c>
    </row>
    <row r="1075" spans="4:17" ht="17.649999999999999" x14ac:dyDescent="0.5">
      <c r="D1075" s="3" t="s">
        <v>63</v>
      </c>
      <c r="Q1075" s="3" t="s">
        <v>63</v>
      </c>
    </row>
    <row r="1076" spans="4:17" ht="17.649999999999999" x14ac:dyDescent="0.5">
      <c r="D1076" s="3" t="s">
        <v>78</v>
      </c>
      <c r="Q1076" s="3" t="s">
        <v>78</v>
      </c>
    </row>
    <row r="1077" spans="4:17" ht="17.649999999999999" x14ac:dyDescent="0.5">
      <c r="D1077" s="3" t="s">
        <v>65</v>
      </c>
      <c r="Q1077" s="3" t="s">
        <v>65</v>
      </c>
    </row>
    <row r="1078" spans="4:17" ht="17.649999999999999" x14ac:dyDescent="0.5">
      <c r="D1078" s="3" t="s">
        <v>69</v>
      </c>
      <c r="Q1078" s="3" t="s">
        <v>69</v>
      </c>
    </row>
    <row r="1079" spans="4:17" ht="17.649999999999999" x14ac:dyDescent="0.5">
      <c r="D1079" s="3" t="s">
        <v>136</v>
      </c>
      <c r="Q1079" s="3" t="s">
        <v>136</v>
      </c>
    </row>
    <row r="1080" spans="4:17" ht="17.649999999999999" x14ac:dyDescent="0.5">
      <c r="D1080" s="3" t="s">
        <v>104</v>
      </c>
      <c r="Q1080" s="3" t="s">
        <v>104</v>
      </c>
    </row>
    <row r="1081" spans="4:17" ht="17.649999999999999" x14ac:dyDescent="0.5">
      <c r="D1081" s="3" t="s">
        <v>96</v>
      </c>
      <c r="Q1081" s="3" t="s">
        <v>96</v>
      </c>
    </row>
    <row r="1082" spans="4:17" ht="17.649999999999999" x14ac:dyDescent="0.5">
      <c r="D1082" s="3" t="s">
        <v>75</v>
      </c>
      <c r="Q1082" s="3" t="s">
        <v>75</v>
      </c>
    </row>
    <row r="1083" spans="4:17" ht="17.649999999999999" x14ac:dyDescent="0.5">
      <c r="D1083" s="3" t="s">
        <v>44</v>
      </c>
      <c r="Q1083" s="3" t="s">
        <v>44</v>
      </c>
    </row>
    <row r="1084" spans="4:17" ht="17.649999999999999" x14ac:dyDescent="0.5">
      <c r="D1084" s="3" t="s">
        <v>126</v>
      </c>
      <c r="Q1084" s="3" t="s">
        <v>126</v>
      </c>
    </row>
    <row r="1085" spans="4:17" ht="17.649999999999999" x14ac:dyDescent="0.5">
      <c r="D1085" s="3" t="s">
        <v>74</v>
      </c>
      <c r="Q1085" s="3" t="s">
        <v>74</v>
      </c>
    </row>
    <row r="1086" spans="4:17" ht="17.649999999999999" x14ac:dyDescent="0.5">
      <c r="D1086" s="3" t="s">
        <v>81</v>
      </c>
      <c r="Q1086" s="3" t="s">
        <v>81</v>
      </c>
    </row>
    <row r="1087" spans="4:17" ht="17.649999999999999" x14ac:dyDescent="0.5">
      <c r="D1087" s="3" t="s">
        <v>78</v>
      </c>
      <c r="Q1087" s="3" t="s">
        <v>78</v>
      </c>
    </row>
    <row r="1088" spans="4:17" ht="17.649999999999999" x14ac:dyDescent="0.5">
      <c r="D1088" s="3" t="s">
        <v>105</v>
      </c>
      <c r="Q1088" s="3" t="s">
        <v>105</v>
      </c>
    </row>
    <row r="1089" spans="4:17" ht="17.649999999999999" x14ac:dyDescent="0.5">
      <c r="D1089" s="3" t="s">
        <v>112</v>
      </c>
      <c r="Q1089" s="3" t="s">
        <v>112</v>
      </c>
    </row>
    <row r="1090" spans="4:17" ht="17.649999999999999" x14ac:dyDescent="0.5">
      <c r="D1090" s="3" t="s">
        <v>90</v>
      </c>
      <c r="Q1090" s="3" t="s">
        <v>90</v>
      </c>
    </row>
    <row r="1091" spans="4:17" ht="17.649999999999999" x14ac:dyDescent="0.5">
      <c r="D1091" s="3" t="s">
        <v>81</v>
      </c>
      <c r="Q1091" s="3" t="s">
        <v>81</v>
      </c>
    </row>
    <row r="1092" spans="4:17" ht="17.649999999999999" x14ac:dyDescent="0.5">
      <c r="D1092" s="3" t="s">
        <v>51</v>
      </c>
      <c r="Q1092" s="3" t="s">
        <v>51</v>
      </c>
    </row>
    <row r="1093" spans="4:17" ht="17.649999999999999" x14ac:dyDescent="0.5">
      <c r="D1093" s="3" t="s">
        <v>90</v>
      </c>
      <c r="Q1093" s="3" t="s">
        <v>90</v>
      </c>
    </row>
    <row r="1094" spans="4:17" ht="17.649999999999999" x14ac:dyDescent="0.5">
      <c r="D1094" s="3" t="s">
        <v>47</v>
      </c>
      <c r="Q1094" s="3" t="s">
        <v>47</v>
      </c>
    </row>
    <row r="1095" spans="4:17" ht="17.649999999999999" x14ac:dyDescent="0.5">
      <c r="D1095" s="3" t="s">
        <v>123</v>
      </c>
      <c r="Q1095" s="3" t="s">
        <v>123</v>
      </c>
    </row>
    <row r="1096" spans="4:17" ht="17.649999999999999" x14ac:dyDescent="0.5">
      <c r="D1096" s="3" t="s">
        <v>63</v>
      </c>
      <c r="Q1096" s="3" t="s">
        <v>63</v>
      </c>
    </row>
    <row r="1097" spans="4:17" ht="17.649999999999999" x14ac:dyDescent="0.5">
      <c r="D1097" s="3" t="s">
        <v>51</v>
      </c>
      <c r="Q1097" s="3" t="s">
        <v>51</v>
      </c>
    </row>
    <row r="1098" spans="4:17" ht="17.649999999999999" x14ac:dyDescent="0.5">
      <c r="D1098" s="3" t="s">
        <v>119</v>
      </c>
      <c r="Q1098" s="3" t="s">
        <v>119</v>
      </c>
    </row>
    <row r="1099" spans="4:17" ht="17.649999999999999" x14ac:dyDescent="0.5">
      <c r="D1099" s="3" t="s">
        <v>84</v>
      </c>
      <c r="Q1099" s="3" t="s">
        <v>84</v>
      </c>
    </row>
    <row r="1100" spans="4:17" ht="17.649999999999999" x14ac:dyDescent="0.5">
      <c r="D1100" s="3" t="s">
        <v>56</v>
      </c>
      <c r="Q1100" s="3" t="s">
        <v>56</v>
      </c>
    </row>
    <row r="1101" spans="4:17" ht="17.649999999999999" x14ac:dyDescent="0.5">
      <c r="D1101" s="3" t="s">
        <v>130</v>
      </c>
      <c r="Q1101" s="3" t="s">
        <v>130</v>
      </c>
    </row>
    <row r="1102" spans="4:17" ht="17.649999999999999" x14ac:dyDescent="0.5">
      <c r="D1102" s="3" t="s">
        <v>112</v>
      </c>
      <c r="Q1102" s="3" t="s">
        <v>112</v>
      </c>
    </row>
    <row r="1103" spans="4:17" ht="17.649999999999999" x14ac:dyDescent="0.5">
      <c r="D1103" s="3" t="s">
        <v>98</v>
      </c>
      <c r="Q1103" s="3" t="s">
        <v>98</v>
      </c>
    </row>
    <row r="1104" spans="4:17" ht="17.649999999999999" x14ac:dyDescent="0.5">
      <c r="D1104" s="3" t="s">
        <v>69</v>
      </c>
      <c r="Q1104" s="3" t="s">
        <v>69</v>
      </c>
    </row>
    <row r="1105" spans="4:17" ht="17.649999999999999" x14ac:dyDescent="0.5">
      <c r="D1105" s="3" t="s">
        <v>105</v>
      </c>
      <c r="Q1105" s="3" t="s">
        <v>105</v>
      </c>
    </row>
    <row r="1106" spans="4:17" ht="17.649999999999999" x14ac:dyDescent="0.5">
      <c r="D1106" s="3" t="s">
        <v>113</v>
      </c>
      <c r="Q1106" s="3" t="s">
        <v>113</v>
      </c>
    </row>
    <row r="1107" spans="4:17" ht="17.649999999999999" x14ac:dyDescent="0.5">
      <c r="D1107" s="3" t="s">
        <v>44</v>
      </c>
      <c r="Q1107" s="3" t="s">
        <v>44</v>
      </c>
    </row>
    <row r="1108" spans="4:17" ht="17.649999999999999" x14ac:dyDescent="0.5">
      <c r="D1108" s="3" t="s">
        <v>47</v>
      </c>
      <c r="Q1108" s="3" t="s">
        <v>47</v>
      </c>
    </row>
    <row r="1109" spans="4:17" ht="17.649999999999999" x14ac:dyDescent="0.5">
      <c r="D1109" s="3" t="s">
        <v>134</v>
      </c>
      <c r="Q1109" s="3" t="s">
        <v>134</v>
      </c>
    </row>
    <row r="1110" spans="4:17" ht="17.649999999999999" x14ac:dyDescent="0.5">
      <c r="D1110" s="3" t="s">
        <v>41</v>
      </c>
      <c r="Q1110" s="3" t="s">
        <v>41</v>
      </c>
    </row>
    <row r="1111" spans="4:17" ht="17.649999999999999" x14ac:dyDescent="0.5">
      <c r="D1111" s="3" t="s">
        <v>63</v>
      </c>
      <c r="Q1111" s="3" t="s">
        <v>63</v>
      </c>
    </row>
    <row r="1112" spans="4:17" ht="17.649999999999999" x14ac:dyDescent="0.5">
      <c r="D1112" s="3" t="s">
        <v>69</v>
      </c>
      <c r="Q1112" s="3" t="s">
        <v>69</v>
      </c>
    </row>
    <row r="1113" spans="4:17" ht="17.649999999999999" x14ac:dyDescent="0.5">
      <c r="D1113" s="3" t="s">
        <v>49</v>
      </c>
      <c r="Q1113" s="3" t="s">
        <v>49</v>
      </c>
    </row>
    <row r="1114" spans="4:17" ht="17.649999999999999" x14ac:dyDescent="0.5">
      <c r="D1114" s="3" t="s">
        <v>66</v>
      </c>
      <c r="Q1114" s="3" t="s">
        <v>66</v>
      </c>
    </row>
    <row r="1115" spans="4:17" ht="17.649999999999999" x14ac:dyDescent="0.5">
      <c r="D1115" s="3" t="s">
        <v>115</v>
      </c>
      <c r="Q1115" s="3" t="s">
        <v>115</v>
      </c>
    </row>
    <row r="1116" spans="4:17" ht="17.649999999999999" x14ac:dyDescent="0.5">
      <c r="D1116" s="3" t="s">
        <v>61</v>
      </c>
      <c r="Q1116" s="3" t="s">
        <v>61</v>
      </c>
    </row>
    <row r="1117" spans="4:17" ht="17.649999999999999" x14ac:dyDescent="0.5">
      <c r="D1117" s="3" t="s">
        <v>56</v>
      </c>
      <c r="Q1117" s="3" t="s">
        <v>56</v>
      </c>
    </row>
    <row r="1118" spans="4:17" ht="17.649999999999999" x14ac:dyDescent="0.5">
      <c r="D1118" s="3" t="s">
        <v>68</v>
      </c>
      <c r="Q1118" s="3" t="s">
        <v>68</v>
      </c>
    </row>
    <row r="1119" spans="4:17" ht="17.649999999999999" x14ac:dyDescent="0.5">
      <c r="D1119" s="3" t="s">
        <v>73</v>
      </c>
      <c r="Q1119" s="3" t="s">
        <v>73</v>
      </c>
    </row>
    <row r="1120" spans="4:17" ht="17.649999999999999" x14ac:dyDescent="0.5">
      <c r="D1120" s="3" t="s">
        <v>45</v>
      </c>
      <c r="Q1120" s="3" t="s">
        <v>45</v>
      </c>
    </row>
    <row r="1121" spans="4:17" ht="17.649999999999999" x14ac:dyDescent="0.5">
      <c r="D1121" s="3" t="s">
        <v>107</v>
      </c>
      <c r="Q1121" s="3" t="s">
        <v>107</v>
      </c>
    </row>
    <row r="1122" spans="4:17" ht="17.649999999999999" x14ac:dyDescent="0.5">
      <c r="D1122" s="3" t="s">
        <v>49</v>
      </c>
      <c r="Q1122" s="3" t="s">
        <v>49</v>
      </c>
    </row>
    <row r="1123" spans="4:17" ht="17.649999999999999" x14ac:dyDescent="0.5">
      <c r="D1123" s="3" t="s">
        <v>128</v>
      </c>
      <c r="Q1123" s="3" t="s">
        <v>128</v>
      </c>
    </row>
    <row r="1124" spans="4:17" ht="17.649999999999999" x14ac:dyDescent="0.5">
      <c r="D1124" s="3" t="s">
        <v>114</v>
      </c>
      <c r="Q1124" s="3" t="s">
        <v>114</v>
      </c>
    </row>
    <row r="1125" spans="4:17" ht="17.649999999999999" x14ac:dyDescent="0.5">
      <c r="D1125" s="3" t="s">
        <v>74</v>
      </c>
      <c r="Q1125" s="3" t="s">
        <v>74</v>
      </c>
    </row>
    <row r="1126" spans="4:17" ht="17.649999999999999" x14ac:dyDescent="0.5">
      <c r="D1126" s="3" t="s">
        <v>85</v>
      </c>
      <c r="Q1126" s="3" t="s">
        <v>85</v>
      </c>
    </row>
    <row r="1127" spans="4:17" ht="17.649999999999999" x14ac:dyDescent="0.5">
      <c r="D1127" s="3" t="s">
        <v>50</v>
      </c>
      <c r="Q1127" s="3" t="s">
        <v>50</v>
      </c>
    </row>
    <row r="1128" spans="4:17" ht="17.649999999999999" x14ac:dyDescent="0.5">
      <c r="D1128" s="3" t="s">
        <v>48</v>
      </c>
      <c r="Q1128" s="3" t="s">
        <v>48</v>
      </c>
    </row>
    <row r="1129" spans="4:17" ht="17.649999999999999" x14ac:dyDescent="0.5">
      <c r="D1129" s="3" t="s">
        <v>105</v>
      </c>
      <c r="Q1129" s="3" t="s">
        <v>105</v>
      </c>
    </row>
    <row r="1130" spans="4:17" ht="17.649999999999999" x14ac:dyDescent="0.5">
      <c r="D1130" s="3" t="s">
        <v>81</v>
      </c>
      <c r="Q1130" s="3" t="s">
        <v>81</v>
      </c>
    </row>
    <row r="1131" spans="4:17" ht="17.649999999999999" x14ac:dyDescent="0.5">
      <c r="D1131" s="3" t="s">
        <v>73</v>
      </c>
      <c r="Q1131" s="3" t="s">
        <v>73</v>
      </c>
    </row>
    <row r="1132" spans="4:17" ht="17.649999999999999" x14ac:dyDescent="0.5">
      <c r="D1132" s="3" t="s">
        <v>44</v>
      </c>
      <c r="Q1132" s="3" t="s">
        <v>44</v>
      </c>
    </row>
    <row r="1133" spans="4:17" ht="17.649999999999999" x14ac:dyDescent="0.5">
      <c r="D1133" s="3" t="s">
        <v>52</v>
      </c>
      <c r="Q1133" s="3" t="s">
        <v>52</v>
      </c>
    </row>
    <row r="1134" spans="4:17" ht="17.649999999999999" x14ac:dyDescent="0.5">
      <c r="D1134" s="3" t="s">
        <v>67</v>
      </c>
      <c r="Q1134" s="3" t="s">
        <v>67</v>
      </c>
    </row>
    <row r="1135" spans="4:17" ht="17.649999999999999" x14ac:dyDescent="0.5">
      <c r="D1135" s="3" t="s">
        <v>61</v>
      </c>
      <c r="Q1135" s="3" t="s">
        <v>61</v>
      </c>
    </row>
    <row r="1136" spans="4:17" ht="17.649999999999999" x14ac:dyDescent="0.5">
      <c r="D1136" s="3" t="s">
        <v>43</v>
      </c>
      <c r="Q1136" s="3" t="s">
        <v>43</v>
      </c>
    </row>
    <row r="1137" spans="4:17" ht="17.649999999999999" x14ac:dyDescent="0.5">
      <c r="D1137" s="3" t="s">
        <v>98</v>
      </c>
      <c r="Q1137" s="3" t="s">
        <v>98</v>
      </c>
    </row>
    <row r="1138" spans="4:17" ht="17.649999999999999" x14ac:dyDescent="0.5">
      <c r="D1138" s="3" t="s">
        <v>115</v>
      </c>
      <c r="Q1138" s="3" t="s">
        <v>115</v>
      </c>
    </row>
    <row r="1139" spans="4:17" ht="17.649999999999999" x14ac:dyDescent="0.5">
      <c r="D1139" s="3" t="s">
        <v>111</v>
      </c>
      <c r="Q1139" s="3" t="s">
        <v>111</v>
      </c>
    </row>
    <row r="1140" spans="4:17" ht="17.649999999999999" x14ac:dyDescent="0.5">
      <c r="D1140" s="3" t="s">
        <v>90</v>
      </c>
      <c r="Q1140" s="3" t="s">
        <v>90</v>
      </c>
    </row>
    <row r="1141" spans="4:17" ht="17.649999999999999" x14ac:dyDescent="0.5">
      <c r="D1141" s="3" t="s">
        <v>129</v>
      </c>
      <c r="Q1141" s="3" t="s">
        <v>129</v>
      </c>
    </row>
    <row r="1142" spans="4:17" ht="17.649999999999999" x14ac:dyDescent="0.5">
      <c r="D1142" s="3" t="s">
        <v>101</v>
      </c>
      <c r="Q1142" s="3" t="s">
        <v>101</v>
      </c>
    </row>
    <row r="1143" spans="4:17" ht="17.649999999999999" x14ac:dyDescent="0.5">
      <c r="D1143" s="3" t="s">
        <v>87</v>
      </c>
      <c r="Q1143" s="3" t="s">
        <v>87</v>
      </c>
    </row>
    <row r="1144" spans="4:17" ht="17.649999999999999" x14ac:dyDescent="0.5">
      <c r="D1144" s="3" t="s">
        <v>54</v>
      </c>
      <c r="Q1144" s="3" t="s">
        <v>54</v>
      </c>
    </row>
    <row r="1145" spans="4:17" ht="17.649999999999999" x14ac:dyDescent="0.5">
      <c r="D1145" s="3" t="s">
        <v>61</v>
      </c>
      <c r="Q1145" s="3" t="s">
        <v>61</v>
      </c>
    </row>
    <row r="1146" spans="4:17" ht="17.649999999999999" x14ac:dyDescent="0.5">
      <c r="D1146" s="3" t="s">
        <v>50</v>
      </c>
      <c r="Q1146" s="3" t="s">
        <v>50</v>
      </c>
    </row>
    <row r="1147" spans="4:17" ht="17.649999999999999" x14ac:dyDescent="0.5">
      <c r="D1147" s="3" t="s">
        <v>54</v>
      </c>
      <c r="Q1147" s="3" t="s">
        <v>54</v>
      </c>
    </row>
    <row r="1148" spans="4:17" ht="17.649999999999999" x14ac:dyDescent="0.5">
      <c r="D1148" s="3" t="s">
        <v>91</v>
      </c>
      <c r="Q1148" s="3" t="s">
        <v>91</v>
      </c>
    </row>
    <row r="1149" spans="4:17" ht="17.649999999999999" x14ac:dyDescent="0.5">
      <c r="D1149" s="3" t="s">
        <v>112</v>
      </c>
      <c r="Q1149" s="3" t="s">
        <v>112</v>
      </c>
    </row>
    <row r="1150" spans="4:17" ht="17.649999999999999" x14ac:dyDescent="0.5">
      <c r="D1150" s="3" t="s">
        <v>70</v>
      </c>
      <c r="Q1150" s="3" t="s">
        <v>70</v>
      </c>
    </row>
    <row r="1151" spans="4:17" ht="17.649999999999999" x14ac:dyDescent="0.5">
      <c r="D1151" s="3" t="s">
        <v>71</v>
      </c>
      <c r="Q1151" s="3" t="s">
        <v>71</v>
      </c>
    </row>
    <row r="1152" spans="4:17" ht="17.649999999999999" x14ac:dyDescent="0.5">
      <c r="D1152" s="3" t="s">
        <v>135</v>
      </c>
      <c r="Q1152" s="3" t="s">
        <v>135</v>
      </c>
    </row>
    <row r="1153" spans="4:17" ht="17.649999999999999" x14ac:dyDescent="0.5">
      <c r="D1153" s="3" t="s">
        <v>67</v>
      </c>
      <c r="Q1153" s="3" t="s">
        <v>67</v>
      </c>
    </row>
    <row r="1154" spans="4:17" ht="17.649999999999999" x14ac:dyDescent="0.5">
      <c r="D1154" s="3" t="s">
        <v>109</v>
      </c>
      <c r="Q1154" s="3" t="s">
        <v>109</v>
      </c>
    </row>
    <row r="1155" spans="4:17" ht="17.649999999999999" x14ac:dyDescent="0.5">
      <c r="D1155" s="3" t="s">
        <v>84</v>
      </c>
      <c r="Q1155" s="3" t="s">
        <v>84</v>
      </c>
    </row>
    <row r="1156" spans="4:17" ht="17.649999999999999" x14ac:dyDescent="0.5">
      <c r="D1156" s="3" t="s">
        <v>74</v>
      </c>
      <c r="Q1156" s="3" t="s">
        <v>74</v>
      </c>
    </row>
    <row r="1157" spans="4:17" ht="17.649999999999999" x14ac:dyDescent="0.5">
      <c r="D1157" s="3" t="s">
        <v>109</v>
      </c>
      <c r="Q1157" s="3" t="s">
        <v>109</v>
      </c>
    </row>
    <row r="1158" spans="4:17" ht="17.649999999999999" x14ac:dyDescent="0.5">
      <c r="D1158" s="3" t="s">
        <v>87</v>
      </c>
      <c r="Q1158" s="3" t="s">
        <v>87</v>
      </c>
    </row>
    <row r="1159" spans="4:17" ht="17.649999999999999" x14ac:dyDescent="0.5">
      <c r="D1159" s="3" t="s">
        <v>72</v>
      </c>
      <c r="Q1159" s="3" t="s">
        <v>72</v>
      </c>
    </row>
    <row r="1160" spans="4:17" ht="17.649999999999999" x14ac:dyDescent="0.5">
      <c r="D1160" s="3" t="s">
        <v>105</v>
      </c>
      <c r="Q1160" s="3" t="s">
        <v>105</v>
      </c>
    </row>
    <row r="1161" spans="4:17" ht="17.649999999999999" x14ac:dyDescent="0.5">
      <c r="D1161" s="3" t="s">
        <v>66</v>
      </c>
      <c r="Q1161" s="3" t="s">
        <v>66</v>
      </c>
    </row>
    <row r="1162" spans="4:17" ht="17.649999999999999" x14ac:dyDescent="0.5">
      <c r="D1162" s="3" t="s">
        <v>90</v>
      </c>
      <c r="Q1162" s="3" t="s">
        <v>90</v>
      </c>
    </row>
    <row r="1163" spans="4:17" ht="17.649999999999999" x14ac:dyDescent="0.5">
      <c r="D1163" s="3" t="s">
        <v>116</v>
      </c>
      <c r="Q1163" s="3" t="s">
        <v>116</v>
      </c>
    </row>
    <row r="1164" spans="4:17" ht="17.649999999999999" x14ac:dyDescent="0.5">
      <c r="D1164" s="3" t="s">
        <v>80</v>
      </c>
      <c r="Q1164" s="3" t="s">
        <v>80</v>
      </c>
    </row>
    <row r="1165" spans="4:17" ht="17.649999999999999" x14ac:dyDescent="0.5">
      <c r="D1165" s="3" t="s">
        <v>60</v>
      </c>
      <c r="Q1165" s="3" t="s">
        <v>60</v>
      </c>
    </row>
    <row r="1166" spans="4:17" ht="17.649999999999999" x14ac:dyDescent="0.5">
      <c r="D1166" s="3" t="s">
        <v>69</v>
      </c>
      <c r="Q1166" s="3" t="s">
        <v>69</v>
      </c>
    </row>
    <row r="1167" spans="4:17" ht="17.649999999999999" x14ac:dyDescent="0.5">
      <c r="D1167" s="3" t="s">
        <v>112</v>
      </c>
      <c r="Q1167" s="3" t="s">
        <v>112</v>
      </c>
    </row>
    <row r="1168" spans="4:17" ht="17.649999999999999" x14ac:dyDescent="0.5">
      <c r="D1168" s="3" t="s">
        <v>100</v>
      </c>
      <c r="Q1168" s="3" t="s">
        <v>100</v>
      </c>
    </row>
    <row r="1169" spans="4:17" ht="17.649999999999999" x14ac:dyDescent="0.5">
      <c r="D1169" s="3" t="s">
        <v>42</v>
      </c>
      <c r="Q1169" s="3" t="s">
        <v>42</v>
      </c>
    </row>
    <row r="1170" spans="4:17" ht="17.649999999999999" x14ac:dyDescent="0.5">
      <c r="D1170" s="3" t="s">
        <v>115</v>
      </c>
      <c r="Q1170" s="3" t="s">
        <v>115</v>
      </c>
    </row>
    <row r="1171" spans="4:17" ht="17.649999999999999" x14ac:dyDescent="0.5">
      <c r="D1171" s="3" t="s">
        <v>57</v>
      </c>
      <c r="Q1171" s="3" t="s">
        <v>57</v>
      </c>
    </row>
    <row r="1172" spans="4:17" ht="17.649999999999999" x14ac:dyDescent="0.5">
      <c r="D1172" s="3" t="s">
        <v>91</v>
      </c>
      <c r="Q1172" s="3" t="s">
        <v>91</v>
      </c>
    </row>
    <row r="1173" spans="4:17" ht="17.649999999999999" x14ac:dyDescent="0.5">
      <c r="D1173" s="3" t="s">
        <v>48</v>
      </c>
      <c r="Q1173" s="3" t="s">
        <v>48</v>
      </c>
    </row>
    <row r="1174" spans="4:17" ht="17.649999999999999" x14ac:dyDescent="0.5">
      <c r="D1174" s="3" t="s">
        <v>124</v>
      </c>
      <c r="Q1174" s="3" t="s">
        <v>124</v>
      </c>
    </row>
    <row r="1175" spans="4:17" ht="17.649999999999999" x14ac:dyDescent="0.5">
      <c r="D1175" s="3" t="s">
        <v>128</v>
      </c>
      <c r="Q1175" s="3" t="s">
        <v>128</v>
      </c>
    </row>
    <row r="1176" spans="4:17" ht="17.649999999999999" x14ac:dyDescent="0.5">
      <c r="D1176" s="3" t="s">
        <v>75</v>
      </c>
      <c r="Q1176" s="3" t="s">
        <v>75</v>
      </c>
    </row>
    <row r="1177" spans="4:17" ht="17.649999999999999" x14ac:dyDescent="0.5">
      <c r="D1177" s="3" t="s">
        <v>48</v>
      </c>
      <c r="Q1177" s="3" t="s">
        <v>48</v>
      </c>
    </row>
    <row r="1178" spans="4:17" ht="17.649999999999999" x14ac:dyDescent="0.5">
      <c r="D1178" s="3" t="s">
        <v>85</v>
      </c>
      <c r="Q1178" s="3" t="s">
        <v>85</v>
      </c>
    </row>
    <row r="1179" spans="4:17" ht="17.649999999999999" x14ac:dyDescent="0.5">
      <c r="D1179" s="3" t="s">
        <v>77</v>
      </c>
      <c r="Q1179" s="3" t="s">
        <v>77</v>
      </c>
    </row>
    <row r="1180" spans="4:17" ht="17.649999999999999" x14ac:dyDescent="0.5">
      <c r="D1180" s="3" t="s">
        <v>104</v>
      </c>
      <c r="Q1180" s="3" t="s">
        <v>104</v>
      </c>
    </row>
    <row r="1181" spans="4:17" ht="17.649999999999999" x14ac:dyDescent="0.5">
      <c r="D1181" s="3" t="s">
        <v>96</v>
      </c>
      <c r="Q1181" s="3" t="s">
        <v>96</v>
      </c>
    </row>
    <row r="1182" spans="4:17" ht="17.649999999999999" x14ac:dyDescent="0.5">
      <c r="D1182" s="3" t="s">
        <v>48</v>
      </c>
      <c r="Q1182" s="3" t="s">
        <v>48</v>
      </c>
    </row>
    <row r="1183" spans="4:17" ht="17.649999999999999" x14ac:dyDescent="0.5">
      <c r="D1183" s="3" t="s">
        <v>56</v>
      </c>
      <c r="Q1183" s="3" t="s">
        <v>56</v>
      </c>
    </row>
    <row r="1184" spans="4:17" ht="17.649999999999999" x14ac:dyDescent="0.5">
      <c r="D1184" s="3" t="s">
        <v>51</v>
      </c>
      <c r="Q1184" s="3" t="s">
        <v>51</v>
      </c>
    </row>
    <row r="1185" spans="4:17" ht="17.649999999999999" x14ac:dyDescent="0.5">
      <c r="D1185" s="3" t="s">
        <v>87</v>
      </c>
      <c r="Q1185" s="3" t="s">
        <v>87</v>
      </c>
    </row>
    <row r="1186" spans="4:17" ht="17.649999999999999" x14ac:dyDescent="0.5">
      <c r="D1186" s="3" t="s">
        <v>116</v>
      </c>
      <c r="Q1186" s="3" t="s">
        <v>116</v>
      </c>
    </row>
    <row r="1187" spans="4:17" ht="17.649999999999999" x14ac:dyDescent="0.5">
      <c r="D1187" s="3" t="s">
        <v>133</v>
      </c>
      <c r="Q1187" s="3" t="s">
        <v>133</v>
      </c>
    </row>
    <row r="1188" spans="4:17" ht="17.649999999999999" x14ac:dyDescent="0.5">
      <c r="D1188" s="3" t="s">
        <v>47</v>
      </c>
      <c r="Q1188" s="3" t="s">
        <v>47</v>
      </c>
    </row>
    <row r="1189" spans="4:17" ht="17.649999999999999" x14ac:dyDescent="0.5">
      <c r="D1189" s="3" t="s">
        <v>98</v>
      </c>
      <c r="Q1189" s="3" t="s">
        <v>98</v>
      </c>
    </row>
    <row r="1190" spans="4:17" ht="17.649999999999999" x14ac:dyDescent="0.5">
      <c r="D1190" s="3" t="s">
        <v>117</v>
      </c>
      <c r="Q1190" s="3" t="s">
        <v>117</v>
      </c>
    </row>
    <row r="1191" spans="4:17" ht="17.649999999999999" x14ac:dyDescent="0.5">
      <c r="D1191" s="3" t="s">
        <v>54</v>
      </c>
      <c r="Q1191" s="3" t="s">
        <v>54</v>
      </c>
    </row>
    <row r="1192" spans="4:17" ht="17.649999999999999" x14ac:dyDescent="0.5">
      <c r="D1192" s="3" t="s">
        <v>82</v>
      </c>
      <c r="Q1192" s="3" t="s">
        <v>82</v>
      </c>
    </row>
    <row r="1193" spans="4:17" ht="17.649999999999999" x14ac:dyDescent="0.5">
      <c r="D1193" s="3" t="s">
        <v>57</v>
      </c>
      <c r="Q1193" s="3" t="s">
        <v>57</v>
      </c>
    </row>
    <row r="1194" spans="4:17" ht="17.649999999999999" x14ac:dyDescent="0.5">
      <c r="D1194" s="3" t="s">
        <v>46</v>
      </c>
      <c r="Q1194" s="3" t="s">
        <v>46</v>
      </c>
    </row>
    <row r="1195" spans="4:17" ht="17.649999999999999" x14ac:dyDescent="0.5">
      <c r="D1195" s="3" t="s">
        <v>63</v>
      </c>
      <c r="Q1195" s="3" t="s">
        <v>63</v>
      </c>
    </row>
    <row r="1196" spans="4:17" ht="17.649999999999999" x14ac:dyDescent="0.5">
      <c r="D1196" s="3" t="s">
        <v>61</v>
      </c>
      <c r="Q1196" s="3" t="s">
        <v>61</v>
      </c>
    </row>
    <row r="1197" spans="4:17" ht="17.649999999999999" x14ac:dyDescent="0.5">
      <c r="D1197" s="3" t="s">
        <v>51</v>
      </c>
      <c r="Q1197" s="3" t="s">
        <v>51</v>
      </c>
    </row>
    <row r="1198" spans="4:17" ht="17.649999999999999" x14ac:dyDescent="0.5">
      <c r="D1198" s="3" t="s">
        <v>125</v>
      </c>
      <c r="Q1198" s="3" t="s">
        <v>125</v>
      </c>
    </row>
    <row r="1199" spans="4:17" ht="17.649999999999999" x14ac:dyDescent="0.5">
      <c r="D1199" s="3" t="s">
        <v>69</v>
      </c>
      <c r="Q1199" s="3" t="s">
        <v>69</v>
      </c>
    </row>
    <row r="1200" spans="4:17" ht="17.649999999999999" x14ac:dyDescent="0.5">
      <c r="D1200" s="3" t="s">
        <v>57</v>
      </c>
      <c r="Q1200" s="3" t="s">
        <v>57</v>
      </c>
    </row>
    <row r="1201" spans="4:17" ht="17.649999999999999" x14ac:dyDescent="0.5">
      <c r="D1201" s="3" t="s">
        <v>103</v>
      </c>
      <c r="Q1201" s="3" t="s">
        <v>103</v>
      </c>
    </row>
    <row r="1202" spans="4:17" ht="17.649999999999999" x14ac:dyDescent="0.5">
      <c r="D1202" s="3" t="s">
        <v>128</v>
      </c>
      <c r="Q1202" s="3" t="s">
        <v>128</v>
      </c>
    </row>
    <row r="1203" spans="4:17" ht="17.649999999999999" x14ac:dyDescent="0.5">
      <c r="D1203" s="3" t="s">
        <v>121</v>
      </c>
      <c r="Q1203" s="3" t="s">
        <v>121</v>
      </c>
    </row>
    <row r="1204" spans="4:17" ht="17.649999999999999" x14ac:dyDescent="0.5">
      <c r="D1204" s="3" t="s">
        <v>49</v>
      </c>
      <c r="Q1204" s="3" t="s">
        <v>49</v>
      </c>
    </row>
    <row r="1205" spans="4:17" ht="17.649999999999999" x14ac:dyDescent="0.5">
      <c r="D1205" s="3" t="s">
        <v>72</v>
      </c>
      <c r="Q1205" s="3" t="s">
        <v>72</v>
      </c>
    </row>
    <row r="1206" spans="4:17" ht="17.649999999999999" x14ac:dyDescent="0.5">
      <c r="D1206" s="3" t="s">
        <v>92</v>
      </c>
      <c r="Q1206" s="3" t="s">
        <v>92</v>
      </c>
    </row>
    <row r="1207" spans="4:17" ht="17.649999999999999" x14ac:dyDescent="0.5">
      <c r="D1207" s="3" t="s">
        <v>49</v>
      </c>
      <c r="Q1207" s="3" t="s">
        <v>49</v>
      </c>
    </row>
    <row r="1208" spans="4:17" ht="17.649999999999999" x14ac:dyDescent="0.5">
      <c r="D1208" s="3" t="s">
        <v>52</v>
      </c>
      <c r="Q1208" s="3" t="s">
        <v>52</v>
      </c>
    </row>
    <row r="1209" spans="4:17" ht="17.649999999999999" x14ac:dyDescent="0.5">
      <c r="D1209" s="3" t="s">
        <v>60</v>
      </c>
      <c r="Q1209" s="3" t="s">
        <v>60</v>
      </c>
    </row>
    <row r="1210" spans="4:17" ht="17.649999999999999" x14ac:dyDescent="0.5">
      <c r="D1210" s="3" t="s">
        <v>83</v>
      </c>
      <c r="Q1210" s="3" t="s">
        <v>83</v>
      </c>
    </row>
    <row r="1211" spans="4:17" ht="17.649999999999999" x14ac:dyDescent="0.5">
      <c r="D1211" s="3" t="s">
        <v>80</v>
      </c>
      <c r="Q1211" s="3" t="s">
        <v>80</v>
      </c>
    </row>
    <row r="1212" spans="4:17" ht="17.649999999999999" x14ac:dyDescent="0.5">
      <c r="D1212" s="3" t="s">
        <v>94</v>
      </c>
      <c r="Q1212" s="3" t="s">
        <v>94</v>
      </c>
    </row>
    <row r="1213" spans="4:17" ht="17.649999999999999" x14ac:dyDescent="0.5">
      <c r="D1213" s="3" t="s">
        <v>90</v>
      </c>
      <c r="Q1213" s="3" t="s">
        <v>90</v>
      </c>
    </row>
    <row r="1214" spans="4:17" ht="17.649999999999999" x14ac:dyDescent="0.5">
      <c r="D1214" s="3" t="s">
        <v>127</v>
      </c>
      <c r="Q1214" s="3" t="s">
        <v>127</v>
      </c>
    </row>
    <row r="1215" spans="4:17" ht="17.649999999999999" x14ac:dyDescent="0.5">
      <c r="D1215" s="3" t="s">
        <v>95</v>
      </c>
      <c r="Q1215" s="3" t="s">
        <v>95</v>
      </c>
    </row>
    <row r="1216" spans="4:17" ht="17.649999999999999" x14ac:dyDescent="0.5">
      <c r="D1216" s="3" t="s">
        <v>50</v>
      </c>
      <c r="Q1216" s="3" t="s">
        <v>50</v>
      </c>
    </row>
    <row r="1217" spans="4:17" ht="17.649999999999999" x14ac:dyDescent="0.5">
      <c r="D1217" s="3" t="s">
        <v>103</v>
      </c>
      <c r="Q1217" s="3" t="s">
        <v>103</v>
      </c>
    </row>
    <row r="1218" spans="4:17" ht="17.649999999999999" x14ac:dyDescent="0.5">
      <c r="D1218" s="3" t="s">
        <v>69</v>
      </c>
      <c r="Q1218" s="3" t="s">
        <v>69</v>
      </c>
    </row>
    <row r="1219" spans="4:17" ht="17.649999999999999" x14ac:dyDescent="0.5">
      <c r="D1219" s="3" t="s">
        <v>104</v>
      </c>
      <c r="Q1219" s="3" t="s">
        <v>104</v>
      </c>
    </row>
    <row r="1220" spans="4:17" ht="17.649999999999999" x14ac:dyDescent="0.5">
      <c r="D1220" s="3" t="s">
        <v>51</v>
      </c>
      <c r="Q1220" s="3" t="s">
        <v>51</v>
      </c>
    </row>
    <row r="1221" spans="4:17" ht="17.649999999999999" x14ac:dyDescent="0.5">
      <c r="D1221" s="3" t="s">
        <v>117</v>
      </c>
      <c r="Q1221" s="3" t="s">
        <v>117</v>
      </c>
    </row>
    <row r="1222" spans="4:17" ht="17.649999999999999" x14ac:dyDescent="0.5">
      <c r="D1222" s="3" t="s">
        <v>74</v>
      </c>
      <c r="Q1222" s="3" t="s">
        <v>74</v>
      </c>
    </row>
    <row r="1223" spans="4:17" ht="17.649999999999999" x14ac:dyDescent="0.5">
      <c r="D1223" s="3" t="s">
        <v>75</v>
      </c>
      <c r="Q1223" s="3" t="s">
        <v>75</v>
      </c>
    </row>
    <row r="1224" spans="4:17" ht="17.649999999999999" x14ac:dyDescent="0.5">
      <c r="D1224" s="3" t="s">
        <v>54</v>
      </c>
      <c r="Q1224" s="3" t="s">
        <v>54</v>
      </c>
    </row>
    <row r="1225" spans="4:17" ht="17.649999999999999" x14ac:dyDescent="0.5">
      <c r="D1225" s="3" t="s">
        <v>107</v>
      </c>
      <c r="Q1225" s="3" t="s">
        <v>107</v>
      </c>
    </row>
    <row r="1226" spans="4:17" ht="17.649999999999999" x14ac:dyDescent="0.5">
      <c r="D1226" s="3" t="s">
        <v>76</v>
      </c>
      <c r="Q1226" s="3" t="s">
        <v>76</v>
      </c>
    </row>
    <row r="1227" spans="4:17" ht="17.649999999999999" x14ac:dyDescent="0.5">
      <c r="D1227" s="3" t="s">
        <v>51</v>
      </c>
      <c r="Q1227" s="3" t="s">
        <v>51</v>
      </c>
    </row>
    <row r="1228" spans="4:17" ht="17.649999999999999" x14ac:dyDescent="0.5">
      <c r="D1228" s="3" t="s">
        <v>50</v>
      </c>
      <c r="Q1228" s="3" t="s">
        <v>50</v>
      </c>
    </row>
    <row r="1229" spans="4:17" ht="17.649999999999999" x14ac:dyDescent="0.5">
      <c r="D1229" s="3" t="s">
        <v>123</v>
      </c>
      <c r="Q1229" s="3" t="s">
        <v>123</v>
      </c>
    </row>
    <row r="1230" spans="4:17" ht="17.649999999999999" x14ac:dyDescent="0.5">
      <c r="D1230" s="3" t="s">
        <v>78</v>
      </c>
      <c r="Q1230" s="3" t="s">
        <v>78</v>
      </c>
    </row>
    <row r="1231" spans="4:17" ht="17.649999999999999" x14ac:dyDescent="0.5">
      <c r="D1231" s="3" t="s">
        <v>89</v>
      </c>
      <c r="Q1231" s="3" t="s">
        <v>89</v>
      </c>
    </row>
    <row r="1232" spans="4:17" ht="17.649999999999999" x14ac:dyDescent="0.5">
      <c r="D1232" s="3" t="s">
        <v>87</v>
      </c>
      <c r="Q1232" s="3" t="s">
        <v>87</v>
      </c>
    </row>
    <row r="1233" spans="4:17" ht="17.649999999999999" x14ac:dyDescent="0.5">
      <c r="D1233" s="3" t="s">
        <v>73</v>
      </c>
      <c r="Q1233" s="3" t="s">
        <v>73</v>
      </c>
    </row>
    <row r="1234" spans="4:17" ht="17.649999999999999" x14ac:dyDescent="0.5">
      <c r="D1234" s="3" t="s">
        <v>85</v>
      </c>
      <c r="Q1234" s="3" t="s">
        <v>85</v>
      </c>
    </row>
    <row r="1235" spans="4:17" ht="17.649999999999999" x14ac:dyDescent="0.5">
      <c r="D1235" s="3" t="s">
        <v>104</v>
      </c>
      <c r="Q1235" s="3" t="s">
        <v>104</v>
      </c>
    </row>
    <row r="1236" spans="4:17" ht="17.649999999999999" x14ac:dyDescent="0.5">
      <c r="D1236" s="3" t="s">
        <v>69</v>
      </c>
      <c r="Q1236" s="3" t="s">
        <v>69</v>
      </c>
    </row>
    <row r="1237" spans="4:17" ht="17.649999999999999" x14ac:dyDescent="0.5">
      <c r="D1237" s="3" t="s">
        <v>105</v>
      </c>
      <c r="Q1237" s="3" t="s">
        <v>105</v>
      </c>
    </row>
    <row r="1238" spans="4:17" ht="17.649999999999999" x14ac:dyDescent="0.5">
      <c r="D1238" s="3" t="s">
        <v>92</v>
      </c>
      <c r="Q1238" s="3" t="s">
        <v>92</v>
      </c>
    </row>
    <row r="1239" spans="4:17" ht="17.649999999999999" x14ac:dyDescent="0.5">
      <c r="D1239" s="3" t="s">
        <v>67</v>
      </c>
      <c r="Q1239" s="3" t="s">
        <v>67</v>
      </c>
    </row>
    <row r="1240" spans="4:17" ht="17.649999999999999" x14ac:dyDescent="0.5">
      <c r="D1240" s="3" t="s">
        <v>64</v>
      </c>
      <c r="Q1240" s="3" t="s">
        <v>64</v>
      </c>
    </row>
    <row r="1241" spans="4:17" ht="17.649999999999999" x14ac:dyDescent="0.5">
      <c r="D1241" s="3" t="s">
        <v>41</v>
      </c>
      <c r="Q1241" s="3" t="s">
        <v>41</v>
      </c>
    </row>
    <row r="1242" spans="4:17" ht="17.649999999999999" x14ac:dyDescent="0.5">
      <c r="D1242" s="3" t="s">
        <v>90</v>
      </c>
      <c r="Q1242" s="3" t="s">
        <v>90</v>
      </c>
    </row>
    <row r="1243" spans="4:17" ht="17.649999999999999" x14ac:dyDescent="0.5">
      <c r="D1243" s="3" t="s">
        <v>71</v>
      </c>
      <c r="Q1243" s="3" t="s">
        <v>71</v>
      </c>
    </row>
    <row r="1244" spans="4:17" ht="17.649999999999999" x14ac:dyDescent="0.5">
      <c r="D1244" s="3" t="s">
        <v>125</v>
      </c>
      <c r="Q1244" s="3" t="s">
        <v>125</v>
      </c>
    </row>
    <row r="1245" spans="4:17" ht="17.649999999999999" x14ac:dyDescent="0.5">
      <c r="D1245" s="3" t="s">
        <v>90</v>
      </c>
      <c r="Q1245" s="3" t="s">
        <v>90</v>
      </c>
    </row>
    <row r="1246" spans="4:17" ht="17.649999999999999" x14ac:dyDescent="0.5">
      <c r="D1246" s="3" t="s">
        <v>112</v>
      </c>
      <c r="Q1246" s="3" t="s">
        <v>112</v>
      </c>
    </row>
    <row r="1247" spans="4:17" ht="17.649999999999999" x14ac:dyDescent="0.5">
      <c r="D1247" s="3" t="s">
        <v>52</v>
      </c>
      <c r="Q1247" s="3" t="s">
        <v>52</v>
      </c>
    </row>
    <row r="1248" spans="4:17" ht="17.649999999999999" x14ac:dyDescent="0.5">
      <c r="D1248" s="3" t="s">
        <v>83</v>
      </c>
      <c r="Q1248" s="3" t="s">
        <v>83</v>
      </c>
    </row>
    <row r="1249" spans="4:17" ht="17.649999999999999" x14ac:dyDescent="0.5">
      <c r="D1249" s="3" t="s">
        <v>94</v>
      </c>
      <c r="Q1249" s="3" t="s">
        <v>94</v>
      </c>
    </row>
    <row r="1250" spans="4:17" ht="17.649999999999999" x14ac:dyDescent="0.5">
      <c r="D1250" s="3" t="s">
        <v>79</v>
      </c>
      <c r="Q1250" s="3" t="s">
        <v>79</v>
      </c>
    </row>
    <row r="1251" spans="4:17" ht="17.649999999999999" x14ac:dyDescent="0.5">
      <c r="D1251" s="3" t="s">
        <v>111</v>
      </c>
      <c r="Q1251" s="3" t="s">
        <v>111</v>
      </c>
    </row>
    <row r="1252" spans="4:17" ht="17.649999999999999" x14ac:dyDescent="0.5">
      <c r="D1252" s="3" t="s">
        <v>77</v>
      </c>
      <c r="Q1252" s="3" t="s">
        <v>77</v>
      </c>
    </row>
    <row r="1253" spans="4:17" ht="17.649999999999999" x14ac:dyDescent="0.5">
      <c r="D1253" s="3" t="s">
        <v>101</v>
      </c>
      <c r="Q1253" s="3" t="s">
        <v>101</v>
      </c>
    </row>
    <row r="1254" spans="4:17" ht="17.649999999999999" x14ac:dyDescent="0.5">
      <c r="D1254" s="3" t="s">
        <v>98</v>
      </c>
      <c r="Q1254" s="3" t="s">
        <v>98</v>
      </c>
    </row>
    <row r="1255" spans="4:17" ht="17.649999999999999" x14ac:dyDescent="0.5">
      <c r="D1255" s="3" t="s">
        <v>46</v>
      </c>
      <c r="Q1255" s="3" t="s">
        <v>46</v>
      </c>
    </row>
    <row r="1256" spans="4:17" ht="17.649999999999999" x14ac:dyDescent="0.5">
      <c r="D1256" s="3" t="s">
        <v>100</v>
      </c>
      <c r="Q1256" s="3" t="s">
        <v>100</v>
      </c>
    </row>
    <row r="1257" spans="4:17" ht="17.649999999999999" x14ac:dyDescent="0.5">
      <c r="D1257" s="3" t="s">
        <v>62</v>
      </c>
      <c r="Q1257" s="3" t="s">
        <v>62</v>
      </c>
    </row>
    <row r="1258" spans="4:17" ht="17.649999999999999" x14ac:dyDescent="0.5">
      <c r="D1258" s="3" t="s">
        <v>117</v>
      </c>
      <c r="Q1258" s="3" t="s">
        <v>117</v>
      </c>
    </row>
    <row r="1259" spans="4:17" ht="17.649999999999999" x14ac:dyDescent="0.5">
      <c r="D1259" s="3" t="s">
        <v>69</v>
      </c>
      <c r="Q1259" s="3" t="s">
        <v>69</v>
      </c>
    </row>
    <row r="1260" spans="4:17" ht="17.649999999999999" x14ac:dyDescent="0.5">
      <c r="D1260" s="3" t="s">
        <v>73</v>
      </c>
      <c r="Q1260" s="3" t="s">
        <v>73</v>
      </c>
    </row>
    <row r="1261" spans="4:17" ht="17.649999999999999" x14ac:dyDescent="0.5">
      <c r="D1261" s="3" t="s">
        <v>43</v>
      </c>
      <c r="Q1261" s="3" t="s">
        <v>43</v>
      </c>
    </row>
    <row r="1262" spans="4:17" ht="17.649999999999999" x14ac:dyDescent="0.5">
      <c r="D1262" s="3" t="s">
        <v>87</v>
      </c>
      <c r="Q1262" s="3" t="s">
        <v>87</v>
      </c>
    </row>
    <row r="1263" spans="4:17" ht="17.649999999999999" x14ac:dyDescent="0.5">
      <c r="D1263" s="3" t="s">
        <v>54</v>
      </c>
      <c r="Q1263" s="3" t="s">
        <v>54</v>
      </c>
    </row>
    <row r="1264" spans="4:17" ht="17.649999999999999" x14ac:dyDescent="0.5">
      <c r="D1264" s="3" t="s">
        <v>94</v>
      </c>
      <c r="Q1264" s="3" t="s">
        <v>94</v>
      </c>
    </row>
    <row r="1265" spans="4:17" ht="17.649999999999999" x14ac:dyDescent="0.5">
      <c r="D1265" s="3" t="s">
        <v>94</v>
      </c>
      <c r="Q1265" s="3" t="s">
        <v>94</v>
      </c>
    </row>
    <row r="1266" spans="4:17" ht="17.649999999999999" x14ac:dyDescent="0.5">
      <c r="D1266" s="3" t="s">
        <v>41</v>
      </c>
      <c r="Q1266" s="3" t="s">
        <v>41</v>
      </c>
    </row>
    <row r="1267" spans="4:17" ht="17.649999999999999" x14ac:dyDescent="0.5">
      <c r="D1267" s="3" t="s">
        <v>129</v>
      </c>
      <c r="Q1267" s="3" t="s">
        <v>129</v>
      </c>
    </row>
    <row r="1268" spans="4:17" ht="17.649999999999999" x14ac:dyDescent="0.5">
      <c r="D1268" s="3" t="s">
        <v>54</v>
      </c>
      <c r="Q1268" s="3" t="s">
        <v>54</v>
      </c>
    </row>
    <row r="1269" spans="4:17" ht="17.649999999999999" x14ac:dyDescent="0.5">
      <c r="D1269" s="3" t="s">
        <v>67</v>
      </c>
      <c r="Q1269" s="3" t="s">
        <v>67</v>
      </c>
    </row>
    <row r="1270" spans="4:17" ht="17.649999999999999" x14ac:dyDescent="0.5">
      <c r="D1270" s="3" t="s">
        <v>66</v>
      </c>
      <c r="Q1270" s="3" t="s">
        <v>66</v>
      </c>
    </row>
    <row r="1271" spans="4:17" ht="17.649999999999999" x14ac:dyDescent="0.5">
      <c r="D1271" s="3" t="s">
        <v>122</v>
      </c>
      <c r="Q1271" s="3" t="s">
        <v>122</v>
      </c>
    </row>
    <row r="1272" spans="4:17" ht="17.649999999999999" x14ac:dyDescent="0.5">
      <c r="D1272" s="3" t="s">
        <v>117</v>
      </c>
      <c r="Q1272" s="3" t="s">
        <v>117</v>
      </c>
    </row>
    <row r="1273" spans="4:17" ht="17.649999999999999" x14ac:dyDescent="0.5">
      <c r="D1273" s="3" t="s">
        <v>119</v>
      </c>
      <c r="Q1273" s="3" t="s">
        <v>119</v>
      </c>
    </row>
    <row r="1274" spans="4:17" ht="17.649999999999999" x14ac:dyDescent="0.5">
      <c r="D1274" s="3" t="s">
        <v>78</v>
      </c>
      <c r="Q1274" s="3" t="s">
        <v>78</v>
      </c>
    </row>
    <row r="1275" spans="4:17" ht="17.649999999999999" x14ac:dyDescent="0.5">
      <c r="D1275" s="3" t="s">
        <v>96</v>
      </c>
      <c r="Q1275" s="3" t="s">
        <v>96</v>
      </c>
    </row>
    <row r="1276" spans="4:17" ht="17.649999999999999" x14ac:dyDescent="0.5">
      <c r="D1276" s="3" t="s">
        <v>125</v>
      </c>
      <c r="Q1276" s="3" t="s">
        <v>125</v>
      </c>
    </row>
    <row r="1277" spans="4:17" ht="17.649999999999999" x14ac:dyDescent="0.5">
      <c r="D1277" s="3" t="s">
        <v>59</v>
      </c>
      <c r="Q1277" s="3" t="s">
        <v>59</v>
      </c>
    </row>
    <row r="1278" spans="4:17" ht="17.649999999999999" x14ac:dyDescent="0.5">
      <c r="D1278" s="3" t="s">
        <v>63</v>
      </c>
      <c r="Q1278" s="3" t="s">
        <v>63</v>
      </c>
    </row>
    <row r="1279" spans="4:17" ht="17.649999999999999" x14ac:dyDescent="0.5">
      <c r="D1279" s="3" t="s">
        <v>47</v>
      </c>
      <c r="Q1279" s="3" t="s">
        <v>47</v>
      </c>
    </row>
    <row r="1280" spans="4:17" ht="17.649999999999999" x14ac:dyDescent="0.5">
      <c r="D1280" s="3" t="s">
        <v>55</v>
      </c>
      <c r="Q1280" s="3" t="s">
        <v>55</v>
      </c>
    </row>
    <row r="1281" spans="4:17" ht="17.649999999999999" x14ac:dyDescent="0.5">
      <c r="D1281" s="3" t="s">
        <v>136</v>
      </c>
      <c r="Q1281" s="3" t="s">
        <v>136</v>
      </c>
    </row>
    <row r="1282" spans="4:17" ht="17.649999999999999" x14ac:dyDescent="0.5">
      <c r="D1282" s="3" t="s">
        <v>91</v>
      </c>
      <c r="Q1282" s="3" t="s">
        <v>91</v>
      </c>
    </row>
    <row r="1283" spans="4:17" ht="17.649999999999999" x14ac:dyDescent="0.5">
      <c r="D1283" s="3" t="s">
        <v>80</v>
      </c>
      <c r="Q1283" s="3" t="s">
        <v>80</v>
      </c>
    </row>
    <row r="1284" spans="4:17" ht="17.649999999999999" x14ac:dyDescent="0.5">
      <c r="D1284" s="3" t="s">
        <v>113</v>
      </c>
      <c r="Q1284" s="3" t="s">
        <v>113</v>
      </c>
    </row>
    <row r="1285" spans="4:17" ht="17.649999999999999" x14ac:dyDescent="0.5">
      <c r="D1285" s="3" t="s">
        <v>65</v>
      </c>
      <c r="Q1285" s="3" t="s">
        <v>65</v>
      </c>
    </row>
    <row r="1286" spans="4:17" ht="17.649999999999999" x14ac:dyDescent="0.5">
      <c r="D1286" s="3" t="s">
        <v>81</v>
      </c>
      <c r="Q1286" s="3" t="s">
        <v>81</v>
      </c>
    </row>
    <row r="1287" spans="4:17" ht="17.649999999999999" x14ac:dyDescent="0.5">
      <c r="D1287" s="3" t="s">
        <v>90</v>
      </c>
      <c r="Q1287" s="3" t="s">
        <v>90</v>
      </c>
    </row>
    <row r="1288" spans="4:17" ht="17.649999999999999" x14ac:dyDescent="0.5">
      <c r="D1288" s="3" t="s">
        <v>99</v>
      </c>
      <c r="Q1288" s="3" t="s">
        <v>99</v>
      </c>
    </row>
    <row r="1289" spans="4:17" ht="17.649999999999999" x14ac:dyDescent="0.5">
      <c r="D1289" s="3" t="s">
        <v>77</v>
      </c>
      <c r="Q1289" s="3" t="s">
        <v>77</v>
      </c>
    </row>
    <row r="1290" spans="4:17" ht="17.649999999999999" x14ac:dyDescent="0.5">
      <c r="D1290" s="3" t="s">
        <v>83</v>
      </c>
      <c r="Q1290" s="3" t="s">
        <v>83</v>
      </c>
    </row>
    <row r="1291" spans="4:17" ht="17.649999999999999" x14ac:dyDescent="0.5">
      <c r="D1291" s="3" t="s">
        <v>109</v>
      </c>
      <c r="Q1291" s="3" t="s">
        <v>109</v>
      </c>
    </row>
    <row r="1292" spans="4:17" ht="17.649999999999999" x14ac:dyDescent="0.5">
      <c r="D1292" s="3" t="s">
        <v>117</v>
      </c>
      <c r="Q1292" s="3" t="s">
        <v>117</v>
      </c>
    </row>
    <row r="1293" spans="4:17" ht="17.649999999999999" x14ac:dyDescent="0.5">
      <c r="D1293" s="3" t="s">
        <v>64</v>
      </c>
      <c r="Q1293" s="3" t="s">
        <v>64</v>
      </c>
    </row>
    <row r="1294" spans="4:17" ht="17.649999999999999" x14ac:dyDescent="0.5">
      <c r="D1294" s="3" t="s">
        <v>57</v>
      </c>
      <c r="Q1294" s="3" t="s">
        <v>57</v>
      </c>
    </row>
    <row r="1295" spans="4:17" ht="17.649999999999999" x14ac:dyDescent="0.5">
      <c r="D1295" s="3" t="s">
        <v>53</v>
      </c>
      <c r="Q1295" s="3" t="s">
        <v>53</v>
      </c>
    </row>
    <row r="1296" spans="4:17" ht="17.649999999999999" x14ac:dyDescent="0.5">
      <c r="D1296" s="3" t="s">
        <v>48</v>
      </c>
      <c r="Q1296" s="3" t="s">
        <v>48</v>
      </c>
    </row>
    <row r="1297" spans="4:17" ht="17.649999999999999" x14ac:dyDescent="0.5">
      <c r="D1297" s="3" t="s">
        <v>59</v>
      </c>
      <c r="Q1297" s="3" t="s">
        <v>59</v>
      </c>
    </row>
    <row r="1298" spans="4:17" ht="17.649999999999999" x14ac:dyDescent="0.5">
      <c r="D1298" s="3" t="s">
        <v>90</v>
      </c>
      <c r="Q1298" s="3" t="s">
        <v>90</v>
      </c>
    </row>
    <row r="1299" spans="4:17" ht="17.649999999999999" x14ac:dyDescent="0.5">
      <c r="D1299" s="3" t="s">
        <v>119</v>
      </c>
      <c r="Q1299" s="3" t="s">
        <v>119</v>
      </c>
    </row>
    <row r="1300" spans="4:17" ht="17.649999999999999" x14ac:dyDescent="0.5">
      <c r="D1300" s="3" t="s">
        <v>44</v>
      </c>
      <c r="Q1300" s="3" t="s">
        <v>44</v>
      </c>
    </row>
    <row r="1301" spans="4:17" ht="17.649999999999999" x14ac:dyDescent="0.5">
      <c r="D1301" s="3" t="s">
        <v>133</v>
      </c>
      <c r="Q1301" s="3" t="s">
        <v>133</v>
      </c>
    </row>
    <row r="1302" spans="4:17" ht="17.649999999999999" x14ac:dyDescent="0.5">
      <c r="D1302" s="3" t="s">
        <v>90</v>
      </c>
      <c r="Q1302" s="3" t="s">
        <v>90</v>
      </c>
    </row>
    <row r="1303" spans="4:17" ht="17.649999999999999" x14ac:dyDescent="0.5">
      <c r="D1303" s="3" t="s">
        <v>75</v>
      </c>
      <c r="Q1303" s="3" t="s">
        <v>75</v>
      </c>
    </row>
    <row r="1304" spans="4:17" ht="17.649999999999999" x14ac:dyDescent="0.5">
      <c r="D1304" s="3" t="s">
        <v>101</v>
      </c>
      <c r="Q1304" s="3" t="s">
        <v>101</v>
      </c>
    </row>
    <row r="1305" spans="4:17" ht="17.649999999999999" x14ac:dyDescent="0.5">
      <c r="D1305" s="3" t="s">
        <v>66</v>
      </c>
      <c r="Q1305" s="3" t="s">
        <v>66</v>
      </c>
    </row>
    <row r="1306" spans="4:17" ht="17.649999999999999" x14ac:dyDescent="0.5">
      <c r="D1306" s="3" t="s">
        <v>55</v>
      </c>
      <c r="Q1306" s="3" t="s">
        <v>55</v>
      </c>
    </row>
    <row r="1307" spans="4:17" ht="17.649999999999999" x14ac:dyDescent="0.5">
      <c r="D1307" s="3" t="s">
        <v>57</v>
      </c>
      <c r="Q1307" s="3" t="s">
        <v>57</v>
      </c>
    </row>
    <row r="1308" spans="4:17" ht="17.649999999999999" x14ac:dyDescent="0.5">
      <c r="D1308" s="3" t="s">
        <v>61</v>
      </c>
      <c r="Q1308" s="3" t="s">
        <v>61</v>
      </c>
    </row>
    <row r="1309" spans="4:17" ht="17.649999999999999" x14ac:dyDescent="0.5">
      <c r="D1309" s="3" t="s">
        <v>107</v>
      </c>
      <c r="Q1309" s="3" t="s">
        <v>107</v>
      </c>
    </row>
    <row r="1310" spans="4:17" ht="17.649999999999999" x14ac:dyDescent="0.5">
      <c r="D1310" s="3" t="s">
        <v>74</v>
      </c>
      <c r="Q1310" s="3" t="s">
        <v>74</v>
      </c>
    </row>
    <row r="1311" spans="4:17" ht="17.649999999999999" x14ac:dyDescent="0.5">
      <c r="D1311" s="3" t="s">
        <v>41</v>
      </c>
      <c r="Q1311" s="3" t="s">
        <v>41</v>
      </c>
    </row>
    <row r="1312" spans="4:17" ht="17.649999999999999" x14ac:dyDescent="0.5">
      <c r="D1312" s="3" t="s">
        <v>52</v>
      </c>
      <c r="Q1312" s="3" t="s">
        <v>52</v>
      </c>
    </row>
    <row r="1313" spans="4:17" ht="17.649999999999999" x14ac:dyDescent="0.5">
      <c r="D1313" s="3" t="s">
        <v>82</v>
      </c>
      <c r="Q1313" s="3" t="s">
        <v>82</v>
      </c>
    </row>
    <row r="1314" spans="4:17" ht="17.649999999999999" x14ac:dyDescent="0.5">
      <c r="D1314" s="3" t="s">
        <v>91</v>
      </c>
      <c r="Q1314" s="3" t="s">
        <v>91</v>
      </c>
    </row>
    <row r="1315" spans="4:17" ht="17.649999999999999" x14ac:dyDescent="0.5">
      <c r="D1315" s="3" t="s">
        <v>85</v>
      </c>
      <c r="Q1315" s="3" t="s">
        <v>85</v>
      </c>
    </row>
    <row r="1316" spans="4:17" ht="17.649999999999999" x14ac:dyDescent="0.5">
      <c r="D1316" s="3" t="s">
        <v>63</v>
      </c>
      <c r="Q1316" s="3" t="s">
        <v>63</v>
      </c>
    </row>
    <row r="1317" spans="4:17" ht="17.649999999999999" x14ac:dyDescent="0.5">
      <c r="D1317" s="3" t="s">
        <v>100</v>
      </c>
      <c r="Q1317" s="3" t="s">
        <v>100</v>
      </c>
    </row>
    <row r="1318" spans="4:17" ht="17.649999999999999" x14ac:dyDescent="0.5">
      <c r="D1318" s="3" t="s">
        <v>107</v>
      </c>
      <c r="Q1318" s="3" t="s">
        <v>107</v>
      </c>
    </row>
    <row r="1319" spans="4:17" ht="17.649999999999999" x14ac:dyDescent="0.5">
      <c r="D1319" s="3" t="s">
        <v>65</v>
      </c>
      <c r="Q1319" s="3" t="s">
        <v>65</v>
      </c>
    </row>
    <row r="1320" spans="4:17" ht="17.649999999999999" x14ac:dyDescent="0.5">
      <c r="D1320" s="3" t="s">
        <v>41</v>
      </c>
      <c r="Q1320" s="3" t="s">
        <v>41</v>
      </c>
    </row>
    <row r="1321" spans="4:17" ht="17.649999999999999" x14ac:dyDescent="0.5">
      <c r="D1321" s="3" t="s">
        <v>56</v>
      </c>
      <c r="Q1321" s="3" t="s">
        <v>56</v>
      </c>
    </row>
    <row r="1322" spans="4:17" ht="17.649999999999999" x14ac:dyDescent="0.5">
      <c r="D1322" s="3" t="s">
        <v>83</v>
      </c>
      <c r="Q1322" s="3" t="s">
        <v>83</v>
      </c>
    </row>
    <row r="1323" spans="4:17" ht="17.649999999999999" x14ac:dyDescent="0.5">
      <c r="D1323" s="3" t="s">
        <v>123</v>
      </c>
      <c r="Q1323" s="3" t="s">
        <v>123</v>
      </c>
    </row>
    <row r="1324" spans="4:17" ht="17.649999999999999" x14ac:dyDescent="0.5">
      <c r="D1324" s="3" t="s">
        <v>64</v>
      </c>
      <c r="Q1324" s="3" t="s">
        <v>64</v>
      </c>
    </row>
    <row r="1325" spans="4:17" ht="17.649999999999999" x14ac:dyDescent="0.5">
      <c r="D1325" s="3" t="s">
        <v>63</v>
      </c>
      <c r="Q1325" s="3" t="s">
        <v>63</v>
      </c>
    </row>
    <row r="1326" spans="4:17" ht="17.649999999999999" x14ac:dyDescent="0.5">
      <c r="D1326" s="3" t="s">
        <v>103</v>
      </c>
      <c r="Q1326" s="3" t="s">
        <v>103</v>
      </c>
    </row>
    <row r="1327" spans="4:17" ht="17.649999999999999" x14ac:dyDescent="0.5">
      <c r="D1327" s="3" t="s">
        <v>57</v>
      </c>
      <c r="Q1327" s="3" t="s">
        <v>57</v>
      </c>
    </row>
    <row r="1328" spans="4:17" ht="17.649999999999999" x14ac:dyDescent="0.5">
      <c r="D1328" s="3" t="s">
        <v>73</v>
      </c>
      <c r="Q1328" s="3" t="s">
        <v>73</v>
      </c>
    </row>
    <row r="1329" spans="4:17" ht="17.649999999999999" x14ac:dyDescent="0.5">
      <c r="D1329" s="3" t="s">
        <v>113</v>
      </c>
      <c r="Q1329" s="3" t="s">
        <v>113</v>
      </c>
    </row>
    <row r="1330" spans="4:17" ht="17.649999999999999" x14ac:dyDescent="0.5">
      <c r="D1330" s="3" t="s">
        <v>69</v>
      </c>
      <c r="Q1330" s="3" t="s">
        <v>69</v>
      </c>
    </row>
    <row r="1331" spans="4:17" ht="17.649999999999999" x14ac:dyDescent="0.5">
      <c r="D1331" s="3" t="s">
        <v>135</v>
      </c>
      <c r="Q1331" s="3" t="s">
        <v>135</v>
      </c>
    </row>
    <row r="1332" spans="4:17" ht="17.649999999999999" x14ac:dyDescent="0.5">
      <c r="D1332" s="3" t="s">
        <v>74</v>
      </c>
      <c r="Q1332" s="3" t="s">
        <v>74</v>
      </c>
    </row>
    <row r="1333" spans="4:17" ht="17.649999999999999" x14ac:dyDescent="0.5">
      <c r="D1333" s="3" t="s">
        <v>94</v>
      </c>
      <c r="Q1333" s="3" t="s">
        <v>94</v>
      </c>
    </row>
    <row r="1334" spans="4:17" ht="17.649999999999999" x14ac:dyDescent="0.5">
      <c r="D1334" s="3" t="s">
        <v>77</v>
      </c>
      <c r="Q1334" s="3" t="s">
        <v>77</v>
      </c>
    </row>
    <row r="1335" spans="4:17" ht="17.649999999999999" x14ac:dyDescent="0.5">
      <c r="D1335" s="3" t="s">
        <v>78</v>
      </c>
      <c r="Q1335" s="3" t="s">
        <v>78</v>
      </c>
    </row>
    <row r="1336" spans="4:17" ht="17.649999999999999" x14ac:dyDescent="0.5">
      <c r="D1336" s="3" t="s">
        <v>48</v>
      </c>
      <c r="Q1336" s="3" t="s">
        <v>48</v>
      </c>
    </row>
    <row r="1337" spans="4:17" ht="17.649999999999999" x14ac:dyDescent="0.5">
      <c r="D1337" s="3" t="s">
        <v>98</v>
      </c>
      <c r="Q1337" s="3" t="s">
        <v>98</v>
      </c>
    </row>
    <row r="1338" spans="4:17" ht="17.649999999999999" x14ac:dyDescent="0.5">
      <c r="D1338" s="3" t="s">
        <v>87</v>
      </c>
      <c r="Q1338" s="3" t="s">
        <v>87</v>
      </c>
    </row>
    <row r="1339" spans="4:17" ht="17.649999999999999" x14ac:dyDescent="0.5">
      <c r="D1339" s="3" t="s">
        <v>78</v>
      </c>
      <c r="Q1339" s="3" t="s">
        <v>78</v>
      </c>
    </row>
    <row r="1340" spans="4:17" ht="17.649999999999999" x14ac:dyDescent="0.5">
      <c r="D1340" s="3" t="s">
        <v>68</v>
      </c>
      <c r="Q1340" s="3" t="s">
        <v>68</v>
      </c>
    </row>
    <row r="1341" spans="4:17" ht="17.649999999999999" x14ac:dyDescent="0.5">
      <c r="D1341" s="3" t="s">
        <v>75</v>
      </c>
      <c r="Q1341" s="3" t="s">
        <v>75</v>
      </c>
    </row>
    <row r="1342" spans="4:17" ht="17.649999999999999" x14ac:dyDescent="0.5">
      <c r="D1342" s="3" t="s">
        <v>80</v>
      </c>
      <c r="Q1342" s="3" t="s">
        <v>80</v>
      </c>
    </row>
    <row r="1343" spans="4:17" ht="17.649999999999999" x14ac:dyDescent="0.5">
      <c r="D1343" s="3" t="s">
        <v>61</v>
      </c>
      <c r="Q1343" s="3" t="s">
        <v>61</v>
      </c>
    </row>
    <row r="1344" spans="4:17" ht="17.649999999999999" x14ac:dyDescent="0.5">
      <c r="D1344" s="3" t="s">
        <v>64</v>
      </c>
      <c r="Q1344" s="3" t="s">
        <v>64</v>
      </c>
    </row>
    <row r="1345" spans="4:17" ht="17.649999999999999" x14ac:dyDescent="0.5">
      <c r="D1345" s="3" t="s">
        <v>96</v>
      </c>
      <c r="Q1345" s="3" t="s">
        <v>96</v>
      </c>
    </row>
    <row r="1346" spans="4:17" ht="17.649999999999999" x14ac:dyDescent="0.5">
      <c r="D1346" s="3" t="s">
        <v>101</v>
      </c>
      <c r="Q1346" s="3" t="s">
        <v>101</v>
      </c>
    </row>
    <row r="1347" spans="4:17" ht="17.649999999999999" x14ac:dyDescent="0.5">
      <c r="D1347" s="3" t="s">
        <v>44</v>
      </c>
      <c r="Q1347" s="3" t="s">
        <v>44</v>
      </c>
    </row>
    <row r="1348" spans="4:17" ht="17.649999999999999" x14ac:dyDescent="0.5">
      <c r="D1348" s="3" t="s">
        <v>94</v>
      </c>
      <c r="Q1348" s="3" t="s">
        <v>94</v>
      </c>
    </row>
    <row r="1349" spans="4:17" ht="17.649999999999999" x14ac:dyDescent="0.5">
      <c r="D1349" s="3" t="s">
        <v>80</v>
      </c>
      <c r="Q1349" s="3" t="s">
        <v>80</v>
      </c>
    </row>
    <row r="1350" spans="4:17" ht="17.649999999999999" x14ac:dyDescent="0.5">
      <c r="D1350" s="3" t="s">
        <v>55</v>
      </c>
      <c r="Q1350" s="3" t="s">
        <v>55</v>
      </c>
    </row>
    <row r="1351" spans="4:17" ht="17.649999999999999" x14ac:dyDescent="0.5">
      <c r="D1351" s="3" t="s">
        <v>46</v>
      </c>
      <c r="Q1351" s="3" t="s">
        <v>46</v>
      </c>
    </row>
    <row r="1352" spans="4:17" ht="17.649999999999999" x14ac:dyDescent="0.5">
      <c r="D1352" s="3" t="s">
        <v>124</v>
      </c>
      <c r="Q1352" s="3" t="s">
        <v>124</v>
      </c>
    </row>
    <row r="1353" spans="4:17" ht="17.649999999999999" x14ac:dyDescent="0.5">
      <c r="D1353" s="3" t="s">
        <v>123</v>
      </c>
      <c r="Q1353" s="3" t="s">
        <v>123</v>
      </c>
    </row>
    <row r="1354" spans="4:17" ht="17.649999999999999" x14ac:dyDescent="0.5">
      <c r="D1354" s="3" t="s">
        <v>45</v>
      </c>
      <c r="Q1354" s="3" t="s">
        <v>45</v>
      </c>
    </row>
    <row r="1355" spans="4:17" ht="17.649999999999999" x14ac:dyDescent="0.5">
      <c r="D1355" s="3" t="s">
        <v>97</v>
      </c>
      <c r="Q1355" s="3" t="s">
        <v>97</v>
      </c>
    </row>
    <row r="1356" spans="4:17" ht="17.649999999999999" x14ac:dyDescent="0.5">
      <c r="D1356" s="3" t="s">
        <v>131</v>
      </c>
      <c r="Q1356" s="3" t="s">
        <v>131</v>
      </c>
    </row>
    <row r="1357" spans="4:17" ht="17.649999999999999" x14ac:dyDescent="0.5">
      <c r="D1357" s="3" t="s">
        <v>128</v>
      </c>
      <c r="Q1357" s="3" t="s">
        <v>128</v>
      </c>
    </row>
    <row r="1358" spans="4:17" ht="17.649999999999999" x14ac:dyDescent="0.5">
      <c r="D1358" s="3" t="s">
        <v>61</v>
      </c>
      <c r="Q1358" s="3" t="s">
        <v>61</v>
      </c>
    </row>
    <row r="1359" spans="4:17" ht="17.649999999999999" x14ac:dyDescent="0.5">
      <c r="D1359" s="3" t="s">
        <v>99</v>
      </c>
      <c r="Q1359" s="3" t="s">
        <v>99</v>
      </c>
    </row>
    <row r="1360" spans="4:17" ht="17.649999999999999" x14ac:dyDescent="0.5">
      <c r="D1360" s="3" t="s">
        <v>105</v>
      </c>
      <c r="Q1360" s="3" t="s">
        <v>105</v>
      </c>
    </row>
    <row r="1361" spans="4:17" ht="17.649999999999999" x14ac:dyDescent="0.5">
      <c r="D1361" s="3" t="s">
        <v>86</v>
      </c>
      <c r="Q1361" s="3" t="s">
        <v>86</v>
      </c>
    </row>
    <row r="1362" spans="4:17" ht="17.649999999999999" x14ac:dyDescent="0.5">
      <c r="D1362" s="3" t="s">
        <v>47</v>
      </c>
      <c r="Q1362" s="3" t="s">
        <v>47</v>
      </c>
    </row>
    <row r="1363" spans="4:17" ht="17.649999999999999" x14ac:dyDescent="0.5">
      <c r="D1363" s="3" t="s">
        <v>57</v>
      </c>
      <c r="Q1363" s="3" t="s">
        <v>57</v>
      </c>
    </row>
    <row r="1364" spans="4:17" ht="17.649999999999999" x14ac:dyDescent="0.5">
      <c r="D1364" s="3" t="s">
        <v>96</v>
      </c>
      <c r="Q1364" s="3" t="s">
        <v>96</v>
      </c>
    </row>
    <row r="1365" spans="4:17" ht="17.649999999999999" x14ac:dyDescent="0.5">
      <c r="D1365" s="3" t="s">
        <v>55</v>
      </c>
      <c r="Q1365" s="3" t="s">
        <v>55</v>
      </c>
    </row>
    <row r="1366" spans="4:17" ht="17.649999999999999" x14ac:dyDescent="0.5">
      <c r="D1366" s="3" t="s">
        <v>50</v>
      </c>
      <c r="Q1366" s="3" t="s">
        <v>50</v>
      </c>
    </row>
    <row r="1367" spans="4:17" ht="17.649999999999999" x14ac:dyDescent="0.5">
      <c r="D1367" s="3" t="s">
        <v>91</v>
      </c>
      <c r="Q1367" s="3" t="s">
        <v>91</v>
      </c>
    </row>
    <row r="1368" spans="4:17" ht="17.649999999999999" x14ac:dyDescent="0.5">
      <c r="D1368" s="3" t="s">
        <v>52</v>
      </c>
      <c r="Q1368" s="3" t="s">
        <v>52</v>
      </c>
    </row>
    <row r="1369" spans="4:17" ht="17.649999999999999" x14ac:dyDescent="0.5">
      <c r="D1369" s="3" t="s">
        <v>117</v>
      </c>
      <c r="Q1369" s="3" t="s">
        <v>117</v>
      </c>
    </row>
    <row r="1370" spans="4:17" ht="17.649999999999999" x14ac:dyDescent="0.5">
      <c r="D1370" s="3" t="s">
        <v>57</v>
      </c>
      <c r="Q1370" s="3" t="s">
        <v>57</v>
      </c>
    </row>
    <row r="1371" spans="4:17" ht="17.649999999999999" x14ac:dyDescent="0.5">
      <c r="D1371" s="3" t="s">
        <v>73</v>
      </c>
      <c r="Q1371" s="3" t="s">
        <v>73</v>
      </c>
    </row>
    <row r="1372" spans="4:17" ht="17.649999999999999" x14ac:dyDescent="0.5">
      <c r="D1372" s="3" t="s">
        <v>57</v>
      </c>
      <c r="Q1372" s="3" t="s">
        <v>57</v>
      </c>
    </row>
    <row r="1373" spans="4:17" ht="17.649999999999999" x14ac:dyDescent="0.5">
      <c r="D1373" s="3" t="s">
        <v>51</v>
      </c>
      <c r="Q1373" s="3" t="s">
        <v>51</v>
      </c>
    </row>
    <row r="1374" spans="4:17" ht="17.649999999999999" x14ac:dyDescent="0.5">
      <c r="D1374" s="3" t="s">
        <v>130</v>
      </c>
      <c r="Q1374" s="3" t="s">
        <v>130</v>
      </c>
    </row>
    <row r="1375" spans="4:17" ht="17.649999999999999" x14ac:dyDescent="0.5">
      <c r="D1375" s="3" t="s">
        <v>52</v>
      </c>
      <c r="Q1375" s="3" t="s">
        <v>52</v>
      </c>
    </row>
    <row r="1376" spans="4:17" ht="17.649999999999999" x14ac:dyDescent="0.5">
      <c r="D1376" s="3" t="s">
        <v>105</v>
      </c>
      <c r="Q1376" s="3" t="s">
        <v>105</v>
      </c>
    </row>
    <row r="1377" spans="4:17" ht="17.649999999999999" x14ac:dyDescent="0.5">
      <c r="D1377" s="3" t="s">
        <v>92</v>
      </c>
      <c r="Q1377" s="3" t="s">
        <v>92</v>
      </c>
    </row>
    <row r="1378" spans="4:17" ht="17.649999999999999" x14ac:dyDescent="0.5">
      <c r="D1378" s="3" t="s">
        <v>107</v>
      </c>
      <c r="Q1378" s="3" t="s">
        <v>107</v>
      </c>
    </row>
    <row r="1379" spans="4:17" ht="17.649999999999999" x14ac:dyDescent="0.5">
      <c r="D1379" s="3" t="s">
        <v>90</v>
      </c>
      <c r="Q1379" s="3" t="s">
        <v>90</v>
      </c>
    </row>
    <row r="1380" spans="4:17" ht="17.649999999999999" x14ac:dyDescent="0.5">
      <c r="D1380" s="3" t="s">
        <v>77</v>
      </c>
      <c r="Q1380" s="3" t="s">
        <v>77</v>
      </c>
    </row>
    <row r="1381" spans="4:17" ht="17.649999999999999" x14ac:dyDescent="0.5">
      <c r="D1381" s="3" t="s">
        <v>82</v>
      </c>
      <c r="Q1381" s="3" t="s">
        <v>82</v>
      </c>
    </row>
    <row r="1382" spans="4:17" ht="17.649999999999999" x14ac:dyDescent="0.5">
      <c r="D1382" s="3" t="s">
        <v>46</v>
      </c>
      <c r="Q1382" s="3" t="s">
        <v>46</v>
      </c>
    </row>
    <row r="1383" spans="4:17" ht="17.649999999999999" x14ac:dyDescent="0.5">
      <c r="D1383" s="3" t="s">
        <v>87</v>
      </c>
      <c r="Q1383" s="3" t="s">
        <v>87</v>
      </c>
    </row>
    <row r="1384" spans="4:17" ht="17.649999999999999" x14ac:dyDescent="0.5">
      <c r="D1384" s="3" t="s">
        <v>96</v>
      </c>
      <c r="Q1384" s="3" t="s">
        <v>96</v>
      </c>
    </row>
    <row r="1385" spans="4:17" ht="17.649999999999999" x14ac:dyDescent="0.5">
      <c r="D1385" s="3" t="s">
        <v>84</v>
      </c>
      <c r="Q1385" s="3" t="s">
        <v>84</v>
      </c>
    </row>
    <row r="1386" spans="4:17" ht="17.649999999999999" x14ac:dyDescent="0.5">
      <c r="D1386" s="3" t="s">
        <v>41</v>
      </c>
      <c r="Q1386" s="3" t="s">
        <v>41</v>
      </c>
    </row>
    <row r="1387" spans="4:17" ht="17.649999999999999" x14ac:dyDescent="0.5">
      <c r="D1387" s="3" t="s">
        <v>95</v>
      </c>
      <c r="Q1387" s="3" t="s">
        <v>95</v>
      </c>
    </row>
    <row r="1388" spans="4:17" ht="17.649999999999999" x14ac:dyDescent="0.5">
      <c r="D1388" s="3" t="s">
        <v>43</v>
      </c>
      <c r="Q1388" s="3" t="s">
        <v>43</v>
      </c>
    </row>
    <row r="1389" spans="4:17" ht="17.649999999999999" x14ac:dyDescent="0.5">
      <c r="D1389" s="3" t="s">
        <v>94</v>
      </c>
      <c r="Q1389" s="3" t="s">
        <v>94</v>
      </c>
    </row>
    <row r="1390" spans="4:17" ht="17.649999999999999" x14ac:dyDescent="0.5">
      <c r="D1390" s="3" t="s">
        <v>75</v>
      </c>
      <c r="Q1390" s="3" t="s">
        <v>75</v>
      </c>
    </row>
    <row r="1391" spans="4:17" ht="17.649999999999999" x14ac:dyDescent="0.5">
      <c r="D1391" s="3" t="s">
        <v>68</v>
      </c>
      <c r="Q1391" s="3" t="s">
        <v>68</v>
      </c>
    </row>
    <row r="1392" spans="4:17" ht="17.649999999999999" x14ac:dyDescent="0.5">
      <c r="D1392" s="3" t="s">
        <v>103</v>
      </c>
      <c r="Q1392" s="3" t="s">
        <v>103</v>
      </c>
    </row>
    <row r="1393" spans="4:17" ht="17.649999999999999" x14ac:dyDescent="0.5">
      <c r="D1393" s="3" t="s">
        <v>101</v>
      </c>
      <c r="Q1393" s="3" t="s">
        <v>101</v>
      </c>
    </row>
    <row r="1394" spans="4:17" ht="17.649999999999999" x14ac:dyDescent="0.5">
      <c r="D1394" s="3" t="s">
        <v>51</v>
      </c>
      <c r="Q1394" s="3" t="s">
        <v>51</v>
      </c>
    </row>
    <row r="1395" spans="4:17" ht="17.649999999999999" x14ac:dyDescent="0.5">
      <c r="D1395" s="3" t="s">
        <v>47</v>
      </c>
      <c r="Q1395" s="3" t="s">
        <v>47</v>
      </c>
    </row>
    <row r="1396" spans="4:17" ht="17.649999999999999" x14ac:dyDescent="0.5">
      <c r="D1396" s="3" t="s">
        <v>112</v>
      </c>
      <c r="Q1396" s="3" t="s">
        <v>112</v>
      </c>
    </row>
    <row r="1397" spans="4:17" ht="17.649999999999999" x14ac:dyDescent="0.5">
      <c r="D1397" s="3" t="s">
        <v>56</v>
      </c>
      <c r="Q1397" s="3" t="s">
        <v>56</v>
      </c>
    </row>
    <row r="1398" spans="4:17" ht="17.649999999999999" x14ac:dyDescent="0.5">
      <c r="D1398" s="3" t="s">
        <v>63</v>
      </c>
      <c r="Q1398" s="3" t="s">
        <v>63</v>
      </c>
    </row>
    <row r="1399" spans="4:17" ht="17.649999999999999" x14ac:dyDescent="0.5">
      <c r="D1399" s="3" t="s">
        <v>98</v>
      </c>
      <c r="Q1399" s="3" t="s">
        <v>98</v>
      </c>
    </row>
    <row r="1400" spans="4:17" ht="17.649999999999999" x14ac:dyDescent="0.5">
      <c r="D1400" s="3" t="s">
        <v>41</v>
      </c>
      <c r="Q1400" s="3" t="s">
        <v>41</v>
      </c>
    </row>
    <row r="1401" spans="4:17" ht="17.649999999999999" x14ac:dyDescent="0.5">
      <c r="D1401" s="3" t="s">
        <v>47</v>
      </c>
      <c r="Q1401" s="3" t="s">
        <v>47</v>
      </c>
    </row>
    <row r="1402" spans="4:17" ht="17.649999999999999" x14ac:dyDescent="0.5">
      <c r="D1402" s="3" t="s">
        <v>66</v>
      </c>
      <c r="Q1402" s="3" t="s">
        <v>66</v>
      </c>
    </row>
    <row r="1403" spans="4:17" ht="17.649999999999999" x14ac:dyDescent="0.5">
      <c r="D1403" s="3" t="s">
        <v>87</v>
      </c>
      <c r="Q1403" s="3" t="s">
        <v>87</v>
      </c>
    </row>
    <row r="1404" spans="4:17" ht="17.649999999999999" x14ac:dyDescent="0.5">
      <c r="D1404" s="3" t="s">
        <v>104</v>
      </c>
      <c r="Q1404" s="3" t="s">
        <v>104</v>
      </c>
    </row>
    <row r="1405" spans="4:17" ht="17.649999999999999" x14ac:dyDescent="0.5">
      <c r="D1405" s="3" t="s">
        <v>67</v>
      </c>
      <c r="Q1405" s="3" t="s">
        <v>67</v>
      </c>
    </row>
    <row r="1406" spans="4:17" ht="17.649999999999999" x14ac:dyDescent="0.5">
      <c r="D1406" s="3" t="s">
        <v>41</v>
      </c>
      <c r="Q1406" s="3" t="s">
        <v>41</v>
      </c>
    </row>
    <row r="1407" spans="4:17" ht="17.649999999999999" x14ac:dyDescent="0.5">
      <c r="D1407" s="3" t="s">
        <v>120</v>
      </c>
      <c r="Q1407" s="3" t="s">
        <v>120</v>
      </c>
    </row>
    <row r="1408" spans="4:17" ht="17.649999999999999" x14ac:dyDescent="0.5">
      <c r="D1408" s="3" t="s">
        <v>133</v>
      </c>
      <c r="Q1408" s="3" t="s">
        <v>133</v>
      </c>
    </row>
    <row r="1409" spans="4:17" ht="17.649999999999999" x14ac:dyDescent="0.5">
      <c r="D1409" s="3" t="s">
        <v>107</v>
      </c>
      <c r="Q1409" s="3" t="s">
        <v>107</v>
      </c>
    </row>
    <row r="1410" spans="4:17" ht="17.649999999999999" x14ac:dyDescent="0.5">
      <c r="D1410" s="3" t="s">
        <v>117</v>
      </c>
      <c r="Q1410" s="3" t="s">
        <v>117</v>
      </c>
    </row>
    <row r="1411" spans="4:17" ht="17.649999999999999" x14ac:dyDescent="0.5">
      <c r="D1411" s="3" t="s">
        <v>53</v>
      </c>
      <c r="Q1411" s="3" t="s">
        <v>53</v>
      </c>
    </row>
    <row r="1412" spans="4:17" ht="17.649999999999999" x14ac:dyDescent="0.5">
      <c r="D1412" s="3" t="s">
        <v>98</v>
      </c>
      <c r="Q1412" s="3" t="s">
        <v>98</v>
      </c>
    </row>
    <row r="1413" spans="4:17" ht="17.649999999999999" x14ac:dyDescent="0.5">
      <c r="D1413" s="3" t="s">
        <v>129</v>
      </c>
      <c r="Q1413" s="3" t="s">
        <v>129</v>
      </c>
    </row>
    <row r="1414" spans="4:17" ht="17.649999999999999" x14ac:dyDescent="0.5">
      <c r="D1414" s="3" t="s">
        <v>90</v>
      </c>
      <c r="Q1414" s="3" t="s">
        <v>90</v>
      </c>
    </row>
    <row r="1415" spans="4:17" ht="17.649999999999999" x14ac:dyDescent="0.5">
      <c r="D1415" s="3" t="s">
        <v>63</v>
      </c>
      <c r="Q1415" s="3" t="s">
        <v>63</v>
      </c>
    </row>
    <row r="1416" spans="4:17" ht="17.649999999999999" x14ac:dyDescent="0.5">
      <c r="D1416" s="3" t="s">
        <v>92</v>
      </c>
      <c r="Q1416" s="3" t="s">
        <v>92</v>
      </c>
    </row>
    <row r="1417" spans="4:17" ht="17.649999999999999" x14ac:dyDescent="0.5">
      <c r="D1417" s="3" t="s">
        <v>119</v>
      </c>
      <c r="Q1417" s="3" t="s">
        <v>119</v>
      </c>
    </row>
    <row r="1418" spans="4:17" ht="17.649999999999999" x14ac:dyDescent="0.5">
      <c r="D1418" s="3" t="s">
        <v>99</v>
      </c>
      <c r="Q1418" s="3" t="s">
        <v>99</v>
      </c>
    </row>
    <row r="1419" spans="4:17" ht="17.649999999999999" x14ac:dyDescent="0.5">
      <c r="D1419" s="3" t="s">
        <v>72</v>
      </c>
      <c r="Q1419" s="3" t="s">
        <v>72</v>
      </c>
    </row>
    <row r="1420" spans="4:17" ht="17.649999999999999" x14ac:dyDescent="0.5">
      <c r="D1420" s="3" t="s">
        <v>44</v>
      </c>
      <c r="Q1420" s="3" t="s">
        <v>44</v>
      </c>
    </row>
    <row r="1421" spans="4:17" ht="17.649999999999999" x14ac:dyDescent="0.5">
      <c r="D1421" s="3" t="s">
        <v>70</v>
      </c>
      <c r="Q1421" s="3" t="s">
        <v>70</v>
      </c>
    </row>
    <row r="1422" spans="4:17" ht="17.649999999999999" x14ac:dyDescent="0.5">
      <c r="D1422" s="3" t="s">
        <v>50</v>
      </c>
      <c r="Q1422" s="3" t="s">
        <v>50</v>
      </c>
    </row>
    <row r="1423" spans="4:17" ht="17.649999999999999" x14ac:dyDescent="0.5">
      <c r="D1423" s="3" t="s">
        <v>111</v>
      </c>
      <c r="Q1423" s="3" t="s">
        <v>111</v>
      </c>
    </row>
    <row r="1424" spans="4:17" ht="17.649999999999999" x14ac:dyDescent="0.5">
      <c r="D1424" s="3" t="s">
        <v>115</v>
      </c>
      <c r="Q1424" s="3" t="s">
        <v>115</v>
      </c>
    </row>
    <row r="1425" spans="4:17" ht="17.649999999999999" x14ac:dyDescent="0.5">
      <c r="D1425" s="3" t="s">
        <v>79</v>
      </c>
      <c r="Q1425" s="3" t="s">
        <v>79</v>
      </c>
    </row>
    <row r="1426" spans="4:17" ht="17.649999999999999" x14ac:dyDescent="0.5">
      <c r="D1426" s="3" t="s">
        <v>122</v>
      </c>
      <c r="Q1426" s="3" t="s">
        <v>122</v>
      </c>
    </row>
    <row r="1427" spans="4:17" ht="17.649999999999999" x14ac:dyDescent="0.5">
      <c r="D1427" s="3" t="s">
        <v>99</v>
      </c>
      <c r="Q1427" s="3" t="s">
        <v>99</v>
      </c>
    </row>
    <row r="1428" spans="4:17" ht="17.649999999999999" x14ac:dyDescent="0.5">
      <c r="D1428" s="3" t="s">
        <v>67</v>
      </c>
      <c r="Q1428" s="3" t="s">
        <v>67</v>
      </c>
    </row>
    <row r="1429" spans="4:17" ht="17.649999999999999" x14ac:dyDescent="0.5">
      <c r="D1429" s="3" t="s">
        <v>81</v>
      </c>
      <c r="Q1429" s="3" t="s">
        <v>81</v>
      </c>
    </row>
    <row r="1430" spans="4:17" ht="17.649999999999999" x14ac:dyDescent="0.5">
      <c r="D1430" s="3" t="s">
        <v>110</v>
      </c>
      <c r="Q1430" s="3" t="s">
        <v>110</v>
      </c>
    </row>
    <row r="1431" spans="4:17" ht="17.649999999999999" x14ac:dyDescent="0.5">
      <c r="D1431" s="3" t="s">
        <v>90</v>
      </c>
      <c r="Q1431" s="3" t="s">
        <v>90</v>
      </c>
    </row>
    <row r="1432" spans="4:17" ht="17.649999999999999" x14ac:dyDescent="0.5">
      <c r="D1432" s="3" t="s">
        <v>111</v>
      </c>
      <c r="Q1432" s="3" t="s">
        <v>111</v>
      </c>
    </row>
    <row r="1433" spans="4:17" ht="17.649999999999999" x14ac:dyDescent="0.5">
      <c r="D1433" s="3" t="s">
        <v>47</v>
      </c>
      <c r="Q1433" s="3" t="s">
        <v>47</v>
      </c>
    </row>
    <row r="1434" spans="4:17" ht="17.649999999999999" x14ac:dyDescent="0.5">
      <c r="D1434" s="3" t="s">
        <v>54</v>
      </c>
      <c r="Q1434" s="3" t="s">
        <v>54</v>
      </c>
    </row>
    <row r="1435" spans="4:17" ht="17.649999999999999" x14ac:dyDescent="0.5">
      <c r="D1435" s="3" t="s">
        <v>51</v>
      </c>
      <c r="Q1435" s="3" t="s">
        <v>51</v>
      </c>
    </row>
    <row r="1436" spans="4:17" ht="17.649999999999999" x14ac:dyDescent="0.5">
      <c r="D1436" s="3" t="s">
        <v>136</v>
      </c>
      <c r="Q1436" s="3" t="s">
        <v>136</v>
      </c>
    </row>
    <row r="1437" spans="4:17" ht="17.649999999999999" x14ac:dyDescent="0.5">
      <c r="D1437" s="3" t="s">
        <v>78</v>
      </c>
      <c r="Q1437" s="3" t="s">
        <v>78</v>
      </c>
    </row>
    <row r="1438" spans="4:17" ht="17.649999999999999" x14ac:dyDescent="0.5">
      <c r="D1438" s="3" t="s">
        <v>77</v>
      </c>
      <c r="Q1438" s="3" t="s">
        <v>77</v>
      </c>
    </row>
    <row r="1439" spans="4:17" ht="17.649999999999999" x14ac:dyDescent="0.5">
      <c r="D1439" s="3" t="s">
        <v>53</v>
      </c>
      <c r="Q1439" s="3" t="s">
        <v>53</v>
      </c>
    </row>
    <row r="1440" spans="4:17" ht="17.649999999999999" x14ac:dyDescent="0.5">
      <c r="D1440" s="3" t="s">
        <v>43</v>
      </c>
      <c r="Q1440" s="3" t="s">
        <v>43</v>
      </c>
    </row>
    <row r="1441" spans="4:17" ht="17.649999999999999" x14ac:dyDescent="0.5">
      <c r="D1441" s="3" t="s">
        <v>84</v>
      </c>
      <c r="Q1441" s="3" t="s">
        <v>84</v>
      </c>
    </row>
    <row r="1442" spans="4:17" ht="17.649999999999999" x14ac:dyDescent="0.5">
      <c r="D1442" s="3" t="s">
        <v>88</v>
      </c>
      <c r="Q1442" s="3" t="s">
        <v>88</v>
      </c>
    </row>
    <row r="1443" spans="4:17" ht="17.649999999999999" x14ac:dyDescent="0.5">
      <c r="D1443" s="3" t="s">
        <v>55</v>
      </c>
      <c r="Q1443" s="3" t="s">
        <v>55</v>
      </c>
    </row>
    <row r="1444" spans="4:17" ht="17.649999999999999" x14ac:dyDescent="0.5">
      <c r="D1444" s="3" t="s">
        <v>75</v>
      </c>
      <c r="Q1444" s="3" t="s">
        <v>75</v>
      </c>
    </row>
    <row r="1445" spans="4:17" ht="17.649999999999999" x14ac:dyDescent="0.5">
      <c r="D1445" s="3" t="s">
        <v>51</v>
      </c>
      <c r="Q1445" s="3" t="s">
        <v>51</v>
      </c>
    </row>
    <row r="1446" spans="4:17" ht="17.649999999999999" x14ac:dyDescent="0.5">
      <c r="D1446" s="3" t="s">
        <v>82</v>
      </c>
      <c r="Q1446" s="3" t="s">
        <v>82</v>
      </c>
    </row>
    <row r="1447" spans="4:17" ht="17.649999999999999" x14ac:dyDescent="0.5">
      <c r="D1447" s="3" t="s">
        <v>66</v>
      </c>
      <c r="Q1447" s="3" t="s">
        <v>66</v>
      </c>
    </row>
    <row r="1448" spans="4:17" ht="17.649999999999999" x14ac:dyDescent="0.5">
      <c r="D1448" s="3" t="s">
        <v>115</v>
      </c>
      <c r="Q1448" s="3" t="s">
        <v>115</v>
      </c>
    </row>
    <row r="1449" spans="4:17" ht="17.649999999999999" x14ac:dyDescent="0.5">
      <c r="D1449" s="3" t="s">
        <v>49</v>
      </c>
      <c r="Q1449" s="3" t="s">
        <v>49</v>
      </c>
    </row>
    <row r="1450" spans="4:17" ht="17.649999999999999" x14ac:dyDescent="0.5">
      <c r="D1450" s="3" t="s">
        <v>55</v>
      </c>
      <c r="Q1450" s="3" t="s">
        <v>55</v>
      </c>
    </row>
    <row r="1451" spans="4:17" ht="17.649999999999999" x14ac:dyDescent="0.5">
      <c r="D1451" s="3" t="s">
        <v>115</v>
      </c>
      <c r="Q1451" s="3" t="s">
        <v>115</v>
      </c>
    </row>
    <row r="1452" spans="4:17" ht="17.649999999999999" x14ac:dyDescent="0.5">
      <c r="D1452" s="3" t="s">
        <v>124</v>
      </c>
      <c r="Q1452" s="3" t="s">
        <v>124</v>
      </c>
    </row>
    <row r="1453" spans="4:17" ht="17.649999999999999" x14ac:dyDescent="0.5">
      <c r="D1453" s="3" t="s">
        <v>85</v>
      </c>
      <c r="Q1453" s="3" t="s">
        <v>85</v>
      </c>
    </row>
    <row r="1454" spans="4:17" ht="17.649999999999999" x14ac:dyDescent="0.5">
      <c r="D1454" s="3" t="s">
        <v>53</v>
      </c>
      <c r="Q1454" s="3" t="s">
        <v>53</v>
      </c>
    </row>
    <row r="1455" spans="4:17" ht="17.649999999999999" x14ac:dyDescent="0.5">
      <c r="D1455" s="3" t="s">
        <v>52</v>
      </c>
      <c r="Q1455" s="3" t="s">
        <v>52</v>
      </c>
    </row>
    <row r="1456" spans="4:17" ht="17.649999999999999" x14ac:dyDescent="0.5">
      <c r="D1456" s="3" t="s">
        <v>108</v>
      </c>
      <c r="Q1456" s="3" t="s">
        <v>108</v>
      </c>
    </row>
    <row r="1457" spans="4:17" ht="17.649999999999999" x14ac:dyDescent="0.5">
      <c r="D1457" s="3" t="s">
        <v>68</v>
      </c>
      <c r="Q1457" s="3" t="s">
        <v>68</v>
      </c>
    </row>
    <row r="1458" spans="4:17" ht="17.649999999999999" x14ac:dyDescent="0.5">
      <c r="D1458" s="3" t="s">
        <v>64</v>
      </c>
      <c r="Q1458" s="3" t="s">
        <v>64</v>
      </c>
    </row>
    <row r="1459" spans="4:17" ht="17.649999999999999" x14ac:dyDescent="0.5">
      <c r="D1459" s="3" t="s">
        <v>129</v>
      </c>
      <c r="Q1459" s="3" t="s">
        <v>129</v>
      </c>
    </row>
    <row r="1460" spans="4:17" ht="17.649999999999999" x14ac:dyDescent="0.5">
      <c r="D1460" s="3" t="s">
        <v>68</v>
      </c>
      <c r="Q1460" s="3" t="s">
        <v>68</v>
      </c>
    </row>
    <row r="1461" spans="4:17" ht="17.649999999999999" x14ac:dyDescent="0.5">
      <c r="D1461" s="3" t="s">
        <v>84</v>
      </c>
      <c r="Q1461" s="3" t="s">
        <v>84</v>
      </c>
    </row>
    <row r="1462" spans="4:17" ht="17.649999999999999" x14ac:dyDescent="0.5">
      <c r="D1462" s="3" t="s">
        <v>70</v>
      </c>
      <c r="Q1462" s="3" t="s">
        <v>70</v>
      </c>
    </row>
    <row r="1463" spans="4:17" ht="17.649999999999999" x14ac:dyDescent="0.5">
      <c r="D1463" s="3" t="s">
        <v>69</v>
      </c>
      <c r="Q1463" s="3" t="s">
        <v>69</v>
      </c>
    </row>
    <row r="1464" spans="4:17" ht="17.649999999999999" x14ac:dyDescent="0.5">
      <c r="D1464" s="3" t="s">
        <v>86</v>
      </c>
      <c r="Q1464" s="3" t="s">
        <v>86</v>
      </c>
    </row>
    <row r="1465" spans="4:17" ht="17.649999999999999" x14ac:dyDescent="0.5">
      <c r="D1465" s="3" t="s">
        <v>117</v>
      </c>
      <c r="Q1465" s="3" t="s">
        <v>117</v>
      </c>
    </row>
    <row r="1466" spans="4:17" ht="17.649999999999999" x14ac:dyDescent="0.5">
      <c r="D1466" s="3" t="s">
        <v>54</v>
      </c>
      <c r="Q1466" s="3" t="s">
        <v>54</v>
      </c>
    </row>
    <row r="1467" spans="4:17" ht="17.649999999999999" x14ac:dyDescent="0.5">
      <c r="D1467" s="3" t="s">
        <v>61</v>
      </c>
      <c r="Q1467" s="3" t="s">
        <v>61</v>
      </c>
    </row>
    <row r="1468" spans="4:17" ht="17.649999999999999" x14ac:dyDescent="0.5">
      <c r="D1468" s="3" t="s">
        <v>85</v>
      </c>
      <c r="Q1468" s="3" t="s">
        <v>85</v>
      </c>
    </row>
    <row r="1469" spans="4:17" ht="17.649999999999999" x14ac:dyDescent="0.5">
      <c r="D1469" s="3" t="s">
        <v>96</v>
      </c>
      <c r="Q1469" s="3" t="s">
        <v>96</v>
      </c>
    </row>
    <row r="1470" spans="4:17" ht="17.649999999999999" x14ac:dyDescent="0.5">
      <c r="D1470" s="3" t="s">
        <v>90</v>
      </c>
      <c r="Q1470" s="3" t="s">
        <v>90</v>
      </c>
    </row>
    <row r="1471" spans="4:17" ht="17.649999999999999" x14ac:dyDescent="0.5">
      <c r="D1471" s="3" t="s">
        <v>59</v>
      </c>
      <c r="Q1471" s="3" t="s">
        <v>59</v>
      </c>
    </row>
    <row r="1472" spans="4:17" ht="17.649999999999999" x14ac:dyDescent="0.5">
      <c r="D1472" s="3" t="s">
        <v>48</v>
      </c>
      <c r="Q1472" s="3" t="s">
        <v>48</v>
      </c>
    </row>
    <row r="1473" spans="4:17" ht="17.649999999999999" x14ac:dyDescent="0.5">
      <c r="D1473" s="3" t="s">
        <v>50</v>
      </c>
      <c r="Q1473" s="3" t="s">
        <v>50</v>
      </c>
    </row>
    <row r="1474" spans="4:17" ht="17.649999999999999" x14ac:dyDescent="0.5">
      <c r="D1474" s="3" t="s">
        <v>52</v>
      </c>
      <c r="Q1474" s="3" t="s">
        <v>52</v>
      </c>
    </row>
    <row r="1475" spans="4:17" ht="17.649999999999999" x14ac:dyDescent="0.5">
      <c r="D1475" s="3" t="s">
        <v>127</v>
      </c>
      <c r="Q1475" s="3" t="s">
        <v>127</v>
      </c>
    </row>
    <row r="1476" spans="4:17" ht="17.649999999999999" x14ac:dyDescent="0.5">
      <c r="D1476" s="3" t="s">
        <v>55</v>
      </c>
      <c r="Q1476" s="3" t="s">
        <v>55</v>
      </c>
    </row>
    <row r="1477" spans="4:17" ht="17.649999999999999" x14ac:dyDescent="0.5">
      <c r="D1477" s="3" t="s">
        <v>54</v>
      </c>
      <c r="Q1477" s="3" t="s">
        <v>54</v>
      </c>
    </row>
    <row r="1478" spans="4:17" ht="17.649999999999999" x14ac:dyDescent="0.5">
      <c r="D1478" s="3" t="s">
        <v>63</v>
      </c>
      <c r="Q1478" s="3" t="s">
        <v>63</v>
      </c>
    </row>
    <row r="1479" spans="4:17" ht="17.649999999999999" x14ac:dyDescent="0.5">
      <c r="D1479" s="3" t="s">
        <v>62</v>
      </c>
      <c r="Q1479" s="3" t="s">
        <v>62</v>
      </c>
    </row>
    <row r="1480" spans="4:17" ht="17.649999999999999" x14ac:dyDescent="0.5">
      <c r="D1480" s="3" t="s">
        <v>50</v>
      </c>
      <c r="Q1480" s="3" t="s">
        <v>50</v>
      </c>
    </row>
    <row r="1481" spans="4:17" ht="17.649999999999999" x14ac:dyDescent="0.5">
      <c r="D1481" s="3" t="s">
        <v>47</v>
      </c>
      <c r="Q1481" s="3" t="s">
        <v>47</v>
      </c>
    </row>
    <row r="1482" spans="4:17" ht="17.649999999999999" x14ac:dyDescent="0.5">
      <c r="D1482" s="3" t="s">
        <v>92</v>
      </c>
      <c r="Q1482" s="3" t="s">
        <v>92</v>
      </c>
    </row>
    <row r="1483" spans="4:17" ht="17.649999999999999" x14ac:dyDescent="0.5">
      <c r="D1483" s="3" t="s">
        <v>69</v>
      </c>
      <c r="Q1483" s="3" t="s">
        <v>69</v>
      </c>
    </row>
    <row r="1484" spans="4:17" ht="17.649999999999999" x14ac:dyDescent="0.5">
      <c r="D1484" s="3" t="s">
        <v>126</v>
      </c>
      <c r="Q1484" s="3" t="s">
        <v>126</v>
      </c>
    </row>
    <row r="1485" spans="4:17" ht="17.649999999999999" x14ac:dyDescent="0.5">
      <c r="D1485" s="3" t="s">
        <v>57</v>
      </c>
      <c r="Q1485" s="3" t="s">
        <v>57</v>
      </c>
    </row>
    <row r="1486" spans="4:17" ht="17.649999999999999" x14ac:dyDescent="0.5">
      <c r="D1486" s="3" t="s">
        <v>48</v>
      </c>
      <c r="Q1486" s="3" t="s">
        <v>48</v>
      </c>
    </row>
    <row r="1487" spans="4:17" ht="17.649999999999999" x14ac:dyDescent="0.5">
      <c r="D1487" s="3" t="s">
        <v>51</v>
      </c>
      <c r="Q1487" s="3" t="s">
        <v>51</v>
      </c>
    </row>
    <row r="1488" spans="4:17" ht="17.649999999999999" x14ac:dyDescent="0.5">
      <c r="D1488" s="3" t="s">
        <v>73</v>
      </c>
      <c r="Q1488" s="3" t="s">
        <v>73</v>
      </c>
    </row>
    <row r="1489" spans="4:17" ht="17.649999999999999" x14ac:dyDescent="0.5">
      <c r="D1489" s="3" t="s">
        <v>54</v>
      </c>
      <c r="Q1489" s="3" t="s">
        <v>54</v>
      </c>
    </row>
    <row r="1490" spans="4:17" ht="17.649999999999999" x14ac:dyDescent="0.5">
      <c r="D1490" s="3" t="s">
        <v>109</v>
      </c>
      <c r="Q1490" s="3" t="s">
        <v>109</v>
      </c>
    </row>
    <row r="1491" spans="4:17" ht="17.649999999999999" x14ac:dyDescent="0.5">
      <c r="D1491" s="3" t="s">
        <v>93</v>
      </c>
      <c r="Q1491" s="3" t="s">
        <v>93</v>
      </c>
    </row>
    <row r="1492" spans="4:17" ht="17.649999999999999" x14ac:dyDescent="0.5">
      <c r="D1492" s="3" t="s">
        <v>114</v>
      </c>
      <c r="Q1492" s="3" t="s">
        <v>114</v>
      </c>
    </row>
    <row r="1493" spans="4:17" ht="17.649999999999999" x14ac:dyDescent="0.5">
      <c r="D1493" s="3" t="s">
        <v>64</v>
      </c>
      <c r="Q1493" s="3" t="s">
        <v>64</v>
      </c>
    </row>
    <row r="1494" spans="4:17" ht="17.649999999999999" x14ac:dyDescent="0.5">
      <c r="D1494" s="3" t="s">
        <v>41</v>
      </c>
      <c r="Q1494" s="3" t="s">
        <v>41</v>
      </c>
    </row>
    <row r="1495" spans="4:17" ht="17.649999999999999" x14ac:dyDescent="0.5">
      <c r="D1495" s="3" t="s">
        <v>89</v>
      </c>
      <c r="Q1495" s="3" t="s">
        <v>89</v>
      </c>
    </row>
    <row r="1496" spans="4:17" ht="17.649999999999999" x14ac:dyDescent="0.5">
      <c r="D1496" s="3" t="s">
        <v>56</v>
      </c>
      <c r="Q1496" s="3" t="s">
        <v>56</v>
      </c>
    </row>
    <row r="1497" spans="4:17" ht="17.649999999999999" x14ac:dyDescent="0.5">
      <c r="D1497" s="3" t="s">
        <v>107</v>
      </c>
      <c r="Q1497" s="3" t="s">
        <v>107</v>
      </c>
    </row>
    <row r="1498" spans="4:17" ht="17.649999999999999" x14ac:dyDescent="0.5">
      <c r="D1498" s="3" t="s">
        <v>130</v>
      </c>
      <c r="Q1498" s="3" t="s">
        <v>130</v>
      </c>
    </row>
    <row r="1499" spans="4:17" ht="17.649999999999999" x14ac:dyDescent="0.5">
      <c r="D1499" s="3" t="s">
        <v>50</v>
      </c>
      <c r="Q1499" s="3" t="s">
        <v>50</v>
      </c>
    </row>
    <row r="1500" spans="4:17" ht="17.649999999999999" x14ac:dyDescent="0.5">
      <c r="D1500" s="3" t="s">
        <v>50</v>
      </c>
      <c r="Q1500" s="3" t="s">
        <v>50</v>
      </c>
    </row>
    <row r="1501" spans="4:17" ht="17.649999999999999" x14ac:dyDescent="0.5">
      <c r="D1501" s="3" t="s">
        <v>118</v>
      </c>
      <c r="Q1501" s="3" t="s">
        <v>118</v>
      </c>
    </row>
    <row r="1502" spans="4:17" ht="17.649999999999999" x14ac:dyDescent="0.5">
      <c r="D1502" s="3" t="s">
        <v>48</v>
      </c>
      <c r="Q1502" s="3" t="s">
        <v>48</v>
      </c>
    </row>
    <row r="1503" spans="4:17" ht="17.649999999999999" x14ac:dyDescent="0.5">
      <c r="D1503" s="3" t="s">
        <v>66</v>
      </c>
      <c r="Q1503" s="3" t="s">
        <v>66</v>
      </c>
    </row>
    <row r="1504" spans="4:17" ht="17.649999999999999" x14ac:dyDescent="0.5">
      <c r="D1504" s="3" t="s">
        <v>73</v>
      </c>
      <c r="Q1504" s="3" t="s">
        <v>73</v>
      </c>
    </row>
    <row r="1505" spans="4:17" ht="17.649999999999999" x14ac:dyDescent="0.5">
      <c r="D1505" s="3" t="s">
        <v>87</v>
      </c>
      <c r="Q1505" s="3" t="s">
        <v>87</v>
      </c>
    </row>
    <row r="1506" spans="4:17" ht="17.649999999999999" x14ac:dyDescent="0.5">
      <c r="D1506" s="3" t="s">
        <v>103</v>
      </c>
      <c r="Q1506" s="3" t="s">
        <v>103</v>
      </c>
    </row>
    <row r="1507" spans="4:17" ht="17.649999999999999" x14ac:dyDescent="0.5">
      <c r="D1507" s="3" t="s">
        <v>76</v>
      </c>
      <c r="Q1507" s="3" t="s">
        <v>76</v>
      </c>
    </row>
    <row r="1508" spans="4:17" ht="17.649999999999999" x14ac:dyDescent="0.5">
      <c r="D1508" s="3" t="s">
        <v>74</v>
      </c>
      <c r="Q1508" s="3" t="s">
        <v>74</v>
      </c>
    </row>
    <row r="1509" spans="4:17" ht="17.649999999999999" x14ac:dyDescent="0.5">
      <c r="D1509" s="3" t="s">
        <v>115</v>
      </c>
      <c r="Q1509" s="3" t="s">
        <v>115</v>
      </c>
    </row>
    <row r="1510" spans="4:17" ht="17.649999999999999" x14ac:dyDescent="0.5">
      <c r="D1510" s="3" t="s">
        <v>81</v>
      </c>
      <c r="Q1510" s="3" t="s">
        <v>81</v>
      </c>
    </row>
    <row r="1511" spans="4:17" ht="17.649999999999999" x14ac:dyDescent="0.5">
      <c r="D1511" s="3" t="s">
        <v>90</v>
      </c>
      <c r="Q1511" s="3" t="s">
        <v>90</v>
      </c>
    </row>
    <row r="1512" spans="4:17" ht="17.649999999999999" x14ac:dyDescent="0.5">
      <c r="D1512" s="3" t="s">
        <v>49</v>
      </c>
      <c r="Q1512" s="3" t="s">
        <v>49</v>
      </c>
    </row>
    <row r="1513" spans="4:17" ht="17.649999999999999" x14ac:dyDescent="0.5">
      <c r="D1513" s="3" t="s">
        <v>116</v>
      </c>
      <c r="Q1513" s="3" t="s">
        <v>116</v>
      </c>
    </row>
    <row r="1514" spans="4:17" ht="17.649999999999999" x14ac:dyDescent="0.5">
      <c r="D1514" s="3" t="s">
        <v>41</v>
      </c>
      <c r="Q1514" s="3" t="s">
        <v>41</v>
      </c>
    </row>
    <row r="1515" spans="4:17" ht="17.649999999999999" x14ac:dyDescent="0.5">
      <c r="D1515" s="3" t="s">
        <v>91</v>
      </c>
      <c r="Q1515" s="3" t="s">
        <v>91</v>
      </c>
    </row>
    <row r="1516" spans="4:17" ht="17.649999999999999" x14ac:dyDescent="0.5">
      <c r="D1516" s="3" t="s">
        <v>96</v>
      </c>
      <c r="Q1516" s="3" t="s">
        <v>96</v>
      </c>
    </row>
    <row r="1517" spans="4:17" ht="17.649999999999999" x14ac:dyDescent="0.5">
      <c r="D1517" s="3" t="s">
        <v>47</v>
      </c>
      <c r="Q1517" s="3" t="s">
        <v>47</v>
      </c>
    </row>
    <row r="1518" spans="4:17" ht="17.649999999999999" x14ac:dyDescent="0.5">
      <c r="D1518" s="3" t="s">
        <v>80</v>
      </c>
      <c r="Q1518" s="3" t="s">
        <v>80</v>
      </c>
    </row>
    <row r="1519" spans="4:17" ht="17.649999999999999" x14ac:dyDescent="0.5">
      <c r="D1519" s="3" t="s">
        <v>41</v>
      </c>
      <c r="Q1519" s="3" t="s">
        <v>41</v>
      </c>
    </row>
    <row r="1520" spans="4:17" ht="17.649999999999999" x14ac:dyDescent="0.5">
      <c r="D1520" s="3" t="s">
        <v>85</v>
      </c>
      <c r="Q1520" s="3" t="s">
        <v>85</v>
      </c>
    </row>
    <row r="1521" spans="4:17" ht="17.649999999999999" x14ac:dyDescent="0.5">
      <c r="D1521" s="3" t="s">
        <v>92</v>
      </c>
      <c r="Q1521" s="3" t="s">
        <v>92</v>
      </c>
    </row>
    <row r="1522" spans="4:17" ht="17.649999999999999" x14ac:dyDescent="0.5">
      <c r="D1522" s="3" t="s">
        <v>101</v>
      </c>
      <c r="Q1522" s="3" t="s">
        <v>101</v>
      </c>
    </row>
    <row r="1523" spans="4:17" ht="17.649999999999999" x14ac:dyDescent="0.5">
      <c r="D1523" s="3" t="s">
        <v>66</v>
      </c>
      <c r="Q1523" s="3" t="s">
        <v>66</v>
      </c>
    </row>
    <row r="1524" spans="4:17" ht="17.649999999999999" x14ac:dyDescent="0.5">
      <c r="D1524" s="3" t="s">
        <v>56</v>
      </c>
      <c r="Q1524" s="3" t="s">
        <v>56</v>
      </c>
    </row>
    <row r="1525" spans="4:17" ht="17.649999999999999" x14ac:dyDescent="0.5">
      <c r="D1525" s="3" t="s">
        <v>121</v>
      </c>
      <c r="Q1525" s="3" t="s">
        <v>121</v>
      </c>
    </row>
    <row r="1526" spans="4:17" ht="17.649999999999999" x14ac:dyDescent="0.5">
      <c r="D1526" s="3" t="s">
        <v>108</v>
      </c>
      <c r="Q1526" s="3" t="s">
        <v>108</v>
      </c>
    </row>
    <row r="1527" spans="4:17" ht="17.649999999999999" x14ac:dyDescent="0.5">
      <c r="D1527" s="3" t="s">
        <v>87</v>
      </c>
      <c r="Q1527" s="3" t="s">
        <v>87</v>
      </c>
    </row>
    <row r="1528" spans="4:17" ht="17.649999999999999" x14ac:dyDescent="0.5">
      <c r="D1528" s="3" t="s">
        <v>98</v>
      </c>
      <c r="Q1528" s="3" t="s">
        <v>98</v>
      </c>
    </row>
    <row r="1529" spans="4:17" ht="17.649999999999999" x14ac:dyDescent="0.5">
      <c r="D1529" s="3" t="s">
        <v>88</v>
      </c>
      <c r="Q1529" s="3" t="s">
        <v>88</v>
      </c>
    </row>
    <row r="1530" spans="4:17" ht="17.649999999999999" x14ac:dyDescent="0.5">
      <c r="D1530" s="3" t="s">
        <v>77</v>
      </c>
      <c r="Q1530" s="3" t="s">
        <v>77</v>
      </c>
    </row>
    <row r="1531" spans="4:17" ht="17.649999999999999" x14ac:dyDescent="0.5">
      <c r="D1531" s="3" t="s">
        <v>103</v>
      </c>
      <c r="Q1531" s="3" t="s">
        <v>103</v>
      </c>
    </row>
    <row r="1532" spans="4:17" ht="17.649999999999999" x14ac:dyDescent="0.5">
      <c r="D1532" s="3" t="s">
        <v>113</v>
      </c>
      <c r="Q1532" s="3" t="s">
        <v>113</v>
      </c>
    </row>
    <row r="1533" spans="4:17" ht="17.649999999999999" x14ac:dyDescent="0.5">
      <c r="D1533" s="3" t="s">
        <v>92</v>
      </c>
      <c r="Q1533" s="3" t="s">
        <v>92</v>
      </c>
    </row>
    <row r="1534" spans="4:17" ht="17.649999999999999" x14ac:dyDescent="0.5">
      <c r="D1534" s="3" t="s">
        <v>53</v>
      </c>
      <c r="Q1534" s="3" t="s">
        <v>53</v>
      </c>
    </row>
    <row r="1535" spans="4:17" ht="17.649999999999999" x14ac:dyDescent="0.5">
      <c r="D1535" s="3" t="s">
        <v>44</v>
      </c>
      <c r="Q1535" s="3" t="s">
        <v>44</v>
      </c>
    </row>
    <row r="1536" spans="4:17" ht="17.649999999999999" x14ac:dyDescent="0.5">
      <c r="D1536" s="3" t="s">
        <v>85</v>
      </c>
      <c r="Q1536" s="3" t="s">
        <v>85</v>
      </c>
    </row>
    <row r="1537" spans="4:17" ht="17.649999999999999" x14ac:dyDescent="0.5">
      <c r="D1537" s="3" t="s">
        <v>64</v>
      </c>
      <c r="Q1537" s="3" t="s">
        <v>64</v>
      </c>
    </row>
    <row r="1538" spans="4:17" ht="17.649999999999999" x14ac:dyDescent="0.5">
      <c r="D1538" s="3" t="s">
        <v>106</v>
      </c>
      <c r="Q1538" s="3" t="s">
        <v>106</v>
      </c>
    </row>
    <row r="1539" spans="4:17" ht="17.649999999999999" x14ac:dyDescent="0.5">
      <c r="D1539" s="3" t="s">
        <v>56</v>
      </c>
      <c r="Q1539" s="3" t="s">
        <v>56</v>
      </c>
    </row>
    <row r="1540" spans="4:17" ht="17.649999999999999" x14ac:dyDescent="0.5">
      <c r="D1540" s="3" t="s">
        <v>115</v>
      </c>
      <c r="Q1540" s="3" t="s">
        <v>115</v>
      </c>
    </row>
    <row r="1541" spans="4:17" ht="17.649999999999999" x14ac:dyDescent="0.5">
      <c r="D1541" s="3" t="s">
        <v>131</v>
      </c>
      <c r="Q1541" s="3" t="s">
        <v>131</v>
      </c>
    </row>
    <row r="1542" spans="4:17" ht="17.649999999999999" x14ac:dyDescent="0.5">
      <c r="D1542" s="3" t="s">
        <v>49</v>
      </c>
      <c r="Q1542" s="3" t="s">
        <v>49</v>
      </c>
    </row>
    <row r="1543" spans="4:17" ht="17.649999999999999" x14ac:dyDescent="0.5">
      <c r="D1543" s="3" t="s">
        <v>51</v>
      </c>
      <c r="Q1543" s="3" t="s">
        <v>51</v>
      </c>
    </row>
    <row r="1544" spans="4:17" ht="17.649999999999999" x14ac:dyDescent="0.5">
      <c r="D1544" s="3" t="s">
        <v>43</v>
      </c>
      <c r="Q1544" s="3" t="s">
        <v>43</v>
      </c>
    </row>
    <row r="1545" spans="4:17" ht="17.649999999999999" x14ac:dyDescent="0.5">
      <c r="D1545" s="3" t="s">
        <v>117</v>
      </c>
      <c r="Q1545" s="3" t="s">
        <v>117</v>
      </c>
    </row>
    <row r="1546" spans="4:17" ht="17.649999999999999" x14ac:dyDescent="0.5">
      <c r="D1546" s="3" t="s">
        <v>75</v>
      </c>
      <c r="Q1546" s="3" t="s">
        <v>75</v>
      </c>
    </row>
    <row r="1547" spans="4:17" ht="17.649999999999999" x14ac:dyDescent="0.5">
      <c r="D1547" s="3" t="s">
        <v>47</v>
      </c>
      <c r="Q1547" s="3" t="s">
        <v>47</v>
      </c>
    </row>
    <row r="1548" spans="4:17" ht="17.649999999999999" x14ac:dyDescent="0.5">
      <c r="D1548" s="3" t="s">
        <v>84</v>
      </c>
      <c r="Q1548" s="3" t="s">
        <v>84</v>
      </c>
    </row>
    <row r="1549" spans="4:17" ht="17.649999999999999" x14ac:dyDescent="0.5">
      <c r="D1549" s="3" t="s">
        <v>78</v>
      </c>
      <c r="Q1549" s="3" t="s">
        <v>78</v>
      </c>
    </row>
    <row r="1550" spans="4:17" ht="17.649999999999999" x14ac:dyDescent="0.5">
      <c r="D1550" s="3" t="s">
        <v>117</v>
      </c>
      <c r="Q1550" s="3" t="s">
        <v>117</v>
      </c>
    </row>
    <row r="1551" spans="4:17" ht="17.649999999999999" x14ac:dyDescent="0.5">
      <c r="D1551" s="3" t="s">
        <v>105</v>
      </c>
      <c r="Q1551" s="3" t="s">
        <v>105</v>
      </c>
    </row>
    <row r="1552" spans="4:17" ht="17.649999999999999" x14ac:dyDescent="0.5">
      <c r="D1552" s="3" t="s">
        <v>50</v>
      </c>
      <c r="Q1552" s="3" t="s">
        <v>50</v>
      </c>
    </row>
    <row r="1553" spans="4:17" ht="17.649999999999999" x14ac:dyDescent="0.5">
      <c r="D1553" s="3" t="s">
        <v>79</v>
      </c>
      <c r="Q1553" s="3" t="s">
        <v>79</v>
      </c>
    </row>
    <row r="1554" spans="4:17" ht="17.649999999999999" x14ac:dyDescent="0.5">
      <c r="D1554" s="3" t="s">
        <v>134</v>
      </c>
      <c r="Q1554" s="3" t="s">
        <v>134</v>
      </c>
    </row>
    <row r="1555" spans="4:17" ht="17.649999999999999" x14ac:dyDescent="0.5">
      <c r="D1555" s="3" t="s">
        <v>86</v>
      </c>
      <c r="Q1555" s="3" t="s">
        <v>86</v>
      </c>
    </row>
    <row r="1556" spans="4:17" ht="17.649999999999999" x14ac:dyDescent="0.5">
      <c r="D1556" s="3" t="s">
        <v>126</v>
      </c>
      <c r="Q1556" s="3" t="s">
        <v>126</v>
      </c>
    </row>
    <row r="1557" spans="4:17" ht="17.649999999999999" x14ac:dyDescent="0.5">
      <c r="D1557" s="3" t="s">
        <v>104</v>
      </c>
      <c r="Q1557" s="3" t="s">
        <v>104</v>
      </c>
    </row>
    <row r="1558" spans="4:17" ht="17.649999999999999" x14ac:dyDescent="0.5">
      <c r="D1558" s="3" t="s">
        <v>83</v>
      </c>
      <c r="Q1558" s="3" t="s">
        <v>83</v>
      </c>
    </row>
    <row r="1559" spans="4:17" ht="17.649999999999999" x14ac:dyDescent="0.5">
      <c r="D1559" s="3" t="s">
        <v>54</v>
      </c>
      <c r="Q1559" s="3" t="s">
        <v>54</v>
      </c>
    </row>
    <row r="1560" spans="4:17" ht="17.649999999999999" x14ac:dyDescent="0.5">
      <c r="D1560" s="3" t="s">
        <v>105</v>
      </c>
      <c r="Q1560" s="3" t="s">
        <v>105</v>
      </c>
    </row>
    <row r="1561" spans="4:17" ht="17.649999999999999" x14ac:dyDescent="0.5">
      <c r="D1561" s="3" t="s">
        <v>61</v>
      </c>
      <c r="Q1561" s="3" t="s">
        <v>61</v>
      </c>
    </row>
    <row r="1562" spans="4:17" ht="17.649999999999999" x14ac:dyDescent="0.5">
      <c r="D1562" s="3" t="s">
        <v>50</v>
      </c>
      <c r="Q1562" s="3" t="s">
        <v>50</v>
      </c>
    </row>
    <row r="1563" spans="4:17" ht="17.649999999999999" x14ac:dyDescent="0.5">
      <c r="D1563" s="3" t="s">
        <v>85</v>
      </c>
      <c r="Q1563" s="3" t="s">
        <v>85</v>
      </c>
    </row>
    <row r="1564" spans="4:17" ht="17.649999999999999" x14ac:dyDescent="0.5">
      <c r="D1564" s="3" t="s">
        <v>55</v>
      </c>
      <c r="Q1564" s="3" t="s">
        <v>55</v>
      </c>
    </row>
    <row r="1565" spans="4:17" ht="17.649999999999999" x14ac:dyDescent="0.5">
      <c r="D1565" s="3" t="s">
        <v>56</v>
      </c>
      <c r="Q1565" s="3" t="s">
        <v>56</v>
      </c>
    </row>
    <row r="1566" spans="4:17" ht="17.649999999999999" x14ac:dyDescent="0.5">
      <c r="D1566" s="3" t="s">
        <v>107</v>
      </c>
      <c r="Q1566" s="3" t="s">
        <v>107</v>
      </c>
    </row>
    <row r="1567" spans="4:17" ht="17.649999999999999" x14ac:dyDescent="0.5">
      <c r="D1567" s="3" t="s">
        <v>106</v>
      </c>
      <c r="Q1567" s="3" t="s">
        <v>106</v>
      </c>
    </row>
    <row r="1568" spans="4:17" ht="17.649999999999999" x14ac:dyDescent="0.5">
      <c r="D1568" s="3" t="s">
        <v>46</v>
      </c>
      <c r="Q1568" s="3" t="s">
        <v>46</v>
      </c>
    </row>
    <row r="1569" spans="4:17" ht="17.649999999999999" x14ac:dyDescent="0.5">
      <c r="D1569" s="3" t="s">
        <v>81</v>
      </c>
      <c r="Q1569" s="3" t="s">
        <v>81</v>
      </c>
    </row>
    <row r="1570" spans="4:17" ht="17.649999999999999" x14ac:dyDescent="0.5">
      <c r="D1570" s="3" t="s">
        <v>77</v>
      </c>
      <c r="Q1570" s="3" t="s">
        <v>77</v>
      </c>
    </row>
    <row r="1571" spans="4:17" ht="17.649999999999999" x14ac:dyDescent="0.5">
      <c r="D1571" s="3" t="s">
        <v>130</v>
      </c>
      <c r="Q1571" s="3" t="s">
        <v>130</v>
      </c>
    </row>
    <row r="1572" spans="4:17" ht="17.649999999999999" x14ac:dyDescent="0.5">
      <c r="D1572" s="3" t="s">
        <v>49</v>
      </c>
      <c r="Q1572" s="3" t="s">
        <v>49</v>
      </c>
    </row>
    <row r="1573" spans="4:17" ht="17.649999999999999" x14ac:dyDescent="0.5">
      <c r="D1573" s="3" t="s">
        <v>75</v>
      </c>
      <c r="Q1573" s="3" t="s">
        <v>75</v>
      </c>
    </row>
    <row r="1574" spans="4:17" ht="17.649999999999999" x14ac:dyDescent="0.5">
      <c r="D1574" s="3" t="s">
        <v>53</v>
      </c>
      <c r="Q1574" s="3" t="s">
        <v>53</v>
      </c>
    </row>
    <row r="1575" spans="4:17" ht="17.649999999999999" x14ac:dyDescent="0.5">
      <c r="D1575" s="3" t="s">
        <v>96</v>
      </c>
      <c r="Q1575" s="3" t="s">
        <v>96</v>
      </c>
    </row>
    <row r="1576" spans="4:17" ht="17.649999999999999" x14ac:dyDescent="0.5">
      <c r="D1576" s="3" t="s">
        <v>118</v>
      </c>
      <c r="Q1576" s="3" t="s">
        <v>118</v>
      </c>
    </row>
    <row r="1577" spans="4:17" ht="17.649999999999999" x14ac:dyDescent="0.5">
      <c r="D1577" s="3" t="s">
        <v>41</v>
      </c>
      <c r="Q1577" s="3" t="s">
        <v>41</v>
      </c>
    </row>
    <row r="1578" spans="4:17" ht="17.649999999999999" x14ac:dyDescent="0.5">
      <c r="D1578" s="3" t="s">
        <v>94</v>
      </c>
      <c r="Q1578" s="3" t="s">
        <v>94</v>
      </c>
    </row>
    <row r="1579" spans="4:17" ht="17.649999999999999" x14ac:dyDescent="0.5">
      <c r="D1579" s="3" t="s">
        <v>42</v>
      </c>
      <c r="Q1579" s="3" t="s">
        <v>42</v>
      </c>
    </row>
    <row r="1580" spans="4:17" ht="17.649999999999999" x14ac:dyDescent="0.5">
      <c r="D1580" s="3" t="s">
        <v>59</v>
      </c>
      <c r="Q1580" s="3" t="s">
        <v>59</v>
      </c>
    </row>
    <row r="1581" spans="4:17" ht="17.649999999999999" x14ac:dyDescent="0.5">
      <c r="D1581" s="3" t="s">
        <v>92</v>
      </c>
      <c r="Q1581" s="3" t="s">
        <v>92</v>
      </c>
    </row>
    <row r="1582" spans="4:17" ht="17.649999999999999" x14ac:dyDescent="0.5">
      <c r="D1582" s="3" t="s">
        <v>67</v>
      </c>
      <c r="Q1582" s="3" t="s">
        <v>67</v>
      </c>
    </row>
    <row r="1583" spans="4:17" ht="17.649999999999999" x14ac:dyDescent="0.5">
      <c r="D1583" s="3" t="s">
        <v>85</v>
      </c>
      <c r="Q1583" s="3" t="s">
        <v>85</v>
      </c>
    </row>
    <row r="1584" spans="4:17" ht="17.649999999999999" x14ac:dyDescent="0.5">
      <c r="D1584" s="3" t="s">
        <v>84</v>
      </c>
      <c r="Q1584" s="3" t="s">
        <v>84</v>
      </c>
    </row>
    <row r="1585" spans="4:17" ht="17.649999999999999" x14ac:dyDescent="0.5">
      <c r="D1585" s="3" t="s">
        <v>47</v>
      </c>
      <c r="Q1585" s="3" t="s">
        <v>47</v>
      </c>
    </row>
    <row r="1586" spans="4:17" ht="17.649999999999999" x14ac:dyDescent="0.5">
      <c r="D1586" s="3" t="s">
        <v>117</v>
      </c>
      <c r="Q1586" s="3" t="s">
        <v>117</v>
      </c>
    </row>
    <row r="1587" spans="4:17" ht="17.649999999999999" x14ac:dyDescent="0.5">
      <c r="D1587" s="3" t="s">
        <v>108</v>
      </c>
      <c r="Q1587" s="3" t="s">
        <v>108</v>
      </c>
    </row>
    <row r="1588" spans="4:17" ht="17.649999999999999" x14ac:dyDescent="0.5">
      <c r="D1588" s="3" t="s">
        <v>101</v>
      </c>
      <c r="Q1588" s="3" t="s">
        <v>101</v>
      </c>
    </row>
    <row r="1589" spans="4:17" ht="17.649999999999999" x14ac:dyDescent="0.5">
      <c r="D1589" s="3" t="s">
        <v>45</v>
      </c>
      <c r="Q1589" s="3" t="s">
        <v>45</v>
      </c>
    </row>
    <row r="1590" spans="4:17" ht="17.649999999999999" x14ac:dyDescent="0.5">
      <c r="D1590" s="3" t="s">
        <v>52</v>
      </c>
      <c r="Q1590" s="3" t="s">
        <v>52</v>
      </c>
    </row>
    <row r="1591" spans="4:17" ht="17.649999999999999" x14ac:dyDescent="0.5">
      <c r="D1591" s="3" t="s">
        <v>41</v>
      </c>
      <c r="Q1591" s="3" t="s">
        <v>41</v>
      </c>
    </row>
    <row r="1592" spans="4:17" ht="17.649999999999999" x14ac:dyDescent="0.5">
      <c r="D1592" s="3" t="s">
        <v>65</v>
      </c>
      <c r="Q1592" s="3" t="s">
        <v>65</v>
      </c>
    </row>
    <row r="1593" spans="4:17" ht="17.649999999999999" x14ac:dyDescent="0.5">
      <c r="D1593" s="3" t="s">
        <v>49</v>
      </c>
      <c r="Q1593" s="3" t="s">
        <v>49</v>
      </c>
    </row>
    <row r="1594" spans="4:17" ht="17.649999999999999" x14ac:dyDescent="0.5">
      <c r="D1594" s="3" t="s">
        <v>77</v>
      </c>
      <c r="Q1594" s="3" t="s">
        <v>77</v>
      </c>
    </row>
    <row r="1595" spans="4:17" ht="17.649999999999999" x14ac:dyDescent="0.5">
      <c r="D1595" s="3" t="s">
        <v>112</v>
      </c>
      <c r="Q1595" s="3" t="s">
        <v>112</v>
      </c>
    </row>
    <row r="1596" spans="4:17" ht="17.649999999999999" x14ac:dyDescent="0.5">
      <c r="D1596" s="3" t="s">
        <v>92</v>
      </c>
      <c r="Q1596" s="3" t="s">
        <v>92</v>
      </c>
    </row>
    <row r="1597" spans="4:17" ht="17.649999999999999" x14ac:dyDescent="0.5">
      <c r="D1597" s="3" t="s">
        <v>92</v>
      </c>
      <c r="Q1597" s="3" t="s">
        <v>92</v>
      </c>
    </row>
    <row r="1598" spans="4:17" ht="17.649999999999999" x14ac:dyDescent="0.5">
      <c r="D1598" s="3" t="s">
        <v>124</v>
      </c>
      <c r="Q1598" s="3" t="s">
        <v>124</v>
      </c>
    </row>
    <row r="1599" spans="4:17" ht="17.649999999999999" x14ac:dyDescent="0.5">
      <c r="D1599" s="3" t="s">
        <v>68</v>
      </c>
      <c r="Q1599" s="3" t="s">
        <v>68</v>
      </c>
    </row>
    <row r="1600" spans="4:17" ht="17.649999999999999" x14ac:dyDescent="0.5">
      <c r="D1600" s="3" t="s">
        <v>127</v>
      </c>
      <c r="Q1600" s="3" t="s">
        <v>127</v>
      </c>
    </row>
    <row r="1601" spans="4:17" ht="17.649999999999999" x14ac:dyDescent="0.5">
      <c r="D1601" s="3" t="s">
        <v>81</v>
      </c>
      <c r="Q1601" s="3" t="s">
        <v>81</v>
      </c>
    </row>
    <row r="1602" spans="4:17" ht="17.649999999999999" x14ac:dyDescent="0.5">
      <c r="D1602" s="3" t="s">
        <v>130</v>
      </c>
      <c r="Q1602" s="3" t="s">
        <v>130</v>
      </c>
    </row>
    <row r="1603" spans="4:17" ht="17.649999999999999" x14ac:dyDescent="0.5">
      <c r="D1603" s="3" t="s">
        <v>59</v>
      </c>
      <c r="Q1603" s="3" t="s">
        <v>59</v>
      </c>
    </row>
    <row r="1604" spans="4:17" ht="17.649999999999999" x14ac:dyDescent="0.5">
      <c r="D1604" s="3" t="s">
        <v>53</v>
      </c>
      <c r="Q1604" s="3" t="s">
        <v>53</v>
      </c>
    </row>
    <row r="1605" spans="4:17" ht="17.649999999999999" x14ac:dyDescent="0.5">
      <c r="D1605" s="3" t="s">
        <v>46</v>
      </c>
      <c r="Q1605" s="3" t="s">
        <v>46</v>
      </c>
    </row>
    <row r="1606" spans="4:17" ht="17.649999999999999" x14ac:dyDescent="0.5">
      <c r="D1606" s="3" t="s">
        <v>111</v>
      </c>
      <c r="Q1606" s="3" t="s">
        <v>111</v>
      </c>
    </row>
    <row r="1607" spans="4:17" ht="17.649999999999999" x14ac:dyDescent="0.5">
      <c r="D1607" s="3" t="s">
        <v>54</v>
      </c>
      <c r="Q1607" s="3" t="s">
        <v>54</v>
      </c>
    </row>
    <row r="1608" spans="4:17" ht="17.649999999999999" x14ac:dyDescent="0.5">
      <c r="D1608" s="3" t="s">
        <v>52</v>
      </c>
      <c r="Q1608" s="3" t="s">
        <v>52</v>
      </c>
    </row>
    <row r="1609" spans="4:17" ht="17.649999999999999" x14ac:dyDescent="0.5">
      <c r="D1609" s="3" t="s">
        <v>68</v>
      </c>
      <c r="Q1609" s="3" t="s">
        <v>68</v>
      </c>
    </row>
    <row r="1610" spans="4:17" ht="17.649999999999999" x14ac:dyDescent="0.5">
      <c r="D1610" s="3" t="s">
        <v>96</v>
      </c>
      <c r="Q1610" s="3" t="s">
        <v>96</v>
      </c>
    </row>
    <row r="1611" spans="4:17" ht="17.649999999999999" x14ac:dyDescent="0.5">
      <c r="D1611" s="3" t="s">
        <v>85</v>
      </c>
      <c r="Q1611" s="3" t="s">
        <v>85</v>
      </c>
    </row>
    <row r="1612" spans="4:17" ht="17.649999999999999" x14ac:dyDescent="0.5">
      <c r="D1612" s="3" t="s">
        <v>47</v>
      </c>
      <c r="Q1612" s="3" t="s">
        <v>47</v>
      </c>
    </row>
    <row r="1613" spans="4:17" ht="17.649999999999999" x14ac:dyDescent="0.5">
      <c r="D1613" s="3" t="s">
        <v>102</v>
      </c>
      <c r="Q1613" s="3" t="s">
        <v>102</v>
      </c>
    </row>
    <row r="1614" spans="4:17" ht="17.649999999999999" x14ac:dyDescent="0.5">
      <c r="D1614" s="3" t="s">
        <v>57</v>
      </c>
      <c r="Q1614" s="3" t="s">
        <v>57</v>
      </c>
    </row>
    <row r="1615" spans="4:17" ht="17.649999999999999" x14ac:dyDescent="0.5">
      <c r="D1615" s="3" t="s">
        <v>46</v>
      </c>
      <c r="Q1615" s="3" t="s">
        <v>46</v>
      </c>
    </row>
    <row r="1616" spans="4:17" ht="17.649999999999999" x14ac:dyDescent="0.5">
      <c r="D1616" s="3" t="s">
        <v>57</v>
      </c>
      <c r="Q1616" s="3" t="s">
        <v>57</v>
      </c>
    </row>
    <row r="1617" spans="4:17" ht="17.649999999999999" x14ac:dyDescent="0.5">
      <c r="D1617" s="3" t="s">
        <v>69</v>
      </c>
      <c r="Q1617" s="3" t="s">
        <v>69</v>
      </c>
    </row>
    <row r="1618" spans="4:17" ht="17.649999999999999" x14ac:dyDescent="0.5">
      <c r="D1618" s="3" t="s">
        <v>68</v>
      </c>
      <c r="Q1618" s="3" t="s">
        <v>68</v>
      </c>
    </row>
    <row r="1619" spans="4:17" ht="17.649999999999999" x14ac:dyDescent="0.5">
      <c r="D1619" s="3" t="s">
        <v>94</v>
      </c>
      <c r="Q1619" s="3" t="s">
        <v>94</v>
      </c>
    </row>
    <row r="1620" spans="4:17" ht="17.649999999999999" x14ac:dyDescent="0.5">
      <c r="D1620" s="3" t="s">
        <v>78</v>
      </c>
      <c r="Q1620" s="3" t="s">
        <v>78</v>
      </c>
    </row>
    <row r="1621" spans="4:17" ht="17.649999999999999" x14ac:dyDescent="0.5">
      <c r="D1621" s="3" t="s">
        <v>96</v>
      </c>
      <c r="Q1621" s="3" t="s">
        <v>96</v>
      </c>
    </row>
    <row r="1622" spans="4:17" ht="17.649999999999999" x14ac:dyDescent="0.5">
      <c r="D1622" s="3" t="s">
        <v>52</v>
      </c>
      <c r="Q1622" s="3" t="s">
        <v>52</v>
      </c>
    </row>
    <row r="1623" spans="4:17" ht="17.649999999999999" x14ac:dyDescent="0.5">
      <c r="D1623" s="3" t="s">
        <v>57</v>
      </c>
      <c r="Q1623" s="3" t="s">
        <v>57</v>
      </c>
    </row>
    <row r="1624" spans="4:17" ht="17.649999999999999" x14ac:dyDescent="0.5">
      <c r="D1624" s="3" t="s">
        <v>92</v>
      </c>
      <c r="Q1624" s="3" t="s">
        <v>92</v>
      </c>
    </row>
    <row r="1625" spans="4:17" ht="17.649999999999999" x14ac:dyDescent="0.5">
      <c r="D1625" s="3" t="s">
        <v>133</v>
      </c>
      <c r="Q1625" s="3" t="s">
        <v>133</v>
      </c>
    </row>
    <row r="1626" spans="4:17" ht="17.649999999999999" x14ac:dyDescent="0.5">
      <c r="D1626" s="3" t="s">
        <v>48</v>
      </c>
      <c r="Q1626" s="3" t="s">
        <v>48</v>
      </c>
    </row>
    <row r="1627" spans="4:17" ht="17.649999999999999" x14ac:dyDescent="0.5">
      <c r="D1627" s="3" t="s">
        <v>80</v>
      </c>
      <c r="Q1627" s="3" t="s">
        <v>80</v>
      </c>
    </row>
    <row r="1628" spans="4:17" ht="17.649999999999999" x14ac:dyDescent="0.5">
      <c r="D1628" s="3" t="s">
        <v>78</v>
      </c>
      <c r="Q1628" s="3" t="s">
        <v>78</v>
      </c>
    </row>
    <row r="1629" spans="4:17" ht="17.649999999999999" x14ac:dyDescent="0.5">
      <c r="D1629" s="3" t="s">
        <v>44</v>
      </c>
      <c r="Q1629" s="3" t="s">
        <v>44</v>
      </c>
    </row>
    <row r="1630" spans="4:17" ht="17.649999999999999" x14ac:dyDescent="0.5">
      <c r="D1630" s="3" t="s">
        <v>66</v>
      </c>
      <c r="Q1630" s="3" t="s">
        <v>66</v>
      </c>
    </row>
    <row r="1631" spans="4:17" ht="17.649999999999999" x14ac:dyDescent="0.5">
      <c r="D1631" s="3" t="s">
        <v>57</v>
      </c>
      <c r="Q1631" s="3" t="s">
        <v>57</v>
      </c>
    </row>
    <row r="1632" spans="4:17" ht="17.649999999999999" x14ac:dyDescent="0.5">
      <c r="D1632" s="3" t="s">
        <v>48</v>
      </c>
      <c r="Q1632" s="3" t="s">
        <v>48</v>
      </c>
    </row>
    <row r="1633" spans="4:17" ht="17.649999999999999" x14ac:dyDescent="0.5">
      <c r="D1633" s="3" t="s">
        <v>67</v>
      </c>
      <c r="Q1633" s="3" t="s">
        <v>67</v>
      </c>
    </row>
    <row r="1634" spans="4:17" ht="17.649999999999999" x14ac:dyDescent="0.5">
      <c r="D1634" s="3" t="s">
        <v>99</v>
      </c>
      <c r="Q1634" s="3" t="s">
        <v>99</v>
      </c>
    </row>
    <row r="1635" spans="4:17" ht="17.649999999999999" x14ac:dyDescent="0.5">
      <c r="D1635" s="3" t="s">
        <v>42</v>
      </c>
      <c r="Q1635" s="3" t="s">
        <v>42</v>
      </c>
    </row>
    <row r="1636" spans="4:17" ht="17.649999999999999" x14ac:dyDescent="0.5">
      <c r="D1636" s="3" t="s">
        <v>135</v>
      </c>
      <c r="Q1636" s="3" t="s">
        <v>135</v>
      </c>
    </row>
    <row r="1637" spans="4:17" ht="17.649999999999999" x14ac:dyDescent="0.5">
      <c r="D1637" s="3" t="s">
        <v>136</v>
      </c>
      <c r="Q1637" s="3" t="s">
        <v>136</v>
      </c>
    </row>
    <row r="1638" spans="4:17" ht="17.649999999999999" x14ac:dyDescent="0.5">
      <c r="D1638" s="3" t="s">
        <v>83</v>
      </c>
      <c r="Q1638" s="3" t="s">
        <v>83</v>
      </c>
    </row>
    <row r="1639" spans="4:17" ht="17.649999999999999" x14ac:dyDescent="0.5">
      <c r="D1639" s="3" t="s">
        <v>107</v>
      </c>
      <c r="Q1639" s="3" t="s">
        <v>107</v>
      </c>
    </row>
    <row r="1640" spans="4:17" ht="17.649999999999999" x14ac:dyDescent="0.5">
      <c r="D1640" s="3" t="s">
        <v>73</v>
      </c>
      <c r="Q1640" s="3" t="s">
        <v>73</v>
      </c>
    </row>
    <row r="1641" spans="4:17" ht="17.649999999999999" x14ac:dyDescent="0.5">
      <c r="D1641" s="3" t="s">
        <v>49</v>
      </c>
      <c r="Q1641" s="3" t="s">
        <v>49</v>
      </c>
    </row>
    <row r="1642" spans="4:17" ht="17.649999999999999" x14ac:dyDescent="0.5">
      <c r="D1642" s="3" t="s">
        <v>69</v>
      </c>
      <c r="Q1642" s="3" t="s">
        <v>69</v>
      </c>
    </row>
    <row r="1643" spans="4:17" ht="17.649999999999999" x14ac:dyDescent="0.5">
      <c r="D1643" s="3" t="s">
        <v>64</v>
      </c>
      <c r="Q1643" s="3" t="s">
        <v>64</v>
      </c>
    </row>
    <row r="1644" spans="4:17" ht="17.649999999999999" x14ac:dyDescent="0.5">
      <c r="D1644" s="3" t="s">
        <v>60</v>
      </c>
      <c r="Q1644" s="3" t="s">
        <v>60</v>
      </c>
    </row>
    <row r="1645" spans="4:17" ht="17.649999999999999" x14ac:dyDescent="0.5">
      <c r="D1645" s="3" t="s">
        <v>88</v>
      </c>
      <c r="Q1645" s="3" t="s">
        <v>88</v>
      </c>
    </row>
    <row r="1646" spans="4:17" ht="17.649999999999999" x14ac:dyDescent="0.5">
      <c r="D1646" s="3" t="s">
        <v>124</v>
      </c>
      <c r="Q1646" s="3" t="s">
        <v>124</v>
      </c>
    </row>
    <row r="1647" spans="4:17" ht="17.649999999999999" x14ac:dyDescent="0.5">
      <c r="D1647" s="3" t="s">
        <v>130</v>
      </c>
      <c r="Q1647" s="3" t="s">
        <v>130</v>
      </c>
    </row>
    <row r="1648" spans="4:17" ht="17.649999999999999" x14ac:dyDescent="0.5">
      <c r="D1648" s="3" t="s">
        <v>66</v>
      </c>
      <c r="Q1648" s="3" t="s">
        <v>66</v>
      </c>
    </row>
    <row r="1649" spans="4:17" ht="17.649999999999999" x14ac:dyDescent="0.5">
      <c r="D1649" s="3" t="s">
        <v>46</v>
      </c>
      <c r="Q1649" s="3" t="s">
        <v>46</v>
      </c>
    </row>
    <row r="1650" spans="4:17" ht="17.649999999999999" x14ac:dyDescent="0.5">
      <c r="D1650" s="3" t="s">
        <v>67</v>
      </c>
      <c r="Q1650" s="3" t="s">
        <v>67</v>
      </c>
    </row>
    <row r="1651" spans="4:17" ht="17.649999999999999" x14ac:dyDescent="0.5">
      <c r="D1651" s="3" t="s">
        <v>56</v>
      </c>
      <c r="Q1651" s="3" t="s">
        <v>56</v>
      </c>
    </row>
    <row r="1652" spans="4:17" ht="17.649999999999999" x14ac:dyDescent="0.5">
      <c r="D1652" s="3" t="s">
        <v>77</v>
      </c>
      <c r="Q1652" s="3" t="s">
        <v>77</v>
      </c>
    </row>
    <row r="1653" spans="4:17" ht="17.649999999999999" x14ac:dyDescent="0.5">
      <c r="D1653" s="3" t="s">
        <v>92</v>
      </c>
      <c r="Q1653" s="3" t="s">
        <v>92</v>
      </c>
    </row>
    <row r="1654" spans="4:17" ht="17.649999999999999" x14ac:dyDescent="0.5">
      <c r="D1654" s="3" t="s">
        <v>68</v>
      </c>
      <c r="Q1654" s="3" t="s">
        <v>68</v>
      </c>
    </row>
    <row r="1655" spans="4:17" ht="17.649999999999999" x14ac:dyDescent="0.5">
      <c r="D1655" s="3" t="s">
        <v>54</v>
      </c>
      <c r="Q1655" s="3" t="s">
        <v>54</v>
      </c>
    </row>
    <row r="1656" spans="4:17" ht="17.649999999999999" x14ac:dyDescent="0.5">
      <c r="D1656" s="3" t="s">
        <v>50</v>
      </c>
      <c r="Q1656" s="3" t="s">
        <v>50</v>
      </c>
    </row>
    <row r="1657" spans="4:17" ht="17.649999999999999" x14ac:dyDescent="0.5">
      <c r="D1657" s="3" t="s">
        <v>59</v>
      </c>
      <c r="Q1657" s="3" t="s">
        <v>59</v>
      </c>
    </row>
    <row r="1658" spans="4:17" ht="17.649999999999999" x14ac:dyDescent="0.5">
      <c r="D1658" s="3" t="s">
        <v>115</v>
      </c>
      <c r="Q1658" s="3" t="s">
        <v>115</v>
      </c>
    </row>
    <row r="1659" spans="4:17" ht="17.649999999999999" x14ac:dyDescent="0.5">
      <c r="D1659" s="3" t="s">
        <v>81</v>
      </c>
      <c r="Q1659" s="3" t="s">
        <v>81</v>
      </c>
    </row>
    <row r="1660" spans="4:17" ht="17.649999999999999" x14ac:dyDescent="0.5">
      <c r="D1660" s="3" t="s">
        <v>98</v>
      </c>
      <c r="Q1660" s="3" t="s">
        <v>98</v>
      </c>
    </row>
    <row r="1661" spans="4:17" ht="17.649999999999999" x14ac:dyDescent="0.5">
      <c r="D1661" s="3" t="s">
        <v>117</v>
      </c>
      <c r="Q1661" s="3" t="s">
        <v>117</v>
      </c>
    </row>
    <row r="1662" spans="4:17" ht="17.649999999999999" x14ac:dyDescent="0.5">
      <c r="D1662" s="3" t="s">
        <v>92</v>
      </c>
      <c r="Q1662" s="3" t="s">
        <v>92</v>
      </c>
    </row>
    <row r="1663" spans="4:17" ht="17.649999999999999" x14ac:dyDescent="0.5">
      <c r="D1663" s="3" t="s">
        <v>66</v>
      </c>
      <c r="Q1663" s="3" t="s">
        <v>66</v>
      </c>
    </row>
    <row r="1664" spans="4:17" ht="17.649999999999999" x14ac:dyDescent="0.5">
      <c r="D1664" s="3" t="s">
        <v>68</v>
      </c>
      <c r="Q1664" s="3" t="s">
        <v>68</v>
      </c>
    </row>
    <row r="1665" spans="4:17" ht="17.649999999999999" x14ac:dyDescent="0.5">
      <c r="D1665" s="3" t="s">
        <v>69</v>
      </c>
      <c r="Q1665" s="3" t="s">
        <v>69</v>
      </c>
    </row>
    <row r="1666" spans="4:17" ht="17.649999999999999" x14ac:dyDescent="0.5">
      <c r="D1666" s="3" t="s">
        <v>57</v>
      </c>
      <c r="Q1666" s="3" t="s">
        <v>57</v>
      </c>
    </row>
    <row r="1667" spans="4:17" ht="17.649999999999999" x14ac:dyDescent="0.5">
      <c r="D1667" s="3" t="s">
        <v>92</v>
      </c>
      <c r="Q1667" s="3" t="s">
        <v>92</v>
      </c>
    </row>
    <row r="1668" spans="4:17" ht="17.649999999999999" x14ac:dyDescent="0.5">
      <c r="D1668" s="3" t="s">
        <v>83</v>
      </c>
      <c r="Q1668" s="3" t="s">
        <v>83</v>
      </c>
    </row>
    <row r="1669" spans="4:17" ht="17.649999999999999" x14ac:dyDescent="0.5">
      <c r="D1669" s="3" t="s">
        <v>66</v>
      </c>
      <c r="Q1669" s="3" t="s">
        <v>66</v>
      </c>
    </row>
    <row r="1670" spans="4:17" ht="17.649999999999999" x14ac:dyDescent="0.5">
      <c r="D1670" s="3" t="s">
        <v>85</v>
      </c>
      <c r="Q1670" s="3" t="s">
        <v>85</v>
      </c>
    </row>
    <row r="1671" spans="4:17" ht="17.649999999999999" x14ac:dyDescent="0.5">
      <c r="D1671" s="3" t="s">
        <v>104</v>
      </c>
      <c r="Q1671" s="3" t="s">
        <v>104</v>
      </c>
    </row>
    <row r="1672" spans="4:17" ht="17.649999999999999" x14ac:dyDescent="0.5">
      <c r="D1672" s="3" t="s">
        <v>99</v>
      </c>
      <c r="Q1672" s="3" t="s">
        <v>99</v>
      </c>
    </row>
    <row r="1673" spans="4:17" ht="17.649999999999999" x14ac:dyDescent="0.5">
      <c r="D1673" s="3" t="s">
        <v>101</v>
      </c>
      <c r="Q1673" s="3" t="s">
        <v>101</v>
      </c>
    </row>
    <row r="1674" spans="4:17" ht="17.649999999999999" x14ac:dyDescent="0.5">
      <c r="D1674" s="3" t="s">
        <v>55</v>
      </c>
      <c r="Q1674" s="3" t="s">
        <v>55</v>
      </c>
    </row>
    <row r="1675" spans="4:17" ht="17.649999999999999" x14ac:dyDescent="0.5">
      <c r="D1675" s="3" t="s">
        <v>52</v>
      </c>
      <c r="Q1675" s="3" t="s">
        <v>52</v>
      </c>
    </row>
    <row r="1676" spans="4:17" ht="17.649999999999999" x14ac:dyDescent="0.5">
      <c r="D1676" s="3" t="s">
        <v>98</v>
      </c>
      <c r="Q1676" s="3" t="s">
        <v>98</v>
      </c>
    </row>
    <row r="1677" spans="4:17" ht="17.649999999999999" x14ac:dyDescent="0.5">
      <c r="D1677" s="3" t="s">
        <v>122</v>
      </c>
      <c r="Q1677" s="3" t="s">
        <v>122</v>
      </c>
    </row>
    <row r="1678" spans="4:17" ht="17.649999999999999" x14ac:dyDescent="0.5">
      <c r="D1678" s="3" t="s">
        <v>117</v>
      </c>
      <c r="Q1678" s="3" t="s">
        <v>117</v>
      </c>
    </row>
    <row r="1679" spans="4:17" ht="17.649999999999999" x14ac:dyDescent="0.5">
      <c r="D1679" s="3" t="s">
        <v>87</v>
      </c>
      <c r="Q1679" s="3" t="s">
        <v>87</v>
      </c>
    </row>
    <row r="1680" spans="4:17" ht="17.649999999999999" x14ac:dyDescent="0.5">
      <c r="D1680" s="3" t="s">
        <v>69</v>
      </c>
      <c r="Q1680" s="3" t="s">
        <v>69</v>
      </c>
    </row>
    <row r="1681" spans="4:17" ht="17.649999999999999" x14ac:dyDescent="0.5">
      <c r="D1681" s="3" t="s">
        <v>67</v>
      </c>
      <c r="Q1681" s="3" t="s">
        <v>67</v>
      </c>
    </row>
    <row r="1682" spans="4:17" ht="17.649999999999999" x14ac:dyDescent="0.5">
      <c r="D1682" s="3" t="s">
        <v>119</v>
      </c>
      <c r="Q1682" s="3" t="s">
        <v>119</v>
      </c>
    </row>
    <row r="1683" spans="4:17" ht="17.649999999999999" x14ac:dyDescent="0.5">
      <c r="D1683" s="3" t="s">
        <v>109</v>
      </c>
      <c r="Q1683" s="3" t="s">
        <v>109</v>
      </c>
    </row>
    <row r="1684" spans="4:17" ht="17.649999999999999" x14ac:dyDescent="0.5">
      <c r="D1684" s="3" t="s">
        <v>51</v>
      </c>
      <c r="Q1684" s="3" t="s">
        <v>51</v>
      </c>
    </row>
    <row r="1685" spans="4:17" ht="17.649999999999999" x14ac:dyDescent="0.5">
      <c r="D1685" s="3" t="s">
        <v>85</v>
      </c>
      <c r="Q1685" s="3" t="s">
        <v>85</v>
      </c>
    </row>
    <row r="1686" spans="4:17" ht="17.649999999999999" x14ac:dyDescent="0.5">
      <c r="D1686" s="3" t="s">
        <v>66</v>
      </c>
      <c r="Q1686" s="3" t="s">
        <v>66</v>
      </c>
    </row>
    <row r="1687" spans="4:17" ht="17.649999999999999" x14ac:dyDescent="0.5">
      <c r="D1687" s="3" t="s">
        <v>100</v>
      </c>
      <c r="Q1687" s="3" t="s">
        <v>100</v>
      </c>
    </row>
    <row r="1688" spans="4:17" ht="17.649999999999999" x14ac:dyDescent="0.5">
      <c r="D1688" s="3" t="s">
        <v>44</v>
      </c>
      <c r="Q1688" s="3" t="s">
        <v>44</v>
      </c>
    </row>
    <row r="1689" spans="4:17" ht="17.649999999999999" x14ac:dyDescent="0.5">
      <c r="D1689" s="3" t="s">
        <v>84</v>
      </c>
      <c r="Q1689" s="3" t="s">
        <v>84</v>
      </c>
    </row>
    <row r="1690" spans="4:17" ht="17.649999999999999" x14ac:dyDescent="0.5">
      <c r="D1690" s="3" t="s">
        <v>94</v>
      </c>
      <c r="Q1690" s="3" t="s">
        <v>94</v>
      </c>
    </row>
    <row r="1691" spans="4:17" ht="17.649999999999999" x14ac:dyDescent="0.5">
      <c r="D1691" s="3" t="s">
        <v>131</v>
      </c>
      <c r="Q1691" s="3" t="s">
        <v>131</v>
      </c>
    </row>
    <row r="1692" spans="4:17" ht="17.649999999999999" x14ac:dyDescent="0.5">
      <c r="D1692" s="3" t="s">
        <v>59</v>
      </c>
      <c r="Q1692" s="3" t="s">
        <v>59</v>
      </c>
    </row>
    <row r="1693" spans="4:17" ht="17.649999999999999" x14ac:dyDescent="0.5">
      <c r="D1693" s="3" t="s">
        <v>80</v>
      </c>
      <c r="Q1693" s="3" t="s">
        <v>80</v>
      </c>
    </row>
    <row r="1694" spans="4:17" ht="17.649999999999999" x14ac:dyDescent="0.5">
      <c r="D1694" s="3" t="s">
        <v>113</v>
      </c>
      <c r="Q1694" s="3" t="s">
        <v>113</v>
      </c>
    </row>
    <row r="1695" spans="4:17" ht="17.649999999999999" x14ac:dyDescent="0.5">
      <c r="D1695" s="3" t="s">
        <v>53</v>
      </c>
      <c r="Q1695" s="3" t="s">
        <v>53</v>
      </c>
    </row>
    <row r="1696" spans="4:17" ht="17.649999999999999" x14ac:dyDescent="0.5">
      <c r="D1696" s="3" t="s">
        <v>43</v>
      </c>
      <c r="Q1696" s="3" t="s">
        <v>43</v>
      </c>
    </row>
    <row r="1697" spans="4:17" ht="17.649999999999999" x14ac:dyDescent="0.5">
      <c r="D1697" s="3" t="s">
        <v>122</v>
      </c>
      <c r="Q1697" s="3" t="s">
        <v>122</v>
      </c>
    </row>
    <row r="1698" spans="4:17" ht="17.649999999999999" x14ac:dyDescent="0.5">
      <c r="D1698" s="3" t="s">
        <v>77</v>
      </c>
      <c r="Q1698" s="3" t="s">
        <v>77</v>
      </c>
    </row>
    <row r="1699" spans="4:17" ht="17.649999999999999" x14ac:dyDescent="0.5">
      <c r="D1699" s="3" t="s">
        <v>81</v>
      </c>
      <c r="Q1699" s="3" t="s">
        <v>81</v>
      </c>
    </row>
    <row r="1700" spans="4:17" ht="17.649999999999999" x14ac:dyDescent="0.5">
      <c r="D1700" s="3" t="s">
        <v>121</v>
      </c>
      <c r="Q1700" s="3" t="s">
        <v>121</v>
      </c>
    </row>
    <row r="1701" spans="4:17" ht="17.649999999999999" x14ac:dyDescent="0.5">
      <c r="D1701" s="3" t="s">
        <v>83</v>
      </c>
      <c r="Q1701" s="3" t="s">
        <v>83</v>
      </c>
    </row>
    <row r="1702" spans="4:17" ht="17.649999999999999" x14ac:dyDescent="0.5">
      <c r="D1702" s="3" t="s">
        <v>117</v>
      </c>
      <c r="Q1702" s="3" t="s">
        <v>117</v>
      </c>
    </row>
    <row r="1703" spans="4:17" ht="17.649999999999999" x14ac:dyDescent="0.5">
      <c r="D1703" s="3" t="s">
        <v>49</v>
      </c>
      <c r="Q1703" s="3" t="s">
        <v>49</v>
      </c>
    </row>
    <row r="1704" spans="4:17" ht="17.649999999999999" x14ac:dyDescent="0.5">
      <c r="D1704" s="3" t="s">
        <v>56</v>
      </c>
      <c r="Q1704" s="3" t="s">
        <v>56</v>
      </c>
    </row>
    <row r="1705" spans="4:17" ht="17.649999999999999" x14ac:dyDescent="0.5">
      <c r="D1705" s="3" t="s">
        <v>51</v>
      </c>
      <c r="Q1705" s="3" t="s">
        <v>51</v>
      </c>
    </row>
    <row r="1706" spans="4:17" ht="17.649999999999999" x14ac:dyDescent="0.5">
      <c r="D1706" s="3" t="s">
        <v>61</v>
      </c>
      <c r="Q1706" s="3" t="s">
        <v>61</v>
      </c>
    </row>
    <row r="1707" spans="4:17" ht="17.649999999999999" x14ac:dyDescent="0.5">
      <c r="D1707" s="3" t="s">
        <v>57</v>
      </c>
      <c r="Q1707" s="3" t="s">
        <v>57</v>
      </c>
    </row>
    <row r="1708" spans="4:17" ht="17.649999999999999" x14ac:dyDescent="0.5">
      <c r="D1708" s="3" t="s">
        <v>84</v>
      </c>
      <c r="Q1708" s="3" t="s">
        <v>84</v>
      </c>
    </row>
    <row r="1709" spans="4:17" ht="17.649999999999999" x14ac:dyDescent="0.5">
      <c r="D1709" s="3" t="s">
        <v>47</v>
      </c>
      <c r="Q1709" s="3" t="s">
        <v>47</v>
      </c>
    </row>
    <row r="1710" spans="4:17" ht="17.649999999999999" x14ac:dyDescent="0.5">
      <c r="D1710" s="3" t="s">
        <v>101</v>
      </c>
      <c r="Q1710" s="3" t="s">
        <v>101</v>
      </c>
    </row>
    <row r="1711" spans="4:17" ht="17.649999999999999" x14ac:dyDescent="0.5">
      <c r="D1711" s="3" t="s">
        <v>83</v>
      </c>
      <c r="Q1711" s="3" t="s">
        <v>83</v>
      </c>
    </row>
    <row r="1712" spans="4:17" ht="17.649999999999999" x14ac:dyDescent="0.5">
      <c r="D1712" s="3" t="s">
        <v>53</v>
      </c>
      <c r="Q1712" s="3" t="s">
        <v>53</v>
      </c>
    </row>
    <row r="1713" spans="4:17" ht="17.649999999999999" x14ac:dyDescent="0.5">
      <c r="D1713" s="3" t="s">
        <v>57</v>
      </c>
      <c r="Q1713" s="3" t="s">
        <v>57</v>
      </c>
    </row>
    <row r="1714" spans="4:17" ht="17.649999999999999" x14ac:dyDescent="0.5">
      <c r="D1714" s="3" t="s">
        <v>52</v>
      </c>
      <c r="Q1714" s="3" t="s">
        <v>52</v>
      </c>
    </row>
    <row r="1715" spans="4:17" ht="17.649999999999999" x14ac:dyDescent="0.5">
      <c r="D1715" s="3" t="s">
        <v>94</v>
      </c>
      <c r="Q1715" s="3" t="s">
        <v>94</v>
      </c>
    </row>
    <row r="1716" spans="4:17" ht="17.649999999999999" x14ac:dyDescent="0.5">
      <c r="D1716" s="3" t="s">
        <v>54</v>
      </c>
      <c r="Q1716" s="3" t="s">
        <v>54</v>
      </c>
    </row>
    <row r="1717" spans="4:17" ht="17.649999999999999" x14ac:dyDescent="0.5">
      <c r="D1717" s="3" t="s">
        <v>117</v>
      </c>
      <c r="Q1717" s="3" t="s">
        <v>117</v>
      </c>
    </row>
    <row r="1718" spans="4:17" ht="17.649999999999999" x14ac:dyDescent="0.5">
      <c r="D1718" s="3" t="s">
        <v>94</v>
      </c>
      <c r="Q1718" s="3" t="s">
        <v>94</v>
      </c>
    </row>
    <row r="1719" spans="4:17" ht="17.649999999999999" x14ac:dyDescent="0.5">
      <c r="D1719" s="3" t="s">
        <v>87</v>
      </c>
      <c r="Q1719" s="3" t="s">
        <v>87</v>
      </c>
    </row>
    <row r="1720" spans="4:17" ht="17.649999999999999" x14ac:dyDescent="0.5">
      <c r="D1720" s="3" t="s">
        <v>70</v>
      </c>
      <c r="Q1720" s="3" t="s">
        <v>70</v>
      </c>
    </row>
    <row r="1721" spans="4:17" ht="17.649999999999999" x14ac:dyDescent="0.5">
      <c r="D1721" s="3" t="s">
        <v>47</v>
      </c>
      <c r="Q1721" s="3" t="s">
        <v>47</v>
      </c>
    </row>
    <row r="1722" spans="4:17" ht="17.649999999999999" x14ac:dyDescent="0.5">
      <c r="D1722" s="3" t="s">
        <v>132</v>
      </c>
      <c r="Q1722" s="3" t="s">
        <v>132</v>
      </c>
    </row>
    <row r="1723" spans="4:17" ht="17.649999999999999" x14ac:dyDescent="0.5">
      <c r="D1723" s="3" t="s">
        <v>44</v>
      </c>
      <c r="Q1723" s="3" t="s">
        <v>44</v>
      </c>
    </row>
    <row r="1724" spans="4:17" ht="17.649999999999999" x14ac:dyDescent="0.5">
      <c r="D1724" s="3" t="s">
        <v>78</v>
      </c>
      <c r="Q1724" s="3" t="s">
        <v>78</v>
      </c>
    </row>
    <row r="1725" spans="4:17" ht="17.649999999999999" x14ac:dyDescent="0.5">
      <c r="D1725" s="3" t="s">
        <v>119</v>
      </c>
      <c r="Q1725" s="3" t="s">
        <v>119</v>
      </c>
    </row>
    <row r="1726" spans="4:17" ht="17.649999999999999" x14ac:dyDescent="0.5">
      <c r="D1726" s="3" t="s">
        <v>47</v>
      </c>
      <c r="Q1726" s="3" t="s">
        <v>47</v>
      </c>
    </row>
    <row r="1727" spans="4:17" ht="17.649999999999999" x14ac:dyDescent="0.5">
      <c r="D1727" s="3" t="s">
        <v>63</v>
      </c>
      <c r="Q1727" s="3" t="s">
        <v>63</v>
      </c>
    </row>
    <row r="1728" spans="4:17" ht="17.649999999999999" x14ac:dyDescent="0.5">
      <c r="D1728" s="3" t="s">
        <v>107</v>
      </c>
      <c r="Q1728" s="3" t="s">
        <v>107</v>
      </c>
    </row>
    <row r="1729" spans="4:17" ht="17.649999999999999" x14ac:dyDescent="0.5">
      <c r="D1729" s="3" t="s">
        <v>68</v>
      </c>
      <c r="Q1729" s="3" t="s">
        <v>68</v>
      </c>
    </row>
    <row r="1730" spans="4:17" ht="17.649999999999999" x14ac:dyDescent="0.5">
      <c r="D1730" s="3" t="s">
        <v>87</v>
      </c>
      <c r="Q1730" s="3" t="s">
        <v>87</v>
      </c>
    </row>
    <row r="1731" spans="4:17" ht="17.649999999999999" x14ac:dyDescent="0.5">
      <c r="D1731" s="3" t="s">
        <v>114</v>
      </c>
      <c r="Q1731" s="3" t="s">
        <v>114</v>
      </c>
    </row>
    <row r="1732" spans="4:17" ht="17.649999999999999" x14ac:dyDescent="0.5">
      <c r="D1732" s="3" t="s">
        <v>61</v>
      </c>
      <c r="Q1732" s="3" t="s">
        <v>61</v>
      </c>
    </row>
    <row r="1733" spans="4:17" ht="17.649999999999999" x14ac:dyDescent="0.5">
      <c r="D1733" s="3" t="s">
        <v>75</v>
      </c>
      <c r="Q1733" s="3" t="s">
        <v>75</v>
      </c>
    </row>
    <row r="1734" spans="4:17" ht="17.649999999999999" x14ac:dyDescent="0.5">
      <c r="D1734" s="3" t="s">
        <v>83</v>
      </c>
      <c r="Q1734" s="3" t="s">
        <v>83</v>
      </c>
    </row>
    <row r="1735" spans="4:17" ht="17.649999999999999" x14ac:dyDescent="0.5">
      <c r="D1735" s="3" t="s">
        <v>59</v>
      </c>
      <c r="Q1735" s="3" t="s">
        <v>59</v>
      </c>
    </row>
    <row r="1736" spans="4:17" ht="17.649999999999999" x14ac:dyDescent="0.5">
      <c r="D1736" s="3" t="s">
        <v>66</v>
      </c>
      <c r="Q1736" s="3" t="s">
        <v>66</v>
      </c>
    </row>
    <row r="1737" spans="4:17" ht="17.649999999999999" x14ac:dyDescent="0.5">
      <c r="D1737" s="3" t="s">
        <v>81</v>
      </c>
      <c r="Q1737" s="3" t="s">
        <v>81</v>
      </c>
    </row>
    <row r="1738" spans="4:17" ht="17.649999999999999" x14ac:dyDescent="0.5">
      <c r="D1738" s="3" t="s">
        <v>134</v>
      </c>
      <c r="Q1738" s="3" t="s">
        <v>134</v>
      </c>
    </row>
    <row r="1739" spans="4:17" ht="17.649999999999999" x14ac:dyDescent="0.5">
      <c r="D1739" s="3" t="s">
        <v>78</v>
      </c>
      <c r="Q1739" s="3" t="s">
        <v>78</v>
      </c>
    </row>
    <row r="1740" spans="4:17" ht="17.649999999999999" x14ac:dyDescent="0.5">
      <c r="D1740" s="3" t="s">
        <v>41</v>
      </c>
      <c r="Q1740" s="3" t="s">
        <v>41</v>
      </c>
    </row>
    <row r="1741" spans="4:17" ht="17.649999999999999" x14ac:dyDescent="0.5">
      <c r="D1741" s="3" t="s">
        <v>64</v>
      </c>
      <c r="Q1741" s="3" t="s">
        <v>64</v>
      </c>
    </row>
    <row r="1742" spans="4:17" ht="17.649999999999999" x14ac:dyDescent="0.5">
      <c r="D1742" s="3" t="s">
        <v>53</v>
      </c>
      <c r="Q1742" s="3" t="s">
        <v>53</v>
      </c>
    </row>
    <row r="1743" spans="4:17" ht="17.649999999999999" x14ac:dyDescent="0.5">
      <c r="D1743" s="3" t="s">
        <v>65</v>
      </c>
      <c r="Q1743" s="3" t="s">
        <v>65</v>
      </c>
    </row>
    <row r="1744" spans="4:17" ht="17.649999999999999" x14ac:dyDescent="0.5">
      <c r="D1744" s="3" t="s">
        <v>69</v>
      </c>
      <c r="Q1744" s="3" t="s">
        <v>69</v>
      </c>
    </row>
    <row r="1745" spans="4:17" ht="17.649999999999999" x14ac:dyDescent="0.5">
      <c r="D1745" s="3" t="s">
        <v>98</v>
      </c>
      <c r="Q1745" s="3" t="s">
        <v>98</v>
      </c>
    </row>
    <row r="1746" spans="4:17" ht="17.649999999999999" x14ac:dyDescent="0.5">
      <c r="D1746" s="3" t="s">
        <v>111</v>
      </c>
      <c r="Q1746" s="3" t="s">
        <v>111</v>
      </c>
    </row>
    <row r="1747" spans="4:17" ht="17.649999999999999" x14ac:dyDescent="0.5">
      <c r="D1747" s="3" t="s">
        <v>112</v>
      </c>
      <c r="Q1747" s="3" t="s">
        <v>112</v>
      </c>
    </row>
    <row r="1748" spans="4:17" ht="17.649999999999999" x14ac:dyDescent="0.5">
      <c r="D1748" s="3" t="s">
        <v>63</v>
      </c>
      <c r="Q1748" s="3" t="s">
        <v>63</v>
      </c>
    </row>
    <row r="1749" spans="4:17" ht="17.649999999999999" x14ac:dyDescent="0.5">
      <c r="D1749" s="3" t="s">
        <v>64</v>
      </c>
      <c r="Q1749" s="3" t="s">
        <v>64</v>
      </c>
    </row>
    <row r="1750" spans="4:17" ht="17.649999999999999" x14ac:dyDescent="0.5">
      <c r="D1750" s="3" t="s">
        <v>92</v>
      </c>
      <c r="Q1750" s="3" t="s">
        <v>92</v>
      </c>
    </row>
    <row r="1751" spans="4:17" ht="17.649999999999999" x14ac:dyDescent="0.5">
      <c r="D1751" s="3" t="s">
        <v>47</v>
      </c>
      <c r="Q1751" s="3" t="s">
        <v>47</v>
      </c>
    </row>
    <row r="1752" spans="4:17" ht="17.649999999999999" x14ac:dyDescent="0.5">
      <c r="D1752" s="3" t="s">
        <v>123</v>
      </c>
      <c r="Q1752" s="3" t="s">
        <v>123</v>
      </c>
    </row>
    <row r="1753" spans="4:17" ht="17.649999999999999" x14ac:dyDescent="0.5">
      <c r="D1753" s="3" t="s">
        <v>46</v>
      </c>
      <c r="Q1753" s="3" t="s">
        <v>46</v>
      </c>
    </row>
    <row r="1754" spans="4:17" ht="17.649999999999999" x14ac:dyDescent="0.5">
      <c r="D1754" s="3" t="s">
        <v>84</v>
      </c>
      <c r="Q1754" s="3" t="s">
        <v>84</v>
      </c>
    </row>
    <row r="1755" spans="4:17" ht="17.649999999999999" x14ac:dyDescent="0.5">
      <c r="D1755" s="3" t="s">
        <v>101</v>
      </c>
      <c r="Q1755" s="3" t="s">
        <v>101</v>
      </c>
    </row>
    <row r="1756" spans="4:17" ht="17.649999999999999" x14ac:dyDescent="0.5">
      <c r="D1756" s="3" t="s">
        <v>41</v>
      </c>
      <c r="Q1756" s="3" t="s">
        <v>41</v>
      </c>
    </row>
    <row r="1757" spans="4:17" ht="17.649999999999999" x14ac:dyDescent="0.5">
      <c r="D1757" s="3" t="s">
        <v>56</v>
      </c>
      <c r="Q1757" s="3" t="s">
        <v>56</v>
      </c>
    </row>
    <row r="1758" spans="4:17" ht="17.649999999999999" x14ac:dyDescent="0.5">
      <c r="D1758" s="3" t="s">
        <v>87</v>
      </c>
      <c r="Q1758" s="3" t="s">
        <v>87</v>
      </c>
    </row>
    <row r="1759" spans="4:17" ht="17.649999999999999" x14ac:dyDescent="0.5">
      <c r="D1759" s="3" t="s">
        <v>47</v>
      </c>
      <c r="Q1759" s="3" t="s">
        <v>47</v>
      </c>
    </row>
    <row r="1760" spans="4:17" ht="17.649999999999999" x14ac:dyDescent="0.5">
      <c r="D1760" s="3" t="s">
        <v>130</v>
      </c>
      <c r="Q1760" s="3" t="s">
        <v>130</v>
      </c>
    </row>
    <row r="1761" spans="4:17" ht="17.649999999999999" x14ac:dyDescent="0.5">
      <c r="D1761" s="3" t="s">
        <v>77</v>
      </c>
      <c r="Q1761" s="3" t="s">
        <v>77</v>
      </c>
    </row>
    <row r="1762" spans="4:17" ht="17.649999999999999" x14ac:dyDescent="0.5">
      <c r="D1762" s="3" t="s">
        <v>106</v>
      </c>
      <c r="Q1762" s="3" t="s">
        <v>106</v>
      </c>
    </row>
    <row r="1763" spans="4:17" ht="17.649999999999999" x14ac:dyDescent="0.5">
      <c r="D1763" s="3" t="s">
        <v>67</v>
      </c>
      <c r="Q1763" s="3" t="s">
        <v>67</v>
      </c>
    </row>
    <row r="1764" spans="4:17" ht="17.649999999999999" x14ac:dyDescent="0.5">
      <c r="D1764" s="3" t="s">
        <v>46</v>
      </c>
      <c r="Q1764" s="3" t="s">
        <v>46</v>
      </c>
    </row>
    <row r="1765" spans="4:17" ht="17.649999999999999" x14ac:dyDescent="0.5">
      <c r="D1765" s="3" t="s">
        <v>103</v>
      </c>
      <c r="Q1765" s="3" t="s">
        <v>103</v>
      </c>
    </row>
    <row r="1766" spans="4:17" ht="17.649999999999999" x14ac:dyDescent="0.5">
      <c r="D1766" s="3" t="s">
        <v>59</v>
      </c>
      <c r="Q1766" s="3" t="s">
        <v>59</v>
      </c>
    </row>
    <row r="1767" spans="4:17" ht="17.649999999999999" x14ac:dyDescent="0.5">
      <c r="D1767" s="3" t="s">
        <v>64</v>
      </c>
      <c r="Q1767" s="3" t="s">
        <v>64</v>
      </c>
    </row>
    <row r="1768" spans="4:17" ht="17.649999999999999" x14ac:dyDescent="0.5">
      <c r="D1768" s="3" t="s">
        <v>48</v>
      </c>
      <c r="Q1768" s="3" t="s">
        <v>48</v>
      </c>
    </row>
    <row r="1769" spans="4:17" ht="17.649999999999999" x14ac:dyDescent="0.5">
      <c r="D1769" s="3" t="s">
        <v>77</v>
      </c>
      <c r="Q1769" s="3" t="s">
        <v>77</v>
      </c>
    </row>
    <row r="1770" spans="4:17" ht="17.649999999999999" x14ac:dyDescent="0.5">
      <c r="D1770" s="3" t="s">
        <v>86</v>
      </c>
      <c r="Q1770" s="3" t="s">
        <v>86</v>
      </c>
    </row>
    <row r="1771" spans="4:17" ht="17.649999999999999" x14ac:dyDescent="0.5">
      <c r="D1771" s="3" t="s">
        <v>55</v>
      </c>
      <c r="Q1771" s="3" t="s">
        <v>55</v>
      </c>
    </row>
    <row r="1772" spans="4:17" ht="17.649999999999999" x14ac:dyDescent="0.5">
      <c r="D1772" s="3" t="s">
        <v>133</v>
      </c>
      <c r="Q1772" s="3" t="s">
        <v>133</v>
      </c>
    </row>
    <row r="1773" spans="4:17" ht="17.649999999999999" x14ac:dyDescent="0.5">
      <c r="D1773" s="3" t="s">
        <v>49</v>
      </c>
      <c r="Q1773" s="3" t="s">
        <v>49</v>
      </c>
    </row>
    <row r="1774" spans="4:17" ht="17.649999999999999" x14ac:dyDescent="0.5">
      <c r="D1774" s="3" t="s">
        <v>88</v>
      </c>
      <c r="Q1774" s="3" t="s">
        <v>88</v>
      </c>
    </row>
    <row r="1775" spans="4:17" ht="17.649999999999999" x14ac:dyDescent="0.5">
      <c r="D1775" s="3" t="s">
        <v>103</v>
      </c>
      <c r="Q1775" s="3" t="s">
        <v>103</v>
      </c>
    </row>
    <row r="1776" spans="4:17" ht="17.649999999999999" x14ac:dyDescent="0.5">
      <c r="D1776" s="3" t="s">
        <v>135</v>
      </c>
      <c r="Q1776" s="3" t="s">
        <v>135</v>
      </c>
    </row>
    <row r="1777" spans="4:17" ht="17.649999999999999" x14ac:dyDescent="0.5">
      <c r="D1777" s="3" t="s">
        <v>115</v>
      </c>
      <c r="Q1777" s="3" t="s">
        <v>115</v>
      </c>
    </row>
    <row r="1778" spans="4:17" ht="17.649999999999999" x14ac:dyDescent="0.5">
      <c r="D1778" s="3" t="s">
        <v>73</v>
      </c>
      <c r="Q1778" s="3" t="s">
        <v>73</v>
      </c>
    </row>
    <row r="1779" spans="4:17" ht="17.649999999999999" x14ac:dyDescent="0.5">
      <c r="D1779" s="3" t="s">
        <v>52</v>
      </c>
      <c r="Q1779" s="3" t="s">
        <v>52</v>
      </c>
    </row>
    <row r="1780" spans="4:17" ht="17.649999999999999" x14ac:dyDescent="0.5">
      <c r="D1780" s="3" t="s">
        <v>65</v>
      </c>
      <c r="Q1780" s="3" t="s">
        <v>65</v>
      </c>
    </row>
    <row r="1781" spans="4:17" ht="17.649999999999999" x14ac:dyDescent="0.5">
      <c r="D1781" s="3" t="s">
        <v>120</v>
      </c>
      <c r="Q1781" s="3" t="s">
        <v>120</v>
      </c>
    </row>
    <row r="1782" spans="4:17" ht="17.649999999999999" x14ac:dyDescent="0.5">
      <c r="D1782" s="3" t="s">
        <v>110</v>
      </c>
      <c r="Q1782" s="3" t="s">
        <v>110</v>
      </c>
    </row>
    <row r="1783" spans="4:17" ht="17.649999999999999" x14ac:dyDescent="0.5">
      <c r="D1783" s="3" t="s">
        <v>49</v>
      </c>
      <c r="Q1783" s="3" t="s">
        <v>49</v>
      </c>
    </row>
    <row r="1784" spans="4:17" ht="17.649999999999999" x14ac:dyDescent="0.5">
      <c r="D1784" s="3" t="s">
        <v>47</v>
      </c>
      <c r="Q1784" s="3" t="s">
        <v>47</v>
      </c>
    </row>
    <row r="1785" spans="4:17" ht="17.649999999999999" x14ac:dyDescent="0.5">
      <c r="D1785" s="3" t="s">
        <v>67</v>
      </c>
      <c r="Q1785" s="3" t="s">
        <v>67</v>
      </c>
    </row>
    <row r="1786" spans="4:17" ht="17.649999999999999" x14ac:dyDescent="0.5">
      <c r="D1786" s="3" t="s">
        <v>109</v>
      </c>
      <c r="Q1786" s="3" t="s">
        <v>109</v>
      </c>
    </row>
    <row r="1787" spans="4:17" ht="17.649999999999999" x14ac:dyDescent="0.5">
      <c r="D1787" s="3" t="s">
        <v>52</v>
      </c>
      <c r="Q1787" s="3" t="s">
        <v>52</v>
      </c>
    </row>
    <row r="1788" spans="4:17" ht="17.649999999999999" x14ac:dyDescent="0.5">
      <c r="D1788" s="3" t="s">
        <v>81</v>
      </c>
      <c r="Q1788" s="3" t="s">
        <v>81</v>
      </c>
    </row>
    <row r="1789" spans="4:17" ht="17.649999999999999" x14ac:dyDescent="0.5">
      <c r="D1789" s="3" t="s">
        <v>122</v>
      </c>
      <c r="Q1789" s="3" t="s">
        <v>122</v>
      </c>
    </row>
    <row r="1790" spans="4:17" ht="17.649999999999999" x14ac:dyDescent="0.5">
      <c r="D1790" s="3" t="s">
        <v>107</v>
      </c>
      <c r="Q1790" s="3" t="s">
        <v>107</v>
      </c>
    </row>
    <row r="1791" spans="4:17" ht="17.649999999999999" x14ac:dyDescent="0.5">
      <c r="D1791" s="3" t="s">
        <v>68</v>
      </c>
      <c r="Q1791" s="3" t="s">
        <v>68</v>
      </c>
    </row>
    <row r="1792" spans="4:17" ht="17.649999999999999" x14ac:dyDescent="0.5">
      <c r="D1792" s="3" t="s">
        <v>91</v>
      </c>
      <c r="Q1792" s="3" t="s">
        <v>91</v>
      </c>
    </row>
    <row r="1793" spans="4:17" ht="17.649999999999999" x14ac:dyDescent="0.5">
      <c r="D1793" s="3" t="s">
        <v>83</v>
      </c>
      <c r="Q1793" s="3" t="s">
        <v>83</v>
      </c>
    </row>
    <row r="1794" spans="4:17" ht="17.649999999999999" x14ac:dyDescent="0.5">
      <c r="D1794" s="3" t="s">
        <v>109</v>
      </c>
      <c r="Q1794" s="3" t="s">
        <v>109</v>
      </c>
    </row>
    <row r="1795" spans="4:17" ht="17.649999999999999" x14ac:dyDescent="0.5">
      <c r="D1795" s="3" t="s">
        <v>53</v>
      </c>
      <c r="Q1795" s="3" t="s">
        <v>53</v>
      </c>
    </row>
    <row r="1796" spans="4:17" ht="17.649999999999999" x14ac:dyDescent="0.5">
      <c r="D1796" s="3" t="s">
        <v>93</v>
      </c>
      <c r="Q1796" s="3" t="s">
        <v>93</v>
      </c>
    </row>
    <row r="1797" spans="4:17" ht="17.649999999999999" x14ac:dyDescent="0.5">
      <c r="D1797" s="3" t="s">
        <v>118</v>
      </c>
      <c r="Q1797" s="3" t="s">
        <v>118</v>
      </c>
    </row>
    <row r="1798" spans="4:17" ht="17.649999999999999" x14ac:dyDescent="0.5">
      <c r="D1798" s="3" t="s">
        <v>41</v>
      </c>
      <c r="Q1798" s="3" t="s">
        <v>41</v>
      </c>
    </row>
    <row r="1799" spans="4:17" ht="17.649999999999999" x14ac:dyDescent="0.5">
      <c r="D1799" s="3" t="s">
        <v>133</v>
      </c>
      <c r="Q1799" s="3" t="s">
        <v>133</v>
      </c>
    </row>
    <row r="1800" spans="4:17" ht="17.649999999999999" x14ac:dyDescent="0.5">
      <c r="D1800" s="3" t="s">
        <v>112</v>
      </c>
      <c r="Q1800" s="3" t="s">
        <v>112</v>
      </c>
    </row>
    <row r="1801" spans="4:17" ht="17.649999999999999" x14ac:dyDescent="0.5">
      <c r="D1801" s="3" t="s">
        <v>81</v>
      </c>
      <c r="Q1801" s="3" t="s">
        <v>81</v>
      </c>
    </row>
    <row r="1802" spans="4:17" ht="17.649999999999999" x14ac:dyDescent="0.5">
      <c r="D1802" s="3" t="s">
        <v>115</v>
      </c>
      <c r="Q1802" s="3" t="s">
        <v>115</v>
      </c>
    </row>
    <row r="1803" spans="4:17" ht="17.649999999999999" x14ac:dyDescent="0.5">
      <c r="D1803" s="3" t="s">
        <v>92</v>
      </c>
      <c r="Q1803" s="3" t="s">
        <v>92</v>
      </c>
    </row>
    <row r="1804" spans="4:17" ht="17.649999999999999" x14ac:dyDescent="0.5">
      <c r="D1804" s="3" t="s">
        <v>124</v>
      </c>
      <c r="Q1804" s="3" t="s">
        <v>124</v>
      </c>
    </row>
    <row r="1805" spans="4:17" ht="17.649999999999999" x14ac:dyDescent="0.5">
      <c r="D1805" s="3" t="s">
        <v>105</v>
      </c>
      <c r="Q1805" s="3" t="s">
        <v>105</v>
      </c>
    </row>
    <row r="1806" spans="4:17" ht="17.649999999999999" x14ac:dyDescent="0.5">
      <c r="D1806" s="3" t="s">
        <v>46</v>
      </c>
      <c r="Q1806" s="3" t="s">
        <v>46</v>
      </c>
    </row>
    <row r="1807" spans="4:17" ht="17.649999999999999" x14ac:dyDescent="0.5">
      <c r="D1807" s="3" t="s">
        <v>44</v>
      </c>
      <c r="Q1807" s="3" t="s">
        <v>44</v>
      </c>
    </row>
    <row r="1808" spans="4:17" ht="17.649999999999999" x14ac:dyDescent="0.5">
      <c r="D1808" s="3" t="s">
        <v>93</v>
      </c>
      <c r="Q1808" s="3" t="s">
        <v>93</v>
      </c>
    </row>
    <row r="1809" spans="4:17" ht="17.649999999999999" x14ac:dyDescent="0.5">
      <c r="D1809" s="3" t="s">
        <v>42</v>
      </c>
      <c r="Q1809" s="3" t="s">
        <v>42</v>
      </c>
    </row>
    <row r="1810" spans="4:17" ht="17.649999999999999" x14ac:dyDescent="0.5">
      <c r="D1810" s="3" t="s">
        <v>47</v>
      </c>
      <c r="Q1810" s="3" t="s">
        <v>47</v>
      </c>
    </row>
    <row r="1811" spans="4:17" ht="17.649999999999999" x14ac:dyDescent="0.5">
      <c r="D1811" s="3" t="s">
        <v>115</v>
      </c>
      <c r="Q1811" s="3" t="s">
        <v>115</v>
      </c>
    </row>
    <row r="1812" spans="4:17" ht="17.649999999999999" x14ac:dyDescent="0.5">
      <c r="D1812" s="3" t="s">
        <v>49</v>
      </c>
      <c r="Q1812" s="3" t="s">
        <v>49</v>
      </c>
    </row>
    <row r="1813" spans="4:17" ht="17.649999999999999" x14ac:dyDescent="0.5">
      <c r="D1813" s="3" t="s">
        <v>53</v>
      </c>
      <c r="Q1813" s="3" t="s">
        <v>53</v>
      </c>
    </row>
    <row r="1814" spans="4:17" ht="17.649999999999999" x14ac:dyDescent="0.5">
      <c r="D1814" s="3" t="s">
        <v>89</v>
      </c>
      <c r="Q1814" s="3" t="s">
        <v>89</v>
      </c>
    </row>
    <row r="1815" spans="4:17" ht="17.649999999999999" x14ac:dyDescent="0.5">
      <c r="D1815" s="3" t="s">
        <v>87</v>
      </c>
      <c r="Q1815" s="3" t="s">
        <v>87</v>
      </c>
    </row>
    <row r="1816" spans="4:17" ht="17.649999999999999" x14ac:dyDescent="0.5">
      <c r="D1816" s="3" t="s">
        <v>53</v>
      </c>
      <c r="Q1816" s="3" t="s">
        <v>53</v>
      </c>
    </row>
    <row r="1817" spans="4:17" ht="17.649999999999999" x14ac:dyDescent="0.5">
      <c r="D1817" s="3" t="s">
        <v>61</v>
      </c>
      <c r="Q1817" s="3" t="s">
        <v>61</v>
      </c>
    </row>
    <row r="1818" spans="4:17" ht="17.649999999999999" x14ac:dyDescent="0.5">
      <c r="D1818" s="3" t="s">
        <v>81</v>
      </c>
      <c r="Q1818" s="3" t="s">
        <v>81</v>
      </c>
    </row>
    <row r="1819" spans="4:17" ht="17.649999999999999" x14ac:dyDescent="0.5">
      <c r="D1819" s="3" t="s">
        <v>63</v>
      </c>
      <c r="Q1819" s="3" t="s">
        <v>63</v>
      </c>
    </row>
    <row r="1820" spans="4:17" ht="17.649999999999999" x14ac:dyDescent="0.5">
      <c r="D1820" s="3" t="s">
        <v>58</v>
      </c>
      <c r="Q1820" s="3" t="s">
        <v>58</v>
      </c>
    </row>
    <row r="1821" spans="4:17" ht="17.649999999999999" x14ac:dyDescent="0.5">
      <c r="D1821" s="3" t="s">
        <v>81</v>
      </c>
      <c r="Q1821" s="3" t="s">
        <v>81</v>
      </c>
    </row>
    <row r="1822" spans="4:17" ht="17.649999999999999" x14ac:dyDescent="0.5">
      <c r="D1822" s="3" t="s">
        <v>87</v>
      </c>
      <c r="Q1822" s="3" t="s">
        <v>87</v>
      </c>
    </row>
    <row r="1823" spans="4:17" ht="17.649999999999999" x14ac:dyDescent="0.5">
      <c r="D1823" s="3" t="s">
        <v>50</v>
      </c>
      <c r="Q1823" s="3" t="s">
        <v>50</v>
      </c>
    </row>
    <row r="1824" spans="4:17" ht="17.649999999999999" x14ac:dyDescent="0.5">
      <c r="D1824" s="3" t="s">
        <v>53</v>
      </c>
      <c r="Q1824" s="3" t="s">
        <v>53</v>
      </c>
    </row>
    <row r="1825" spans="4:17" ht="17.649999999999999" x14ac:dyDescent="0.5">
      <c r="D1825" s="3" t="s">
        <v>62</v>
      </c>
      <c r="Q1825" s="3" t="s">
        <v>62</v>
      </c>
    </row>
    <row r="1826" spans="4:17" ht="17.649999999999999" x14ac:dyDescent="0.5">
      <c r="D1826" s="3" t="s">
        <v>54</v>
      </c>
      <c r="Q1826" s="3" t="s">
        <v>54</v>
      </c>
    </row>
    <row r="1827" spans="4:17" ht="17.649999999999999" x14ac:dyDescent="0.5">
      <c r="D1827" s="3" t="s">
        <v>41</v>
      </c>
      <c r="Q1827" s="3" t="s">
        <v>41</v>
      </c>
    </row>
    <row r="1828" spans="4:17" ht="17.649999999999999" x14ac:dyDescent="0.5">
      <c r="D1828" s="3" t="s">
        <v>51</v>
      </c>
      <c r="Q1828" s="3" t="s">
        <v>51</v>
      </c>
    </row>
    <row r="1829" spans="4:17" ht="17.649999999999999" x14ac:dyDescent="0.5">
      <c r="D1829" s="3" t="s">
        <v>103</v>
      </c>
      <c r="Q1829" s="3" t="s">
        <v>103</v>
      </c>
    </row>
    <row r="1830" spans="4:17" ht="17.649999999999999" x14ac:dyDescent="0.5">
      <c r="D1830" s="3" t="s">
        <v>73</v>
      </c>
      <c r="Q1830" s="3" t="s">
        <v>73</v>
      </c>
    </row>
    <row r="1831" spans="4:17" ht="17.649999999999999" x14ac:dyDescent="0.5">
      <c r="D1831" s="3" t="s">
        <v>123</v>
      </c>
      <c r="Q1831" s="3" t="s">
        <v>123</v>
      </c>
    </row>
    <row r="1832" spans="4:17" ht="17.649999999999999" x14ac:dyDescent="0.5">
      <c r="D1832" s="3" t="s">
        <v>69</v>
      </c>
      <c r="Q1832" s="3" t="s">
        <v>69</v>
      </c>
    </row>
    <row r="1833" spans="4:17" ht="17.649999999999999" x14ac:dyDescent="0.5">
      <c r="D1833" s="3" t="s">
        <v>59</v>
      </c>
      <c r="Q1833" s="3" t="s">
        <v>59</v>
      </c>
    </row>
    <row r="1834" spans="4:17" ht="17.649999999999999" x14ac:dyDescent="0.5">
      <c r="D1834" s="3" t="s">
        <v>121</v>
      </c>
      <c r="Q1834" s="3" t="s">
        <v>121</v>
      </c>
    </row>
    <row r="1835" spans="4:17" ht="17.649999999999999" x14ac:dyDescent="0.5">
      <c r="D1835" s="3" t="s">
        <v>61</v>
      </c>
      <c r="Q1835" s="3" t="s">
        <v>61</v>
      </c>
    </row>
    <row r="1836" spans="4:17" ht="17.649999999999999" x14ac:dyDescent="0.5">
      <c r="D1836" s="3" t="s">
        <v>63</v>
      </c>
      <c r="Q1836" s="3" t="s">
        <v>63</v>
      </c>
    </row>
    <row r="1837" spans="4:17" ht="17.649999999999999" x14ac:dyDescent="0.5">
      <c r="D1837" s="3" t="s">
        <v>97</v>
      </c>
      <c r="Q1837" s="3" t="s">
        <v>97</v>
      </c>
    </row>
    <row r="1838" spans="4:17" ht="17.649999999999999" x14ac:dyDescent="0.5">
      <c r="D1838" s="3" t="s">
        <v>105</v>
      </c>
      <c r="Q1838" s="3" t="s">
        <v>105</v>
      </c>
    </row>
    <row r="1839" spans="4:17" ht="17.649999999999999" x14ac:dyDescent="0.5">
      <c r="D1839" s="3" t="s">
        <v>55</v>
      </c>
      <c r="Q1839" s="3" t="s">
        <v>55</v>
      </c>
    </row>
    <row r="1840" spans="4:17" ht="17.649999999999999" x14ac:dyDescent="0.5">
      <c r="D1840" s="3" t="s">
        <v>64</v>
      </c>
      <c r="Q1840" s="3" t="s">
        <v>64</v>
      </c>
    </row>
    <row r="1841" spans="4:17" ht="17.649999999999999" x14ac:dyDescent="0.5">
      <c r="D1841" s="3" t="s">
        <v>72</v>
      </c>
      <c r="Q1841" s="3" t="s">
        <v>72</v>
      </c>
    </row>
    <row r="1842" spans="4:17" ht="17.649999999999999" x14ac:dyDescent="0.5">
      <c r="D1842" s="3" t="s">
        <v>43</v>
      </c>
      <c r="Q1842" s="3" t="s">
        <v>43</v>
      </c>
    </row>
    <row r="1843" spans="4:17" ht="17.649999999999999" x14ac:dyDescent="0.5">
      <c r="D1843" s="3" t="s">
        <v>47</v>
      </c>
      <c r="Q1843" s="3" t="s">
        <v>47</v>
      </c>
    </row>
    <row r="1844" spans="4:17" ht="17.649999999999999" x14ac:dyDescent="0.5">
      <c r="D1844" s="3" t="s">
        <v>112</v>
      </c>
      <c r="Q1844" s="3" t="s">
        <v>112</v>
      </c>
    </row>
    <row r="1845" spans="4:17" ht="17.649999999999999" x14ac:dyDescent="0.5">
      <c r="D1845" s="3" t="s">
        <v>85</v>
      </c>
      <c r="Q1845" s="3" t="s">
        <v>85</v>
      </c>
    </row>
    <row r="1846" spans="4:17" ht="17.649999999999999" x14ac:dyDescent="0.5">
      <c r="D1846" s="3" t="s">
        <v>41</v>
      </c>
      <c r="Q1846" s="3" t="s">
        <v>41</v>
      </c>
    </row>
    <row r="1847" spans="4:17" ht="17.649999999999999" x14ac:dyDescent="0.5">
      <c r="D1847" s="3" t="s">
        <v>128</v>
      </c>
      <c r="Q1847" s="3" t="s">
        <v>128</v>
      </c>
    </row>
    <row r="1848" spans="4:17" ht="17.649999999999999" x14ac:dyDescent="0.5">
      <c r="D1848" s="3" t="s">
        <v>69</v>
      </c>
      <c r="Q1848" s="3" t="s">
        <v>69</v>
      </c>
    </row>
    <row r="1849" spans="4:17" ht="17.649999999999999" x14ac:dyDescent="0.5">
      <c r="D1849" s="3" t="s">
        <v>90</v>
      </c>
      <c r="Q1849" s="3" t="s">
        <v>90</v>
      </c>
    </row>
    <row r="1850" spans="4:17" ht="17.649999999999999" x14ac:dyDescent="0.5">
      <c r="D1850" s="3" t="s">
        <v>126</v>
      </c>
      <c r="Q1850" s="3" t="s">
        <v>126</v>
      </c>
    </row>
    <row r="1851" spans="4:17" ht="17.649999999999999" x14ac:dyDescent="0.5">
      <c r="D1851" s="3" t="s">
        <v>112</v>
      </c>
      <c r="Q1851" s="3" t="s">
        <v>112</v>
      </c>
    </row>
    <row r="1852" spans="4:17" ht="17.649999999999999" x14ac:dyDescent="0.5">
      <c r="D1852" s="3" t="s">
        <v>47</v>
      </c>
      <c r="Q1852" s="3" t="s">
        <v>47</v>
      </c>
    </row>
    <row r="1853" spans="4:17" ht="17.649999999999999" x14ac:dyDescent="0.5">
      <c r="D1853" s="3" t="s">
        <v>44</v>
      </c>
      <c r="Q1853" s="3" t="s">
        <v>44</v>
      </c>
    </row>
    <row r="1854" spans="4:17" ht="17.649999999999999" x14ac:dyDescent="0.5">
      <c r="D1854" s="3" t="s">
        <v>56</v>
      </c>
      <c r="Q1854" s="3" t="s">
        <v>56</v>
      </c>
    </row>
    <row r="1855" spans="4:17" ht="17.649999999999999" x14ac:dyDescent="0.5">
      <c r="D1855" s="3" t="s">
        <v>83</v>
      </c>
      <c r="Q1855" s="3" t="s">
        <v>83</v>
      </c>
    </row>
    <row r="1856" spans="4:17" ht="17.649999999999999" x14ac:dyDescent="0.5">
      <c r="D1856" s="3" t="s">
        <v>75</v>
      </c>
      <c r="Q1856" s="3" t="s">
        <v>75</v>
      </c>
    </row>
    <row r="1857" spans="4:17" ht="17.649999999999999" x14ac:dyDescent="0.5">
      <c r="D1857" s="3" t="s">
        <v>85</v>
      </c>
      <c r="Q1857" s="3" t="s">
        <v>85</v>
      </c>
    </row>
    <row r="1858" spans="4:17" ht="17.649999999999999" x14ac:dyDescent="0.5">
      <c r="D1858" s="3" t="s">
        <v>55</v>
      </c>
      <c r="Q1858" s="3" t="s">
        <v>55</v>
      </c>
    </row>
    <row r="1859" spans="4:17" ht="17.649999999999999" x14ac:dyDescent="0.5">
      <c r="D1859" s="3" t="s">
        <v>117</v>
      </c>
      <c r="Q1859" s="3" t="s">
        <v>117</v>
      </c>
    </row>
    <row r="1860" spans="4:17" ht="17.649999999999999" x14ac:dyDescent="0.5">
      <c r="D1860" s="3" t="s">
        <v>48</v>
      </c>
      <c r="Q1860" s="3" t="s">
        <v>48</v>
      </c>
    </row>
    <row r="1861" spans="4:17" ht="17.649999999999999" x14ac:dyDescent="0.5">
      <c r="D1861" s="3" t="s">
        <v>111</v>
      </c>
      <c r="Q1861" s="3" t="s">
        <v>111</v>
      </c>
    </row>
    <row r="1862" spans="4:17" ht="17.649999999999999" x14ac:dyDescent="0.5">
      <c r="D1862" s="3" t="s">
        <v>44</v>
      </c>
      <c r="Q1862" s="3" t="s">
        <v>44</v>
      </c>
    </row>
    <row r="1863" spans="4:17" ht="17.649999999999999" x14ac:dyDescent="0.5">
      <c r="D1863" s="3" t="s">
        <v>129</v>
      </c>
      <c r="Q1863" s="3" t="s">
        <v>129</v>
      </c>
    </row>
    <row r="1864" spans="4:17" ht="17.649999999999999" x14ac:dyDescent="0.5">
      <c r="D1864" s="3" t="s">
        <v>90</v>
      </c>
      <c r="Q1864" s="3" t="s">
        <v>90</v>
      </c>
    </row>
    <row r="1865" spans="4:17" ht="17.649999999999999" x14ac:dyDescent="0.5">
      <c r="D1865" s="3" t="s">
        <v>63</v>
      </c>
      <c r="Q1865" s="3" t="s">
        <v>63</v>
      </c>
    </row>
    <row r="1866" spans="4:17" ht="17.649999999999999" x14ac:dyDescent="0.5">
      <c r="D1866" s="3" t="s">
        <v>89</v>
      </c>
      <c r="Q1866" s="3" t="s">
        <v>89</v>
      </c>
    </row>
    <row r="1867" spans="4:17" ht="17.649999999999999" x14ac:dyDescent="0.5">
      <c r="D1867" s="3" t="s">
        <v>53</v>
      </c>
      <c r="Q1867" s="3" t="s">
        <v>53</v>
      </c>
    </row>
    <row r="1868" spans="4:17" ht="17.649999999999999" x14ac:dyDescent="0.5">
      <c r="D1868" s="3" t="s">
        <v>71</v>
      </c>
      <c r="Q1868" s="3" t="s">
        <v>71</v>
      </c>
    </row>
    <row r="1869" spans="4:17" ht="17.649999999999999" x14ac:dyDescent="0.5">
      <c r="D1869" s="3" t="s">
        <v>77</v>
      </c>
      <c r="Q1869" s="3" t="s">
        <v>77</v>
      </c>
    </row>
    <row r="1870" spans="4:17" ht="17.649999999999999" x14ac:dyDescent="0.5">
      <c r="D1870" s="3" t="s">
        <v>55</v>
      </c>
      <c r="Q1870" s="3" t="s">
        <v>55</v>
      </c>
    </row>
    <row r="1871" spans="4:17" ht="17.649999999999999" x14ac:dyDescent="0.5">
      <c r="D1871" s="3" t="s">
        <v>87</v>
      </c>
      <c r="Q1871" s="3" t="s">
        <v>87</v>
      </c>
    </row>
    <row r="1872" spans="4:17" ht="17.649999999999999" x14ac:dyDescent="0.5">
      <c r="D1872" s="3" t="s">
        <v>73</v>
      </c>
      <c r="Q1872" s="3" t="s">
        <v>73</v>
      </c>
    </row>
    <row r="1873" spans="4:17" ht="17.649999999999999" x14ac:dyDescent="0.5">
      <c r="D1873" s="3" t="s">
        <v>78</v>
      </c>
      <c r="Q1873" s="3" t="s">
        <v>78</v>
      </c>
    </row>
    <row r="1874" spans="4:17" ht="17.649999999999999" x14ac:dyDescent="0.5">
      <c r="D1874" s="3" t="s">
        <v>124</v>
      </c>
      <c r="Q1874" s="3" t="s">
        <v>124</v>
      </c>
    </row>
    <row r="1875" spans="4:17" ht="17.649999999999999" x14ac:dyDescent="0.5">
      <c r="D1875" s="3" t="s">
        <v>87</v>
      </c>
      <c r="Q1875" s="3" t="s">
        <v>87</v>
      </c>
    </row>
    <row r="1876" spans="4:17" ht="17.649999999999999" x14ac:dyDescent="0.5">
      <c r="D1876" s="3" t="s">
        <v>65</v>
      </c>
      <c r="Q1876" s="3" t="s">
        <v>65</v>
      </c>
    </row>
    <row r="1877" spans="4:17" ht="17.649999999999999" x14ac:dyDescent="0.5">
      <c r="D1877" s="3" t="s">
        <v>107</v>
      </c>
      <c r="Q1877" s="3" t="s">
        <v>107</v>
      </c>
    </row>
    <row r="1878" spans="4:17" ht="17.649999999999999" x14ac:dyDescent="0.5">
      <c r="D1878" s="3" t="s">
        <v>74</v>
      </c>
      <c r="Q1878" s="3" t="s">
        <v>74</v>
      </c>
    </row>
    <row r="1879" spans="4:17" ht="17.649999999999999" x14ac:dyDescent="0.5">
      <c r="D1879" s="3" t="s">
        <v>117</v>
      </c>
      <c r="Q1879" s="3" t="s">
        <v>117</v>
      </c>
    </row>
    <row r="1880" spans="4:17" ht="17.649999999999999" x14ac:dyDescent="0.5">
      <c r="D1880" s="3" t="s">
        <v>80</v>
      </c>
      <c r="Q1880" s="3" t="s">
        <v>80</v>
      </c>
    </row>
    <row r="1881" spans="4:17" ht="17.649999999999999" x14ac:dyDescent="0.5">
      <c r="D1881" s="3" t="s">
        <v>92</v>
      </c>
      <c r="Q1881" s="3" t="s">
        <v>92</v>
      </c>
    </row>
    <row r="1882" spans="4:17" ht="17.649999999999999" x14ac:dyDescent="0.5">
      <c r="D1882" s="3" t="s">
        <v>68</v>
      </c>
      <c r="Q1882" s="3" t="s">
        <v>68</v>
      </c>
    </row>
    <row r="1883" spans="4:17" ht="17.649999999999999" x14ac:dyDescent="0.5">
      <c r="D1883" s="3" t="s">
        <v>69</v>
      </c>
      <c r="Q1883" s="3" t="s">
        <v>69</v>
      </c>
    </row>
    <row r="1884" spans="4:17" ht="17.649999999999999" x14ac:dyDescent="0.5">
      <c r="D1884" s="3" t="s">
        <v>98</v>
      </c>
      <c r="Q1884" s="3" t="s">
        <v>98</v>
      </c>
    </row>
    <row r="1885" spans="4:17" ht="17.649999999999999" x14ac:dyDescent="0.5">
      <c r="D1885" s="3" t="s">
        <v>72</v>
      </c>
      <c r="Q1885" s="3" t="s">
        <v>72</v>
      </c>
    </row>
    <row r="1886" spans="4:17" ht="17.649999999999999" x14ac:dyDescent="0.5">
      <c r="D1886" s="3" t="s">
        <v>69</v>
      </c>
      <c r="Q1886" s="3" t="s">
        <v>69</v>
      </c>
    </row>
    <row r="1887" spans="4:17" ht="17.649999999999999" x14ac:dyDescent="0.5">
      <c r="D1887" s="3" t="s">
        <v>60</v>
      </c>
      <c r="Q1887" s="3" t="s">
        <v>60</v>
      </c>
    </row>
    <row r="1888" spans="4:17" ht="17.649999999999999" x14ac:dyDescent="0.5">
      <c r="D1888" s="3" t="s">
        <v>91</v>
      </c>
      <c r="Q1888" s="3" t="s">
        <v>91</v>
      </c>
    </row>
    <row r="1889" spans="4:17" ht="17.649999999999999" x14ac:dyDescent="0.5">
      <c r="D1889" s="3" t="s">
        <v>53</v>
      </c>
      <c r="Q1889" s="3" t="s">
        <v>53</v>
      </c>
    </row>
    <row r="1890" spans="4:17" ht="17.649999999999999" x14ac:dyDescent="0.5">
      <c r="D1890" s="3" t="s">
        <v>59</v>
      </c>
      <c r="Q1890" s="3" t="s">
        <v>59</v>
      </c>
    </row>
    <row r="1891" spans="4:17" ht="17.649999999999999" x14ac:dyDescent="0.5">
      <c r="D1891" s="3" t="s">
        <v>94</v>
      </c>
      <c r="Q1891" s="3" t="s">
        <v>94</v>
      </c>
    </row>
    <row r="1892" spans="4:17" ht="17.649999999999999" x14ac:dyDescent="0.5">
      <c r="D1892" s="3" t="s">
        <v>55</v>
      </c>
      <c r="Q1892" s="3" t="s">
        <v>55</v>
      </c>
    </row>
    <row r="1893" spans="4:17" ht="17.649999999999999" x14ac:dyDescent="0.5">
      <c r="D1893" s="3" t="s">
        <v>51</v>
      </c>
      <c r="Q1893" s="3" t="s">
        <v>51</v>
      </c>
    </row>
    <row r="1894" spans="4:17" ht="17.649999999999999" x14ac:dyDescent="0.5">
      <c r="D1894" s="3" t="s">
        <v>127</v>
      </c>
      <c r="Q1894" s="3" t="s">
        <v>127</v>
      </c>
    </row>
    <row r="1895" spans="4:17" ht="17.649999999999999" x14ac:dyDescent="0.5">
      <c r="D1895" s="3" t="s">
        <v>85</v>
      </c>
      <c r="Q1895" s="3" t="s">
        <v>85</v>
      </c>
    </row>
    <row r="1896" spans="4:17" ht="17.649999999999999" x14ac:dyDescent="0.5">
      <c r="D1896" s="3" t="s">
        <v>69</v>
      </c>
      <c r="Q1896" s="3" t="s">
        <v>69</v>
      </c>
    </row>
    <row r="1897" spans="4:17" ht="17.649999999999999" x14ac:dyDescent="0.5">
      <c r="D1897" s="3" t="s">
        <v>50</v>
      </c>
      <c r="Q1897" s="3" t="s">
        <v>50</v>
      </c>
    </row>
    <row r="1898" spans="4:17" ht="17.649999999999999" x14ac:dyDescent="0.5">
      <c r="D1898" s="3" t="s">
        <v>87</v>
      </c>
      <c r="Q1898" s="3" t="s">
        <v>87</v>
      </c>
    </row>
    <row r="1899" spans="4:17" ht="17.649999999999999" x14ac:dyDescent="0.5">
      <c r="D1899" s="3" t="s">
        <v>90</v>
      </c>
      <c r="Q1899" s="3" t="s">
        <v>90</v>
      </c>
    </row>
    <row r="1900" spans="4:17" ht="17.649999999999999" x14ac:dyDescent="0.5">
      <c r="D1900" s="3" t="s">
        <v>96</v>
      </c>
      <c r="Q1900" s="3" t="s">
        <v>96</v>
      </c>
    </row>
    <row r="1901" spans="4:17" ht="17.649999999999999" x14ac:dyDescent="0.5">
      <c r="D1901" s="3" t="s">
        <v>80</v>
      </c>
      <c r="Q1901" s="3" t="s">
        <v>80</v>
      </c>
    </row>
    <row r="1902" spans="4:17" ht="17.649999999999999" x14ac:dyDescent="0.5">
      <c r="D1902" s="3" t="s">
        <v>67</v>
      </c>
      <c r="Q1902" s="3" t="s">
        <v>67</v>
      </c>
    </row>
    <row r="1903" spans="4:17" ht="17.649999999999999" x14ac:dyDescent="0.5">
      <c r="D1903" s="3" t="s">
        <v>61</v>
      </c>
      <c r="Q1903" s="3" t="s">
        <v>61</v>
      </c>
    </row>
    <row r="1904" spans="4:17" ht="17.649999999999999" x14ac:dyDescent="0.5">
      <c r="D1904" s="3" t="s">
        <v>45</v>
      </c>
      <c r="Q1904" s="3" t="s">
        <v>45</v>
      </c>
    </row>
    <row r="1905" spans="4:17" ht="17.649999999999999" x14ac:dyDescent="0.5">
      <c r="D1905" s="3" t="s">
        <v>115</v>
      </c>
      <c r="Q1905" s="3" t="s">
        <v>115</v>
      </c>
    </row>
    <row r="1906" spans="4:17" ht="17.649999999999999" x14ac:dyDescent="0.5">
      <c r="D1906" s="3" t="s">
        <v>49</v>
      </c>
      <c r="Q1906" s="3" t="s">
        <v>49</v>
      </c>
    </row>
    <row r="1907" spans="4:17" ht="17.649999999999999" x14ac:dyDescent="0.5">
      <c r="D1907" s="3" t="s">
        <v>71</v>
      </c>
      <c r="Q1907" s="3" t="s">
        <v>71</v>
      </c>
    </row>
    <row r="1908" spans="4:17" ht="17.649999999999999" x14ac:dyDescent="0.5">
      <c r="D1908" s="3" t="s">
        <v>56</v>
      </c>
      <c r="Q1908" s="3" t="s">
        <v>56</v>
      </c>
    </row>
    <row r="1909" spans="4:17" ht="17.649999999999999" x14ac:dyDescent="0.5">
      <c r="D1909" s="3" t="s">
        <v>65</v>
      </c>
      <c r="Q1909" s="3" t="s">
        <v>65</v>
      </c>
    </row>
    <row r="1910" spans="4:17" ht="17.649999999999999" x14ac:dyDescent="0.5">
      <c r="D1910" s="3" t="s">
        <v>73</v>
      </c>
      <c r="Q1910" s="3" t="s">
        <v>73</v>
      </c>
    </row>
    <row r="1911" spans="4:17" ht="17.649999999999999" x14ac:dyDescent="0.5">
      <c r="D1911" s="3" t="s">
        <v>54</v>
      </c>
      <c r="Q1911" s="3" t="s">
        <v>54</v>
      </c>
    </row>
    <row r="1912" spans="4:17" ht="17.649999999999999" x14ac:dyDescent="0.5">
      <c r="D1912" s="3" t="s">
        <v>84</v>
      </c>
      <c r="Q1912" s="3" t="s">
        <v>84</v>
      </c>
    </row>
    <row r="1913" spans="4:17" ht="17.649999999999999" x14ac:dyDescent="0.5">
      <c r="D1913" s="3" t="s">
        <v>115</v>
      </c>
      <c r="Q1913" s="3" t="s">
        <v>115</v>
      </c>
    </row>
    <row r="1914" spans="4:17" ht="17.649999999999999" x14ac:dyDescent="0.5">
      <c r="D1914" s="3" t="s">
        <v>67</v>
      </c>
      <c r="Q1914" s="3" t="s">
        <v>67</v>
      </c>
    </row>
    <row r="1915" spans="4:17" ht="17.649999999999999" x14ac:dyDescent="0.5">
      <c r="D1915" s="3" t="s">
        <v>124</v>
      </c>
      <c r="Q1915" s="3" t="s">
        <v>124</v>
      </c>
    </row>
    <row r="1916" spans="4:17" ht="17.649999999999999" x14ac:dyDescent="0.5">
      <c r="D1916" s="3" t="s">
        <v>66</v>
      </c>
      <c r="Q1916" s="3" t="s">
        <v>66</v>
      </c>
    </row>
    <row r="1917" spans="4:17" ht="17.649999999999999" x14ac:dyDescent="0.5">
      <c r="D1917" s="3" t="s">
        <v>67</v>
      </c>
      <c r="Q1917" s="3" t="s">
        <v>67</v>
      </c>
    </row>
    <row r="1918" spans="4:17" ht="17.649999999999999" x14ac:dyDescent="0.5">
      <c r="D1918" s="3" t="s">
        <v>81</v>
      </c>
      <c r="Q1918" s="3" t="s">
        <v>81</v>
      </c>
    </row>
    <row r="1919" spans="4:17" ht="17.649999999999999" x14ac:dyDescent="0.5">
      <c r="D1919" s="3" t="s">
        <v>90</v>
      </c>
      <c r="Q1919" s="3" t="s">
        <v>90</v>
      </c>
    </row>
    <row r="1920" spans="4:17" ht="17.649999999999999" x14ac:dyDescent="0.5">
      <c r="D1920" s="3" t="s">
        <v>96</v>
      </c>
      <c r="Q1920" s="3" t="s">
        <v>96</v>
      </c>
    </row>
    <row r="1921" spans="4:17" ht="17.649999999999999" x14ac:dyDescent="0.5">
      <c r="D1921" s="3" t="s">
        <v>107</v>
      </c>
      <c r="Q1921" s="3" t="s">
        <v>107</v>
      </c>
    </row>
    <row r="1922" spans="4:17" ht="17.649999999999999" x14ac:dyDescent="0.5">
      <c r="D1922" s="3" t="s">
        <v>59</v>
      </c>
      <c r="Q1922" s="3" t="s">
        <v>59</v>
      </c>
    </row>
    <row r="1923" spans="4:17" ht="17.649999999999999" x14ac:dyDescent="0.5">
      <c r="D1923" s="3" t="s">
        <v>114</v>
      </c>
      <c r="Q1923" s="3" t="s">
        <v>114</v>
      </c>
    </row>
    <row r="1924" spans="4:17" ht="17.649999999999999" x14ac:dyDescent="0.5">
      <c r="D1924" s="3" t="s">
        <v>61</v>
      </c>
      <c r="Q1924" s="3" t="s">
        <v>61</v>
      </c>
    </row>
    <row r="1925" spans="4:17" ht="17.649999999999999" x14ac:dyDescent="0.5">
      <c r="D1925" s="3" t="s">
        <v>101</v>
      </c>
      <c r="Q1925" s="3" t="s">
        <v>101</v>
      </c>
    </row>
    <row r="1926" spans="4:17" ht="17.649999999999999" x14ac:dyDescent="0.5">
      <c r="D1926" s="3" t="s">
        <v>119</v>
      </c>
      <c r="Q1926" s="3" t="s">
        <v>119</v>
      </c>
    </row>
    <row r="1927" spans="4:17" ht="17.649999999999999" x14ac:dyDescent="0.5">
      <c r="D1927" s="3" t="s">
        <v>99</v>
      </c>
      <c r="Q1927" s="3" t="s">
        <v>99</v>
      </c>
    </row>
    <row r="1928" spans="4:17" ht="17.649999999999999" x14ac:dyDescent="0.5">
      <c r="D1928" s="3" t="s">
        <v>90</v>
      </c>
      <c r="Q1928" s="3" t="s">
        <v>90</v>
      </c>
    </row>
    <row r="1929" spans="4:17" ht="17.649999999999999" x14ac:dyDescent="0.5">
      <c r="D1929" s="3" t="s">
        <v>43</v>
      </c>
      <c r="Q1929" s="3" t="s">
        <v>43</v>
      </c>
    </row>
    <row r="1930" spans="4:17" ht="17.649999999999999" x14ac:dyDescent="0.5">
      <c r="D1930" s="3" t="s">
        <v>96</v>
      </c>
      <c r="Q1930" s="3" t="s">
        <v>96</v>
      </c>
    </row>
    <row r="1931" spans="4:17" ht="17.649999999999999" x14ac:dyDescent="0.5">
      <c r="D1931" s="3" t="s">
        <v>75</v>
      </c>
      <c r="Q1931" s="3" t="s">
        <v>75</v>
      </c>
    </row>
    <row r="1932" spans="4:17" ht="17.649999999999999" x14ac:dyDescent="0.5">
      <c r="D1932" s="3" t="s">
        <v>50</v>
      </c>
      <c r="Q1932" s="3" t="s">
        <v>50</v>
      </c>
    </row>
    <row r="1933" spans="4:17" ht="17.649999999999999" x14ac:dyDescent="0.5">
      <c r="D1933" s="3" t="s">
        <v>64</v>
      </c>
      <c r="Q1933" s="3" t="s">
        <v>64</v>
      </c>
    </row>
    <row r="1934" spans="4:17" ht="17.649999999999999" x14ac:dyDescent="0.5">
      <c r="D1934" s="3" t="s">
        <v>106</v>
      </c>
      <c r="Q1934" s="3" t="s">
        <v>106</v>
      </c>
    </row>
    <row r="1935" spans="4:17" ht="17.649999999999999" x14ac:dyDescent="0.5">
      <c r="D1935" s="3" t="s">
        <v>80</v>
      </c>
      <c r="Q1935" s="3" t="s">
        <v>80</v>
      </c>
    </row>
    <row r="1936" spans="4:17" ht="17.649999999999999" x14ac:dyDescent="0.5">
      <c r="D1936" s="3" t="s">
        <v>85</v>
      </c>
      <c r="Q1936" s="3" t="s">
        <v>85</v>
      </c>
    </row>
    <row r="1937" spans="4:17" ht="17.649999999999999" x14ac:dyDescent="0.5">
      <c r="D1937" s="3" t="s">
        <v>83</v>
      </c>
      <c r="Q1937" s="3" t="s">
        <v>83</v>
      </c>
    </row>
    <row r="1938" spans="4:17" ht="17.649999999999999" x14ac:dyDescent="0.5">
      <c r="D1938" s="3" t="s">
        <v>50</v>
      </c>
      <c r="Q1938" s="3" t="s">
        <v>50</v>
      </c>
    </row>
    <row r="1939" spans="4:17" ht="17.649999999999999" x14ac:dyDescent="0.5">
      <c r="D1939" s="3" t="s">
        <v>62</v>
      </c>
      <c r="Q1939" s="3" t="s">
        <v>62</v>
      </c>
    </row>
    <row r="1940" spans="4:17" ht="17.649999999999999" x14ac:dyDescent="0.5">
      <c r="D1940" s="3" t="s">
        <v>54</v>
      </c>
      <c r="Q1940" s="3" t="s">
        <v>54</v>
      </c>
    </row>
    <row r="1941" spans="4:17" ht="17.649999999999999" x14ac:dyDescent="0.5">
      <c r="D1941" s="3" t="s">
        <v>94</v>
      </c>
      <c r="Q1941" s="3" t="s">
        <v>94</v>
      </c>
    </row>
    <row r="1942" spans="4:17" ht="17.649999999999999" x14ac:dyDescent="0.5">
      <c r="D1942" s="3" t="s">
        <v>54</v>
      </c>
      <c r="Q1942" s="3" t="s">
        <v>54</v>
      </c>
    </row>
    <row r="1943" spans="4:17" ht="17.649999999999999" x14ac:dyDescent="0.5">
      <c r="D1943" s="3" t="s">
        <v>134</v>
      </c>
      <c r="Q1943" s="3" t="s">
        <v>134</v>
      </c>
    </row>
    <row r="1944" spans="4:17" ht="17.649999999999999" x14ac:dyDescent="0.5">
      <c r="D1944" s="3" t="s">
        <v>61</v>
      </c>
      <c r="Q1944" s="3" t="s">
        <v>61</v>
      </c>
    </row>
    <row r="1945" spans="4:17" ht="17.649999999999999" x14ac:dyDescent="0.5">
      <c r="D1945" s="3" t="s">
        <v>87</v>
      </c>
      <c r="Q1945" s="3" t="s">
        <v>87</v>
      </c>
    </row>
    <row r="1946" spans="4:17" ht="17.649999999999999" x14ac:dyDescent="0.5">
      <c r="D1946" s="3" t="s">
        <v>92</v>
      </c>
      <c r="Q1946" s="3" t="s">
        <v>92</v>
      </c>
    </row>
    <row r="1947" spans="4:17" ht="17.649999999999999" x14ac:dyDescent="0.5">
      <c r="D1947" s="3" t="s">
        <v>43</v>
      </c>
      <c r="Q1947" s="3" t="s">
        <v>43</v>
      </c>
    </row>
    <row r="1948" spans="4:17" ht="17.649999999999999" x14ac:dyDescent="0.5">
      <c r="D1948" s="3" t="s">
        <v>66</v>
      </c>
      <c r="Q1948" s="3" t="s">
        <v>66</v>
      </c>
    </row>
    <row r="1949" spans="4:17" ht="17.649999999999999" x14ac:dyDescent="0.5">
      <c r="D1949" s="3" t="s">
        <v>46</v>
      </c>
      <c r="Q1949" s="3" t="s">
        <v>46</v>
      </c>
    </row>
    <row r="1950" spans="4:17" ht="17.649999999999999" x14ac:dyDescent="0.5">
      <c r="D1950" s="3" t="s">
        <v>68</v>
      </c>
      <c r="Q1950" s="3" t="s">
        <v>68</v>
      </c>
    </row>
    <row r="1951" spans="4:17" ht="17.649999999999999" x14ac:dyDescent="0.5">
      <c r="D1951" s="3" t="s">
        <v>54</v>
      </c>
      <c r="Q1951" s="3" t="s">
        <v>54</v>
      </c>
    </row>
    <row r="1952" spans="4:17" ht="17.649999999999999" x14ac:dyDescent="0.5">
      <c r="D1952" s="3" t="s">
        <v>80</v>
      </c>
      <c r="Q1952" s="3" t="s">
        <v>80</v>
      </c>
    </row>
    <row r="1953" spans="4:17" ht="17.649999999999999" x14ac:dyDescent="0.5">
      <c r="D1953" s="3" t="s">
        <v>44</v>
      </c>
      <c r="Q1953" s="3" t="s">
        <v>44</v>
      </c>
    </row>
    <row r="1954" spans="4:17" ht="17.649999999999999" x14ac:dyDescent="0.5">
      <c r="D1954" s="3" t="s">
        <v>63</v>
      </c>
      <c r="Q1954" s="3" t="s">
        <v>63</v>
      </c>
    </row>
    <row r="1955" spans="4:17" ht="17.649999999999999" x14ac:dyDescent="0.5">
      <c r="D1955" s="3" t="s">
        <v>65</v>
      </c>
      <c r="Q1955" s="3" t="s">
        <v>65</v>
      </c>
    </row>
    <row r="1956" spans="4:17" ht="17.649999999999999" x14ac:dyDescent="0.5">
      <c r="D1956" s="3" t="s">
        <v>95</v>
      </c>
      <c r="Q1956" s="3" t="s">
        <v>95</v>
      </c>
    </row>
    <row r="1957" spans="4:17" ht="17.649999999999999" x14ac:dyDescent="0.5">
      <c r="D1957" s="3" t="s">
        <v>105</v>
      </c>
      <c r="Q1957" s="3" t="s">
        <v>105</v>
      </c>
    </row>
    <row r="1958" spans="4:17" ht="17.649999999999999" x14ac:dyDescent="0.5">
      <c r="D1958" s="3" t="s">
        <v>75</v>
      </c>
      <c r="Q1958" s="3" t="s">
        <v>75</v>
      </c>
    </row>
    <row r="1959" spans="4:17" ht="17.649999999999999" x14ac:dyDescent="0.5">
      <c r="D1959" s="3" t="s">
        <v>84</v>
      </c>
      <c r="Q1959" s="3" t="s">
        <v>84</v>
      </c>
    </row>
    <row r="1960" spans="4:17" ht="17.649999999999999" x14ac:dyDescent="0.5">
      <c r="D1960" s="3" t="s">
        <v>121</v>
      </c>
      <c r="Q1960" s="3" t="s">
        <v>121</v>
      </c>
    </row>
    <row r="1961" spans="4:17" ht="17.649999999999999" x14ac:dyDescent="0.5">
      <c r="D1961" s="3" t="s">
        <v>73</v>
      </c>
      <c r="Q1961" s="3" t="s">
        <v>73</v>
      </c>
    </row>
    <row r="1962" spans="4:17" ht="17.649999999999999" x14ac:dyDescent="0.5">
      <c r="D1962" s="3" t="s">
        <v>54</v>
      </c>
      <c r="Q1962" s="3" t="s">
        <v>54</v>
      </c>
    </row>
    <row r="1963" spans="4:17" ht="17.649999999999999" x14ac:dyDescent="0.5">
      <c r="D1963" s="3" t="s">
        <v>82</v>
      </c>
      <c r="Q1963" s="3" t="s">
        <v>82</v>
      </c>
    </row>
    <row r="1964" spans="4:17" ht="17.649999999999999" x14ac:dyDescent="0.5">
      <c r="D1964" s="3" t="s">
        <v>98</v>
      </c>
      <c r="Q1964" s="3" t="s">
        <v>98</v>
      </c>
    </row>
    <row r="1965" spans="4:17" ht="17.649999999999999" x14ac:dyDescent="0.5">
      <c r="D1965" s="3" t="s">
        <v>128</v>
      </c>
      <c r="Q1965" s="3" t="s">
        <v>128</v>
      </c>
    </row>
    <row r="1966" spans="4:17" ht="17.649999999999999" x14ac:dyDescent="0.5">
      <c r="D1966" s="3" t="s">
        <v>92</v>
      </c>
      <c r="Q1966" s="3" t="s">
        <v>92</v>
      </c>
    </row>
    <row r="1967" spans="4:17" ht="17.649999999999999" x14ac:dyDescent="0.5">
      <c r="D1967" s="3" t="s">
        <v>80</v>
      </c>
      <c r="Q1967" s="3" t="s">
        <v>80</v>
      </c>
    </row>
    <row r="1968" spans="4:17" ht="17.649999999999999" x14ac:dyDescent="0.5">
      <c r="D1968" s="3" t="s">
        <v>63</v>
      </c>
      <c r="Q1968" s="3" t="s">
        <v>63</v>
      </c>
    </row>
    <row r="1969" spans="4:17" ht="17.649999999999999" x14ac:dyDescent="0.5">
      <c r="D1969" s="3" t="s">
        <v>48</v>
      </c>
      <c r="Q1969" s="3" t="s">
        <v>48</v>
      </c>
    </row>
    <row r="1970" spans="4:17" ht="17.649999999999999" x14ac:dyDescent="0.5">
      <c r="D1970" s="3" t="s">
        <v>131</v>
      </c>
      <c r="Q1970" s="3" t="s">
        <v>131</v>
      </c>
    </row>
    <row r="1971" spans="4:17" ht="17.649999999999999" x14ac:dyDescent="0.5">
      <c r="D1971" s="3" t="s">
        <v>123</v>
      </c>
      <c r="Q1971" s="3" t="s">
        <v>123</v>
      </c>
    </row>
    <row r="1972" spans="4:17" ht="17.649999999999999" x14ac:dyDescent="0.5">
      <c r="D1972" s="3" t="s">
        <v>103</v>
      </c>
      <c r="Q1972" s="3" t="s">
        <v>103</v>
      </c>
    </row>
    <row r="1973" spans="4:17" ht="17.649999999999999" x14ac:dyDescent="0.5">
      <c r="D1973" s="3" t="s">
        <v>132</v>
      </c>
      <c r="Q1973" s="3" t="s">
        <v>132</v>
      </c>
    </row>
    <row r="1974" spans="4:17" ht="17.649999999999999" x14ac:dyDescent="0.5">
      <c r="D1974" s="3" t="s">
        <v>68</v>
      </c>
      <c r="Q1974" s="3" t="s">
        <v>68</v>
      </c>
    </row>
    <row r="1975" spans="4:17" ht="17.649999999999999" x14ac:dyDescent="0.5">
      <c r="D1975" s="3" t="s">
        <v>107</v>
      </c>
      <c r="Q1975" s="3" t="s">
        <v>107</v>
      </c>
    </row>
    <row r="1976" spans="4:17" ht="17.649999999999999" x14ac:dyDescent="0.5">
      <c r="D1976" s="3" t="s">
        <v>55</v>
      </c>
      <c r="Q1976" s="3" t="s">
        <v>55</v>
      </c>
    </row>
    <row r="1977" spans="4:17" ht="17.649999999999999" x14ac:dyDescent="0.5">
      <c r="D1977" s="3" t="s">
        <v>89</v>
      </c>
      <c r="Q1977" s="3" t="s">
        <v>89</v>
      </c>
    </row>
    <row r="1978" spans="4:17" ht="17.649999999999999" x14ac:dyDescent="0.5">
      <c r="D1978" s="3" t="s">
        <v>44</v>
      </c>
      <c r="Q1978" s="3" t="s">
        <v>44</v>
      </c>
    </row>
    <row r="1979" spans="4:17" ht="17.649999999999999" x14ac:dyDescent="0.5">
      <c r="D1979" s="3" t="s">
        <v>66</v>
      </c>
      <c r="Q1979" s="3" t="s">
        <v>66</v>
      </c>
    </row>
    <row r="1980" spans="4:17" ht="17.649999999999999" x14ac:dyDescent="0.5">
      <c r="D1980" s="3" t="s">
        <v>57</v>
      </c>
      <c r="Q1980" s="3" t="s">
        <v>57</v>
      </c>
    </row>
    <row r="1981" spans="4:17" ht="17.649999999999999" x14ac:dyDescent="0.5">
      <c r="D1981" s="3" t="s">
        <v>44</v>
      </c>
      <c r="Q1981" s="3" t="s">
        <v>44</v>
      </c>
    </row>
    <row r="1982" spans="4:17" ht="17.649999999999999" x14ac:dyDescent="0.5">
      <c r="D1982" s="3" t="s">
        <v>46</v>
      </c>
      <c r="Q1982" s="3" t="s">
        <v>46</v>
      </c>
    </row>
    <row r="1983" spans="4:17" ht="17.649999999999999" x14ac:dyDescent="0.5">
      <c r="D1983" s="3" t="s">
        <v>43</v>
      </c>
      <c r="Q1983" s="3" t="s">
        <v>43</v>
      </c>
    </row>
    <row r="1984" spans="4:17" ht="17.649999999999999" x14ac:dyDescent="0.5">
      <c r="D1984" s="3" t="s">
        <v>47</v>
      </c>
      <c r="Q1984" s="3" t="s">
        <v>47</v>
      </c>
    </row>
    <row r="1985" spans="4:17" ht="17.649999999999999" x14ac:dyDescent="0.5">
      <c r="D1985" s="3" t="s">
        <v>74</v>
      </c>
      <c r="Q1985" s="3" t="s">
        <v>74</v>
      </c>
    </row>
    <row r="1986" spans="4:17" ht="17.649999999999999" x14ac:dyDescent="0.5">
      <c r="D1986" s="3" t="s">
        <v>114</v>
      </c>
      <c r="Q1986" s="3" t="s">
        <v>114</v>
      </c>
    </row>
    <row r="1987" spans="4:17" ht="17.649999999999999" x14ac:dyDescent="0.5">
      <c r="D1987" s="3" t="s">
        <v>65</v>
      </c>
      <c r="Q1987" s="3" t="s">
        <v>65</v>
      </c>
    </row>
    <row r="1988" spans="4:17" ht="17.649999999999999" x14ac:dyDescent="0.5">
      <c r="D1988" s="3" t="s">
        <v>98</v>
      </c>
      <c r="Q1988" s="3" t="s">
        <v>98</v>
      </c>
    </row>
    <row r="1989" spans="4:17" ht="17.649999999999999" x14ac:dyDescent="0.5">
      <c r="D1989" s="3" t="s">
        <v>49</v>
      </c>
      <c r="Q1989" s="3" t="s">
        <v>49</v>
      </c>
    </row>
    <row r="1990" spans="4:17" ht="17.649999999999999" x14ac:dyDescent="0.5">
      <c r="D1990" s="3" t="s">
        <v>81</v>
      </c>
      <c r="Q1990" s="3" t="s">
        <v>81</v>
      </c>
    </row>
    <row r="1991" spans="4:17" ht="17.649999999999999" x14ac:dyDescent="0.5">
      <c r="D1991" s="3" t="s">
        <v>82</v>
      </c>
      <c r="Q1991" s="3" t="s">
        <v>82</v>
      </c>
    </row>
    <row r="1992" spans="4:17" ht="17.649999999999999" x14ac:dyDescent="0.5">
      <c r="D1992" s="3" t="s">
        <v>135</v>
      </c>
      <c r="Q1992" s="3" t="s">
        <v>135</v>
      </c>
    </row>
    <row r="1993" spans="4:17" ht="17.649999999999999" x14ac:dyDescent="0.5">
      <c r="D1993" s="3" t="s">
        <v>115</v>
      </c>
      <c r="Q1993" s="3" t="s">
        <v>115</v>
      </c>
    </row>
    <row r="1994" spans="4:17" ht="17.649999999999999" x14ac:dyDescent="0.5">
      <c r="D1994" s="3" t="s">
        <v>112</v>
      </c>
      <c r="Q1994" s="3" t="s">
        <v>112</v>
      </c>
    </row>
    <row r="1995" spans="4:17" ht="17.649999999999999" x14ac:dyDescent="0.5">
      <c r="D1995" s="3" t="s">
        <v>68</v>
      </c>
      <c r="Q1995" s="3" t="s">
        <v>68</v>
      </c>
    </row>
    <row r="1996" spans="4:17" ht="17.649999999999999" x14ac:dyDescent="0.5">
      <c r="D1996" s="3" t="s">
        <v>118</v>
      </c>
      <c r="Q1996" s="3" t="s">
        <v>118</v>
      </c>
    </row>
    <row r="1997" spans="4:17" ht="17.649999999999999" x14ac:dyDescent="0.5">
      <c r="D1997" s="3" t="s">
        <v>129</v>
      </c>
      <c r="Q1997" s="3" t="s">
        <v>129</v>
      </c>
    </row>
    <row r="1998" spans="4:17" ht="17.649999999999999" x14ac:dyDescent="0.5">
      <c r="D1998" s="3" t="s">
        <v>42</v>
      </c>
      <c r="Q1998" s="3" t="s">
        <v>42</v>
      </c>
    </row>
    <row r="1999" spans="4:17" ht="17.649999999999999" x14ac:dyDescent="0.5">
      <c r="D1999" s="3" t="s">
        <v>55</v>
      </c>
      <c r="Q1999" s="3" t="s">
        <v>55</v>
      </c>
    </row>
    <row r="2000" spans="4:17" ht="17.649999999999999" x14ac:dyDescent="0.5">
      <c r="D2000" s="3" t="s">
        <v>77</v>
      </c>
      <c r="Q2000" s="3" t="s">
        <v>77</v>
      </c>
    </row>
    <row r="2001" spans="4:17" ht="17.649999999999999" x14ac:dyDescent="0.5">
      <c r="D2001" s="3" t="s">
        <v>71</v>
      </c>
      <c r="Q2001" s="3" t="s">
        <v>71</v>
      </c>
    </row>
    <row r="2002" spans="4:17" ht="17.649999999999999" x14ac:dyDescent="0.5">
      <c r="D2002" s="3" t="s">
        <v>86</v>
      </c>
      <c r="Q2002" s="3" t="s">
        <v>86</v>
      </c>
    </row>
    <row r="2003" spans="4:17" ht="17.649999999999999" x14ac:dyDescent="0.5">
      <c r="D2003" s="3" t="s">
        <v>50</v>
      </c>
      <c r="Q2003" s="3" t="s">
        <v>50</v>
      </c>
    </row>
    <row r="2004" spans="4:17" ht="17.649999999999999" x14ac:dyDescent="0.5">
      <c r="D2004" s="3" t="s">
        <v>129</v>
      </c>
      <c r="Q2004" s="3" t="s">
        <v>129</v>
      </c>
    </row>
    <row r="2005" spans="4:17" ht="17.649999999999999" x14ac:dyDescent="0.5">
      <c r="D2005" s="3" t="s">
        <v>61</v>
      </c>
      <c r="Q2005" s="3" t="s">
        <v>61</v>
      </c>
    </row>
    <row r="2006" spans="4:17" ht="17.649999999999999" x14ac:dyDescent="0.5">
      <c r="D2006" s="3" t="s">
        <v>83</v>
      </c>
      <c r="Q2006" s="3" t="s">
        <v>83</v>
      </c>
    </row>
    <row r="2007" spans="4:17" ht="17.649999999999999" x14ac:dyDescent="0.5">
      <c r="D2007" s="3" t="s">
        <v>111</v>
      </c>
      <c r="Q2007" s="3" t="s">
        <v>111</v>
      </c>
    </row>
    <row r="2008" spans="4:17" ht="17.649999999999999" x14ac:dyDescent="0.5">
      <c r="D2008" s="3" t="s">
        <v>110</v>
      </c>
      <c r="Q2008" s="3" t="s">
        <v>110</v>
      </c>
    </row>
    <row r="2009" spans="4:17" ht="17.649999999999999" x14ac:dyDescent="0.5">
      <c r="D2009" s="3" t="s">
        <v>71</v>
      </c>
      <c r="Q2009" s="3" t="s">
        <v>71</v>
      </c>
    </row>
    <row r="2010" spans="4:17" ht="17.649999999999999" x14ac:dyDescent="0.5">
      <c r="D2010" s="3" t="s">
        <v>51</v>
      </c>
      <c r="Q2010" s="3" t="s">
        <v>51</v>
      </c>
    </row>
    <row r="2011" spans="4:17" ht="17.649999999999999" x14ac:dyDescent="0.5">
      <c r="D2011" s="3" t="s">
        <v>69</v>
      </c>
      <c r="Q2011" s="3" t="s">
        <v>69</v>
      </c>
    </row>
    <row r="2012" spans="4:17" ht="17.649999999999999" x14ac:dyDescent="0.5">
      <c r="D2012" s="3" t="s">
        <v>53</v>
      </c>
      <c r="Q2012" s="3" t="s">
        <v>53</v>
      </c>
    </row>
    <row r="2013" spans="4:17" ht="17.649999999999999" x14ac:dyDescent="0.5">
      <c r="D2013" s="3" t="s">
        <v>54</v>
      </c>
      <c r="Q2013" s="3" t="s">
        <v>54</v>
      </c>
    </row>
    <row r="2014" spans="4:17" ht="17.649999999999999" x14ac:dyDescent="0.5">
      <c r="D2014" s="3" t="s">
        <v>66</v>
      </c>
      <c r="Q2014" s="3" t="s">
        <v>66</v>
      </c>
    </row>
    <row r="2015" spans="4:17" ht="17.649999999999999" x14ac:dyDescent="0.5">
      <c r="D2015" s="3" t="s">
        <v>101</v>
      </c>
      <c r="Q2015" s="3" t="s">
        <v>101</v>
      </c>
    </row>
    <row r="2016" spans="4:17" ht="17.649999999999999" x14ac:dyDescent="0.5">
      <c r="D2016" s="3" t="s">
        <v>46</v>
      </c>
      <c r="Q2016" s="3" t="s">
        <v>46</v>
      </c>
    </row>
    <row r="2017" spans="4:17" ht="17.649999999999999" x14ac:dyDescent="0.5">
      <c r="D2017" s="3" t="s">
        <v>41</v>
      </c>
      <c r="Q2017" s="3" t="s">
        <v>41</v>
      </c>
    </row>
    <row r="2018" spans="4:17" ht="17.649999999999999" x14ac:dyDescent="0.5">
      <c r="D2018" s="3" t="s">
        <v>56</v>
      </c>
      <c r="Q2018" s="3" t="s">
        <v>56</v>
      </c>
    </row>
    <row r="2019" spans="4:17" ht="17.649999999999999" x14ac:dyDescent="0.5">
      <c r="D2019" s="3" t="s">
        <v>92</v>
      </c>
      <c r="Q2019" s="3" t="s">
        <v>92</v>
      </c>
    </row>
    <row r="2020" spans="4:17" ht="17.649999999999999" x14ac:dyDescent="0.5">
      <c r="D2020" s="3" t="s">
        <v>47</v>
      </c>
      <c r="Q2020" s="3" t="s">
        <v>47</v>
      </c>
    </row>
    <row r="2021" spans="4:17" ht="17.649999999999999" x14ac:dyDescent="0.5">
      <c r="D2021" s="3" t="s">
        <v>111</v>
      </c>
      <c r="Q2021" s="3" t="s">
        <v>111</v>
      </c>
    </row>
    <row r="2022" spans="4:17" ht="17.649999999999999" x14ac:dyDescent="0.5">
      <c r="D2022" s="3" t="s">
        <v>127</v>
      </c>
      <c r="Q2022" s="3" t="s">
        <v>127</v>
      </c>
    </row>
    <row r="2023" spans="4:17" ht="17.649999999999999" x14ac:dyDescent="0.5">
      <c r="D2023" s="3" t="s">
        <v>132</v>
      </c>
      <c r="Q2023" s="3" t="s">
        <v>132</v>
      </c>
    </row>
    <row r="2024" spans="4:17" ht="17.649999999999999" x14ac:dyDescent="0.5">
      <c r="D2024" s="3" t="s">
        <v>55</v>
      </c>
      <c r="Q2024" s="3" t="s">
        <v>55</v>
      </c>
    </row>
    <row r="2025" spans="4:17" ht="17.649999999999999" x14ac:dyDescent="0.5">
      <c r="D2025" s="3" t="s">
        <v>73</v>
      </c>
      <c r="Q2025" s="3" t="s">
        <v>73</v>
      </c>
    </row>
    <row r="2026" spans="4:17" ht="17.649999999999999" x14ac:dyDescent="0.5">
      <c r="D2026" s="3" t="s">
        <v>66</v>
      </c>
      <c r="Q2026" s="3" t="s">
        <v>66</v>
      </c>
    </row>
    <row r="2027" spans="4:17" ht="17.649999999999999" x14ac:dyDescent="0.5">
      <c r="D2027" s="3" t="s">
        <v>64</v>
      </c>
      <c r="Q2027" s="3" t="s">
        <v>64</v>
      </c>
    </row>
    <row r="2028" spans="4:17" ht="17.649999999999999" x14ac:dyDescent="0.5">
      <c r="D2028" s="3" t="s">
        <v>43</v>
      </c>
      <c r="Q2028" s="3" t="s">
        <v>43</v>
      </c>
    </row>
    <row r="2029" spans="4:17" ht="17.649999999999999" x14ac:dyDescent="0.5">
      <c r="D2029" s="3" t="s">
        <v>67</v>
      </c>
      <c r="Q2029" s="3" t="s">
        <v>67</v>
      </c>
    </row>
    <row r="2030" spans="4:17" ht="17.649999999999999" x14ac:dyDescent="0.5">
      <c r="D2030" s="3" t="s">
        <v>51</v>
      </c>
      <c r="Q2030" s="3" t="s">
        <v>51</v>
      </c>
    </row>
    <row r="2031" spans="4:17" ht="17.649999999999999" x14ac:dyDescent="0.5">
      <c r="D2031" s="3" t="s">
        <v>123</v>
      </c>
      <c r="Q2031" s="3" t="s">
        <v>123</v>
      </c>
    </row>
    <row r="2032" spans="4:17" ht="17.649999999999999" x14ac:dyDescent="0.5">
      <c r="D2032" s="3" t="s">
        <v>115</v>
      </c>
      <c r="Q2032" s="3" t="s">
        <v>115</v>
      </c>
    </row>
    <row r="2033" spans="4:17" ht="17.649999999999999" x14ac:dyDescent="0.5">
      <c r="D2033" s="3" t="s">
        <v>43</v>
      </c>
      <c r="Q2033" s="3" t="s">
        <v>43</v>
      </c>
    </row>
    <row r="2034" spans="4:17" ht="17.649999999999999" x14ac:dyDescent="0.5">
      <c r="D2034" s="3" t="s">
        <v>53</v>
      </c>
      <c r="Q2034" s="3" t="s">
        <v>53</v>
      </c>
    </row>
    <row r="2035" spans="4:17" ht="17.649999999999999" x14ac:dyDescent="0.5">
      <c r="D2035" s="3" t="s">
        <v>99</v>
      </c>
      <c r="Q2035" s="3" t="s">
        <v>99</v>
      </c>
    </row>
    <row r="2036" spans="4:17" ht="17.649999999999999" x14ac:dyDescent="0.5">
      <c r="D2036" s="3" t="s">
        <v>94</v>
      </c>
      <c r="Q2036" s="3" t="s">
        <v>94</v>
      </c>
    </row>
    <row r="2037" spans="4:17" ht="17.649999999999999" x14ac:dyDescent="0.5">
      <c r="D2037" s="3" t="s">
        <v>87</v>
      </c>
      <c r="Q2037" s="3" t="s">
        <v>87</v>
      </c>
    </row>
    <row r="2038" spans="4:17" ht="17.649999999999999" x14ac:dyDescent="0.5">
      <c r="D2038" s="3" t="s">
        <v>78</v>
      </c>
      <c r="Q2038" s="3" t="s">
        <v>78</v>
      </c>
    </row>
    <row r="2039" spans="4:17" ht="17.649999999999999" x14ac:dyDescent="0.5">
      <c r="D2039" s="3" t="s">
        <v>98</v>
      </c>
      <c r="Q2039" s="3" t="s">
        <v>98</v>
      </c>
    </row>
    <row r="2040" spans="4:17" ht="17.649999999999999" x14ac:dyDescent="0.5">
      <c r="D2040" s="3" t="s">
        <v>115</v>
      </c>
      <c r="Q2040" s="3" t="s">
        <v>115</v>
      </c>
    </row>
    <row r="2041" spans="4:17" ht="17.649999999999999" x14ac:dyDescent="0.5">
      <c r="D2041" s="3" t="s">
        <v>80</v>
      </c>
      <c r="Q2041" s="3" t="s">
        <v>80</v>
      </c>
    </row>
    <row r="2042" spans="4:17" ht="17.649999999999999" x14ac:dyDescent="0.5">
      <c r="D2042" s="3" t="s">
        <v>48</v>
      </c>
      <c r="Q2042" s="3" t="s">
        <v>48</v>
      </c>
    </row>
    <row r="2043" spans="4:17" ht="17.649999999999999" x14ac:dyDescent="0.5">
      <c r="D2043" s="3" t="s">
        <v>66</v>
      </c>
      <c r="Q2043" s="3" t="s">
        <v>66</v>
      </c>
    </row>
    <row r="2044" spans="4:17" ht="17.649999999999999" x14ac:dyDescent="0.5">
      <c r="D2044" s="3" t="s">
        <v>132</v>
      </c>
      <c r="Q2044" s="3" t="s">
        <v>132</v>
      </c>
    </row>
    <row r="2045" spans="4:17" ht="17.649999999999999" x14ac:dyDescent="0.5">
      <c r="D2045" s="3" t="s">
        <v>81</v>
      </c>
      <c r="Q2045" s="3" t="s">
        <v>81</v>
      </c>
    </row>
    <row r="2046" spans="4:17" ht="17.649999999999999" x14ac:dyDescent="0.5">
      <c r="D2046" s="3" t="s">
        <v>96</v>
      </c>
      <c r="Q2046" s="3" t="s">
        <v>96</v>
      </c>
    </row>
    <row r="2047" spans="4:17" ht="17.649999999999999" x14ac:dyDescent="0.5">
      <c r="D2047" s="3" t="s">
        <v>95</v>
      </c>
      <c r="Q2047" s="3" t="s">
        <v>95</v>
      </c>
    </row>
    <row r="2048" spans="4:17" ht="17.649999999999999" x14ac:dyDescent="0.5">
      <c r="D2048" s="3" t="s">
        <v>117</v>
      </c>
      <c r="Q2048" s="3" t="s">
        <v>117</v>
      </c>
    </row>
    <row r="2049" spans="4:17" ht="17.649999999999999" x14ac:dyDescent="0.5">
      <c r="D2049" s="3" t="s">
        <v>129</v>
      </c>
      <c r="Q2049" s="3" t="s">
        <v>129</v>
      </c>
    </row>
    <row r="2050" spans="4:17" ht="17.649999999999999" x14ac:dyDescent="0.5">
      <c r="D2050" s="3" t="s">
        <v>55</v>
      </c>
      <c r="Q2050" s="3" t="s">
        <v>55</v>
      </c>
    </row>
    <row r="2051" spans="4:17" ht="17.649999999999999" x14ac:dyDescent="0.5">
      <c r="D2051" s="3" t="s">
        <v>59</v>
      </c>
      <c r="Q2051" s="3" t="s">
        <v>59</v>
      </c>
    </row>
    <row r="2052" spans="4:17" ht="17.649999999999999" x14ac:dyDescent="0.5">
      <c r="D2052" s="3" t="s">
        <v>54</v>
      </c>
      <c r="Q2052" s="3" t="s">
        <v>54</v>
      </c>
    </row>
    <row r="2053" spans="4:17" ht="17.649999999999999" x14ac:dyDescent="0.5">
      <c r="D2053" s="3" t="s">
        <v>132</v>
      </c>
      <c r="Q2053" s="3" t="s">
        <v>132</v>
      </c>
    </row>
    <row r="2054" spans="4:17" ht="17.649999999999999" x14ac:dyDescent="0.5">
      <c r="D2054" s="3" t="s">
        <v>91</v>
      </c>
      <c r="Q2054" s="3" t="s">
        <v>91</v>
      </c>
    </row>
    <row r="2055" spans="4:17" ht="17.649999999999999" x14ac:dyDescent="0.5">
      <c r="D2055" s="3" t="s">
        <v>114</v>
      </c>
      <c r="Q2055" s="3" t="s">
        <v>114</v>
      </c>
    </row>
    <row r="2056" spans="4:17" ht="17.649999999999999" x14ac:dyDescent="0.5">
      <c r="D2056" s="3" t="s">
        <v>115</v>
      </c>
      <c r="Q2056" s="3" t="s">
        <v>115</v>
      </c>
    </row>
    <row r="2057" spans="4:17" ht="17.649999999999999" x14ac:dyDescent="0.5">
      <c r="D2057" s="3" t="s">
        <v>91</v>
      </c>
      <c r="Q2057" s="3" t="s">
        <v>91</v>
      </c>
    </row>
    <row r="2058" spans="4:17" ht="17.649999999999999" x14ac:dyDescent="0.5">
      <c r="D2058" s="3" t="s">
        <v>66</v>
      </c>
      <c r="Q2058" s="3" t="s">
        <v>66</v>
      </c>
    </row>
    <row r="2059" spans="4:17" ht="17.649999999999999" x14ac:dyDescent="0.5">
      <c r="D2059" s="3" t="s">
        <v>48</v>
      </c>
      <c r="Q2059" s="3" t="s">
        <v>48</v>
      </c>
    </row>
    <row r="2060" spans="4:17" ht="17.649999999999999" x14ac:dyDescent="0.5">
      <c r="D2060" s="3" t="s">
        <v>77</v>
      </c>
      <c r="Q2060" s="3" t="s">
        <v>77</v>
      </c>
    </row>
    <row r="2061" spans="4:17" ht="17.649999999999999" x14ac:dyDescent="0.5">
      <c r="D2061" s="3" t="s">
        <v>116</v>
      </c>
      <c r="Q2061" s="3" t="s">
        <v>116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1:P2061"/>
  <sheetViews>
    <sheetView topLeftCell="D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146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43</v>
      </c>
      <c r="F31" s="2">
        <v>49</v>
      </c>
      <c r="G31" s="2">
        <v>32</v>
      </c>
      <c r="H31" s="2">
        <v>46</v>
      </c>
      <c r="I31" s="2">
        <v>45</v>
      </c>
      <c r="J31" s="2">
        <v>34</v>
      </c>
      <c r="K31" s="2">
        <v>42</v>
      </c>
      <c r="L31" s="2">
        <v>35</v>
      </c>
      <c r="M31" s="2">
        <v>40</v>
      </c>
      <c r="N31" s="2">
        <v>47</v>
      </c>
      <c r="O31" s="2">
        <v>47</v>
      </c>
      <c r="P31" s="2">
        <v>41</v>
      </c>
    </row>
    <row r="32" spans="4:16" x14ac:dyDescent="0.5">
      <c r="D32" s="2">
        <v>2</v>
      </c>
      <c r="E32" s="2">
        <v>39</v>
      </c>
      <c r="F32" s="2">
        <v>43</v>
      </c>
      <c r="G32" s="2">
        <v>43</v>
      </c>
      <c r="H32" s="2">
        <v>42</v>
      </c>
      <c r="I32" s="2">
        <v>40</v>
      </c>
      <c r="J32" s="2">
        <v>44</v>
      </c>
      <c r="K32" s="2">
        <v>41</v>
      </c>
      <c r="L32" s="2">
        <v>40</v>
      </c>
      <c r="M32" s="2">
        <v>43</v>
      </c>
      <c r="N32" s="2">
        <v>41</v>
      </c>
      <c r="O32" s="2">
        <v>46</v>
      </c>
      <c r="P32" s="2">
        <v>37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40</v>
      </c>
      <c r="F37" s="2">
        <v>34</v>
      </c>
      <c r="G37" s="2">
        <v>52</v>
      </c>
      <c r="H37" s="2">
        <v>37</v>
      </c>
      <c r="I37" s="2">
        <v>39</v>
      </c>
      <c r="J37" s="2">
        <v>49</v>
      </c>
      <c r="K37" s="2">
        <v>41</v>
      </c>
      <c r="L37" s="2">
        <v>48</v>
      </c>
      <c r="M37" s="2">
        <v>44</v>
      </c>
      <c r="N37" s="2">
        <v>36</v>
      </c>
      <c r="O37" s="2">
        <v>36</v>
      </c>
      <c r="P37" s="2">
        <v>43</v>
      </c>
    </row>
    <row r="38" spans="4:16" x14ac:dyDescent="0.5">
      <c r="D38" s="2">
        <v>2</v>
      </c>
      <c r="E38" s="2">
        <v>44</v>
      </c>
      <c r="F38" s="2">
        <v>40</v>
      </c>
      <c r="G38" s="2">
        <v>41</v>
      </c>
      <c r="H38" s="2">
        <v>41</v>
      </c>
      <c r="I38" s="2">
        <v>44</v>
      </c>
      <c r="J38" s="2">
        <v>39</v>
      </c>
      <c r="K38" s="2">
        <v>42</v>
      </c>
      <c r="L38" s="2">
        <v>43</v>
      </c>
      <c r="M38" s="2">
        <v>41</v>
      </c>
      <c r="N38" s="2">
        <v>42</v>
      </c>
      <c r="O38" s="2">
        <v>37</v>
      </c>
      <c r="P38" s="2">
        <v>47</v>
      </c>
    </row>
    <row r="39" spans="4:16" ht="17.649999999999999" x14ac:dyDescent="0.5">
      <c r="D39" s="3" t="s">
        <v>137</v>
      </c>
      <c r="E39">
        <f t="shared" ref="E39:P39" si="0">E31-E37</f>
        <v>3</v>
      </c>
      <c r="F39">
        <f t="shared" si="0"/>
        <v>15</v>
      </c>
      <c r="G39">
        <f t="shared" si="0"/>
        <v>-20</v>
      </c>
      <c r="H39">
        <f t="shared" si="0"/>
        <v>9</v>
      </c>
      <c r="I39">
        <f t="shared" si="0"/>
        <v>6</v>
      </c>
      <c r="J39">
        <f t="shared" si="0"/>
        <v>-15</v>
      </c>
      <c r="K39">
        <f t="shared" si="0"/>
        <v>1</v>
      </c>
      <c r="L39">
        <f t="shared" si="0"/>
        <v>-13</v>
      </c>
      <c r="M39">
        <f t="shared" si="0"/>
        <v>-4</v>
      </c>
      <c r="N39">
        <f t="shared" si="0"/>
        <v>11</v>
      </c>
      <c r="O39">
        <f t="shared" si="0"/>
        <v>11</v>
      </c>
      <c r="P39">
        <f t="shared" si="0"/>
        <v>-2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3</v>
      </c>
      <c r="G40">
        <f t="shared" si="1"/>
        <v>2</v>
      </c>
      <c r="H40">
        <f t="shared" si="1"/>
        <v>1</v>
      </c>
      <c r="I40">
        <f t="shared" si="1"/>
        <v>-4</v>
      </c>
      <c r="J40">
        <f t="shared" si="1"/>
        <v>5</v>
      </c>
      <c r="K40">
        <f t="shared" si="1"/>
        <v>-1</v>
      </c>
      <c r="L40">
        <f t="shared" si="1"/>
        <v>-3</v>
      </c>
      <c r="M40">
        <f t="shared" si="1"/>
        <v>2</v>
      </c>
      <c r="N40">
        <f t="shared" si="1"/>
        <v>-1</v>
      </c>
      <c r="O40">
        <f t="shared" si="1"/>
        <v>9</v>
      </c>
      <c r="P40">
        <f t="shared" si="1"/>
        <v>-10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82</v>
      </c>
      <c r="F44" s="2">
        <v>92</v>
      </c>
      <c r="G44" s="2">
        <v>75</v>
      </c>
      <c r="H44" s="2">
        <v>88</v>
      </c>
      <c r="I44" s="2">
        <v>85</v>
      </c>
      <c r="J44" s="2">
        <v>78</v>
      </c>
      <c r="K44" s="2">
        <v>83</v>
      </c>
      <c r="L44" s="2">
        <v>75</v>
      </c>
      <c r="M44" s="2">
        <v>83</v>
      </c>
      <c r="N44" s="2">
        <v>88</v>
      </c>
      <c r="O44" s="2">
        <v>93</v>
      </c>
      <c r="P44" s="2">
        <v>78</v>
      </c>
    </row>
    <row r="45" spans="4:16" x14ac:dyDescent="0.5">
      <c r="D45" s="2" t="s">
        <v>28</v>
      </c>
      <c r="E45" s="2">
        <v>84</v>
      </c>
      <c r="F45" s="2">
        <v>74</v>
      </c>
      <c r="G45" s="2">
        <v>93</v>
      </c>
      <c r="H45" s="2">
        <v>78</v>
      </c>
      <c r="I45" s="2">
        <v>83</v>
      </c>
      <c r="J45" s="2">
        <v>88</v>
      </c>
      <c r="K45" s="2">
        <v>83</v>
      </c>
      <c r="L45" s="2">
        <v>91</v>
      </c>
      <c r="M45" s="2">
        <v>85</v>
      </c>
      <c r="N45" s="2">
        <v>78</v>
      </c>
      <c r="O45" s="2">
        <v>73</v>
      </c>
      <c r="P45" s="2">
        <v>90</v>
      </c>
    </row>
    <row r="46" spans="4:16" x14ac:dyDescent="0.5">
      <c r="D46" s="2" t="s">
        <v>30</v>
      </c>
      <c r="E46" s="2">
        <v>-2</v>
      </c>
      <c r="F46" s="2">
        <v>18</v>
      </c>
      <c r="G46" s="2">
        <v>-18</v>
      </c>
      <c r="H46" s="2">
        <v>10</v>
      </c>
      <c r="I46" s="2">
        <v>2</v>
      </c>
      <c r="J46" s="2">
        <v>-10</v>
      </c>
      <c r="K46" s="2">
        <v>0</v>
      </c>
      <c r="L46" s="2">
        <v>-16</v>
      </c>
      <c r="M46" s="2">
        <v>-2</v>
      </c>
      <c r="N46" s="2">
        <v>10</v>
      </c>
      <c r="O46" s="2">
        <v>20</v>
      </c>
      <c r="P46" s="2">
        <v>-12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5</v>
      </c>
      <c r="F56" s="2">
        <v>88</v>
      </c>
      <c r="G56" s="2">
        <v>460</v>
      </c>
      <c r="H56" s="2">
        <v>802</v>
      </c>
      <c r="I56" s="2">
        <v>533</v>
      </c>
      <c r="J56" s="2">
        <v>110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140</v>
      </c>
    </row>
    <row r="62" spans="4:11" ht="17.649999999999999" x14ac:dyDescent="0.5">
      <c r="D62" s="3" t="s">
        <v>47</v>
      </c>
    </row>
    <row r="63" spans="4:11" ht="17.649999999999999" x14ac:dyDescent="0.5">
      <c r="D63" s="3" t="s">
        <v>121</v>
      </c>
    </row>
    <row r="64" spans="4:11" ht="17.649999999999999" x14ac:dyDescent="0.5">
      <c r="D64" s="3" t="s">
        <v>44</v>
      </c>
    </row>
    <row r="65" spans="4:4" ht="17.649999999999999" x14ac:dyDescent="0.5">
      <c r="D65" s="3" t="s">
        <v>77</v>
      </c>
    </row>
    <row r="66" spans="4:4" ht="17.649999999999999" x14ac:dyDescent="0.5">
      <c r="D66" s="3" t="s">
        <v>105</v>
      </c>
    </row>
    <row r="67" spans="4:4" ht="17.649999999999999" x14ac:dyDescent="0.5">
      <c r="D67" s="3" t="s">
        <v>86</v>
      </c>
    </row>
    <row r="68" spans="4:4" ht="17.649999999999999" x14ac:dyDescent="0.5">
      <c r="D68" s="3" t="s">
        <v>74</v>
      </c>
    </row>
    <row r="69" spans="4:4" ht="17.649999999999999" x14ac:dyDescent="0.5">
      <c r="D69" s="3" t="s">
        <v>83</v>
      </c>
    </row>
    <row r="70" spans="4:4" ht="17.649999999999999" x14ac:dyDescent="0.5">
      <c r="D70" s="3" t="s">
        <v>103</v>
      </c>
    </row>
    <row r="71" spans="4:4" ht="17.649999999999999" x14ac:dyDescent="0.5">
      <c r="D71" s="3" t="s">
        <v>115</v>
      </c>
    </row>
    <row r="72" spans="4:4" ht="17.649999999999999" x14ac:dyDescent="0.5">
      <c r="D72" s="3" t="s">
        <v>59</v>
      </c>
    </row>
    <row r="73" spans="4:4" ht="17.649999999999999" x14ac:dyDescent="0.5">
      <c r="D73" s="3" t="s">
        <v>90</v>
      </c>
    </row>
    <row r="74" spans="4:4" ht="17.649999999999999" x14ac:dyDescent="0.5">
      <c r="D74" s="3" t="s">
        <v>64</v>
      </c>
    </row>
    <row r="75" spans="4:4" ht="17.649999999999999" x14ac:dyDescent="0.5">
      <c r="D75" s="3" t="s">
        <v>86</v>
      </c>
    </row>
    <row r="76" spans="4:4" ht="17.649999999999999" x14ac:dyDescent="0.5">
      <c r="D76" s="3" t="s">
        <v>69</v>
      </c>
    </row>
    <row r="77" spans="4:4" ht="17.649999999999999" x14ac:dyDescent="0.5">
      <c r="D77" s="3" t="s">
        <v>64</v>
      </c>
    </row>
    <row r="78" spans="4:4" ht="17.649999999999999" x14ac:dyDescent="0.5">
      <c r="D78" s="3" t="s">
        <v>134</v>
      </c>
    </row>
    <row r="79" spans="4:4" ht="17.649999999999999" x14ac:dyDescent="0.5">
      <c r="D79" s="3" t="s">
        <v>92</v>
      </c>
    </row>
    <row r="80" spans="4:4" ht="17.649999999999999" x14ac:dyDescent="0.5">
      <c r="D80" s="3" t="s">
        <v>46</v>
      </c>
    </row>
    <row r="81" spans="4:4" ht="17.649999999999999" x14ac:dyDescent="0.5">
      <c r="D81" s="3" t="s">
        <v>47</v>
      </c>
    </row>
    <row r="82" spans="4:4" ht="17.649999999999999" x14ac:dyDescent="0.5">
      <c r="D82" s="3" t="s">
        <v>81</v>
      </c>
    </row>
    <row r="83" spans="4:4" ht="17.649999999999999" x14ac:dyDescent="0.5">
      <c r="D83" s="3" t="s">
        <v>88</v>
      </c>
    </row>
    <row r="84" spans="4:4" ht="17.649999999999999" x14ac:dyDescent="0.5">
      <c r="D84" s="3" t="s">
        <v>44</v>
      </c>
    </row>
    <row r="85" spans="4:4" ht="17.649999999999999" x14ac:dyDescent="0.5">
      <c r="D85" s="3" t="s">
        <v>53</v>
      </c>
    </row>
    <row r="86" spans="4:4" ht="17.649999999999999" x14ac:dyDescent="0.5">
      <c r="D86" s="3" t="s">
        <v>120</v>
      </c>
    </row>
    <row r="87" spans="4:4" ht="17.649999999999999" x14ac:dyDescent="0.5">
      <c r="D87" s="3" t="s">
        <v>59</v>
      </c>
    </row>
    <row r="88" spans="4:4" ht="17.649999999999999" x14ac:dyDescent="0.5">
      <c r="D88" s="3" t="s">
        <v>64</v>
      </c>
    </row>
    <row r="89" spans="4:4" ht="17.649999999999999" x14ac:dyDescent="0.5">
      <c r="D89" s="3" t="s">
        <v>113</v>
      </c>
    </row>
    <row r="90" spans="4:4" ht="17.649999999999999" x14ac:dyDescent="0.5">
      <c r="D90" s="3" t="s">
        <v>136</v>
      </c>
    </row>
    <row r="91" spans="4:4" ht="17.649999999999999" x14ac:dyDescent="0.5">
      <c r="D91" s="3" t="s">
        <v>94</v>
      </c>
    </row>
    <row r="92" spans="4:4" ht="17.649999999999999" x14ac:dyDescent="0.5">
      <c r="D92" s="3" t="s">
        <v>50</v>
      </c>
    </row>
    <row r="93" spans="4:4" ht="17.649999999999999" x14ac:dyDescent="0.5">
      <c r="D93" s="3" t="s">
        <v>91</v>
      </c>
    </row>
    <row r="94" spans="4:4" ht="17.649999999999999" x14ac:dyDescent="0.5">
      <c r="D94" s="3" t="s">
        <v>98</v>
      </c>
    </row>
    <row r="95" spans="4:4" ht="17.649999999999999" x14ac:dyDescent="0.5">
      <c r="D95" s="3" t="s">
        <v>122</v>
      </c>
    </row>
    <row r="96" spans="4:4" ht="17.649999999999999" x14ac:dyDescent="0.5">
      <c r="D96" s="3" t="s">
        <v>87</v>
      </c>
    </row>
    <row r="97" spans="4:4" ht="17.649999999999999" x14ac:dyDescent="0.5">
      <c r="D97" s="3" t="s">
        <v>67</v>
      </c>
    </row>
    <row r="98" spans="4:4" ht="17.649999999999999" x14ac:dyDescent="0.5">
      <c r="D98" s="3" t="s">
        <v>44</v>
      </c>
    </row>
    <row r="99" spans="4:4" ht="17.649999999999999" x14ac:dyDescent="0.5">
      <c r="D99" s="3" t="s">
        <v>71</v>
      </c>
    </row>
    <row r="100" spans="4:4" ht="17.649999999999999" x14ac:dyDescent="0.5">
      <c r="D100" s="3" t="s">
        <v>81</v>
      </c>
    </row>
    <row r="101" spans="4:4" ht="17.649999999999999" x14ac:dyDescent="0.5">
      <c r="D101" s="3" t="s">
        <v>58</v>
      </c>
    </row>
    <row r="102" spans="4:4" ht="17.649999999999999" x14ac:dyDescent="0.5">
      <c r="D102" s="3" t="s">
        <v>85</v>
      </c>
    </row>
    <row r="103" spans="4:4" ht="17.649999999999999" x14ac:dyDescent="0.5">
      <c r="D103" s="3" t="s">
        <v>92</v>
      </c>
    </row>
    <row r="104" spans="4:4" ht="17.649999999999999" x14ac:dyDescent="0.5">
      <c r="D104" s="3" t="s">
        <v>51</v>
      </c>
    </row>
    <row r="105" spans="4:4" ht="17.649999999999999" x14ac:dyDescent="0.5">
      <c r="D105" s="3" t="s">
        <v>47</v>
      </c>
    </row>
    <row r="106" spans="4:4" ht="17.649999999999999" x14ac:dyDescent="0.5">
      <c r="D106" s="3" t="s">
        <v>56</v>
      </c>
    </row>
    <row r="107" spans="4:4" ht="17.649999999999999" x14ac:dyDescent="0.5">
      <c r="D107" s="3" t="s">
        <v>134</v>
      </c>
    </row>
    <row r="108" spans="4:4" ht="17.649999999999999" x14ac:dyDescent="0.5">
      <c r="D108" s="3" t="s">
        <v>44</v>
      </c>
    </row>
    <row r="109" spans="4:4" ht="17.649999999999999" x14ac:dyDescent="0.5">
      <c r="D109" s="3" t="s">
        <v>81</v>
      </c>
    </row>
    <row r="110" spans="4:4" ht="17.649999999999999" x14ac:dyDescent="0.5">
      <c r="D110" s="3" t="s">
        <v>96</v>
      </c>
    </row>
    <row r="111" spans="4:4" ht="17.649999999999999" x14ac:dyDescent="0.5">
      <c r="D111" s="3" t="s">
        <v>43</v>
      </c>
    </row>
    <row r="112" spans="4:4" ht="17.649999999999999" x14ac:dyDescent="0.5">
      <c r="D112" s="3" t="s">
        <v>66</v>
      </c>
    </row>
    <row r="113" spans="4:4" ht="17.649999999999999" x14ac:dyDescent="0.5">
      <c r="D113" s="3" t="s">
        <v>115</v>
      </c>
    </row>
    <row r="114" spans="4:4" ht="17.649999999999999" x14ac:dyDescent="0.5">
      <c r="D114" s="3" t="s">
        <v>87</v>
      </c>
    </row>
    <row r="115" spans="4:4" ht="17.649999999999999" x14ac:dyDescent="0.5">
      <c r="D115" s="3" t="s">
        <v>91</v>
      </c>
    </row>
    <row r="116" spans="4:4" ht="17.649999999999999" x14ac:dyDescent="0.5">
      <c r="D116" s="3" t="s">
        <v>41</v>
      </c>
    </row>
    <row r="117" spans="4:4" ht="17.649999999999999" x14ac:dyDescent="0.5">
      <c r="D117" s="3" t="s">
        <v>46</v>
      </c>
    </row>
    <row r="118" spans="4:4" ht="17.649999999999999" x14ac:dyDescent="0.5">
      <c r="D118" s="3" t="s">
        <v>75</v>
      </c>
    </row>
    <row r="119" spans="4:4" ht="17.649999999999999" x14ac:dyDescent="0.5">
      <c r="D119" s="3" t="s">
        <v>46</v>
      </c>
    </row>
    <row r="120" spans="4:4" ht="17.649999999999999" x14ac:dyDescent="0.5">
      <c r="D120" s="3" t="s">
        <v>91</v>
      </c>
    </row>
    <row r="121" spans="4:4" ht="17.649999999999999" x14ac:dyDescent="0.5">
      <c r="D121" s="3" t="s">
        <v>58</v>
      </c>
    </row>
    <row r="122" spans="4:4" ht="17.649999999999999" x14ac:dyDescent="0.5">
      <c r="D122" s="3" t="s">
        <v>60</v>
      </c>
    </row>
    <row r="123" spans="4:4" ht="17.649999999999999" x14ac:dyDescent="0.5">
      <c r="D123" s="3" t="s">
        <v>98</v>
      </c>
    </row>
    <row r="124" spans="4:4" ht="17.649999999999999" x14ac:dyDescent="0.5">
      <c r="D124" s="3" t="s">
        <v>57</v>
      </c>
    </row>
    <row r="125" spans="4:4" ht="17.649999999999999" x14ac:dyDescent="0.5">
      <c r="D125" s="3" t="s">
        <v>63</v>
      </c>
    </row>
    <row r="126" spans="4:4" ht="17.649999999999999" x14ac:dyDescent="0.5">
      <c r="D126" s="3" t="s">
        <v>90</v>
      </c>
    </row>
    <row r="127" spans="4:4" ht="17.649999999999999" x14ac:dyDescent="0.5">
      <c r="D127" s="3" t="s">
        <v>85</v>
      </c>
    </row>
    <row r="128" spans="4:4" ht="17.649999999999999" x14ac:dyDescent="0.5">
      <c r="D128" s="3" t="s">
        <v>134</v>
      </c>
    </row>
    <row r="129" spans="4:4" ht="17.649999999999999" x14ac:dyDescent="0.5">
      <c r="D129" s="3" t="s">
        <v>126</v>
      </c>
    </row>
    <row r="130" spans="4:4" ht="17.649999999999999" x14ac:dyDescent="0.5">
      <c r="D130" s="3" t="s">
        <v>73</v>
      </c>
    </row>
    <row r="131" spans="4:4" ht="17.649999999999999" x14ac:dyDescent="0.5">
      <c r="D131" s="3" t="s">
        <v>51</v>
      </c>
    </row>
    <row r="132" spans="4:4" ht="17.649999999999999" x14ac:dyDescent="0.5">
      <c r="D132" s="3" t="s">
        <v>129</v>
      </c>
    </row>
    <row r="133" spans="4:4" ht="17.649999999999999" x14ac:dyDescent="0.5">
      <c r="D133" s="3" t="s">
        <v>103</v>
      </c>
    </row>
    <row r="134" spans="4:4" ht="17.649999999999999" x14ac:dyDescent="0.5">
      <c r="D134" s="3" t="s">
        <v>91</v>
      </c>
    </row>
    <row r="135" spans="4:4" ht="17.649999999999999" x14ac:dyDescent="0.5">
      <c r="D135" s="3" t="s">
        <v>51</v>
      </c>
    </row>
    <row r="136" spans="4:4" ht="17.649999999999999" x14ac:dyDescent="0.5">
      <c r="D136" s="3" t="s">
        <v>123</v>
      </c>
    </row>
    <row r="137" spans="4:4" ht="17.649999999999999" x14ac:dyDescent="0.5">
      <c r="D137" s="3" t="s">
        <v>84</v>
      </c>
    </row>
    <row r="138" spans="4:4" ht="17.649999999999999" x14ac:dyDescent="0.5">
      <c r="D138" s="3" t="s">
        <v>110</v>
      </c>
    </row>
    <row r="139" spans="4:4" ht="17.649999999999999" x14ac:dyDescent="0.5">
      <c r="D139" s="3" t="s">
        <v>96</v>
      </c>
    </row>
    <row r="140" spans="4:4" ht="17.649999999999999" x14ac:dyDescent="0.5">
      <c r="D140" s="3" t="s">
        <v>97</v>
      </c>
    </row>
    <row r="141" spans="4:4" ht="17.649999999999999" x14ac:dyDescent="0.5">
      <c r="D141" s="3" t="s">
        <v>92</v>
      </c>
    </row>
    <row r="142" spans="4:4" ht="17.649999999999999" x14ac:dyDescent="0.5">
      <c r="D142" s="3" t="s">
        <v>50</v>
      </c>
    </row>
    <row r="143" spans="4:4" ht="17.649999999999999" x14ac:dyDescent="0.5">
      <c r="D143" s="3" t="s">
        <v>95</v>
      </c>
    </row>
    <row r="144" spans="4:4" ht="17.649999999999999" x14ac:dyDescent="0.5">
      <c r="D144" s="3" t="s">
        <v>41</v>
      </c>
    </row>
    <row r="145" spans="4:4" ht="17.649999999999999" x14ac:dyDescent="0.5">
      <c r="D145" s="3" t="s">
        <v>57</v>
      </c>
    </row>
    <row r="146" spans="4:4" ht="17.649999999999999" x14ac:dyDescent="0.5">
      <c r="D146" s="3" t="s">
        <v>117</v>
      </c>
    </row>
    <row r="147" spans="4:4" ht="17.649999999999999" x14ac:dyDescent="0.5">
      <c r="D147" s="3" t="s">
        <v>54</v>
      </c>
    </row>
    <row r="148" spans="4:4" ht="17.649999999999999" x14ac:dyDescent="0.5">
      <c r="D148" s="3" t="s">
        <v>115</v>
      </c>
    </row>
    <row r="149" spans="4:4" ht="17.649999999999999" x14ac:dyDescent="0.5">
      <c r="D149" s="3" t="s">
        <v>93</v>
      </c>
    </row>
    <row r="150" spans="4:4" ht="17.649999999999999" x14ac:dyDescent="0.5">
      <c r="D150" s="3" t="s">
        <v>83</v>
      </c>
    </row>
    <row r="151" spans="4:4" ht="17.649999999999999" x14ac:dyDescent="0.5">
      <c r="D151" s="3" t="s">
        <v>117</v>
      </c>
    </row>
    <row r="152" spans="4:4" ht="17.649999999999999" x14ac:dyDescent="0.5">
      <c r="D152" s="3" t="s">
        <v>126</v>
      </c>
    </row>
    <row r="153" spans="4:4" ht="17.649999999999999" x14ac:dyDescent="0.5">
      <c r="D153" s="3" t="s">
        <v>74</v>
      </c>
    </row>
    <row r="154" spans="4:4" ht="17.649999999999999" x14ac:dyDescent="0.5">
      <c r="D154" s="3" t="s">
        <v>49</v>
      </c>
    </row>
    <row r="155" spans="4:4" ht="17.649999999999999" x14ac:dyDescent="0.5">
      <c r="D155" s="3" t="s">
        <v>112</v>
      </c>
    </row>
    <row r="156" spans="4:4" ht="17.649999999999999" x14ac:dyDescent="0.5">
      <c r="D156" s="3" t="s">
        <v>68</v>
      </c>
    </row>
    <row r="157" spans="4:4" ht="17.649999999999999" x14ac:dyDescent="0.5">
      <c r="D157" s="3" t="s">
        <v>84</v>
      </c>
    </row>
    <row r="158" spans="4:4" ht="17.649999999999999" x14ac:dyDescent="0.5">
      <c r="D158" s="3" t="s">
        <v>75</v>
      </c>
    </row>
    <row r="159" spans="4:4" ht="17.649999999999999" x14ac:dyDescent="0.5">
      <c r="D159" s="3" t="s">
        <v>103</v>
      </c>
    </row>
    <row r="160" spans="4:4" ht="17.649999999999999" x14ac:dyDescent="0.5">
      <c r="D160" s="3" t="s">
        <v>110</v>
      </c>
    </row>
    <row r="161" spans="4:4" ht="17.649999999999999" x14ac:dyDescent="0.5">
      <c r="D161" s="3" t="s">
        <v>72</v>
      </c>
    </row>
    <row r="162" spans="4:4" ht="17.649999999999999" x14ac:dyDescent="0.5">
      <c r="D162" s="3" t="s">
        <v>47</v>
      </c>
    </row>
    <row r="163" spans="4:4" ht="17.649999999999999" x14ac:dyDescent="0.5">
      <c r="D163" s="3" t="s">
        <v>67</v>
      </c>
    </row>
    <row r="164" spans="4:4" ht="17.649999999999999" x14ac:dyDescent="0.5">
      <c r="D164" s="3" t="s">
        <v>84</v>
      </c>
    </row>
    <row r="165" spans="4:4" ht="17.649999999999999" x14ac:dyDescent="0.5">
      <c r="D165" s="3" t="s">
        <v>65</v>
      </c>
    </row>
    <row r="166" spans="4:4" ht="17.649999999999999" x14ac:dyDescent="0.5">
      <c r="D166" s="3" t="s">
        <v>73</v>
      </c>
    </row>
    <row r="167" spans="4:4" ht="17.649999999999999" x14ac:dyDescent="0.5">
      <c r="D167" s="3" t="s">
        <v>77</v>
      </c>
    </row>
    <row r="168" spans="4:4" ht="17.649999999999999" x14ac:dyDescent="0.5">
      <c r="D168" s="3" t="s">
        <v>50</v>
      </c>
    </row>
    <row r="169" spans="4:4" ht="17.649999999999999" x14ac:dyDescent="0.5">
      <c r="D169" s="3" t="s">
        <v>80</v>
      </c>
    </row>
    <row r="170" spans="4:4" ht="17.649999999999999" x14ac:dyDescent="0.5">
      <c r="D170" s="3" t="s">
        <v>52</v>
      </c>
    </row>
    <row r="171" spans="4:4" ht="17.649999999999999" x14ac:dyDescent="0.5">
      <c r="D171" s="3" t="s">
        <v>51</v>
      </c>
    </row>
    <row r="172" spans="4:4" ht="17.649999999999999" x14ac:dyDescent="0.5">
      <c r="D172" s="3" t="s">
        <v>57</v>
      </c>
    </row>
    <row r="173" spans="4:4" ht="17.649999999999999" x14ac:dyDescent="0.5">
      <c r="D173" s="3" t="s">
        <v>52</v>
      </c>
    </row>
    <row r="174" spans="4:4" ht="17.649999999999999" x14ac:dyDescent="0.5">
      <c r="D174" s="3" t="s">
        <v>100</v>
      </c>
    </row>
    <row r="175" spans="4:4" ht="17.649999999999999" x14ac:dyDescent="0.5">
      <c r="D175" s="3" t="s">
        <v>69</v>
      </c>
    </row>
    <row r="176" spans="4:4" ht="17.649999999999999" x14ac:dyDescent="0.5">
      <c r="D176" s="3" t="s">
        <v>44</v>
      </c>
    </row>
    <row r="177" spans="4:4" ht="17.649999999999999" x14ac:dyDescent="0.5">
      <c r="D177" s="3" t="s">
        <v>132</v>
      </c>
    </row>
    <row r="178" spans="4:4" ht="17.649999999999999" x14ac:dyDescent="0.5">
      <c r="D178" s="3" t="s">
        <v>71</v>
      </c>
    </row>
    <row r="179" spans="4:4" ht="17.649999999999999" x14ac:dyDescent="0.5">
      <c r="D179" s="3" t="s">
        <v>63</v>
      </c>
    </row>
    <row r="180" spans="4:4" ht="17.649999999999999" x14ac:dyDescent="0.5">
      <c r="D180" s="3" t="s">
        <v>47</v>
      </c>
    </row>
    <row r="181" spans="4:4" ht="17.649999999999999" x14ac:dyDescent="0.5">
      <c r="D181" s="3" t="s">
        <v>106</v>
      </c>
    </row>
    <row r="182" spans="4:4" ht="17.649999999999999" x14ac:dyDescent="0.5">
      <c r="D182" s="3" t="s">
        <v>74</v>
      </c>
    </row>
    <row r="183" spans="4:4" ht="17.649999999999999" x14ac:dyDescent="0.5">
      <c r="D183" s="3" t="s">
        <v>90</v>
      </c>
    </row>
    <row r="184" spans="4:4" ht="17.649999999999999" x14ac:dyDescent="0.5">
      <c r="D184" s="3" t="s">
        <v>75</v>
      </c>
    </row>
    <row r="185" spans="4:4" ht="17.649999999999999" x14ac:dyDescent="0.5">
      <c r="D185" s="3" t="s">
        <v>76</v>
      </c>
    </row>
    <row r="186" spans="4:4" ht="17.649999999999999" x14ac:dyDescent="0.5">
      <c r="D186" s="3" t="s">
        <v>65</v>
      </c>
    </row>
    <row r="187" spans="4:4" ht="17.649999999999999" x14ac:dyDescent="0.5">
      <c r="D187" s="3" t="s">
        <v>54</v>
      </c>
    </row>
    <row r="188" spans="4:4" ht="17.649999999999999" x14ac:dyDescent="0.5">
      <c r="D188" s="3" t="s">
        <v>68</v>
      </c>
    </row>
    <row r="189" spans="4:4" ht="17.649999999999999" x14ac:dyDescent="0.5">
      <c r="D189" s="3" t="s">
        <v>97</v>
      </c>
    </row>
    <row r="190" spans="4:4" ht="17.649999999999999" x14ac:dyDescent="0.5">
      <c r="D190" s="3" t="s">
        <v>77</v>
      </c>
    </row>
    <row r="191" spans="4:4" ht="17.649999999999999" x14ac:dyDescent="0.5">
      <c r="D191" s="3" t="s">
        <v>75</v>
      </c>
    </row>
    <row r="192" spans="4:4" ht="17.649999999999999" x14ac:dyDescent="0.5">
      <c r="D192" s="3" t="s">
        <v>121</v>
      </c>
    </row>
    <row r="193" spans="4:4" ht="17.649999999999999" x14ac:dyDescent="0.5">
      <c r="D193" s="3" t="s">
        <v>46</v>
      </c>
    </row>
    <row r="194" spans="4:4" ht="17.649999999999999" x14ac:dyDescent="0.5">
      <c r="D194" s="3" t="s">
        <v>51</v>
      </c>
    </row>
    <row r="195" spans="4:4" ht="17.649999999999999" x14ac:dyDescent="0.5">
      <c r="D195" s="3" t="s">
        <v>69</v>
      </c>
    </row>
    <row r="196" spans="4:4" ht="17.649999999999999" x14ac:dyDescent="0.5">
      <c r="D196" s="3" t="s">
        <v>81</v>
      </c>
    </row>
    <row r="197" spans="4:4" ht="17.649999999999999" x14ac:dyDescent="0.5">
      <c r="D197" s="3" t="s">
        <v>122</v>
      </c>
    </row>
    <row r="198" spans="4:4" ht="17.649999999999999" x14ac:dyDescent="0.5">
      <c r="D198" s="3" t="s">
        <v>92</v>
      </c>
    </row>
    <row r="199" spans="4:4" ht="17.649999999999999" x14ac:dyDescent="0.5">
      <c r="D199" s="3" t="s">
        <v>75</v>
      </c>
    </row>
    <row r="200" spans="4:4" ht="17.649999999999999" x14ac:dyDescent="0.5">
      <c r="D200" s="3" t="s">
        <v>80</v>
      </c>
    </row>
    <row r="201" spans="4:4" ht="17.649999999999999" x14ac:dyDescent="0.5">
      <c r="D201" s="3" t="s">
        <v>94</v>
      </c>
    </row>
    <row r="202" spans="4:4" ht="17.649999999999999" x14ac:dyDescent="0.5">
      <c r="D202" s="3" t="s">
        <v>106</v>
      </c>
    </row>
    <row r="203" spans="4:4" ht="17.649999999999999" x14ac:dyDescent="0.5">
      <c r="D203" s="3" t="s">
        <v>47</v>
      </c>
    </row>
    <row r="204" spans="4:4" ht="17.649999999999999" x14ac:dyDescent="0.5">
      <c r="D204" s="3" t="s">
        <v>96</v>
      </c>
    </row>
    <row r="205" spans="4:4" ht="17.649999999999999" x14ac:dyDescent="0.5">
      <c r="D205" s="3" t="s">
        <v>56</v>
      </c>
    </row>
    <row r="206" spans="4:4" ht="17.649999999999999" x14ac:dyDescent="0.5">
      <c r="D206" s="3" t="s">
        <v>54</v>
      </c>
    </row>
    <row r="207" spans="4:4" ht="17.649999999999999" x14ac:dyDescent="0.5">
      <c r="D207" s="3" t="s">
        <v>87</v>
      </c>
    </row>
    <row r="208" spans="4:4" ht="17.649999999999999" x14ac:dyDescent="0.5">
      <c r="D208" s="3" t="s">
        <v>102</v>
      </c>
    </row>
    <row r="209" spans="4:4" ht="17.649999999999999" x14ac:dyDescent="0.5">
      <c r="D209" s="3" t="s">
        <v>65</v>
      </c>
    </row>
    <row r="210" spans="4:4" ht="17.649999999999999" x14ac:dyDescent="0.5">
      <c r="D210" s="3" t="s">
        <v>77</v>
      </c>
    </row>
    <row r="211" spans="4:4" ht="17.649999999999999" x14ac:dyDescent="0.5">
      <c r="D211" s="3" t="s">
        <v>117</v>
      </c>
    </row>
    <row r="212" spans="4:4" ht="17.649999999999999" x14ac:dyDescent="0.5">
      <c r="D212" s="3" t="s">
        <v>55</v>
      </c>
    </row>
    <row r="213" spans="4:4" ht="17.649999999999999" x14ac:dyDescent="0.5">
      <c r="D213" s="3" t="s">
        <v>57</v>
      </c>
    </row>
    <row r="214" spans="4:4" ht="17.649999999999999" x14ac:dyDescent="0.5">
      <c r="D214" s="3" t="s">
        <v>85</v>
      </c>
    </row>
    <row r="215" spans="4:4" ht="17.649999999999999" x14ac:dyDescent="0.5">
      <c r="D215" s="3" t="s">
        <v>58</v>
      </c>
    </row>
    <row r="216" spans="4:4" ht="17.649999999999999" x14ac:dyDescent="0.5">
      <c r="D216" s="3" t="s">
        <v>75</v>
      </c>
    </row>
    <row r="217" spans="4:4" ht="17.649999999999999" x14ac:dyDescent="0.5">
      <c r="D217" s="3" t="s">
        <v>80</v>
      </c>
    </row>
    <row r="218" spans="4:4" ht="17.649999999999999" x14ac:dyDescent="0.5">
      <c r="D218" s="3" t="s">
        <v>94</v>
      </c>
    </row>
    <row r="219" spans="4:4" ht="17.649999999999999" x14ac:dyDescent="0.5">
      <c r="D219" s="3" t="s">
        <v>128</v>
      </c>
    </row>
    <row r="220" spans="4:4" ht="17.649999999999999" x14ac:dyDescent="0.5">
      <c r="D220" s="3" t="s">
        <v>59</v>
      </c>
    </row>
    <row r="221" spans="4:4" ht="17.649999999999999" x14ac:dyDescent="0.5">
      <c r="D221" s="3" t="s">
        <v>53</v>
      </c>
    </row>
    <row r="222" spans="4:4" ht="17.649999999999999" x14ac:dyDescent="0.5">
      <c r="D222" s="3" t="s">
        <v>105</v>
      </c>
    </row>
    <row r="223" spans="4:4" ht="17.649999999999999" x14ac:dyDescent="0.5">
      <c r="D223" s="3" t="s">
        <v>57</v>
      </c>
    </row>
    <row r="224" spans="4:4" ht="17.649999999999999" x14ac:dyDescent="0.5">
      <c r="D224" s="3" t="s">
        <v>78</v>
      </c>
    </row>
    <row r="225" spans="4:4" ht="17.649999999999999" x14ac:dyDescent="0.5">
      <c r="D225" s="3" t="s">
        <v>80</v>
      </c>
    </row>
    <row r="226" spans="4:4" ht="17.649999999999999" x14ac:dyDescent="0.5">
      <c r="D226" s="3" t="s">
        <v>94</v>
      </c>
    </row>
    <row r="227" spans="4:4" ht="17.649999999999999" x14ac:dyDescent="0.5">
      <c r="D227" s="3" t="s">
        <v>64</v>
      </c>
    </row>
    <row r="228" spans="4:4" ht="17.649999999999999" x14ac:dyDescent="0.5">
      <c r="D228" s="3" t="s">
        <v>122</v>
      </c>
    </row>
    <row r="229" spans="4:4" ht="17.649999999999999" x14ac:dyDescent="0.5">
      <c r="D229" s="3" t="s">
        <v>94</v>
      </c>
    </row>
    <row r="230" spans="4:4" ht="17.649999999999999" x14ac:dyDescent="0.5">
      <c r="D230" s="3" t="s">
        <v>103</v>
      </c>
    </row>
    <row r="231" spans="4:4" ht="17.649999999999999" x14ac:dyDescent="0.5">
      <c r="D231" s="3" t="s">
        <v>121</v>
      </c>
    </row>
    <row r="232" spans="4:4" ht="17.649999999999999" x14ac:dyDescent="0.5">
      <c r="D232" s="3" t="s">
        <v>91</v>
      </c>
    </row>
    <row r="233" spans="4:4" ht="17.649999999999999" x14ac:dyDescent="0.5">
      <c r="D233" s="3" t="s">
        <v>83</v>
      </c>
    </row>
    <row r="234" spans="4:4" ht="17.649999999999999" x14ac:dyDescent="0.5">
      <c r="D234" s="3" t="s">
        <v>52</v>
      </c>
    </row>
    <row r="235" spans="4:4" ht="17.649999999999999" x14ac:dyDescent="0.5">
      <c r="D235" s="3" t="s">
        <v>87</v>
      </c>
    </row>
    <row r="236" spans="4:4" ht="17.649999999999999" x14ac:dyDescent="0.5">
      <c r="D236" s="3" t="s">
        <v>48</v>
      </c>
    </row>
    <row r="237" spans="4:4" ht="17.649999999999999" x14ac:dyDescent="0.5">
      <c r="D237" s="3" t="s">
        <v>121</v>
      </c>
    </row>
    <row r="238" spans="4:4" ht="17.649999999999999" x14ac:dyDescent="0.5">
      <c r="D238" s="3" t="s">
        <v>88</v>
      </c>
    </row>
    <row r="239" spans="4:4" ht="17.649999999999999" x14ac:dyDescent="0.5">
      <c r="D239" s="3" t="s">
        <v>64</v>
      </c>
    </row>
    <row r="240" spans="4:4" ht="17.649999999999999" x14ac:dyDescent="0.5">
      <c r="D240" s="3" t="s">
        <v>75</v>
      </c>
    </row>
    <row r="241" spans="4:4" ht="17.649999999999999" x14ac:dyDescent="0.5">
      <c r="D241" s="3" t="s">
        <v>68</v>
      </c>
    </row>
    <row r="242" spans="4:4" ht="17.649999999999999" x14ac:dyDescent="0.5">
      <c r="D242" s="3" t="s">
        <v>52</v>
      </c>
    </row>
    <row r="243" spans="4:4" ht="17.649999999999999" x14ac:dyDescent="0.5">
      <c r="D243" s="3" t="s">
        <v>132</v>
      </c>
    </row>
    <row r="244" spans="4:4" ht="17.649999999999999" x14ac:dyDescent="0.5">
      <c r="D244" s="3" t="s">
        <v>107</v>
      </c>
    </row>
    <row r="245" spans="4:4" ht="17.649999999999999" x14ac:dyDescent="0.5">
      <c r="D245" s="3" t="s">
        <v>43</v>
      </c>
    </row>
    <row r="246" spans="4:4" ht="17.649999999999999" x14ac:dyDescent="0.5">
      <c r="D246" s="3" t="s">
        <v>100</v>
      </c>
    </row>
    <row r="247" spans="4:4" ht="17.649999999999999" x14ac:dyDescent="0.5">
      <c r="D247" s="3" t="s">
        <v>65</v>
      </c>
    </row>
    <row r="248" spans="4:4" ht="17.649999999999999" x14ac:dyDescent="0.5">
      <c r="D248" s="3" t="s">
        <v>77</v>
      </c>
    </row>
    <row r="249" spans="4:4" ht="17.649999999999999" x14ac:dyDescent="0.5">
      <c r="D249" s="3" t="s">
        <v>63</v>
      </c>
    </row>
    <row r="250" spans="4:4" ht="17.649999999999999" x14ac:dyDescent="0.5">
      <c r="D250" s="3" t="s">
        <v>55</v>
      </c>
    </row>
    <row r="251" spans="4:4" ht="17.649999999999999" x14ac:dyDescent="0.5">
      <c r="D251" s="3" t="s">
        <v>69</v>
      </c>
    </row>
    <row r="252" spans="4:4" ht="17.649999999999999" x14ac:dyDescent="0.5">
      <c r="D252" s="3" t="s">
        <v>112</v>
      </c>
    </row>
    <row r="253" spans="4:4" ht="17.649999999999999" x14ac:dyDescent="0.5">
      <c r="D253" s="3" t="s">
        <v>75</v>
      </c>
    </row>
    <row r="254" spans="4:4" ht="17.649999999999999" x14ac:dyDescent="0.5">
      <c r="D254" s="3" t="s">
        <v>47</v>
      </c>
    </row>
    <row r="255" spans="4:4" ht="17.649999999999999" x14ac:dyDescent="0.5">
      <c r="D255" s="3" t="s">
        <v>78</v>
      </c>
    </row>
    <row r="256" spans="4:4" ht="17.649999999999999" x14ac:dyDescent="0.5">
      <c r="D256" s="3" t="s">
        <v>123</v>
      </c>
    </row>
    <row r="257" spans="4:4" ht="17.649999999999999" x14ac:dyDescent="0.5">
      <c r="D257" s="3" t="s">
        <v>96</v>
      </c>
    </row>
    <row r="258" spans="4:4" ht="17.649999999999999" x14ac:dyDescent="0.5">
      <c r="D258" s="3" t="s">
        <v>43</v>
      </c>
    </row>
    <row r="259" spans="4:4" ht="17.649999999999999" x14ac:dyDescent="0.5">
      <c r="D259" s="3" t="s">
        <v>46</v>
      </c>
    </row>
    <row r="260" spans="4:4" ht="17.649999999999999" x14ac:dyDescent="0.5">
      <c r="D260" s="3" t="s">
        <v>80</v>
      </c>
    </row>
    <row r="261" spans="4:4" ht="17.649999999999999" x14ac:dyDescent="0.5">
      <c r="D261" s="3" t="s">
        <v>87</v>
      </c>
    </row>
    <row r="262" spans="4:4" ht="17.649999999999999" x14ac:dyDescent="0.5">
      <c r="D262" s="3" t="s">
        <v>60</v>
      </c>
    </row>
    <row r="263" spans="4:4" ht="17.649999999999999" x14ac:dyDescent="0.5">
      <c r="D263" s="3" t="s">
        <v>83</v>
      </c>
    </row>
    <row r="264" spans="4:4" ht="17.649999999999999" x14ac:dyDescent="0.5">
      <c r="D264" s="3" t="s">
        <v>67</v>
      </c>
    </row>
    <row r="265" spans="4:4" ht="17.649999999999999" x14ac:dyDescent="0.5">
      <c r="D265" s="3" t="s">
        <v>49</v>
      </c>
    </row>
    <row r="266" spans="4:4" ht="17.649999999999999" x14ac:dyDescent="0.5">
      <c r="D266" s="3" t="s">
        <v>84</v>
      </c>
    </row>
    <row r="267" spans="4:4" ht="17.649999999999999" x14ac:dyDescent="0.5">
      <c r="D267" s="3" t="s">
        <v>67</v>
      </c>
    </row>
    <row r="268" spans="4:4" ht="17.649999999999999" x14ac:dyDescent="0.5">
      <c r="D268" s="3" t="s">
        <v>56</v>
      </c>
    </row>
    <row r="269" spans="4:4" ht="17.649999999999999" x14ac:dyDescent="0.5">
      <c r="D269" s="3" t="s">
        <v>73</v>
      </c>
    </row>
    <row r="270" spans="4:4" ht="17.649999999999999" x14ac:dyDescent="0.5">
      <c r="D270" s="3" t="s">
        <v>90</v>
      </c>
    </row>
    <row r="271" spans="4:4" ht="17.649999999999999" x14ac:dyDescent="0.5">
      <c r="D271" s="3" t="s">
        <v>93</v>
      </c>
    </row>
    <row r="272" spans="4:4" ht="17.649999999999999" x14ac:dyDescent="0.5">
      <c r="D272" s="3" t="s">
        <v>73</v>
      </c>
    </row>
    <row r="273" spans="4:4" ht="17.649999999999999" x14ac:dyDescent="0.5">
      <c r="D273" s="3" t="s">
        <v>56</v>
      </c>
    </row>
    <row r="274" spans="4:4" ht="17.649999999999999" x14ac:dyDescent="0.5">
      <c r="D274" s="3" t="s">
        <v>112</v>
      </c>
    </row>
    <row r="275" spans="4:4" ht="17.649999999999999" x14ac:dyDescent="0.5">
      <c r="D275" s="3" t="s">
        <v>42</v>
      </c>
    </row>
    <row r="276" spans="4:4" ht="17.649999999999999" x14ac:dyDescent="0.5">
      <c r="D276" s="3" t="s">
        <v>112</v>
      </c>
    </row>
    <row r="277" spans="4:4" ht="17.649999999999999" x14ac:dyDescent="0.5">
      <c r="D277" s="3" t="s">
        <v>89</v>
      </c>
    </row>
    <row r="278" spans="4:4" ht="17.649999999999999" x14ac:dyDescent="0.5">
      <c r="D278" s="3" t="s">
        <v>69</v>
      </c>
    </row>
    <row r="279" spans="4:4" ht="17.649999999999999" x14ac:dyDescent="0.5">
      <c r="D279" s="3" t="s">
        <v>59</v>
      </c>
    </row>
    <row r="280" spans="4:4" ht="17.649999999999999" x14ac:dyDescent="0.5">
      <c r="D280" s="3" t="s">
        <v>130</v>
      </c>
    </row>
    <row r="281" spans="4:4" ht="17.649999999999999" x14ac:dyDescent="0.5">
      <c r="D281" s="3" t="s">
        <v>80</v>
      </c>
    </row>
    <row r="282" spans="4:4" ht="17.649999999999999" x14ac:dyDescent="0.5">
      <c r="D282" s="3" t="s">
        <v>112</v>
      </c>
    </row>
    <row r="283" spans="4:4" ht="17.649999999999999" x14ac:dyDescent="0.5">
      <c r="D283" s="3" t="s">
        <v>116</v>
      </c>
    </row>
    <row r="284" spans="4:4" ht="17.649999999999999" x14ac:dyDescent="0.5">
      <c r="D284" s="3" t="s">
        <v>49</v>
      </c>
    </row>
    <row r="285" spans="4:4" ht="17.649999999999999" x14ac:dyDescent="0.5">
      <c r="D285" s="3" t="s">
        <v>94</v>
      </c>
    </row>
    <row r="286" spans="4:4" ht="17.649999999999999" x14ac:dyDescent="0.5">
      <c r="D286" s="3" t="s">
        <v>83</v>
      </c>
    </row>
    <row r="287" spans="4:4" ht="17.649999999999999" x14ac:dyDescent="0.5">
      <c r="D287" s="3" t="s">
        <v>78</v>
      </c>
    </row>
    <row r="288" spans="4:4" ht="17.649999999999999" x14ac:dyDescent="0.5">
      <c r="D288" s="3" t="s">
        <v>101</v>
      </c>
    </row>
    <row r="289" spans="4:4" ht="17.649999999999999" x14ac:dyDescent="0.5">
      <c r="D289" s="3" t="s">
        <v>111</v>
      </c>
    </row>
    <row r="290" spans="4:4" ht="17.649999999999999" x14ac:dyDescent="0.5">
      <c r="D290" s="3" t="s">
        <v>133</v>
      </c>
    </row>
    <row r="291" spans="4:4" ht="17.649999999999999" x14ac:dyDescent="0.5">
      <c r="D291" s="3" t="s">
        <v>92</v>
      </c>
    </row>
    <row r="292" spans="4:4" ht="17.649999999999999" x14ac:dyDescent="0.5">
      <c r="D292" s="3" t="s">
        <v>77</v>
      </c>
    </row>
    <row r="293" spans="4:4" ht="17.649999999999999" x14ac:dyDescent="0.5">
      <c r="D293" s="3" t="s">
        <v>65</v>
      </c>
    </row>
    <row r="294" spans="4:4" ht="17.649999999999999" x14ac:dyDescent="0.5">
      <c r="D294" s="3" t="s">
        <v>70</v>
      </c>
    </row>
    <row r="295" spans="4:4" ht="17.649999999999999" x14ac:dyDescent="0.5">
      <c r="D295" s="3" t="s">
        <v>123</v>
      </c>
    </row>
    <row r="296" spans="4:4" ht="17.649999999999999" x14ac:dyDescent="0.5">
      <c r="D296" s="3" t="s">
        <v>43</v>
      </c>
    </row>
    <row r="297" spans="4:4" ht="17.649999999999999" x14ac:dyDescent="0.5">
      <c r="D297" s="3" t="s">
        <v>134</v>
      </c>
    </row>
    <row r="298" spans="4:4" ht="17.649999999999999" x14ac:dyDescent="0.5">
      <c r="D298" s="3" t="s">
        <v>101</v>
      </c>
    </row>
    <row r="299" spans="4:4" ht="17.649999999999999" x14ac:dyDescent="0.5">
      <c r="D299" s="3" t="s">
        <v>49</v>
      </c>
    </row>
    <row r="300" spans="4:4" ht="17.649999999999999" x14ac:dyDescent="0.5">
      <c r="D300" s="3" t="s">
        <v>69</v>
      </c>
    </row>
    <row r="301" spans="4:4" ht="17.649999999999999" x14ac:dyDescent="0.5">
      <c r="D301" s="3" t="s">
        <v>112</v>
      </c>
    </row>
    <row r="302" spans="4:4" ht="17.649999999999999" x14ac:dyDescent="0.5">
      <c r="D302" s="3" t="s">
        <v>51</v>
      </c>
    </row>
    <row r="303" spans="4:4" ht="17.649999999999999" x14ac:dyDescent="0.5">
      <c r="D303" s="3" t="s">
        <v>59</v>
      </c>
    </row>
    <row r="304" spans="4:4" ht="17.649999999999999" x14ac:dyDescent="0.5">
      <c r="D304" s="3" t="s">
        <v>82</v>
      </c>
    </row>
    <row r="305" spans="4:4" ht="17.649999999999999" x14ac:dyDescent="0.5">
      <c r="D305" s="3" t="s">
        <v>103</v>
      </c>
    </row>
    <row r="306" spans="4:4" ht="17.649999999999999" x14ac:dyDescent="0.5">
      <c r="D306" s="3" t="s">
        <v>63</v>
      </c>
    </row>
    <row r="307" spans="4:4" ht="17.649999999999999" x14ac:dyDescent="0.5">
      <c r="D307" s="3" t="s">
        <v>74</v>
      </c>
    </row>
    <row r="308" spans="4:4" ht="17.649999999999999" x14ac:dyDescent="0.5">
      <c r="D308" s="3" t="s">
        <v>52</v>
      </c>
    </row>
    <row r="309" spans="4:4" ht="17.649999999999999" x14ac:dyDescent="0.5">
      <c r="D309" s="3" t="s">
        <v>61</v>
      </c>
    </row>
    <row r="310" spans="4:4" ht="17.649999999999999" x14ac:dyDescent="0.5">
      <c r="D310" s="3" t="s">
        <v>68</v>
      </c>
    </row>
    <row r="311" spans="4:4" ht="17.649999999999999" x14ac:dyDescent="0.5">
      <c r="D311" s="3" t="s">
        <v>126</v>
      </c>
    </row>
    <row r="312" spans="4:4" ht="17.649999999999999" x14ac:dyDescent="0.5">
      <c r="D312" s="3" t="s">
        <v>92</v>
      </c>
    </row>
    <row r="313" spans="4:4" ht="17.649999999999999" x14ac:dyDescent="0.5">
      <c r="D313" s="3" t="s">
        <v>74</v>
      </c>
    </row>
    <row r="314" spans="4:4" ht="17.649999999999999" x14ac:dyDescent="0.5">
      <c r="D314" s="3" t="s">
        <v>60</v>
      </c>
    </row>
    <row r="315" spans="4:4" ht="17.649999999999999" x14ac:dyDescent="0.5">
      <c r="D315" s="3" t="s">
        <v>44</v>
      </c>
    </row>
    <row r="316" spans="4:4" ht="17.649999999999999" x14ac:dyDescent="0.5">
      <c r="D316" s="3" t="s">
        <v>91</v>
      </c>
    </row>
    <row r="317" spans="4:4" ht="17.649999999999999" x14ac:dyDescent="0.5">
      <c r="D317" s="3" t="s">
        <v>43</v>
      </c>
    </row>
    <row r="318" spans="4:4" ht="17.649999999999999" x14ac:dyDescent="0.5">
      <c r="D318" s="3" t="s">
        <v>54</v>
      </c>
    </row>
    <row r="319" spans="4:4" ht="17.649999999999999" x14ac:dyDescent="0.5">
      <c r="D319" s="3" t="s">
        <v>125</v>
      </c>
    </row>
    <row r="320" spans="4:4" ht="17.649999999999999" x14ac:dyDescent="0.5">
      <c r="D320" s="3" t="s">
        <v>121</v>
      </c>
    </row>
    <row r="321" spans="4:4" ht="17.649999999999999" x14ac:dyDescent="0.5">
      <c r="D321" s="3" t="s">
        <v>114</v>
      </c>
    </row>
    <row r="322" spans="4:4" ht="17.649999999999999" x14ac:dyDescent="0.5">
      <c r="D322" s="3" t="s">
        <v>48</v>
      </c>
    </row>
    <row r="323" spans="4:4" ht="17.649999999999999" x14ac:dyDescent="0.5">
      <c r="D323" s="3" t="s">
        <v>97</v>
      </c>
    </row>
    <row r="324" spans="4:4" ht="17.649999999999999" x14ac:dyDescent="0.5">
      <c r="D324" s="3" t="s">
        <v>117</v>
      </c>
    </row>
    <row r="325" spans="4:4" ht="17.649999999999999" x14ac:dyDescent="0.5">
      <c r="D325" s="3" t="s">
        <v>93</v>
      </c>
    </row>
    <row r="326" spans="4:4" ht="17.649999999999999" x14ac:dyDescent="0.5">
      <c r="D326" s="3" t="s">
        <v>85</v>
      </c>
    </row>
    <row r="327" spans="4:4" ht="17.649999999999999" x14ac:dyDescent="0.5">
      <c r="D327" s="3" t="s">
        <v>107</v>
      </c>
    </row>
    <row r="328" spans="4:4" ht="17.649999999999999" x14ac:dyDescent="0.5">
      <c r="D328" s="3" t="s">
        <v>94</v>
      </c>
    </row>
    <row r="329" spans="4:4" ht="17.649999999999999" x14ac:dyDescent="0.5">
      <c r="D329" s="3" t="s">
        <v>67</v>
      </c>
    </row>
    <row r="330" spans="4:4" ht="17.649999999999999" x14ac:dyDescent="0.5">
      <c r="D330" s="3" t="s">
        <v>91</v>
      </c>
    </row>
    <row r="331" spans="4:4" ht="17.649999999999999" x14ac:dyDescent="0.5">
      <c r="D331" s="3" t="s">
        <v>65</v>
      </c>
    </row>
    <row r="332" spans="4:4" ht="17.649999999999999" x14ac:dyDescent="0.5">
      <c r="D332" s="3" t="s">
        <v>126</v>
      </c>
    </row>
    <row r="333" spans="4:4" ht="17.649999999999999" x14ac:dyDescent="0.5">
      <c r="D333" s="3" t="s">
        <v>106</v>
      </c>
    </row>
    <row r="334" spans="4:4" ht="17.649999999999999" x14ac:dyDescent="0.5">
      <c r="D334" s="3" t="s">
        <v>80</v>
      </c>
    </row>
    <row r="335" spans="4:4" ht="17.649999999999999" x14ac:dyDescent="0.5">
      <c r="D335" s="3" t="s">
        <v>135</v>
      </c>
    </row>
    <row r="336" spans="4:4" ht="17.649999999999999" x14ac:dyDescent="0.5">
      <c r="D336" s="3" t="s">
        <v>105</v>
      </c>
    </row>
    <row r="337" spans="4:4" ht="17.649999999999999" x14ac:dyDescent="0.5">
      <c r="D337" s="3" t="s">
        <v>117</v>
      </c>
    </row>
    <row r="338" spans="4:4" ht="17.649999999999999" x14ac:dyDescent="0.5">
      <c r="D338" s="3" t="s">
        <v>68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74</v>
      </c>
    </row>
    <row r="341" spans="4:4" ht="17.649999999999999" x14ac:dyDescent="0.5">
      <c r="D341" s="3" t="s">
        <v>50</v>
      </c>
    </row>
    <row r="342" spans="4:4" ht="17.649999999999999" x14ac:dyDescent="0.5">
      <c r="D342" s="3" t="s">
        <v>99</v>
      </c>
    </row>
    <row r="343" spans="4:4" ht="17.649999999999999" x14ac:dyDescent="0.5">
      <c r="D343" s="3" t="s">
        <v>55</v>
      </c>
    </row>
    <row r="344" spans="4:4" ht="17.649999999999999" x14ac:dyDescent="0.5">
      <c r="D344" s="3" t="s">
        <v>76</v>
      </c>
    </row>
    <row r="345" spans="4:4" ht="17.649999999999999" x14ac:dyDescent="0.5">
      <c r="D345" s="3" t="s">
        <v>126</v>
      </c>
    </row>
    <row r="346" spans="4:4" ht="17.649999999999999" x14ac:dyDescent="0.5">
      <c r="D346" s="3" t="s">
        <v>91</v>
      </c>
    </row>
    <row r="347" spans="4:4" ht="17.649999999999999" x14ac:dyDescent="0.5">
      <c r="D347" s="3" t="s">
        <v>46</v>
      </c>
    </row>
    <row r="348" spans="4:4" ht="17.649999999999999" x14ac:dyDescent="0.5">
      <c r="D348" s="3" t="s">
        <v>54</v>
      </c>
    </row>
    <row r="349" spans="4:4" ht="17.649999999999999" x14ac:dyDescent="0.5">
      <c r="D349" s="3" t="s">
        <v>96</v>
      </c>
    </row>
    <row r="350" spans="4:4" ht="17.649999999999999" x14ac:dyDescent="0.5">
      <c r="D350" s="3" t="s">
        <v>81</v>
      </c>
    </row>
    <row r="351" spans="4:4" ht="17.649999999999999" x14ac:dyDescent="0.5">
      <c r="D351" s="3" t="s">
        <v>113</v>
      </c>
    </row>
    <row r="352" spans="4:4" ht="17.649999999999999" x14ac:dyDescent="0.5">
      <c r="D352" s="3" t="s">
        <v>67</v>
      </c>
    </row>
    <row r="353" spans="4:4" ht="17.649999999999999" x14ac:dyDescent="0.5">
      <c r="D353" s="3" t="s">
        <v>126</v>
      </c>
    </row>
    <row r="354" spans="4:4" ht="17.649999999999999" x14ac:dyDescent="0.5">
      <c r="D354" s="3" t="s">
        <v>91</v>
      </c>
    </row>
    <row r="355" spans="4:4" ht="17.649999999999999" x14ac:dyDescent="0.5">
      <c r="D355" s="3" t="s">
        <v>50</v>
      </c>
    </row>
    <row r="356" spans="4:4" ht="17.649999999999999" x14ac:dyDescent="0.5">
      <c r="D356" s="3" t="s">
        <v>103</v>
      </c>
    </row>
    <row r="357" spans="4:4" ht="17.649999999999999" x14ac:dyDescent="0.5">
      <c r="D357" s="3" t="s">
        <v>106</v>
      </c>
    </row>
    <row r="358" spans="4:4" ht="17.649999999999999" x14ac:dyDescent="0.5">
      <c r="D358" s="3" t="s">
        <v>105</v>
      </c>
    </row>
    <row r="359" spans="4:4" ht="17.649999999999999" x14ac:dyDescent="0.5">
      <c r="D359" s="3" t="s">
        <v>63</v>
      </c>
    </row>
    <row r="360" spans="4:4" ht="17.649999999999999" x14ac:dyDescent="0.5">
      <c r="D360" s="3" t="s">
        <v>135</v>
      </c>
    </row>
    <row r="361" spans="4:4" ht="17.649999999999999" x14ac:dyDescent="0.5">
      <c r="D361" s="3" t="s">
        <v>56</v>
      </c>
    </row>
    <row r="362" spans="4:4" ht="17.649999999999999" x14ac:dyDescent="0.5">
      <c r="D362" s="3" t="s">
        <v>64</v>
      </c>
    </row>
    <row r="363" spans="4:4" ht="17.649999999999999" x14ac:dyDescent="0.5">
      <c r="D363" s="3" t="s">
        <v>41</v>
      </c>
    </row>
    <row r="364" spans="4:4" ht="17.649999999999999" x14ac:dyDescent="0.5">
      <c r="D364" s="3" t="s">
        <v>48</v>
      </c>
    </row>
    <row r="365" spans="4:4" ht="17.649999999999999" x14ac:dyDescent="0.5">
      <c r="D365" s="3" t="s">
        <v>98</v>
      </c>
    </row>
    <row r="366" spans="4:4" ht="17.649999999999999" x14ac:dyDescent="0.5">
      <c r="D366" s="3" t="s">
        <v>115</v>
      </c>
    </row>
    <row r="367" spans="4:4" ht="17.649999999999999" x14ac:dyDescent="0.5">
      <c r="D367" s="3" t="s">
        <v>98</v>
      </c>
    </row>
    <row r="368" spans="4:4" ht="17.649999999999999" x14ac:dyDescent="0.5">
      <c r="D368" s="3" t="s">
        <v>47</v>
      </c>
    </row>
    <row r="369" spans="4:4" ht="17.649999999999999" x14ac:dyDescent="0.5">
      <c r="D369" s="3" t="s">
        <v>57</v>
      </c>
    </row>
    <row r="370" spans="4:4" ht="17.649999999999999" x14ac:dyDescent="0.5">
      <c r="D370" s="3" t="s">
        <v>50</v>
      </c>
    </row>
    <row r="371" spans="4:4" ht="17.649999999999999" x14ac:dyDescent="0.5">
      <c r="D371" s="3" t="s">
        <v>58</v>
      </c>
    </row>
    <row r="372" spans="4:4" ht="17.649999999999999" x14ac:dyDescent="0.5">
      <c r="D372" s="3" t="s">
        <v>64</v>
      </c>
    </row>
    <row r="373" spans="4:4" ht="17.649999999999999" x14ac:dyDescent="0.5">
      <c r="D373" s="3" t="s">
        <v>68</v>
      </c>
    </row>
    <row r="374" spans="4:4" ht="17.649999999999999" x14ac:dyDescent="0.5">
      <c r="D374" s="3" t="s">
        <v>50</v>
      </c>
    </row>
    <row r="375" spans="4:4" ht="17.649999999999999" x14ac:dyDescent="0.5">
      <c r="D375" s="3" t="s">
        <v>74</v>
      </c>
    </row>
    <row r="376" spans="4:4" ht="17.649999999999999" x14ac:dyDescent="0.5">
      <c r="D376" s="3" t="s">
        <v>59</v>
      </c>
    </row>
    <row r="377" spans="4:4" ht="17.649999999999999" x14ac:dyDescent="0.5">
      <c r="D377" s="3" t="s">
        <v>92</v>
      </c>
    </row>
    <row r="378" spans="4:4" ht="17.649999999999999" x14ac:dyDescent="0.5">
      <c r="D378" s="3" t="s">
        <v>66</v>
      </c>
    </row>
    <row r="379" spans="4:4" ht="17.649999999999999" x14ac:dyDescent="0.5">
      <c r="D379" s="3" t="s">
        <v>94</v>
      </c>
    </row>
    <row r="380" spans="4:4" ht="17.649999999999999" x14ac:dyDescent="0.5">
      <c r="D380" s="3" t="s">
        <v>96</v>
      </c>
    </row>
    <row r="381" spans="4:4" ht="17.649999999999999" x14ac:dyDescent="0.5">
      <c r="D381" s="3" t="s">
        <v>43</v>
      </c>
    </row>
    <row r="382" spans="4:4" ht="17.649999999999999" x14ac:dyDescent="0.5">
      <c r="D382" s="3" t="s">
        <v>55</v>
      </c>
    </row>
    <row r="383" spans="4:4" ht="17.649999999999999" x14ac:dyDescent="0.5">
      <c r="D383" s="3" t="s">
        <v>77</v>
      </c>
    </row>
    <row r="384" spans="4:4" ht="17.649999999999999" x14ac:dyDescent="0.5">
      <c r="D384" s="3" t="s">
        <v>59</v>
      </c>
    </row>
    <row r="385" spans="4:4" ht="17.649999999999999" x14ac:dyDescent="0.5">
      <c r="D385" s="3" t="s">
        <v>117</v>
      </c>
    </row>
    <row r="386" spans="4:4" ht="17.649999999999999" x14ac:dyDescent="0.5">
      <c r="D386" s="3" t="s">
        <v>44</v>
      </c>
    </row>
    <row r="387" spans="4:4" ht="17.649999999999999" x14ac:dyDescent="0.5">
      <c r="D387" s="3" t="s">
        <v>74</v>
      </c>
    </row>
    <row r="388" spans="4:4" ht="17.649999999999999" x14ac:dyDescent="0.5">
      <c r="D388" s="3" t="s">
        <v>90</v>
      </c>
    </row>
    <row r="389" spans="4:4" ht="17.649999999999999" x14ac:dyDescent="0.5">
      <c r="D389" s="3" t="s">
        <v>93</v>
      </c>
    </row>
    <row r="390" spans="4:4" ht="17.649999999999999" x14ac:dyDescent="0.5">
      <c r="D390" s="3" t="s">
        <v>115</v>
      </c>
    </row>
    <row r="391" spans="4:4" ht="17.649999999999999" x14ac:dyDescent="0.5">
      <c r="D391" s="3" t="s">
        <v>87</v>
      </c>
    </row>
    <row r="392" spans="4:4" ht="17.649999999999999" x14ac:dyDescent="0.5">
      <c r="D392" s="3" t="s">
        <v>66</v>
      </c>
    </row>
    <row r="393" spans="4:4" ht="17.649999999999999" x14ac:dyDescent="0.5">
      <c r="D393" s="3" t="s">
        <v>122</v>
      </c>
    </row>
    <row r="394" spans="4:4" ht="17.649999999999999" x14ac:dyDescent="0.5">
      <c r="D394" s="3" t="s">
        <v>69</v>
      </c>
    </row>
    <row r="395" spans="4:4" ht="17.649999999999999" x14ac:dyDescent="0.5">
      <c r="D395" s="3" t="s">
        <v>83</v>
      </c>
    </row>
    <row r="396" spans="4:4" ht="17.649999999999999" x14ac:dyDescent="0.5">
      <c r="D396" s="3" t="s">
        <v>46</v>
      </c>
    </row>
    <row r="397" spans="4:4" ht="17.649999999999999" x14ac:dyDescent="0.5">
      <c r="D397" s="3" t="s">
        <v>74</v>
      </c>
    </row>
    <row r="398" spans="4:4" ht="17.649999999999999" x14ac:dyDescent="0.5">
      <c r="D398" s="3" t="s">
        <v>49</v>
      </c>
    </row>
    <row r="399" spans="4:4" ht="17.649999999999999" x14ac:dyDescent="0.5">
      <c r="D399" s="3" t="s">
        <v>76</v>
      </c>
    </row>
    <row r="400" spans="4:4" ht="17.649999999999999" x14ac:dyDescent="0.5">
      <c r="D400" s="3" t="s">
        <v>81</v>
      </c>
    </row>
    <row r="401" spans="4:4" ht="17.649999999999999" x14ac:dyDescent="0.5">
      <c r="D401" s="3" t="s">
        <v>85</v>
      </c>
    </row>
    <row r="402" spans="4:4" ht="17.649999999999999" x14ac:dyDescent="0.5">
      <c r="D402" s="3" t="s">
        <v>78</v>
      </c>
    </row>
    <row r="403" spans="4:4" ht="17.649999999999999" x14ac:dyDescent="0.5">
      <c r="D403" s="3" t="s">
        <v>56</v>
      </c>
    </row>
    <row r="404" spans="4:4" ht="17.649999999999999" x14ac:dyDescent="0.5">
      <c r="D404" s="3" t="s">
        <v>50</v>
      </c>
    </row>
    <row r="405" spans="4:4" ht="17.649999999999999" x14ac:dyDescent="0.5">
      <c r="D405" s="3" t="s">
        <v>65</v>
      </c>
    </row>
    <row r="406" spans="4:4" ht="17.649999999999999" x14ac:dyDescent="0.5">
      <c r="D406" s="3" t="s">
        <v>54</v>
      </c>
    </row>
    <row r="407" spans="4:4" ht="17.649999999999999" x14ac:dyDescent="0.5">
      <c r="D407" s="3" t="s">
        <v>117</v>
      </c>
    </row>
    <row r="408" spans="4:4" ht="17.649999999999999" x14ac:dyDescent="0.5">
      <c r="D408" s="3" t="s">
        <v>51</v>
      </c>
    </row>
    <row r="409" spans="4:4" ht="17.649999999999999" x14ac:dyDescent="0.5">
      <c r="D409" s="3" t="s">
        <v>115</v>
      </c>
    </row>
    <row r="410" spans="4:4" ht="17.649999999999999" x14ac:dyDescent="0.5">
      <c r="D410" s="3" t="s">
        <v>69</v>
      </c>
    </row>
    <row r="411" spans="4:4" ht="17.649999999999999" x14ac:dyDescent="0.5">
      <c r="D411" s="3" t="s">
        <v>66</v>
      </c>
    </row>
    <row r="412" spans="4:4" ht="17.649999999999999" x14ac:dyDescent="0.5">
      <c r="D412" s="3" t="s">
        <v>44</v>
      </c>
    </row>
    <row r="413" spans="4:4" ht="17.649999999999999" x14ac:dyDescent="0.5">
      <c r="D413" s="3" t="s">
        <v>111</v>
      </c>
    </row>
    <row r="414" spans="4:4" ht="17.649999999999999" x14ac:dyDescent="0.5">
      <c r="D414" s="3" t="s">
        <v>107</v>
      </c>
    </row>
    <row r="415" spans="4:4" ht="17.649999999999999" x14ac:dyDescent="0.5">
      <c r="D415" s="3" t="s">
        <v>58</v>
      </c>
    </row>
    <row r="416" spans="4:4" ht="17.649999999999999" x14ac:dyDescent="0.5">
      <c r="D416" s="3" t="s">
        <v>59</v>
      </c>
    </row>
    <row r="417" spans="4:4" ht="17.649999999999999" x14ac:dyDescent="0.5">
      <c r="D417" s="3" t="s">
        <v>105</v>
      </c>
    </row>
    <row r="418" spans="4:4" ht="17.649999999999999" x14ac:dyDescent="0.5">
      <c r="D418" s="3" t="s">
        <v>128</v>
      </c>
    </row>
    <row r="419" spans="4:4" ht="17.649999999999999" x14ac:dyDescent="0.5">
      <c r="D419" s="3" t="s">
        <v>92</v>
      </c>
    </row>
    <row r="420" spans="4:4" ht="17.649999999999999" x14ac:dyDescent="0.5">
      <c r="D420" s="3" t="s">
        <v>64</v>
      </c>
    </row>
    <row r="421" spans="4:4" ht="17.649999999999999" x14ac:dyDescent="0.5">
      <c r="D421" s="3" t="s">
        <v>53</v>
      </c>
    </row>
    <row r="422" spans="4:4" ht="17.649999999999999" x14ac:dyDescent="0.5">
      <c r="D422" s="3" t="s">
        <v>52</v>
      </c>
    </row>
    <row r="423" spans="4:4" ht="17.649999999999999" x14ac:dyDescent="0.5">
      <c r="D423" s="3" t="s">
        <v>135</v>
      </c>
    </row>
    <row r="424" spans="4:4" ht="17.649999999999999" x14ac:dyDescent="0.5">
      <c r="D424" s="3" t="s">
        <v>74</v>
      </c>
    </row>
    <row r="425" spans="4:4" ht="17.649999999999999" x14ac:dyDescent="0.5">
      <c r="D425" s="3" t="s">
        <v>58</v>
      </c>
    </row>
    <row r="426" spans="4:4" ht="17.649999999999999" x14ac:dyDescent="0.5">
      <c r="D426" s="3" t="s">
        <v>91</v>
      </c>
    </row>
    <row r="427" spans="4:4" ht="17.649999999999999" x14ac:dyDescent="0.5">
      <c r="D427" s="3" t="s">
        <v>96</v>
      </c>
    </row>
    <row r="428" spans="4:4" ht="17.649999999999999" x14ac:dyDescent="0.5">
      <c r="D428" s="3" t="s">
        <v>46</v>
      </c>
    </row>
    <row r="429" spans="4:4" ht="17.649999999999999" x14ac:dyDescent="0.5">
      <c r="D429" s="3" t="s">
        <v>55</v>
      </c>
    </row>
    <row r="430" spans="4:4" ht="17.649999999999999" x14ac:dyDescent="0.5">
      <c r="D430" s="3" t="s">
        <v>49</v>
      </c>
    </row>
    <row r="431" spans="4:4" ht="17.649999999999999" x14ac:dyDescent="0.5">
      <c r="D431" s="3" t="s">
        <v>66</v>
      </c>
    </row>
    <row r="432" spans="4:4" ht="17.649999999999999" x14ac:dyDescent="0.5">
      <c r="D432" s="3" t="s">
        <v>94</v>
      </c>
    </row>
    <row r="433" spans="4:4" ht="17.649999999999999" x14ac:dyDescent="0.5">
      <c r="D433" s="3" t="s">
        <v>64</v>
      </c>
    </row>
    <row r="434" spans="4:4" ht="17.649999999999999" x14ac:dyDescent="0.5">
      <c r="D434" s="3" t="s">
        <v>108</v>
      </c>
    </row>
    <row r="435" spans="4:4" ht="17.649999999999999" x14ac:dyDescent="0.5">
      <c r="D435" s="3" t="s">
        <v>103</v>
      </c>
    </row>
    <row r="436" spans="4:4" ht="17.649999999999999" x14ac:dyDescent="0.5">
      <c r="D436" s="3" t="s">
        <v>52</v>
      </c>
    </row>
    <row r="437" spans="4:4" ht="17.649999999999999" x14ac:dyDescent="0.5">
      <c r="D437" s="3" t="s">
        <v>58</v>
      </c>
    </row>
    <row r="438" spans="4:4" ht="17.649999999999999" x14ac:dyDescent="0.5">
      <c r="D438" s="3" t="s">
        <v>53</v>
      </c>
    </row>
    <row r="439" spans="4:4" ht="17.649999999999999" x14ac:dyDescent="0.5">
      <c r="D439" s="3" t="s">
        <v>49</v>
      </c>
    </row>
    <row r="440" spans="4:4" ht="17.649999999999999" x14ac:dyDescent="0.5">
      <c r="D440" s="3" t="s">
        <v>44</v>
      </c>
    </row>
    <row r="441" spans="4:4" ht="17.649999999999999" x14ac:dyDescent="0.5">
      <c r="D441" s="3" t="s">
        <v>47</v>
      </c>
    </row>
    <row r="442" spans="4:4" ht="17.649999999999999" x14ac:dyDescent="0.5">
      <c r="D442" s="3" t="s">
        <v>115</v>
      </c>
    </row>
    <row r="443" spans="4:4" ht="17.649999999999999" x14ac:dyDescent="0.5">
      <c r="D443" s="3" t="s">
        <v>103</v>
      </c>
    </row>
    <row r="444" spans="4:4" ht="17.649999999999999" x14ac:dyDescent="0.5">
      <c r="D444" s="3" t="s">
        <v>61</v>
      </c>
    </row>
    <row r="445" spans="4:4" ht="17.649999999999999" x14ac:dyDescent="0.5">
      <c r="D445" s="3" t="s">
        <v>69</v>
      </c>
    </row>
    <row r="446" spans="4:4" ht="17.649999999999999" x14ac:dyDescent="0.5">
      <c r="D446" s="3" t="s">
        <v>115</v>
      </c>
    </row>
    <row r="447" spans="4:4" ht="17.649999999999999" x14ac:dyDescent="0.5">
      <c r="D447" s="3" t="s">
        <v>79</v>
      </c>
    </row>
    <row r="448" spans="4:4" ht="17.649999999999999" x14ac:dyDescent="0.5">
      <c r="D448" s="3" t="s">
        <v>102</v>
      </c>
    </row>
    <row r="449" spans="4:4" ht="17.649999999999999" x14ac:dyDescent="0.5">
      <c r="D449" s="3" t="s">
        <v>52</v>
      </c>
    </row>
    <row r="450" spans="4:4" ht="17.649999999999999" x14ac:dyDescent="0.5">
      <c r="D450" s="3" t="s">
        <v>64</v>
      </c>
    </row>
    <row r="451" spans="4:4" ht="17.649999999999999" x14ac:dyDescent="0.5">
      <c r="D451" s="3" t="s">
        <v>134</v>
      </c>
    </row>
    <row r="452" spans="4:4" ht="17.649999999999999" x14ac:dyDescent="0.5">
      <c r="D452" s="3" t="s">
        <v>48</v>
      </c>
    </row>
    <row r="453" spans="4:4" ht="17.649999999999999" x14ac:dyDescent="0.5">
      <c r="D453" s="3" t="s">
        <v>81</v>
      </c>
    </row>
    <row r="454" spans="4:4" ht="17.649999999999999" x14ac:dyDescent="0.5">
      <c r="D454" s="3" t="s">
        <v>117</v>
      </c>
    </row>
    <row r="455" spans="4:4" ht="17.649999999999999" x14ac:dyDescent="0.5">
      <c r="D455" s="3" t="s">
        <v>64</v>
      </c>
    </row>
    <row r="456" spans="4:4" ht="17.649999999999999" x14ac:dyDescent="0.5">
      <c r="D456" s="3" t="s">
        <v>51</v>
      </c>
    </row>
    <row r="457" spans="4:4" ht="17.649999999999999" x14ac:dyDescent="0.5">
      <c r="D457" s="3" t="s">
        <v>49</v>
      </c>
    </row>
    <row r="458" spans="4:4" ht="17.649999999999999" x14ac:dyDescent="0.5">
      <c r="D458" s="3" t="s">
        <v>92</v>
      </c>
    </row>
    <row r="459" spans="4:4" ht="17.649999999999999" x14ac:dyDescent="0.5">
      <c r="D459" s="3" t="s">
        <v>133</v>
      </c>
    </row>
    <row r="460" spans="4:4" ht="17.649999999999999" x14ac:dyDescent="0.5">
      <c r="D460" s="3" t="s">
        <v>66</v>
      </c>
    </row>
    <row r="461" spans="4:4" ht="17.649999999999999" x14ac:dyDescent="0.5">
      <c r="D461" s="3" t="s">
        <v>67</v>
      </c>
    </row>
    <row r="462" spans="4:4" ht="17.649999999999999" x14ac:dyDescent="0.5">
      <c r="D462" s="3" t="s">
        <v>94</v>
      </c>
    </row>
    <row r="463" spans="4:4" ht="17.649999999999999" x14ac:dyDescent="0.5">
      <c r="D463" s="3" t="s">
        <v>51</v>
      </c>
    </row>
    <row r="464" spans="4:4" ht="17.649999999999999" x14ac:dyDescent="0.5">
      <c r="D464" s="3" t="s">
        <v>71</v>
      </c>
    </row>
    <row r="465" spans="4:4" ht="17.649999999999999" x14ac:dyDescent="0.5">
      <c r="D465" s="3" t="s">
        <v>74</v>
      </c>
    </row>
    <row r="466" spans="4:4" ht="17.649999999999999" x14ac:dyDescent="0.5">
      <c r="D466" s="3" t="s">
        <v>123</v>
      </c>
    </row>
    <row r="467" spans="4:4" ht="17.649999999999999" x14ac:dyDescent="0.5">
      <c r="D467" s="3" t="s">
        <v>59</v>
      </c>
    </row>
    <row r="468" spans="4:4" ht="17.649999999999999" x14ac:dyDescent="0.5">
      <c r="D468" s="3" t="s">
        <v>96</v>
      </c>
    </row>
    <row r="469" spans="4:4" ht="17.649999999999999" x14ac:dyDescent="0.5">
      <c r="D469" s="3" t="s">
        <v>58</v>
      </c>
    </row>
    <row r="470" spans="4:4" ht="17.649999999999999" x14ac:dyDescent="0.5">
      <c r="D470" s="3" t="s">
        <v>98</v>
      </c>
    </row>
    <row r="471" spans="4:4" ht="17.649999999999999" x14ac:dyDescent="0.5">
      <c r="D471" s="3" t="s">
        <v>101</v>
      </c>
    </row>
    <row r="472" spans="4:4" ht="17.649999999999999" x14ac:dyDescent="0.5">
      <c r="D472" s="3" t="s">
        <v>47</v>
      </c>
    </row>
    <row r="473" spans="4:4" ht="17.649999999999999" x14ac:dyDescent="0.5">
      <c r="D473" s="3" t="s">
        <v>96</v>
      </c>
    </row>
    <row r="474" spans="4:4" ht="17.649999999999999" x14ac:dyDescent="0.5">
      <c r="D474" s="3" t="s">
        <v>113</v>
      </c>
    </row>
    <row r="475" spans="4:4" ht="17.649999999999999" x14ac:dyDescent="0.5">
      <c r="D475" s="3" t="s">
        <v>97</v>
      </c>
    </row>
    <row r="476" spans="4:4" ht="17.649999999999999" x14ac:dyDescent="0.5">
      <c r="D476" s="3" t="s">
        <v>132</v>
      </c>
    </row>
    <row r="477" spans="4:4" ht="17.649999999999999" x14ac:dyDescent="0.5">
      <c r="D477" s="3" t="s">
        <v>77</v>
      </c>
    </row>
    <row r="478" spans="4:4" ht="17.649999999999999" x14ac:dyDescent="0.5">
      <c r="D478" s="3" t="s">
        <v>49</v>
      </c>
    </row>
    <row r="479" spans="4:4" ht="17.649999999999999" x14ac:dyDescent="0.5">
      <c r="D479" s="3" t="s">
        <v>41</v>
      </c>
    </row>
    <row r="480" spans="4:4" ht="17.649999999999999" x14ac:dyDescent="0.5">
      <c r="D480" s="3" t="s">
        <v>89</v>
      </c>
    </row>
    <row r="481" spans="4:4" ht="17.649999999999999" x14ac:dyDescent="0.5">
      <c r="D481" s="3" t="s">
        <v>69</v>
      </c>
    </row>
    <row r="482" spans="4:4" ht="17.649999999999999" x14ac:dyDescent="0.5">
      <c r="D482" s="3" t="s">
        <v>113</v>
      </c>
    </row>
    <row r="483" spans="4:4" ht="17.649999999999999" x14ac:dyDescent="0.5">
      <c r="D483" s="3" t="s">
        <v>63</v>
      </c>
    </row>
    <row r="484" spans="4:4" ht="17.649999999999999" x14ac:dyDescent="0.5">
      <c r="D484" s="3" t="s">
        <v>57</v>
      </c>
    </row>
    <row r="485" spans="4:4" ht="17.649999999999999" x14ac:dyDescent="0.5">
      <c r="D485" s="3" t="s">
        <v>117</v>
      </c>
    </row>
    <row r="486" spans="4:4" ht="17.649999999999999" x14ac:dyDescent="0.5">
      <c r="D486" s="3" t="s">
        <v>84</v>
      </c>
    </row>
    <row r="487" spans="4:4" ht="17.649999999999999" x14ac:dyDescent="0.5">
      <c r="D487" s="3" t="s">
        <v>63</v>
      </c>
    </row>
    <row r="488" spans="4:4" ht="17.649999999999999" x14ac:dyDescent="0.5">
      <c r="D488" s="3" t="s">
        <v>48</v>
      </c>
    </row>
    <row r="489" spans="4:4" ht="17.649999999999999" x14ac:dyDescent="0.5">
      <c r="D489" s="3" t="s">
        <v>126</v>
      </c>
    </row>
    <row r="490" spans="4:4" ht="17.649999999999999" x14ac:dyDescent="0.5">
      <c r="D490" s="3" t="s">
        <v>84</v>
      </c>
    </row>
    <row r="491" spans="4:4" ht="17.649999999999999" x14ac:dyDescent="0.5">
      <c r="D491" s="3" t="s">
        <v>83</v>
      </c>
    </row>
    <row r="492" spans="4:4" ht="17.649999999999999" x14ac:dyDescent="0.5">
      <c r="D492" s="3" t="s">
        <v>74</v>
      </c>
    </row>
    <row r="493" spans="4:4" ht="17.649999999999999" x14ac:dyDescent="0.5">
      <c r="D493" s="3" t="s">
        <v>50</v>
      </c>
    </row>
    <row r="494" spans="4:4" ht="17.649999999999999" x14ac:dyDescent="0.5">
      <c r="D494" s="3" t="s">
        <v>81</v>
      </c>
    </row>
    <row r="495" spans="4:4" ht="17.649999999999999" x14ac:dyDescent="0.5">
      <c r="D495" s="3" t="s">
        <v>105</v>
      </c>
    </row>
    <row r="496" spans="4:4" ht="17.649999999999999" x14ac:dyDescent="0.5">
      <c r="D496" s="3" t="s">
        <v>115</v>
      </c>
    </row>
    <row r="497" spans="4:4" ht="17.649999999999999" x14ac:dyDescent="0.5">
      <c r="D497" s="3" t="s">
        <v>88</v>
      </c>
    </row>
    <row r="498" spans="4:4" ht="17.649999999999999" x14ac:dyDescent="0.5">
      <c r="D498" s="3" t="s">
        <v>103</v>
      </c>
    </row>
    <row r="499" spans="4:4" ht="17.649999999999999" x14ac:dyDescent="0.5">
      <c r="D499" s="3" t="s">
        <v>92</v>
      </c>
    </row>
    <row r="500" spans="4:4" ht="17.649999999999999" x14ac:dyDescent="0.5">
      <c r="D500" s="3" t="s">
        <v>44</v>
      </c>
    </row>
    <row r="501" spans="4:4" ht="17.649999999999999" x14ac:dyDescent="0.5">
      <c r="D501" s="3" t="s">
        <v>115</v>
      </c>
    </row>
    <row r="502" spans="4:4" ht="17.649999999999999" x14ac:dyDescent="0.5">
      <c r="D502" s="3" t="s">
        <v>80</v>
      </c>
    </row>
    <row r="503" spans="4:4" ht="17.649999999999999" x14ac:dyDescent="0.5">
      <c r="D503" s="3" t="s">
        <v>54</v>
      </c>
    </row>
    <row r="504" spans="4:4" ht="17.649999999999999" x14ac:dyDescent="0.5">
      <c r="D504" s="3" t="s">
        <v>96</v>
      </c>
    </row>
    <row r="505" spans="4:4" ht="17.649999999999999" x14ac:dyDescent="0.5">
      <c r="D505" s="3" t="s">
        <v>131</v>
      </c>
    </row>
    <row r="506" spans="4:4" ht="17.649999999999999" x14ac:dyDescent="0.5">
      <c r="D506" s="3" t="s">
        <v>92</v>
      </c>
    </row>
    <row r="507" spans="4:4" ht="17.649999999999999" x14ac:dyDescent="0.5">
      <c r="D507" s="3" t="s">
        <v>50</v>
      </c>
    </row>
    <row r="508" spans="4:4" ht="17.649999999999999" x14ac:dyDescent="0.5">
      <c r="D508" s="3" t="s">
        <v>107</v>
      </c>
    </row>
    <row r="509" spans="4:4" ht="17.649999999999999" x14ac:dyDescent="0.5">
      <c r="D509" s="3" t="s">
        <v>94</v>
      </c>
    </row>
    <row r="510" spans="4:4" ht="17.649999999999999" x14ac:dyDescent="0.5">
      <c r="D510" s="3" t="s">
        <v>85</v>
      </c>
    </row>
    <row r="511" spans="4:4" ht="17.649999999999999" x14ac:dyDescent="0.5">
      <c r="D511" s="3" t="s">
        <v>54</v>
      </c>
    </row>
    <row r="512" spans="4:4" ht="17.649999999999999" x14ac:dyDescent="0.5">
      <c r="D512" s="3" t="s">
        <v>132</v>
      </c>
    </row>
    <row r="513" spans="4:4" ht="17.649999999999999" x14ac:dyDescent="0.5">
      <c r="D513" s="3" t="s">
        <v>66</v>
      </c>
    </row>
    <row r="514" spans="4:4" ht="17.649999999999999" x14ac:dyDescent="0.5">
      <c r="D514" s="3" t="s">
        <v>51</v>
      </c>
    </row>
    <row r="515" spans="4:4" ht="17.649999999999999" x14ac:dyDescent="0.5">
      <c r="D515" s="3" t="s">
        <v>79</v>
      </c>
    </row>
    <row r="516" spans="4:4" ht="17.649999999999999" x14ac:dyDescent="0.5">
      <c r="D516" s="3" t="s">
        <v>47</v>
      </c>
    </row>
    <row r="517" spans="4:4" ht="17.649999999999999" x14ac:dyDescent="0.5">
      <c r="D517" s="3" t="s">
        <v>65</v>
      </c>
    </row>
    <row r="518" spans="4:4" ht="17.649999999999999" x14ac:dyDescent="0.5">
      <c r="D518" s="3" t="s">
        <v>66</v>
      </c>
    </row>
    <row r="519" spans="4:4" ht="17.649999999999999" x14ac:dyDescent="0.5">
      <c r="D519" s="3" t="s">
        <v>108</v>
      </c>
    </row>
    <row r="520" spans="4:4" ht="17.649999999999999" x14ac:dyDescent="0.5">
      <c r="D520" s="3" t="s">
        <v>102</v>
      </c>
    </row>
    <row r="521" spans="4:4" ht="17.649999999999999" x14ac:dyDescent="0.5">
      <c r="D521" s="3" t="s">
        <v>69</v>
      </c>
    </row>
    <row r="522" spans="4:4" ht="17.649999999999999" x14ac:dyDescent="0.5">
      <c r="D522" s="3" t="s">
        <v>64</v>
      </c>
    </row>
    <row r="523" spans="4:4" ht="17.649999999999999" x14ac:dyDescent="0.5">
      <c r="D523" s="3" t="s">
        <v>48</v>
      </c>
    </row>
    <row r="524" spans="4:4" ht="17.649999999999999" x14ac:dyDescent="0.5">
      <c r="D524" s="3" t="s">
        <v>77</v>
      </c>
    </row>
    <row r="525" spans="4:4" ht="17.649999999999999" x14ac:dyDescent="0.5">
      <c r="D525" s="3" t="s">
        <v>102</v>
      </c>
    </row>
    <row r="526" spans="4:4" ht="17.649999999999999" x14ac:dyDescent="0.5">
      <c r="D526" s="3" t="s">
        <v>48</v>
      </c>
    </row>
    <row r="527" spans="4:4" ht="17.649999999999999" x14ac:dyDescent="0.5">
      <c r="D527" s="3" t="s">
        <v>64</v>
      </c>
    </row>
    <row r="528" spans="4:4" ht="17.649999999999999" x14ac:dyDescent="0.5">
      <c r="D528" s="3" t="s">
        <v>85</v>
      </c>
    </row>
    <row r="529" spans="4:4" ht="17.649999999999999" x14ac:dyDescent="0.5">
      <c r="D529" s="3" t="s">
        <v>53</v>
      </c>
    </row>
    <row r="530" spans="4:4" ht="17.649999999999999" x14ac:dyDescent="0.5">
      <c r="D530" s="3" t="s">
        <v>54</v>
      </c>
    </row>
    <row r="531" spans="4:4" ht="17.649999999999999" x14ac:dyDescent="0.5">
      <c r="D531" s="3" t="s">
        <v>101</v>
      </c>
    </row>
    <row r="532" spans="4:4" ht="17.649999999999999" x14ac:dyDescent="0.5">
      <c r="D532" s="3" t="s">
        <v>132</v>
      </c>
    </row>
    <row r="533" spans="4:4" ht="17.649999999999999" x14ac:dyDescent="0.5">
      <c r="D533" s="3" t="s">
        <v>103</v>
      </c>
    </row>
    <row r="534" spans="4:4" ht="17.649999999999999" x14ac:dyDescent="0.5">
      <c r="D534" s="3" t="s">
        <v>69</v>
      </c>
    </row>
    <row r="535" spans="4:4" ht="17.649999999999999" x14ac:dyDescent="0.5">
      <c r="D535" s="3" t="s">
        <v>80</v>
      </c>
    </row>
    <row r="536" spans="4:4" ht="17.649999999999999" x14ac:dyDescent="0.5">
      <c r="D536" s="3" t="s">
        <v>83</v>
      </c>
    </row>
    <row r="537" spans="4:4" ht="17.649999999999999" x14ac:dyDescent="0.5">
      <c r="D537" s="3" t="s">
        <v>132</v>
      </c>
    </row>
    <row r="538" spans="4:4" ht="17.649999999999999" x14ac:dyDescent="0.5">
      <c r="D538" s="3" t="s">
        <v>43</v>
      </c>
    </row>
    <row r="539" spans="4:4" ht="17.649999999999999" x14ac:dyDescent="0.5">
      <c r="D539" s="3" t="s">
        <v>53</v>
      </c>
    </row>
    <row r="540" spans="4:4" ht="17.649999999999999" x14ac:dyDescent="0.5">
      <c r="D540" s="3" t="s">
        <v>135</v>
      </c>
    </row>
    <row r="541" spans="4:4" ht="17.649999999999999" x14ac:dyDescent="0.5">
      <c r="D541" s="3" t="s">
        <v>94</v>
      </c>
    </row>
    <row r="542" spans="4:4" ht="17.649999999999999" x14ac:dyDescent="0.5">
      <c r="D542" s="3" t="s">
        <v>66</v>
      </c>
    </row>
    <row r="543" spans="4:4" ht="17.649999999999999" x14ac:dyDescent="0.5">
      <c r="D543" s="3" t="s">
        <v>99</v>
      </c>
    </row>
    <row r="544" spans="4:4" ht="17.649999999999999" x14ac:dyDescent="0.5">
      <c r="D544" s="3" t="s">
        <v>83</v>
      </c>
    </row>
    <row r="545" spans="4:4" ht="17.649999999999999" x14ac:dyDescent="0.5">
      <c r="D545" s="3" t="s">
        <v>79</v>
      </c>
    </row>
    <row r="546" spans="4:4" ht="17.649999999999999" x14ac:dyDescent="0.5">
      <c r="D546" s="3" t="s">
        <v>80</v>
      </c>
    </row>
    <row r="547" spans="4:4" ht="17.649999999999999" x14ac:dyDescent="0.5">
      <c r="D547" s="3" t="s">
        <v>135</v>
      </c>
    </row>
    <row r="548" spans="4:4" ht="17.649999999999999" x14ac:dyDescent="0.5">
      <c r="D548" s="3" t="s">
        <v>75</v>
      </c>
    </row>
    <row r="549" spans="4:4" ht="17.649999999999999" x14ac:dyDescent="0.5">
      <c r="D549" s="3" t="s">
        <v>83</v>
      </c>
    </row>
    <row r="550" spans="4:4" ht="17.649999999999999" x14ac:dyDescent="0.5">
      <c r="D550" s="3" t="s">
        <v>86</v>
      </c>
    </row>
    <row r="551" spans="4:4" ht="17.649999999999999" x14ac:dyDescent="0.5">
      <c r="D551" s="3" t="s">
        <v>136</v>
      </c>
    </row>
    <row r="552" spans="4:4" ht="17.649999999999999" x14ac:dyDescent="0.5">
      <c r="D552" s="3" t="s">
        <v>41</v>
      </c>
    </row>
    <row r="553" spans="4:4" ht="17.649999999999999" x14ac:dyDescent="0.5">
      <c r="D553" s="3" t="s">
        <v>105</v>
      </c>
    </row>
    <row r="554" spans="4:4" ht="17.649999999999999" x14ac:dyDescent="0.5">
      <c r="D554" s="3" t="s">
        <v>84</v>
      </c>
    </row>
    <row r="555" spans="4:4" ht="17.649999999999999" x14ac:dyDescent="0.5">
      <c r="D555" s="3" t="s">
        <v>102</v>
      </c>
    </row>
    <row r="556" spans="4:4" ht="17.649999999999999" x14ac:dyDescent="0.5">
      <c r="D556" s="3" t="s">
        <v>57</v>
      </c>
    </row>
    <row r="557" spans="4:4" ht="17.649999999999999" x14ac:dyDescent="0.5">
      <c r="D557" s="3" t="s">
        <v>63</v>
      </c>
    </row>
    <row r="558" spans="4:4" ht="17.649999999999999" x14ac:dyDescent="0.5">
      <c r="D558" s="3" t="s">
        <v>59</v>
      </c>
    </row>
    <row r="559" spans="4:4" ht="17.649999999999999" x14ac:dyDescent="0.5">
      <c r="D559" s="3" t="s">
        <v>48</v>
      </c>
    </row>
    <row r="560" spans="4:4" ht="17.649999999999999" x14ac:dyDescent="0.5">
      <c r="D560" s="3" t="s">
        <v>65</v>
      </c>
    </row>
    <row r="561" spans="4:4" ht="17.649999999999999" x14ac:dyDescent="0.5">
      <c r="D561" s="3" t="s">
        <v>80</v>
      </c>
    </row>
    <row r="562" spans="4:4" ht="17.649999999999999" x14ac:dyDescent="0.5">
      <c r="D562" s="3" t="s">
        <v>97</v>
      </c>
    </row>
    <row r="563" spans="4:4" ht="17.649999999999999" x14ac:dyDescent="0.5">
      <c r="D563" s="3" t="s">
        <v>113</v>
      </c>
    </row>
    <row r="564" spans="4:4" ht="17.649999999999999" x14ac:dyDescent="0.5">
      <c r="D564" s="3" t="s">
        <v>56</v>
      </c>
    </row>
    <row r="565" spans="4:4" ht="17.649999999999999" x14ac:dyDescent="0.5">
      <c r="D565" s="3" t="s">
        <v>53</v>
      </c>
    </row>
    <row r="566" spans="4:4" ht="17.649999999999999" x14ac:dyDescent="0.5">
      <c r="D566" s="3" t="s">
        <v>120</v>
      </c>
    </row>
    <row r="567" spans="4:4" ht="17.649999999999999" x14ac:dyDescent="0.5">
      <c r="D567" s="3" t="s">
        <v>134</v>
      </c>
    </row>
    <row r="568" spans="4:4" ht="17.649999999999999" x14ac:dyDescent="0.5">
      <c r="D568" s="3" t="s">
        <v>75</v>
      </c>
    </row>
    <row r="569" spans="4:4" ht="17.649999999999999" x14ac:dyDescent="0.5">
      <c r="D569" s="3" t="s">
        <v>46</v>
      </c>
    </row>
    <row r="570" spans="4:4" ht="17.649999999999999" x14ac:dyDescent="0.5">
      <c r="D570" s="3" t="s">
        <v>67</v>
      </c>
    </row>
    <row r="571" spans="4:4" ht="17.649999999999999" x14ac:dyDescent="0.5">
      <c r="D571" s="3" t="s">
        <v>87</v>
      </c>
    </row>
    <row r="572" spans="4:4" ht="17.649999999999999" x14ac:dyDescent="0.5">
      <c r="D572" s="3" t="s">
        <v>53</v>
      </c>
    </row>
    <row r="573" spans="4:4" ht="17.649999999999999" x14ac:dyDescent="0.5">
      <c r="D573" s="3" t="s">
        <v>120</v>
      </c>
    </row>
    <row r="574" spans="4:4" ht="17.649999999999999" x14ac:dyDescent="0.5">
      <c r="D574" s="3" t="s">
        <v>74</v>
      </c>
    </row>
    <row r="575" spans="4:4" ht="17.649999999999999" x14ac:dyDescent="0.5">
      <c r="D575" s="3" t="s">
        <v>90</v>
      </c>
    </row>
    <row r="576" spans="4:4" ht="17.649999999999999" x14ac:dyDescent="0.5">
      <c r="D576" s="3" t="s">
        <v>68</v>
      </c>
    </row>
    <row r="577" spans="4:4" ht="17.649999999999999" x14ac:dyDescent="0.5">
      <c r="D577" s="3" t="s">
        <v>126</v>
      </c>
    </row>
    <row r="578" spans="4:4" ht="17.649999999999999" x14ac:dyDescent="0.5">
      <c r="D578" s="3" t="s">
        <v>84</v>
      </c>
    </row>
    <row r="579" spans="4:4" ht="17.649999999999999" x14ac:dyDescent="0.5">
      <c r="D579" s="3" t="s">
        <v>78</v>
      </c>
    </row>
    <row r="580" spans="4:4" ht="17.649999999999999" x14ac:dyDescent="0.5">
      <c r="D580" s="3" t="s">
        <v>78</v>
      </c>
    </row>
    <row r="581" spans="4:4" ht="17.649999999999999" x14ac:dyDescent="0.5">
      <c r="D581" s="3" t="s">
        <v>44</v>
      </c>
    </row>
    <row r="582" spans="4:4" ht="17.649999999999999" x14ac:dyDescent="0.5">
      <c r="D582" s="3" t="s">
        <v>71</v>
      </c>
    </row>
    <row r="583" spans="4:4" ht="17.649999999999999" x14ac:dyDescent="0.5">
      <c r="D583" s="3" t="s">
        <v>107</v>
      </c>
    </row>
    <row r="584" spans="4:4" ht="17.649999999999999" x14ac:dyDescent="0.5">
      <c r="D584" s="3" t="s">
        <v>54</v>
      </c>
    </row>
    <row r="585" spans="4:4" ht="17.649999999999999" x14ac:dyDescent="0.5">
      <c r="D585" s="3" t="s">
        <v>81</v>
      </c>
    </row>
    <row r="586" spans="4:4" ht="17.649999999999999" x14ac:dyDescent="0.5">
      <c r="D586" s="3" t="s">
        <v>121</v>
      </c>
    </row>
    <row r="587" spans="4:4" ht="17.649999999999999" x14ac:dyDescent="0.5">
      <c r="D587" s="3" t="s">
        <v>57</v>
      </c>
    </row>
    <row r="588" spans="4:4" ht="17.649999999999999" x14ac:dyDescent="0.5">
      <c r="D588" s="3" t="s">
        <v>55</v>
      </c>
    </row>
    <row r="589" spans="4:4" ht="17.649999999999999" x14ac:dyDescent="0.5">
      <c r="D589" s="3" t="s">
        <v>83</v>
      </c>
    </row>
    <row r="590" spans="4:4" ht="17.649999999999999" x14ac:dyDescent="0.5">
      <c r="D590" s="3" t="s">
        <v>136</v>
      </c>
    </row>
    <row r="591" spans="4:4" ht="17.649999999999999" x14ac:dyDescent="0.5">
      <c r="D591" s="3" t="s">
        <v>67</v>
      </c>
    </row>
    <row r="592" spans="4:4" ht="17.649999999999999" x14ac:dyDescent="0.5">
      <c r="D592" s="3" t="s">
        <v>124</v>
      </c>
    </row>
    <row r="593" spans="4:4" ht="17.649999999999999" x14ac:dyDescent="0.5">
      <c r="D593" s="3" t="s">
        <v>67</v>
      </c>
    </row>
    <row r="594" spans="4:4" ht="17.649999999999999" x14ac:dyDescent="0.5">
      <c r="D594" s="3" t="s">
        <v>62</v>
      </c>
    </row>
    <row r="595" spans="4:4" ht="17.649999999999999" x14ac:dyDescent="0.5">
      <c r="D595" s="3" t="s">
        <v>60</v>
      </c>
    </row>
    <row r="596" spans="4:4" ht="17.649999999999999" x14ac:dyDescent="0.5">
      <c r="D596" s="3" t="s">
        <v>56</v>
      </c>
    </row>
    <row r="597" spans="4:4" ht="17.649999999999999" x14ac:dyDescent="0.5">
      <c r="D597" s="3" t="s">
        <v>80</v>
      </c>
    </row>
    <row r="598" spans="4:4" ht="17.649999999999999" x14ac:dyDescent="0.5">
      <c r="D598" s="3" t="s">
        <v>73</v>
      </c>
    </row>
    <row r="599" spans="4:4" ht="17.649999999999999" x14ac:dyDescent="0.5">
      <c r="D599" s="3" t="s">
        <v>86</v>
      </c>
    </row>
    <row r="600" spans="4:4" ht="17.649999999999999" x14ac:dyDescent="0.5">
      <c r="D600" s="3" t="s">
        <v>78</v>
      </c>
    </row>
    <row r="601" spans="4:4" ht="17.649999999999999" x14ac:dyDescent="0.5">
      <c r="D601" s="3" t="s">
        <v>89</v>
      </c>
    </row>
    <row r="602" spans="4:4" ht="17.649999999999999" x14ac:dyDescent="0.5">
      <c r="D602" s="3" t="s">
        <v>47</v>
      </c>
    </row>
    <row r="603" spans="4:4" ht="17.649999999999999" x14ac:dyDescent="0.5">
      <c r="D603" s="3" t="s">
        <v>83</v>
      </c>
    </row>
    <row r="604" spans="4:4" ht="17.649999999999999" x14ac:dyDescent="0.5">
      <c r="D604" s="3" t="s">
        <v>112</v>
      </c>
    </row>
    <row r="605" spans="4:4" ht="17.649999999999999" x14ac:dyDescent="0.5">
      <c r="D605" s="3" t="s">
        <v>85</v>
      </c>
    </row>
    <row r="606" spans="4:4" ht="17.649999999999999" x14ac:dyDescent="0.5">
      <c r="D606" s="3" t="s">
        <v>44</v>
      </c>
    </row>
    <row r="607" spans="4:4" ht="17.649999999999999" x14ac:dyDescent="0.5">
      <c r="D607" s="3" t="s">
        <v>66</v>
      </c>
    </row>
    <row r="608" spans="4:4" ht="17.649999999999999" x14ac:dyDescent="0.5">
      <c r="D608" s="3" t="s">
        <v>43</v>
      </c>
    </row>
    <row r="609" spans="4:4" ht="17.649999999999999" x14ac:dyDescent="0.5">
      <c r="D609" s="3" t="s">
        <v>115</v>
      </c>
    </row>
    <row r="610" spans="4:4" ht="17.649999999999999" x14ac:dyDescent="0.5">
      <c r="D610" s="3" t="s">
        <v>90</v>
      </c>
    </row>
    <row r="611" spans="4:4" ht="17.649999999999999" x14ac:dyDescent="0.5">
      <c r="D611" s="3" t="s">
        <v>57</v>
      </c>
    </row>
    <row r="612" spans="4:4" ht="17.649999999999999" x14ac:dyDescent="0.5">
      <c r="D612" s="3" t="s">
        <v>46</v>
      </c>
    </row>
    <row r="613" spans="4:4" ht="17.649999999999999" x14ac:dyDescent="0.5">
      <c r="D613" s="3" t="s">
        <v>119</v>
      </c>
    </row>
    <row r="614" spans="4:4" ht="17.649999999999999" x14ac:dyDescent="0.5">
      <c r="D614" s="3" t="s">
        <v>64</v>
      </c>
    </row>
    <row r="615" spans="4:4" ht="17.649999999999999" x14ac:dyDescent="0.5">
      <c r="D615" s="3" t="s">
        <v>122</v>
      </c>
    </row>
    <row r="616" spans="4:4" ht="17.649999999999999" x14ac:dyDescent="0.5">
      <c r="D616" s="3" t="s">
        <v>78</v>
      </c>
    </row>
    <row r="617" spans="4:4" ht="17.649999999999999" x14ac:dyDescent="0.5">
      <c r="D617" s="3" t="s">
        <v>87</v>
      </c>
    </row>
    <row r="618" spans="4:4" ht="17.649999999999999" x14ac:dyDescent="0.5">
      <c r="D618" s="3" t="s">
        <v>98</v>
      </c>
    </row>
    <row r="619" spans="4:4" ht="17.649999999999999" x14ac:dyDescent="0.5">
      <c r="D619" s="3" t="s">
        <v>65</v>
      </c>
    </row>
    <row r="620" spans="4:4" ht="17.649999999999999" x14ac:dyDescent="0.5">
      <c r="D620" s="3" t="s">
        <v>41</v>
      </c>
    </row>
    <row r="621" spans="4:4" ht="17.649999999999999" x14ac:dyDescent="0.5">
      <c r="D621" s="3" t="s">
        <v>91</v>
      </c>
    </row>
    <row r="622" spans="4:4" ht="17.649999999999999" x14ac:dyDescent="0.5">
      <c r="D622" s="3" t="s">
        <v>115</v>
      </c>
    </row>
    <row r="623" spans="4:4" ht="17.649999999999999" x14ac:dyDescent="0.5">
      <c r="D623" s="3" t="s">
        <v>43</v>
      </c>
    </row>
    <row r="624" spans="4:4" ht="17.649999999999999" x14ac:dyDescent="0.5">
      <c r="D624" s="3" t="s">
        <v>96</v>
      </c>
    </row>
    <row r="625" spans="4:4" ht="17.649999999999999" x14ac:dyDescent="0.5">
      <c r="D625" s="3" t="s">
        <v>81</v>
      </c>
    </row>
    <row r="626" spans="4:4" ht="17.649999999999999" x14ac:dyDescent="0.5">
      <c r="D626" s="3" t="s">
        <v>98</v>
      </c>
    </row>
    <row r="627" spans="4:4" ht="17.649999999999999" x14ac:dyDescent="0.5">
      <c r="D627" s="3" t="s">
        <v>101</v>
      </c>
    </row>
    <row r="628" spans="4:4" ht="17.649999999999999" x14ac:dyDescent="0.5">
      <c r="D628" s="3" t="s">
        <v>42</v>
      </c>
    </row>
    <row r="629" spans="4:4" ht="17.649999999999999" x14ac:dyDescent="0.5">
      <c r="D629" s="3" t="s">
        <v>87</v>
      </c>
    </row>
    <row r="630" spans="4:4" ht="17.649999999999999" x14ac:dyDescent="0.5">
      <c r="D630" s="3" t="s">
        <v>130</v>
      </c>
    </row>
    <row r="631" spans="4:4" ht="17.649999999999999" x14ac:dyDescent="0.5">
      <c r="D631" s="3" t="s">
        <v>51</v>
      </c>
    </row>
    <row r="632" spans="4:4" ht="17.649999999999999" x14ac:dyDescent="0.5">
      <c r="D632" s="3" t="s">
        <v>66</v>
      </c>
    </row>
    <row r="633" spans="4:4" ht="17.649999999999999" x14ac:dyDescent="0.5">
      <c r="D633" s="3" t="s">
        <v>41</v>
      </c>
    </row>
    <row r="634" spans="4:4" ht="17.649999999999999" x14ac:dyDescent="0.5">
      <c r="D634" s="3" t="s">
        <v>124</v>
      </c>
    </row>
    <row r="635" spans="4:4" ht="17.649999999999999" x14ac:dyDescent="0.5">
      <c r="D635" s="3" t="s">
        <v>65</v>
      </c>
    </row>
    <row r="636" spans="4:4" ht="17.649999999999999" x14ac:dyDescent="0.5">
      <c r="D636" s="3" t="s">
        <v>81</v>
      </c>
    </row>
    <row r="637" spans="4:4" ht="17.649999999999999" x14ac:dyDescent="0.5">
      <c r="D637" s="3" t="s">
        <v>128</v>
      </c>
    </row>
    <row r="638" spans="4:4" ht="17.649999999999999" x14ac:dyDescent="0.5">
      <c r="D638" s="3" t="s">
        <v>84</v>
      </c>
    </row>
    <row r="639" spans="4:4" ht="17.649999999999999" x14ac:dyDescent="0.5">
      <c r="D639" s="3" t="s">
        <v>55</v>
      </c>
    </row>
    <row r="640" spans="4:4" ht="17.649999999999999" x14ac:dyDescent="0.5">
      <c r="D640" s="3" t="s">
        <v>110</v>
      </c>
    </row>
    <row r="641" spans="4:4" ht="17.649999999999999" x14ac:dyDescent="0.5">
      <c r="D641" s="3" t="s">
        <v>63</v>
      </c>
    </row>
    <row r="642" spans="4:4" ht="17.649999999999999" x14ac:dyDescent="0.5">
      <c r="D642" s="3" t="s">
        <v>47</v>
      </c>
    </row>
    <row r="643" spans="4:4" ht="17.649999999999999" x14ac:dyDescent="0.5">
      <c r="D643" s="3" t="s">
        <v>133</v>
      </c>
    </row>
    <row r="644" spans="4:4" ht="17.649999999999999" x14ac:dyDescent="0.5">
      <c r="D644" s="3" t="s">
        <v>107</v>
      </c>
    </row>
    <row r="645" spans="4:4" ht="17.649999999999999" x14ac:dyDescent="0.5">
      <c r="D645" s="3" t="s">
        <v>83</v>
      </c>
    </row>
    <row r="646" spans="4:4" ht="17.649999999999999" x14ac:dyDescent="0.5">
      <c r="D646" s="3" t="s">
        <v>75</v>
      </c>
    </row>
    <row r="647" spans="4:4" ht="17.649999999999999" x14ac:dyDescent="0.5">
      <c r="D647" s="3" t="s">
        <v>107</v>
      </c>
    </row>
    <row r="648" spans="4:4" ht="17.649999999999999" x14ac:dyDescent="0.5">
      <c r="D648" s="3" t="s">
        <v>58</v>
      </c>
    </row>
    <row r="649" spans="4:4" ht="17.649999999999999" x14ac:dyDescent="0.5">
      <c r="D649" s="3" t="s">
        <v>98</v>
      </c>
    </row>
    <row r="650" spans="4:4" ht="17.649999999999999" x14ac:dyDescent="0.5">
      <c r="D650" s="3" t="s">
        <v>51</v>
      </c>
    </row>
    <row r="651" spans="4:4" ht="17.649999999999999" x14ac:dyDescent="0.5">
      <c r="D651" s="3" t="s">
        <v>92</v>
      </c>
    </row>
    <row r="652" spans="4:4" ht="17.649999999999999" x14ac:dyDescent="0.5">
      <c r="D652" s="3" t="s">
        <v>66</v>
      </c>
    </row>
    <row r="653" spans="4:4" ht="17.649999999999999" x14ac:dyDescent="0.5">
      <c r="D653" s="3" t="s">
        <v>108</v>
      </c>
    </row>
    <row r="654" spans="4:4" ht="17.649999999999999" x14ac:dyDescent="0.5">
      <c r="D654" s="3" t="s">
        <v>75</v>
      </c>
    </row>
    <row r="655" spans="4:4" ht="17.649999999999999" x14ac:dyDescent="0.5">
      <c r="D655" s="3" t="s">
        <v>65</v>
      </c>
    </row>
    <row r="656" spans="4:4" ht="17.649999999999999" x14ac:dyDescent="0.5">
      <c r="D656" s="3" t="s">
        <v>59</v>
      </c>
    </row>
    <row r="657" spans="4:4" ht="17.649999999999999" x14ac:dyDescent="0.5">
      <c r="D657" s="3" t="s">
        <v>82</v>
      </c>
    </row>
    <row r="658" spans="4:4" ht="17.649999999999999" x14ac:dyDescent="0.5">
      <c r="D658" s="3" t="s">
        <v>77</v>
      </c>
    </row>
    <row r="659" spans="4:4" ht="17.649999999999999" x14ac:dyDescent="0.5">
      <c r="D659" s="3" t="s">
        <v>108</v>
      </c>
    </row>
    <row r="660" spans="4:4" ht="17.649999999999999" x14ac:dyDescent="0.5">
      <c r="D660" s="3" t="s">
        <v>64</v>
      </c>
    </row>
    <row r="661" spans="4:4" ht="17.649999999999999" x14ac:dyDescent="0.5">
      <c r="D661" s="3" t="s">
        <v>113</v>
      </c>
    </row>
    <row r="662" spans="4:4" ht="17.649999999999999" x14ac:dyDescent="0.5">
      <c r="D662" s="3" t="s">
        <v>135</v>
      </c>
    </row>
    <row r="663" spans="4:4" ht="17.649999999999999" x14ac:dyDescent="0.5">
      <c r="D663" s="3" t="s">
        <v>123</v>
      </c>
    </row>
    <row r="664" spans="4:4" ht="17.649999999999999" x14ac:dyDescent="0.5">
      <c r="D664" s="3" t="s">
        <v>90</v>
      </c>
    </row>
    <row r="665" spans="4:4" ht="17.649999999999999" x14ac:dyDescent="0.5">
      <c r="D665" s="3" t="s">
        <v>117</v>
      </c>
    </row>
    <row r="666" spans="4:4" ht="17.649999999999999" x14ac:dyDescent="0.5">
      <c r="D666" s="3" t="s">
        <v>80</v>
      </c>
    </row>
    <row r="667" spans="4:4" ht="17.649999999999999" x14ac:dyDescent="0.5">
      <c r="D667" s="3" t="s">
        <v>54</v>
      </c>
    </row>
    <row r="668" spans="4:4" ht="17.649999999999999" x14ac:dyDescent="0.5">
      <c r="D668" s="3" t="s">
        <v>136</v>
      </c>
    </row>
    <row r="669" spans="4:4" ht="17.649999999999999" x14ac:dyDescent="0.5">
      <c r="D669" s="3" t="s">
        <v>88</v>
      </c>
    </row>
    <row r="670" spans="4:4" ht="17.649999999999999" x14ac:dyDescent="0.5">
      <c r="D670" s="3" t="s">
        <v>53</v>
      </c>
    </row>
    <row r="671" spans="4:4" ht="17.649999999999999" x14ac:dyDescent="0.5">
      <c r="D671" s="3" t="s">
        <v>47</v>
      </c>
    </row>
    <row r="672" spans="4:4" ht="17.649999999999999" x14ac:dyDescent="0.5">
      <c r="D672" s="3" t="s">
        <v>115</v>
      </c>
    </row>
    <row r="673" spans="4:4" ht="17.649999999999999" x14ac:dyDescent="0.5">
      <c r="D673" s="3" t="s">
        <v>59</v>
      </c>
    </row>
    <row r="674" spans="4:4" ht="17.649999999999999" x14ac:dyDescent="0.5">
      <c r="D674" s="3" t="s">
        <v>81</v>
      </c>
    </row>
    <row r="675" spans="4:4" ht="17.649999999999999" x14ac:dyDescent="0.5">
      <c r="D675" s="3" t="s">
        <v>44</v>
      </c>
    </row>
    <row r="676" spans="4:4" ht="17.649999999999999" x14ac:dyDescent="0.5">
      <c r="D676" s="3" t="s">
        <v>63</v>
      </c>
    </row>
    <row r="677" spans="4:4" ht="17.649999999999999" x14ac:dyDescent="0.5">
      <c r="D677" s="3" t="s">
        <v>41</v>
      </c>
    </row>
    <row r="678" spans="4:4" ht="17.649999999999999" x14ac:dyDescent="0.5">
      <c r="D678" s="3" t="s">
        <v>49</v>
      </c>
    </row>
    <row r="679" spans="4:4" ht="17.649999999999999" x14ac:dyDescent="0.5">
      <c r="D679" s="3" t="s">
        <v>118</v>
      </c>
    </row>
    <row r="680" spans="4:4" ht="17.649999999999999" x14ac:dyDescent="0.5">
      <c r="D680" s="3" t="s">
        <v>89</v>
      </c>
    </row>
    <row r="681" spans="4:4" ht="17.649999999999999" x14ac:dyDescent="0.5">
      <c r="D681" s="3" t="s">
        <v>78</v>
      </c>
    </row>
    <row r="682" spans="4:4" ht="17.649999999999999" x14ac:dyDescent="0.5">
      <c r="D682" s="3" t="s">
        <v>85</v>
      </c>
    </row>
    <row r="683" spans="4:4" ht="17.649999999999999" x14ac:dyDescent="0.5">
      <c r="D683" s="3" t="s">
        <v>65</v>
      </c>
    </row>
    <row r="684" spans="4:4" ht="17.649999999999999" x14ac:dyDescent="0.5">
      <c r="D684" s="3" t="s">
        <v>101</v>
      </c>
    </row>
    <row r="685" spans="4:4" ht="17.649999999999999" x14ac:dyDescent="0.5">
      <c r="D685" s="3" t="s">
        <v>133</v>
      </c>
    </row>
    <row r="686" spans="4:4" ht="17.649999999999999" x14ac:dyDescent="0.5">
      <c r="D686" s="3" t="s">
        <v>98</v>
      </c>
    </row>
    <row r="687" spans="4:4" ht="17.649999999999999" x14ac:dyDescent="0.5">
      <c r="D687" s="3" t="s">
        <v>61</v>
      </c>
    </row>
    <row r="688" spans="4:4" ht="17.649999999999999" x14ac:dyDescent="0.5">
      <c r="D688" s="3" t="s">
        <v>87</v>
      </c>
    </row>
    <row r="689" spans="4:4" ht="17.649999999999999" x14ac:dyDescent="0.5">
      <c r="D689" s="3" t="s">
        <v>72</v>
      </c>
    </row>
    <row r="690" spans="4:4" ht="17.649999999999999" x14ac:dyDescent="0.5">
      <c r="D690" s="3" t="s">
        <v>67</v>
      </c>
    </row>
    <row r="691" spans="4:4" ht="17.649999999999999" x14ac:dyDescent="0.5">
      <c r="D691" s="3" t="s">
        <v>64</v>
      </c>
    </row>
    <row r="692" spans="4:4" ht="17.649999999999999" x14ac:dyDescent="0.5">
      <c r="D692" s="3" t="s">
        <v>101</v>
      </c>
    </row>
    <row r="693" spans="4:4" ht="17.649999999999999" x14ac:dyDescent="0.5">
      <c r="D693" s="3" t="s">
        <v>87</v>
      </c>
    </row>
    <row r="694" spans="4:4" ht="17.649999999999999" x14ac:dyDescent="0.5">
      <c r="D694" s="3" t="s">
        <v>66</v>
      </c>
    </row>
    <row r="695" spans="4:4" ht="17.649999999999999" x14ac:dyDescent="0.5">
      <c r="D695" s="3" t="s">
        <v>83</v>
      </c>
    </row>
    <row r="696" spans="4:4" ht="17.649999999999999" x14ac:dyDescent="0.5">
      <c r="D696" s="3" t="s">
        <v>50</v>
      </c>
    </row>
    <row r="697" spans="4:4" ht="17.649999999999999" x14ac:dyDescent="0.5">
      <c r="D697" s="3" t="s">
        <v>78</v>
      </c>
    </row>
    <row r="698" spans="4:4" ht="17.649999999999999" x14ac:dyDescent="0.5">
      <c r="D698" s="3" t="s">
        <v>111</v>
      </c>
    </row>
    <row r="699" spans="4:4" ht="17.649999999999999" x14ac:dyDescent="0.5">
      <c r="D699" s="3" t="s">
        <v>105</v>
      </c>
    </row>
    <row r="700" spans="4:4" ht="17.649999999999999" x14ac:dyDescent="0.5">
      <c r="D700" s="3" t="s">
        <v>94</v>
      </c>
    </row>
    <row r="701" spans="4:4" ht="17.649999999999999" x14ac:dyDescent="0.5">
      <c r="D701" s="3" t="s">
        <v>52</v>
      </c>
    </row>
    <row r="702" spans="4:4" ht="17.649999999999999" x14ac:dyDescent="0.5">
      <c r="D702" s="3" t="s">
        <v>87</v>
      </c>
    </row>
    <row r="703" spans="4:4" ht="17.649999999999999" x14ac:dyDescent="0.5">
      <c r="D703" s="3" t="s">
        <v>63</v>
      </c>
    </row>
    <row r="704" spans="4:4" ht="17.649999999999999" x14ac:dyDescent="0.5">
      <c r="D704" s="3" t="s">
        <v>78</v>
      </c>
    </row>
    <row r="705" spans="4:4" ht="17.649999999999999" x14ac:dyDescent="0.5">
      <c r="D705" s="3" t="s">
        <v>118</v>
      </c>
    </row>
    <row r="706" spans="4:4" ht="17.649999999999999" x14ac:dyDescent="0.5">
      <c r="D706" s="3" t="s">
        <v>96</v>
      </c>
    </row>
    <row r="707" spans="4:4" ht="17.649999999999999" x14ac:dyDescent="0.5">
      <c r="D707" s="3" t="s">
        <v>61</v>
      </c>
    </row>
    <row r="708" spans="4:4" ht="17.649999999999999" x14ac:dyDescent="0.5">
      <c r="D708" s="3" t="s">
        <v>79</v>
      </c>
    </row>
    <row r="709" spans="4:4" ht="17.649999999999999" x14ac:dyDescent="0.5">
      <c r="D709" s="3" t="s">
        <v>66</v>
      </c>
    </row>
    <row r="710" spans="4:4" ht="17.649999999999999" x14ac:dyDescent="0.5">
      <c r="D710" s="3" t="s">
        <v>63</v>
      </c>
    </row>
    <row r="711" spans="4:4" ht="17.649999999999999" x14ac:dyDescent="0.5">
      <c r="D711" s="3" t="s">
        <v>56</v>
      </c>
    </row>
    <row r="712" spans="4:4" ht="17.649999999999999" x14ac:dyDescent="0.5">
      <c r="D712" s="3" t="s">
        <v>48</v>
      </c>
    </row>
    <row r="713" spans="4:4" ht="17.649999999999999" x14ac:dyDescent="0.5">
      <c r="D713" s="3" t="s">
        <v>69</v>
      </c>
    </row>
    <row r="714" spans="4:4" ht="17.649999999999999" x14ac:dyDescent="0.5">
      <c r="D714" s="3" t="s">
        <v>120</v>
      </c>
    </row>
    <row r="715" spans="4:4" ht="17.649999999999999" x14ac:dyDescent="0.5">
      <c r="D715" s="3" t="s">
        <v>64</v>
      </c>
    </row>
    <row r="716" spans="4:4" ht="17.649999999999999" x14ac:dyDescent="0.5">
      <c r="D716" s="3" t="s">
        <v>90</v>
      </c>
    </row>
    <row r="717" spans="4:4" ht="17.649999999999999" x14ac:dyDescent="0.5">
      <c r="D717" s="3" t="s">
        <v>78</v>
      </c>
    </row>
    <row r="718" spans="4:4" ht="17.649999999999999" x14ac:dyDescent="0.5">
      <c r="D718" s="3" t="s">
        <v>53</v>
      </c>
    </row>
    <row r="719" spans="4:4" ht="17.649999999999999" x14ac:dyDescent="0.5">
      <c r="D719" s="3" t="s">
        <v>118</v>
      </c>
    </row>
    <row r="720" spans="4:4" ht="17.649999999999999" x14ac:dyDescent="0.5">
      <c r="D720" s="3" t="s">
        <v>115</v>
      </c>
    </row>
    <row r="721" spans="4:4" ht="17.649999999999999" x14ac:dyDescent="0.5">
      <c r="D721" s="3" t="s">
        <v>124</v>
      </c>
    </row>
    <row r="722" spans="4:4" ht="17.649999999999999" x14ac:dyDescent="0.5">
      <c r="D722" s="3" t="s">
        <v>77</v>
      </c>
    </row>
    <row r="723" spans="4:4" ht="17.649999999999999" x14ac:dyDescent="0.5">
      <c r="D723" s="3" t="s">
        <v>50</v>
      </c>
    </row>
    <row r="724" spans="4:4" ht="17.649999999999999" x14ac:dyDescent="0.5">
      <c r="D724" s="3" t="s">
        <v>54</v>
      </c>
    </row>
    <row r="725" spans="4:4" ht="17.649999999999999" x14ac:dyDescent="0.5">
      <c r="D725" s="3" t="s">
        <v>63</v>
      </c>
    </row>
    <row r="726" spans="4:4" ht="17.649999999999999" x14ac:dyDescent="0.5">
      <c r="D726" s="3" t="s">
        <v>106</v>
      </c>
    </row>
    <row r="727" spans="4:4" ht="17.649999999999999" x14ac:dyDescent="0.5">
      <c r="D727" s="3" t="s">
        <v>56</v>
      </c>
    </row>
    <row r="728" spans="4:4" ht="17.649999999999999" x14ac:dyDescent="0.5">
      <c r="D728" s="3" t="s">
        <v>41</v>
      </c>
    </row>
    <row r="729" spans="4:4" ht="17.649999999999999" x14ac:dyDescent="0.5">
      <c r="D729" s="3" t="s">
        <v>69</v>
      </c>
    </row>
    <row r="730" spans="4:4" ht="17.649999999999999" x14ac:dyDescent="0.5">
      <c r="D730" s="3" t="s">
        <v>96</v>
      </c>
    </row>
    <row r="731" spans="4:4" ht="17.649999999999999" x14ac:dyDescent="0.5">
      <c r="D731" s="3" t="s">
        <v>52</v>
      </c>
    </row>
    <row r="732" spans="4:4" ht="17.649999999999999" x14ac:dyDescent="0.5">
      <c r="D732" s="3" t="s">
        <v>85</v>
      </c>
    </row>
    <row r="733" spans="4:4" ht="17.649999999999999" x14ac:dyDescent="0.5">
      <c r="D733" s="3" t="s">
        <v>115</v>
      </c>
    </row>
    <row r="734" spans="4:4" ht="17.649999999999999" x14ac:dyDescent="0.5">
      <c r="D734" s="3" t="s">
        <v>80</v>
      </c>
    </row>
    <row r="735" spans="4:4" ht="17.649999999999999" x14ac:dyDescent="0.5">
      <c r="D735" s="3" t="s">
        <v>120</v>
      </c>
    </row>
    <row r="736" spans="4:4" ht="17.649999999999999" x14ac:dyDescent="0.5">
      <c r="D736" s="3" t="s">
        <v>53</v>
      </c>
    </row>
    <row r="737" spans="4:4" ht="17.649999999999999" x14ac:dyDescent="0.5">
      <c r="D737" s="3" t="s">
        <v>78</v>
      </c>
    </row>
    <row r="738" spans="4:4" ht="17.649999999999999" x14ac:dyDescent="0.5">
      <c r="D738" s="3" t="s">
        <v>122</v>
      </c>
    </row>
    <row r="739" spans="4:4" ht="17.649999999999999" x14ac:dyDescent="0.5">
      <c r="D739" s="3" t="s">
        <v>65</v>
      </c>
    </row>
    <row r="740" spans="4:4" ht="17.649999999999999" x14ac:dyDescent="0.5">
      <c r="D740" s="3" t="s">
        <v>67</v>
      </c>
    </row>
    <row r="741" spans="4:4" ht="17.649999999999999" x14ac:dyDescent="0.5">
      <c r="D741" s="3" t="s">
        <v>42</v>
      </c>
    </row>
    <row r="742" spans="4:4" ht="17.649999999999999" x14ac:dyDescent="0.5">
      <c r="D742" s="3" t="s">
        <v>127</v>
      </c>
    </row>
    <row r="743" spans="4:4" ht="17.649999999999999" x14ac:dyDescent="0.5">
      <c r="D743" s="3" t="s">
        <v>64</v>
      </c>
    </row>
    <row r="744" spans="4:4" ht="17.649999999999999" x14ac:dyDescent="0.5">
      <c r="D744" s="3" t="s">
        <v>113</v>
      </c>
    </row>
    <row r="745" spans="4:4" ht="17.649999999999999" x14ac:dyDescent="0.5">
      <c r="D745" s="3" t="s">
        <v>48</v>
      </c>
    </row>
    <row r="746" spans="4:4" ht="17.649999999999999" x14ac:dyDescent="0.5">
      <c r="D746" s="3" t="s">
        <v>97</v>
      </c>
    </row>
    <row r="747" spans="4:4" ht="17.649999999999999" x14ac:dyDescent="0.5">
      <c r="D747" s="3" t="s">
        <v>43</v>
      </c>
    </row>
    <row r="748" spans="4:4" ht="17.649999999999999" x14ac:dyDescent="0.5">
      <c r="D748" s="3" t="s">
        <v>41</v>
      </c>
    </row>
    <row r="749" spans="4:4" ht="17.649999999999999" x14ac:dyDescent="0.5">
      <c r="D749" s="3" t="s">
        <v>47</v>
      </c>
    </row>
    <row r="750" spans="4:4" ht="17.649999999999999" x14ac:dyDescent="0.5">
      <c r="D750" s="3" t="s">
        <v>135</v>
      </c>
    </row>
    <row r="751" spans="4:4" ht="17.649999999999999" x14ac:dyDescent="0.5">
      <c r="D751" s="3" t="s">
        <v>54</v>
      </c>
    </row>
    <row r="752" spans="4:4" ht="17.649999999999999" x14ac:dyDescent="0.5">
      <c r="D752" s="3" t="s">
        <v>77</v>
      </c>
    </row>
    <row r="753" spans="4:4" ht="17.649999999999999" x14ac:dyDescent="0.5">
      <c r="D753" s="3" t="s">
        <v>55</v>
      </c>
    </row>
    <row r="754" spans="4:4" ht="17.649999999999999" x14ac:dyDescent="0.5">
      <c r="D754" s="3" t="s">
        <v>105</v>
      </c>
    </row>
    <row r="755" spans="4:4" ht="17.649999999999999" x14ac:dyDescent="0.5">
      <c r="D755" s="3" t="s">
        <v>48</v>
      </c>
    </row>
    <row r="756" spans="4:4" ht="17.649999999999999" x14ac:dyDescent="0.5">
      <c r="D756" s="3" t="s">
        <v>73</v>
      </c>
    </row>
    <row r="757" spans="4:4" ht="17.649999999999999" x14ac:dyDescent="0.5">
      <c r="D757" s="3" t="s">
        <v>86</v>
      </c>
    </row>
    <row r="758" spans="4:4" ht="17.649999999999999" x14ac:dyDescent="0.5">
      <c r="D758" s="3" t="s">
        <v>62</v>
      </c>
    </row>
    <row r="759" spans="4:4" ht="17.649999999999999" x14ac:dyDescent="0.5">
      <c r="D759" s="3" t="s">
        <v>63</v>
      </c>
    </row>
    <row r="760" spans="4:4" ht="17.649999999999999" x14ac:dyDescent="0.5">
      <c r="D760" s="3" t="s">
        <v>112</v>
      </c>
    </row>
    <row r="761" spans="4:4" ht="17.649999999999999" x14ac:dyDescent="0.5">
      <c r="D761" s="3" t="s">
        <v>45</v>
      </c>
    </row>
    <row r="762" spans="4:4" ht="17.649999999999999" x14ac:dyDescent="0.5">
      <c r="D762" s="3" t="s">
        <v>107</v>
      </c>
    </row>
    <row r="763" spans="4:4" ht="17.649999999999999" x14ac:dyDescent="0.5">
      <c r="D763" s="3" t="s">
        <v>117</v>
      </c>
    </row>
    <row r="764" spans="4:4" ht="17.649999999999999" x14ac:dyDescent="0.5">
      <c r="D764" s="3" t="s">
        <v>94</v>
      </c>
    </row>
    <row r="765" spans="4:4" ht="17.649999999999999" x14ac:dyDescent="0.5">
      <c r="D765" s="3" t="s">
        <v>71</v>
      </c>
    </row>
    <row r="766" spans="4:4" ht="17.649999999999999" x14ac:dyDescent="0.5">
      <c r="D766" s="3" t="s">
        <v>97</v>
      </c>
    </row>
    <row r="767" spans="4:4" ht="17.649999999999999" x14ac:dyDescent="0.5">
      <c r="D767" s="3" t="s">
        <v>67</v>
      </c>
    </row>
    <row r="768" spans="4:4" ht="17.649999999999999" x14ac:dyDescent="0.5">
      <c r="D768" s="3" t="s">
        <v>42</v>
      </c>
    </row>
    <row r="769" spans="4:4" ht="17.649999999999999" x14ac:dyDescent="0.5">
      <c r="D769" s="3" t="s">
        <v>52</v>
      </c>
    </row>
    <row r="770" spans="4:4" ht="17.649999999999999" x14ac:dyDescent="0.5">
      <c r="D770" s="3" t="s">
        <v>58</v>
      </c>
    </row>
    <row r="771" spans="4:4" ht="17.649999999999999" x14ac:dyDescent="0.5">
      <c r="D771" s="3" t="s">
        <v>79</v>
      </c>
    </row>
    <row r="772" spans="4:4" ht="17.649999999999999" x14ac:dyDescent="0.5">
      <c r="D772" s="3" t="s">
        <v>59</v>
      </c>
    </row>
    <row r="773" spans="4:4" ht="17.649999999999999" x14ac:dyDescent="0.5">
      <c r="D773" s="3" t="s">
        <v>117</v>
      </c>
    </row>
    <row r="774" spans="4:4" ht="17.649999999999999" x14ac:dyDescent="0.5">
      <c r="D774" s="3" t="s">
        <v>73</v>
      </c>
    </row>
    <row r="775" spans="4:4" ht="17.649999999999999" x14ac:dyDescent="0.5">
      <c r="D775" s="3" t="s">
        <v>74</v>
      </c>
    </row>
    <row r="776" spans="4:4" ht="17.649999999999999" x14ac:dyDescent="0.5">
      <c r="D776" s="3" t="s">
        <v>98</v>
      </c>
    </row>
    <row r="777" spans="4:4" ht="17.649999999999999" x14ac:dyDescent="0.5">
      <c r="D777" s="3" t="s">
        <v>112</v>
      </c>
    </row>
    <row r="778" spans="4:4" ht="17.649999999999999" x14ac:dyDescent="0.5">
      <c r="D778" s="3" t="s">
        <v>58</v>
      </c>
    </row>
    <row r="779" spans="4:4" ht="17.649999999999999" x14ac:dyDescent="0.5">
      <c r="D779" s="3" t="s">
        <v>80</v>
      </c>
    </row>
    <row r="780" spans="4:4" ht="17.649999999999999" x14ac:dyDescent="0.5">
      <c r="D780" s="3" t="s">
        <v>92</v>
      </c>
    </row>
    <row r="781" spans="4:4" ht="17.649999999999999" x14ac:dyDescent="0.5">
      <c r="D781" s="3" t="s">
        <v>52</v>
      </c>
    </row>
    <row r="782" spans="4:4" ht="17.649999999999999" x14ac:dyDescent="0.5">
      <c r="D782" s="3" t="s">
        <v>107</v>
      </c>
    </row>
    <row r="783" spans="4:4" ht="17.649999999999999" x14ac:dyDescent="0.5">
      <c r="D783" s="3" t="s">
        <v>58</v>
      </c>
    </row>
    <row r="784" spans="4:4" ht="17.649999999999999" x14ac:dyDescent="0.5">
      <c r="D784" s="3" t="s">
        <v>83</v>
      </c>
    </row>
    <row r="785" spans="4:4" ht="17.649999999999999" x14ac:dyDescent="0.5">
      <c r="D785" s="3" t="s">
        <v>57</v>
      </c>
    </row>
    <row r="786" spans="4:4" ht="17.649999999999999" x14ac:dyDescent="0.5">
      <c r="D786" s="3" t="s">
        <v>61</v>
      </c>
    </row>
    <row r="787" spans="4:4" ht="17.649999999999999" x14ac:dyDescent="0.5">
      <c r="D787" s="3" t="s">
        <v>56</v>
      </c>
    </row>
    <row r="788" spans="4:4" ht="17.649999999999999" x14ac:dyDescent="0.5">
      <c r="D788" s="3" t="s">
        <v>47</v>
      </c>
    </row>
    <row r="789" spans="4:4" ht="17.649999999999999" x14ac:dyDescent="0.5">
      <c r="D789" s="3" t="s">
        <v>135</v>
      </c>
    </row>
    <row r="790" spans="4:4" ht="17.649999999999999" x14ac:dyDescent="0.5">
      <c r="D790" s="3" t="s">
        <v>55</v>
      </c>
    </row>
    <row r="791" spans="4:4" ht="17.649999999999999" x14ac:dyDescent="0.5">
      <c r="D791" s="3" t="s">
        <v>91</v>
      </c>
    </row>
    <row r="792" spans="4:4" ht="17.649999999999999" x14ac:dyDescent="0.5">
      <c r="D792" s="3" t="s">
        <v>107</v>
      </c>
    </row>
    <row r="793" spans="4:4" ht="17.649999999999999" x14ac:dyDescent="0.5">
      <c r="D793" s="3" t="s">
        <v>96</v>
      </c>
    </row>
    <row r="794" spans="4:4" ht="17.649999999999999" x14ac:dyDescent="0.5">
      <c r="D794" s="3" t="s">
        <v>56</v>
      </c>
    </row>
    <row r="795" spans="4:4" ht="17.649999999999999" x14ac:dyDescent="0.5">
      <c r="D795" s="3" t="s">
        <v>61</v>
      </c>
    </row>
    <row r="796" spans="4:4" ht="17.649999999999999" x14ac:dyDescent="0.5">
      <c r="D796" s="3" t="s">
        <v>105</v>
      </c>
    </row>
    <row r="797" spans="4:4" ht="17.649999999999999" x14ac:dyDescent="0.5">
      <c r="D797" s="3" t="s">
        <v>85</v>
      </c>
    </row>
    <row r="798" spans="4:4" ht="17.649999999999999" x14ac:dyDescent="0.5">
      <c r="D798" s="3" t="s">
        <v>128</v>
      </c>
    </row>
    <row r="799" spans="4:4" ht="17.649999999999999" x14ac:dyDescent="0.5">
      <c r="D799" s="3" t="s">
        <v>73</v>
      </c>
    </row>
    <row r="800" spans="4:4" ht="17.649999999999999" x14ac:dyDescent="0.5">
      <c r="D800" s="3" t="s">
        <v>52</v>
      </c>
    </row>
    <row r="801" spans="4:4" ht="17.649999999999999" x14ac:dyDescent="0.5">
      <c r="D801" s="3" t="s">
        <v>65</v>
      </c>
    </row>
    <row r="802" spans="4:4" ht="17.649999999999999" x14ac:dyDescent="0.5">
      <c r="D802" s="3" t="s">
        <v>44</v>
      </c>
    </row>
    <row r="803" spans="4:4" ht="17.649999999999999" x14ac:dyDescent="0.5">
      <c r="D803" s="3" t="s">
        <v>48</v>
      </c>
    </row>
    <row r="804" spans="4:4" ht="17.649999999999999" x14ac:dyDescent="0.5">
      <c r="D804" s="3" t="s">
        <v>52</v>
      </c>
    </row>
    <row r="805" spans="4:4" ht="17.649999999999999" x14ac:dyDescent="0.5">
      <c r="D805" s="3" t="s">
        <v>131</v>
      </c>
    </row>
    <row r="806" spans="4:4" ht="17.649999999999999" x14ac:dyDescent="0.5">
      <c r="D806" s="3" t="s">
        <v>54</v>
      </c>
    </row>
    <row r="807" spans="4:4" ht="17.649999999999999" x14ac:dyDescent="0.5">
      <c r="D807" s="3" t="s">
        <v>46</v>
      </c>
    </row>
    <row r="808" spans="4:4" ht="17.649999999999999" x14ac:dyDescent="0.5">
      <c r="D808" s="3" t="s">
        <v>73</v>
      </c>
    </row>
    <row r="809" spans="4:4" ht="17.649999999999999" x14ac:dyDescent="0.5">
      <c r="D809" s="3" t="s">
        <v>74</v>
      </c>
    </row>
    <row r="810" spans="4:4" ht="17.649999999999999" x14ac:dyDescent="0.5">
      <c r="D810" s="3" t="s">
        <v>77</v>
      </c>
    </row>
    <row r="811" spans="4:4" ht="17.649999999999999" x14ac:dyDescent="0.5">
      <c r="D811" s="3" t="s">
        <v>67</v>
      </c>
    </row>
    <row r="812" spans="4:4" ht="17.649999999999999" x14ac:dyDescent="0.5">
      <c r="D812" s="3" t="s">
        <v>105</v>
      </c>
    </row>
    <row r="813" spans="4:4" ht="17.649999999999999" x14ac:dyDescent="0.5">
      <c r="D813" s="3" t="s">
        <v>73</v>
      </c>
    </row>
    <row r="814" spans="4:4" ht="17.649999999999999" x14ac:dyDescent="0.5">
      <c r="D814" s="3" t="s">
        <v>65</v>
      </c>
    </row>
    <row r="815" spans="4:4" ht="17.649999999999999" x14ac:dyDescent="0.5">
      <c r="D815" s="3" t="s">
        <v>101</v>
      </c>
    </row>
    <row r="816" spans="4:4" ht="17.649999999999999" x14ac:dyDescent="0.5">
      <c r="D816" s="3" t="s">
        <v>123</v>
      </c>
    </row>
    <row r="817" spans="4:4" ht="17.649999999999999" x14ac:dyDescent="0.5">
      <c r="D817" s="3" t="s">
        <v>43</v>
      </c>
    </row>
    <row r="818" spans="4:4" ht="17.649999999999999" x14ac:dyDescent="0.5">
      <c r="D818" s="3" t="s">
        <v>51</v>
      </c>
    </row>
    <row r="819" spans="4:4" ht="17.649999999999999" x14ac:dyDescent="0.5">
      <c r="D819" s="3" t="s">
        <v>66</v>
      </c>
    </row>
    <row r="820" spans="4:4" ht="17.649999999999999" x14ac:dyDescent="0.5">
      <c r="D820" s="3" t="s">
        <v>59</v>
      </c>
    </row>
    <row r="821" spans="4:4" ht="17.649999999999999" x14ac:dyDescent="0.5">
      <c r="D821" s="3" t="s">
        <v>63</v>
      </c>
    </row>
    <row r="822" spans="4:4" ht="17.649999999999999" x14ac:dyDescent="0.5">
      <c r="D822" s="3" t="s">
        <v>115</v>
      </c>
    </row>
    <row r="823" spans="4:4" ht="17.649999999999999" x14ac:dyDescent="0.5">
      <c r="D823" s="3" t="s">
        <v>67</v>
      </c>
    </row>
    <row r="824" spans="4:4" ht="17.649999999999999" x14ac:dyDescent="0.5">
      <c r="D824" s="3" t="s">
        <v>107</v>
      </c>
    </row>
    <row r="825" spans="4:4" ht="17.649999999999999" x14ac:dyDescent="0.5">
      <c r="D825" s="3" t="s">
        <v>103</v>
      </c>
    </row>
    <row r="826" spans="4:4" ht="17.649999999999999" x14ac:dyDescent="0.5">
      <c r="D826" s="3" t="s">
        <v>112</v>
      </c>
    </row>
    <row r="827" spans="4:4" ht="17.649999999999999" x14ac:dyDescent="0.5">
      <c r="D827" s="3" t="s">
        <v>87</v>
      </c>
    </row>
    <row r="828" spans="4:4" ht="17.649999999999999" x14ac:dyDescent="0.5">
      <c r="D828" s="3" t="s">
        <v>41</v>
      </c>
    </row>
    <row r="829" spans="4:4" ht="17.649999999999999" x14ac:dyDescent="0.5">
      <c r="D829" s="3" t="s">
        <v>50</v>
      </c>
    </row>
    <row r="830" spans="4:4" ht="17.649999999999999" x14ac:dyDescent="0.5">
      <c r="D830" s="3" t="s">
        <v>62</v>
      </c>
    </row>
    <row r="831" spans="4:4" ht="17.649999999999999" x14ac:dyDescent="0.5">
      <c r="D831" s="3" t="s">
        <v>43</v>
      </c>
    </row>
    <row r="832" spans="4:4" ht="17.649999999999999" x14ac:dyDescent="0.5">
      <c r="D832" s="3" t="s">
        <v>74</v>
      </c>
    </row>
    <row r="833" spans="4:4" ht="17.649999999999999" x14ac:dyDescent="0.5">
      <c r="D833" s="3" t="s">
        <v>84</v>
      </c>
    </row>
    <row r="834" spans="4:4" ht="17.649999999999999" x14ac:dyDescent="0.5">
      <c r="D834" s="3" t="s">
        <v>82</v>
      </c>
    </row>
    <row r="835" spans="4:4" ht="17.649999999999999" x14ac:dyDescent="0.5">
      <c r="D835" s="3" t="s">
        <v>67</v>
      </c>
    </row>
    <row r="836" spans="4:4" ht="17.649999999999999" x14ac:dyDescent="0.5">
      <c r="D836" s="3" t="s">
        <v>109</v>
      </c>
    </row>
    <row r="837" spans="4:4" ht="17.649999999999999" x14ac:dyDescent="0.5">
      <c r="D837" s="3" t="s">
        <v>83</v>
      </c>
    </row>
    <row r="838" spans="4:4" ht="17.649999999999999" x14ac:dyDescent="0.5">
      <c r="D838" s="3" t="s">
        <v>59</v>
      </c>
    </row>
    <row r="839" spans="4:4" ht="17.649999999999999" x14ac:dyDescent="0.5">
      <c r="D839" s="3" t="s">
        <v>120</v>
      </c>
    </row>
    <row r="840" spans="4:4" ht="17.649999999999999" x14ac:dyDescent="0.5">
      <c r="D840" s="3" t="s">
        <v>124</v>
      </c>
    </row>
    <row r="841" spans="4:4" ht="17.649999999999999" x14ac:dyDescent="0.5">
      <c r="D841" s="3" t="s">
        <v>46</v>
      </c>
    </row>
    <row r="842" spans="4:4" ht="17.649999999999999" x14ac:dyDescent="0.5">
      <c r="D842" s="3" t="s">
        <v>127</v>
      </c>
    </row>
    <row r="843" spans="4:4" ht="17.649999999999999" x14ac:dyDescent="0.5">
      <c r="D843" s="3" t="s">
        <v>94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49</v>
      </c>
    </row>
    <row r="846" spans="4:4" ht="17.649999999999999" x14ac:dyDescent="0.5">
      <c r="D846" s="3" t="s">
        <v>94</v>
      </c>
    </row>
    <row r="847" spans="4:4" ht="17.649999999999999" x14ac:dyDescent="0.5">
      <c r="D847" s="3" t="s">
        <v>49</v>
      </c>
    </row>
    <row r="848" spans="4:4" ht="17.649999999999999" x14ac:dyDescent="0.5">
      <c r="D848" s="3" t="s">
        <v>98</v>
      </c>
    </row>
    <row r="849" spans="4:4" ht="17.649999999999999" x14ac:dyDescent="0.5">
      <c r="D849" s="3" t="s">
        <v>51</v>
      </c>
    </row>
    <row r="850" spans="4:4" ht="17.649999999999999" x14ac:dyDescent="0.5">
      <c r="D850" s="3" t="s">
        <v>48</v>
      </c>
    </row>
    <row r="851" spans="4:4" ht="17.649999999999999" x14ac:dyDescent="0.5">
      <c r="D851" s="3" t="s">
        <v>125</v>
      </c>
    </row>
    <row r="852" spans="4:4" ht="17.649999999999999" x14ac:dyDescent="0.5">
      <c r="D852" s="3" t="s">
        <v>65</v>
      </c>
    </row>
    <row r="853" spans="4:4" ht="17.649999999999999" x14ac:dyDescent="0.5">
      <c r="D853" s="3" t="s">
        <v>53</v>
      </c>
    </row>
    <row r="854" spans="4:4" ht="17.649999999999999" x14ac:dyDescent="0.5">
      <c r="D854" s="3" t="s">
        <v>71</v>
      </c>
    </row>
    <row r="855" spans="4:4" ht="17.649999999999999" x14ac:dyDescent="0.5">
      <c r="D855" s="3" t="s">
        <v>91</v>
      </c>
    </row>
    <row r="856" spans="4:4" ht="17.649999999999999" x14ac:dyDescent="0.5">
      <c r="D856" s="3" t="s">
        <v>115</v>
      </c>
    </row>
    <row r="857" spans="4:4" ht="17.649999999999999" x14ac:dyDescent="0.5">
      <c r="D857" s="3" t="s">
        <v>80</v>
      </c>
    </row>
    <row r="858" spans="4:4" ht="17.649999999999999" x14ac:dyDescent="0.5">
      <c r="D858" s="3" t="s">
        <v>43</v>
      </c>
    </row>
    <row r="859" spans="4:4" ht="17.649999999999999" x14ac:dyDescent="0.5">
      <c r="D859" s="3" t="s">
        <v>75</v>
      </c>
    </row>
    <row r="860" spans="4:4" ht="17.649999999999999" x14ac:dyDescent="0.5">
      <c r="D860" s="3" t="s">
        <v>53</v>
      </c>
    </row>
    <row r="861" spans="4:4" ht="17.649999999999999" x14ac:dyDescent="0.5">
      <c r="D861" s="3" t="s">
        <v>57</v>
      </c>
    </row>
    <row r="862" spans="4:4" ht="17.649999999999999" x14ac:dyDescent="0.5">
      <c r="D862" s="3" t="s">
        <v>72</v>
      </c>
    </row>
    <row r="863" spans="4:4" ht="17.649999999999999" x14ac:dyDescent="0.5">
      <c r="D863" s="3" t="s">
        <v>68</v>
      </c>
    </row>
    <row r="864" spans="4:4" ht="17.649999999999999" x14ac:dyDescent="0.5">
      <c r="D864" s="3" t="s">
        <v>69</v>
      </c>
    </row>
    <row r="865" spans="4:4" ht="17.649999999999999" x14ac:dyDescent="0.5">
      <c r="D865" s="3" t="s">
        <v>108</v>
      </c>
    </row>
    <row r="866" spans="4:4" ht="17.649999999999999" x14ac:dyDescent="0.5">
      <c r="D866" s="3" t="s">
        <v>83</v>
      </c>
    </row>
    <row r="867" spans="4:4" ht="17.649999999999999" x14ac:dyDescent="0.5">
      <c r="D867" s="3" t="s">
        <v>136</v>
      </c>
    </row>
    <row r="868" spans="4:4" ht="17.649999999999999" x14ac:dyDescent="0.5">
      <c r="D868" s="3" t="s">
        <v>127</v>
      </c>
    </row>
    <row r="869" spans="4:4" ht="17.649999999999999" x14ac:dyDescent="0.5">
      <c r="D869" s="3" t="s">
        <v>78</v>
      </c>
    </row>
    <row r="870" spans="4:4" ht="17.649999999999999" x14ac:dyDescent="0.5">
      <c r="D870" s="3" t="s">
        <v>44</v>
      </c>
    </row>
    <row r="871" spans="4:4" ht="17.649999999999999" x14ac:dyDescent="0.5">
      <c r="D871" s="3" t="s">
        <v>107</v>
      </c>
    </row>
    <row r="872" spans="4:4" ht="17.649999999999999" x14ac:dyDescent="0.5">
      <c r="D872" s="3" t="s">
        <v>41</v>
      </c>
    </row>
    <row r="873" spans="4:4" ht="17.649999999999999" x14ac:dyDescent="0.5">
      <c r="D873" s="3" t="s">
        <v>61</v>
      </c>
    </row>
    <row r="874" spans="4:4" ht="17.649999999999999" x14ac:dyDescent="0.5">
      <c r="D874" s="3" t="s">
        <v>81</v>
      </c>
    </row>
    <row r="875" spans="4:4" ht="17.649999999999999" x14ac:dyDescent="0.5">
      <c r="D875" s="3" t="s">
        <v>42</v>
      </c>
    </row>
    <row r="876" spans="4:4" ht="17.649999999999999" x14ac:dyDescent="0.5">
      <c r="D876" s="3" t="s">
        <v>98</v>
      </c>
    </row>
    <row r="877" spans="4:4" ht="17.649999999999999" x14ac:dyDescent="0.5">
      <c r="D877" s="3" t="s">
        <v>65</v>
      </c>
    </row>
    <row r="878" spans="4:4" ht="17.649999999999999" x14ac:dyDescent="0.5">
      <c r="D878" s="3" t="s">
        <v>83</v>
      </c>
    </row>
    <row r="879" spans="4:4" ht="17.649999999999999" x14ac:dyDescent="0.5">
      <c r="D879" s="3" t="s">
        <v>133</v>
      </c>
    </row>
    <row r="880" spans="4:4" ht="17.649999999999999" x14ac:dyDescent="0.5">
      <c r="D880" s="3" t="s">
        <v>115</v>
      </c>
    </row>
    <row r="881" spans="4:4" ht="17.649999999999999" x14ac:dyDescent="0.5">
      <c r="D881" s="3" t="s">
        <v>71</v>
      </c>
    </row>
    <row r="882" spans="4:4" ht="17.649999999999999" x14ac:dyDescent="0.5">
      <c r="D882" s="3" t="s">
        <v>92</v>
      </c>
    </row>
    <row r="883" spans="4:4" ht="17.649999999999999" x14ac:dyDescent="0.5">
      <c r="D883" s="3" t="s">
        <v>74</v>
      </c>
    </row>
    <row r="884" spans="4:4" ht="17.649999999999999" x14ac:dyDescent="0.5">
      <c r="D884" s="3" t="s">
        <v>112</v>
      </c>
    </row>
    <row r="885" spans="4:4" ht="17.649999999999999" x14ac:dyDescent="0.5">
      <c r="D885" s="3" t="s">
        <v>59</v>
      </c>
    </row>
    <row r="886" spans="4:4" ht="17.649999999999999" x14ac:dyDescent="0.5">
      <c r="D886" s="3" t="s">
        <v>85</v>
      </c>
    </row>
    <row r="887" spans="4:4" ht="17.649999999999999" x14ac:dyDescent="0.5">
      <c r="D887" s="3" t="s">
        <v>84</v>
      </c>
    </row>
    <row r="888" spans="4:4" ht="17.649999999999999" x14ac:dyDescent="0.5">
      <c r="D888" s="3" t="s">
        <v>106</v>
      </c>
    </row>
    <row r="889" spans="4:4" ht="17.649999999999999" x14ac:dyDescent="0.5">
      <c r="D889" s="3" t="s">
        <v>107</v>
      </c>
    </row>
    <row r="890" spans="4:4" ht="17.649999999999999" x14ac:dyDescent="0.5">
      <c r="D890" s="3" t="s">
        <v>110</v>
      </c>
    </row>
    <row r="891" spans="4:4" ht="17.649999999999999" x14ac:dyDescent="0.5">
      <c r="D891" s="3" t="s">
        <v>55</v>
      </c>
    </row>
    <row r="892" spans="4:4" ht="17.649999999999999" x14ac:dyDescent="0.5">
      <c r="D892" s="3" t="s">
        <v>75</v>
      </c>
    </row>
    <row r="893" spans="4:4" ht="17.649999999999999" x14ac:dyDescent="0.5">
      <c r="D893" s="3" t="s">
        <v>82</v>
      </c>
    </row>
    <row r="894" spans="4:4" ht="17.649999999999999" x14ac:dyDescent="0.5">
      <c r="D894" s="3" t="s">
        <v>49</v>
      </c>
    </row>
    <row r="895" spans="4:4" ht="17.649999999999999" x14ac:dyDescent="0.5">
      <c r="D895" s="3" t="s">
        <v>73</v>
      </c>
    </row>
    <row r="896" spans="4:4" ht="17.649999999999999" x14ac:dyDescent="0.5">
      <c r="D896" s="3" t="s">
        <v>97</v>
      </c>
    </row>
    <row r="897" spans="4:4" ht="17.649999999999999" x14ac:dyDescent="0.5">
      <c r="D897" s="3" t="s">
        <v>101</v>
      </c>
    </row>
    <row r="898" spans="4:4" ht="17.649999999999999" x14ac:dyDescent="0.5">
      <c r="D898" s="3" t="s">
        <v>132</v>
      </c>
    </row>
    <row r="899" spans="4:4" ht="17.649999999999999" x14ac:dyDescent="0.5">
      <c r="D899" s="3" t="s">
        <v>92</v>
      </c>
    </row>
    <row r="900" spans="4:4" ht="17.649999999999999" x14ac:dyDescent="0.5">
      <c r="D900" s="3" t="s">
        <v>75</v>
      </c>
    </row>
    <row r="901" spans="4:4" ht="17.649999999999999" x14ac:dyDescent="0.5">
      <c r="D901" s="3" t="s">
        <v>89</v>
      </c>
    </row>
    <row r="902" spans="4:4" ht="17.649999999999999" x14ac:dyDescent="0.5">
      <c r="D902" s="3" t="s">
        <v>81</v>
      </c>
    </row>
    <row r="903" spans="4:4" ht="17.649999999999999" x14ac:dyDescent="0.5">
      <c r="D903" s="3" t="s">
        <v>103</v>
      </c>
    </row>
    <row r="904" spans="4:4" ht="17.649999999999999" x14ac:dyDescent="0.5">
      <c r="D904" s="3" t="s">
        <v>50</v>
      </c>
    </row>
    <row r="905" spans="4:4" ht="17.649999999999999" x14ac:dyDescent="0.5">
      <c r="D905" s="3" t="s">
        <v>96</v>
      </c>
    </row>
    <row r="906" spans="4:4" ht="17.649999999999999" x14ac:dyDescent="0.5">
      <c r="D906" s="3" t="s">
        <v>65</v>
      </c>
    </row>
    <row r="907" spans="4:4" ht="17.649999999999999" x14ac:dyDescent="0.5">
      <c r="D907" s="3" t="s">
        <v>83</v>
      </c>
    </row>
    <row r="908" spans="4:4" ht="17.649999999999999" x14ac:dyDescent="0.5">
      <c r="D908" s="3" t="s">
        <v>120</v>
      </c>
    </row>
    <row r="909" spans="4:4" ht="17.649999999999999" x14ac:dyDescent="0.5">
      <c r="D909" s="3" t="s">
        <v>105</v>
      </c>
    </row>
    <row r="910" spans="4:4" ht="17.649999999999999" x14ac:dyDescent="0.5">
      <c r="D910" s="3" t="s">
        <v>49</v>
      </c>
    </row>
    <row r="911" spans="4:4" ht="17.649999999999999" x14ac:dyDescent="0.5">
      <c r="D911" s="3" t="s">
        <v>121</v>
      </c>
    </row>
    <row r="912" spans="4:4" ht="17.649999999999999" x14ac:dyDescent="0.5">
      <c r="D912" s="3" t="s">
        <v>50</v>
      </c>
    </row>
    <row r="913" spans="4:4" ht="17.649999999999999" x14ac:dyDescent="0.5">
      <c r="D913" s="3" t="s">
        <v>95</v>
      </c>
    </row>
    <row r="914" spans="4:4" ht="17.649999999999999" x14ac:dyDescent="0.5">
      <c r="D914" s="3" t="s">
        <v>72</v>
      </c>
    </row>
    <row r="915" spans="4:4" ht="17.649999999999999" x14ac:dyDescent="0.5">
      <c r="D915" s="3" t="s">
        <v>50</v>
      </c>
    </row>
    <row r="916" spans="4:4" ht="17.649999999999999" x14ac:dyDescent="0.5">
      <c r="D916" s="3" t="s">
        <v>97</v>
      </c>
    </row>
    <row r="917" spans="4:4" ht="17.649999999999999" x14ac:dyDescent="0.5">
      <c r="D917" s="3" t="s">
        <v>69</v>
      </c>
    </row>
    <row r="918" spans="4:4" ht="17.649999999999999" x14ac:dyDescent="0.5">
      <c r="D918" s="3" t="s">
        <v>96</v>
      </c>
    </row>
    <row r="919" spans="4:4" ht="17.649999999999999" x14ac:dyDescent="0.5">
      <c r="D919" s="3" t="s">
        <v>87</v>
      </c>
    </row>
    <row r="920" spans="4:4" ht="17.649999999999999" x14ac:dyDescent="0.5">
      <c r="D920" s="3" t="s">
        <v>51</v>
      </c>
    </row>
    <row r="921" spans="4:4" ht="17.649999999999999" x14ac:dyDescent="0.5">
      <c r="D921" s="3" t="s">
        <v>105</v>
      </c>
    </row>
    <row r="922" spans="4:4" ht="17.649999999999999" x14ac:dyDescent="0.5">
      <c r="D922" s="3" t="s">
        <v>56</v>
      </c>
    </row>
    <row r="923" spans="4:4" ht="17.649999999999999" x14ac:dyDescent="0.5">
      <c r="D923" s="3" t="s">
        <v>112</v>
      </c>
    </row>
    <row r="924" spans="4:4" ht="17.649999999999999" x14ac:dyDescent="0.5">
      <c r="D924" s="3" t="s">
        <v>71</v>
      </c>
    </row>
    <row r="925" spans="4:4" ht="17.649999999999999" x14ac:dyDescent="0.5">
      <c r="D925" s="3" t="s">
        <v>61</v>
      </c>
    </row>
    <row r="926" spans="4:4" ht="17.649999999999999" x14ac:dyDescent="0.5">
      <c r="D926" s="3" t="s">
        <v>83</v>
      </c>
    </row>
    <row r="927" spans="4:4" ht="17.649999999999999" x14ac:dyDescent="0.5">
      <c r="D927" s="3" t="s">
        <v>56</v>
      </c>
    </row>
    <row r="928" spans="4:4" ht="17.649999999999999" x14ac:dyDescent="0.5">
      <c r="D928" s="3" t="s">
        <v>85</v>
      </c>
    </row>
    <row r="929" spans="4:4" ht="17.649999999999999" x14ac:dyDescent="0.5">
      <c r="D929" s="3" t="s">
        <v>105</v>
      </c>
    </row>
    <row r="930" spans="4:4" ht="17.649999999999999" x14ac:dyDescent="0.5">
      <c r="D930" s="3" t="s">
        <v>117</v>
      </c>
    </row>
    <row r="931" spans="4:4" ht="17.649999999999999" x14ac:dyDescent="0.5">
      <c r="D931" s="3" t="s">
        <v>103</v>
      </c>
    </row>
    <row r="932" spans="4:4" ht="17.649999999999999" x14ac:dyDescent="0.5">
      <c r="D932" s="3" t="s">
        <v>134</v>
      </c>
    </row>
    <row r="933" spans="4:4" ht="17.649999999999999" x14ac:dyDescent="0.5">
      <c r="D933" s="3" t="s">
        <v>72</v>
      </c>
    </row>
    <row r="934" spans="4:4" ht="17.649999999999999" x14ac:dyDescent="0.5">
      <c r="D934" s="3" t="s">
        <v>85</v>
      </c>
    </row>
    <row r="935" spans="4:4" ht="17.649999999999999" x14ac:dyDescent="0.5">
      <c r="D935" s="3" t="s">
        <v>96</v>
      </c>
    </row>
    <row r="936" spans="4:4" ht="17.649999999999999" x14ac:dyDescent="0.5">
      <c r="D936" s="3" t="s">
        <v>65</v>
      </c>
    </row>
    <row r="937" spans="4:4" ht="17.649999999999999" x14ac:dyDescent="0.5">
      <c r="D937" s="3" t="s">
        <v>87</v>
      </c>
    </row>
    <row r="938" spans="4:4" ht="17.649999999999999" x14ac:dyDescent="0.5">
      <c r="D938" s="3" t="s">
        <v>50</v>
      </c>
    </row>
    <row r="939" spans="4:4" ht="17.649999999999999" x14ac:dyDescent="0.5">
      <c r="D939" s="3" t="s">
        <v>103</v>
      </c>
    </row>
    <row r="940" spans="4:4" ht="17.649999999999999" x14ac:dyDescent="0.5">
      <c r="D940" s="3" t="s">
        <v>54</v>
      </c>
    </row>
    <row r="941" spans="4:4" ht="17.649999999999999" x14ac:dyDescent="0.5">
      <c r="D941" s="3" t="s">
        <v>41</v>
      </c>
    </row>
    <row r="942" spans="4:4" ht="17.649999999999999" x14ac:dyDescent="0.5">
      <c r="D942" s="3" t="s">
        <v>46</v>
      </c>
    </row>
    <row r="943" spans="4:4" ht="17.649999999999999" x14ac:dyDescent="0.5">
      <c r="D943" s="3" t="s">
        <v>63</v>
      </c>
    </row>
    <row r="944" spans="4:4" ht="17.649999999999999" x14ac:dyDescent="0.5">
      <c r="D944" s="3" t="s">
        <v>91</v>
      </c>
    </row>
    <row r="945" spans="4:4" ht="17.649999999999999" x14ac:dyDescent="0.5">
      <c r="D945" s="3" t="s">
        <v>125</v>
      </c>
    </row>
    <row r="946" spans="4:4" ht="17.649999999999999" x14ac:dyDescent="0.5">
      <c r="D946" s="3" t="s">
        <v>74</v>
      </c>
    </row>
    <row r="947" spans="4:4" ht="17.649999999999999" x14ac:dyDescent="0.5">
      <c r="D947" s="3" t="s">
        <v>122</v>
      </c>
    </row>
    <row r="948" spans="4:4" ht="17.649999999999999" x14ac:dyDescent="0.5">
      <c r="D948" s="3" t="s">
        <v>73</v>
      </c>
    </row>
    <row r="949" spans="4:4" ht="17.649999999999999" x14ac:dyDescent="0.5">
      <c r="D949" s="3" t="s">
        <v>54</v>
      </c>
    </row>
    <row r="950" spans="4:4" ht="17.649999999999999" x14ac:dyDescent="0.5">
      <c r="D950" s="3" t="s">
        <v>59</v>
      </c>
    </row>
    <row r="951" spans="4:4" ht="17.649999999999999" x14ac:dyDescent="0.5">
      <c r="D951" s="3" t="s">
        <v>130</v>
      </c>
    </row>
    <row r="952" spans="4:4" ht="17.649999999999999" x14ac:dyDescent="0.5">
      <c r="D952" s="3" t="s">
        <v>66</v>
      </c>
    </row>
    <row r="953" spans="4:4" ht="17.649999999999999" x14ac:dyDescent="0.5">
      <c r="D953" s="3" t="s">
        <v>81</v>
      </c>
    </row>
    <row r="954" spans="4:4" ht="17.649999999999999" x14ac:dyDescent="0.5">
      <c r="D954" s="3" t="s">
        <v>61</v>
      </c>
    </row>
    <row r="955" spans="4:4" ht="17.649999999999999" x14ac:dyDescent="0.5">
      <c r="D955" s="3" t="s">
        <v>56</v>
      </c>
    </row>
    <row r="956" spans="4:4" ht="17.649999999999999" x14ac:dyDescent="0.5">
      <c r="D956" s="3" t="s">
        <v>64</v>
      </c>
    </row>
    <row r="957" spans="4:4" ht="17.649999999999999" x14ac:dyDescent="0.5">
      <c r="D957" s="3" t="s">
        <v>61</v>
      </c>
    </row>
    <row r="958" spans="4:4" ht="17.649999999999999" x14ac:dyDescent="0.5">
      <c r="D958" s="3" t="s">
        <v>65</v>
      </c>
    </row>
    <row r="959" spans="4:4" ht="17.649999999999999" x14ac:dyDescent="0.5">
      <c r="D959" s="3" t="s">
        <v>111</v>
      </c>
    </row>
    <row r="960" spans="4:4" ht="17.649999999999999" x14ac:dyDescent="0.5">
      <c r="D960" s="3" t="s">
        <v>65</v>
      </c>
    </row>
    <row r="961" spans="4:4" ht="17.649999999999999" x14ac:dyDescent="0.5">
      <c r="D961" s="3" t="s">
        <v>50</v>
      </c>
    </row>
    <row r="962" spans="4:4" ht="17.649999999999999" x14ac:dyDescent="0.5">
      <c r="D962" s="3" t="s">
        <v>121</v>
      </c>
    </row>
    <row r="963" spans="4:4" ht="17.649999999999999" x14ac:dyDescent="0.5">
      <c r="D963" s="3" t="s">
        <v>96</v>
      </c>
    </row>
    <row r="964" spans="4:4" ht="17.649999999999999" x14ac:dyDescent="0.5">
      <c r="D964" s="3" t="s">
        <v>70</v>
      </c>
    </row>
    <row r="965" spans="4:4" ht="17.649999999999999" x14ac:dyDescent="0.5">
      <c r="D965" s="3" t="s">
        <v>45</v>
      </c>
    </row>
    <row r="966" spans="4:4" ht="17.649999999999999" x14ac:dyDescent="0.5">
      <c r="D966" s="3" t="s">
        <v>101</v>
      </c>
    </row>
    <row r="967" spans="4:4" ht="17.649999999999999" x14ac:dyDescent="0.5">
      <c r="D967" s="3" t="s">
        <v>54</v>
      </c>
    </row>
    <row r="968" spans="4:4" ht="17.649999999999999" x14ac:dyDescent="0.5">
      <c r="D968" s="3" t="s">
        <v>107</v>
      </c>
    </row>
    <row r="969" spans="4:4" ht="17.649999999999999" x14ac:dyDescent="0.5">
      <c r="D969" s="3" t="s">
        <v>114</v>
      </c>
    </row>
    <row r="970" spans="4:4" ht="17.649999999999999" x14ac:dyDescent="0.5">
      <c r="D970" s="3" t="s">
        <v>43</v>
      </c>
    </row>
    <row r="971" spans="4:4" ht="17.649999999999999" x14ac:dyDescent="0.5">
      <c r="D971" s="3" t="s">
        <v>44</v>
      </c>
    </row>
    <row r="972" spans="4:4" ht="17.649999999999999" x14ac:dyDescent="0.5">
      <c r="D972" s="3" t="s">
        <v>41</v>
      </c>
    </row>
    <row r="973" spans="4:4" ht="17.649999999999999" x14ac:dyDescent="0.5">
      <c r="D973" s="3" t="s">
        <v>111</v>
      </c>
    </row>
    <row r="974" spans="4:4" ht="17.649999999999999" x14ac:dyDescent="0.5">
      <c r="D974" s="3" t="s">
        <v>47</v>
      </c>
    </row>
    <row r="975" spans="4:4" ht="17.649999999999999" x14ac:dyDescent="0.5">
      <c r="D975" s="3" t="s">
        <v>115</v>
      </c>
    </row>
    <row r="976" spans="4:4" ht="17.649999999999999" x14ac:dyDescent="0.5">
      <c r="D976" s="3" t="s">
        <v>57</v>
      </c>
    </row>
    <row r="977" spans="4:4" ht="17.649999999999999" x14ac:dyDescent="0.5">
      <c r="D977" s="3" t="s">
        <v>52</v>
      </c>
    </row>
    <row r="978" spans="4:4" ht="17.649999999999999" x14ac:dyDescent="0.5">
      <c r="D978" s="3" t="s">
        <v>132</v>
      </c>
    </row>
    <row r="979" spans="4:4" ht="17.649999999999999" x14ac:dyDescent="0.5">
      <c r="D979" s="3" t="s">
        <v>60</v>
      </c>
    </row>
    <row r="980" spans="4:4" ht="17.649999999999999" x14ac:dyDescent="0.5">
      <c r="D980" s="3" t="s">
        <v>46</v>
      </c>
    </row>
    <row r="981" spans="4:4" ht="17.649999999999999" x14ac:dyDescent="0.5">
      <c r="D981" s="3" t="s">
        <v>62</v>
      </c>
    </row>
    <row r="982" spans="4:4" ht="17.649999999999999" x14ac:dyDescent="0.5">
      <c r="D982" s="3" t="s">
        <v>94</v>
      </c>
    </row>
    <row r="983" spans="4:4" ht="17.649999999999999" x14ac:dyDescent="0.5">
      <c r="D983" s="3" t="s">
        <v>47</v>
      </c>
    </row>
    <row r="984" spans="4:4" ht="17.649999999999999" x14ac:dyDescent="0.5">
      <c r="D984" s="3" t="s">
        <v>44</v>
      </c>
    </row>
    <row r="985" spans="4:4" ht="17.649999999999999" x14ac:dyDescent="0.5">
      <c r="D985" s="3" t="s">
        <v>119</v>
      </c>
    </row>
    <row r="986" spans="4:4" ht="17.649999999999999" x14ac:dyDescent="0.5">
      <c r="D986" s="3" t="s">
        <v>131</v>
      </c>
    </row>
    <row r="987" spans="4:4" ht="17.649999999999999" x14ac:dyDescent="0.5">
      <c r="D987" s="3" t="s">
        <v>53</v>
      </c>
    </row>
    <row r="988" spans="4:4" ht="17.649999999999999" x14ac:dyDescent="0.5">
      <c r="D988" s="3" t="s">
        <v>122</v>
      </c>
    </row>
    <row r="989" spans="4:4" ht="17.649999999999999" x14ac:dyDescent="0.5">
      <c r="D989" s="3" t="s">
        <v>84</v>
      </c>
    </row>
    <row r="990" spans="4:4" ht="17.649999999999999" x14ac:dyDescent="0.5">
      <c r="D990" s="3" t="s">
        <v>53</v>
      </c>
    </row>
    <row r="991" spans="4:4" ht="17.649999999999999" x14ac:dyDescent="0.5">
      <c r="D991" s="3" t="s">
        <v>131</v>
      </c>
    </row>
    <row r="992" spans="4:4" ht="17.649999999999999" x14ac:dyDescent="0.5">
      <c r="D992" s="3" t="s">
        <v>54</v>
      </c>
    </row>
    <row r="993" spans="4:4" ht="17.649999999999999" x14ac:dyDescent="0.5">
      <c r="D993" s="3" t="s">
        <v>58</v>
      </c>
    </row>
    <row r="994" spans="4:4" ht="17.649999999999999" x14ac:dyDescent="0.5">
      <c r="D994" s="3" t="s">
        <v>96</v>
      </c>
    </row>
    <row r="995" spans="4:4" ht="17.649999999999999" x14ac:dyDescent="0.5">
      <c r="D995" s="3" t="s">
        <v>87</v>
      </c>
    </row>
    <row r="996" spans="4:4" ht="17.649999999999999" x14ac:dyDescent="0.5">
      <c r="D996" s="3" t="s">
        <v>67</v>
      </c>
    </row>
    <row r="997" spans="4:4" ht="17.649999999999999" x14ac:dyDescent="0.5">
      <c r="D997" s="3" t="s">
        <v>94</v>
      </c>
    </row>
    <row r="998" spans="4:4" ht="17.649999999999999" x14ac:dyDescent="0.5">
      <c r="D998" s="3" t="s">
        <v>70</v>
      </c>
    </row>
    <row r="999" spans="4:4" ht="17.649999999999999" x14ac:dyDescent="0.5">
      <c r="D999" s="3" t="s">
        <v>80</v>
      </c>
    </row>
    <row r="1000" spans="4:4" ht="17.649999999999999" x14ac:dyDescent="0.5">
      <c r="D1000" s="3" t="s">
        <v>61</v>
      </c>
    </row>
    <row r="1001" spans="4:4" ht="17.649999999999999" x14ac:dyDescent="0.5">
      <c r="D1001" s="3" t="s">
        <v>87</v>
      </c>
    </row>
    <row r="1002" spans="4:4" ht="17.649999999999999" x14ac:dyDescent="0.5">
      <c r="D1002" s="3" t="s">
        <v>80</v>
      </c>
    </row>
    <row r="1003" spans="4:4" ht="17.649999999999999" x14ac:dyDescent="0.5">
      <c r="D1003" s="3" t="s">
        <v>78</v>
      </c>
    </row>
    <row r="1004" spans="4:4" ht="17.649999999999999" x14ac:dyDescent="0.5">
      <c r="D1004" s="3" t="s">
        <v>112</v>
      </c>
    </row>
    <row r="1005" spans="4:4" ht="17.649999999999999" x14ac:dyDescent="0.5">
      <c r="D1005" s="3" t="s">
        <v>66</v>
      </c>
    </row>
    <row r="1006" spans="4:4" ht="17.649999999999999" x14ac:dyDescent="0.5">
      <c r="D1006" s="3" t="s">
        <v>69</v>
      </c>
    </row>
    <row r="1007" spans="4:4" ht="17.649999999999999" x14ac:dyDescent="0.5">
      <c r="D1007" s="3" t="s">
        <v>83</v>
      </c>
    </row>
    <row r="1008" spans="4:4" ht="17.649999999999999" x14ac:dyDescent="0.5">
      <c r="D1008" s="3" t="s">
        <v>77</v>
      </c>
    </row>
    <row r="1009" spans="4:4" ht="17.649999999999999" x14ac:dyDescent="0.5">
      <c r="D1009" s="3" t="s">
        <v>94</v>
      </c>
    </row>
    <row r="1010" spans="4:4" ht="17.649999999999999" x14ac:dyDescent="0.5">
      <c r="D1010" s="3" t="s">
        <v>64</v>
      </c>
    </row>
    <row r="1011" spans="4:4" ht="17.649999999999999" x14ac:dyDescent="0.5">
      <c r="D1011" s="3" t="s">
        <v>41</v>
      </c>
    </row>
    <row r="1012" spans="4:4" ht="17.649999999999999" x14ac:dyDescent="0.5">
      <c r="D1012" s="3" t="s">
        <v>101</v>
      </c>
    </row>
    <row r="1013" spans="4:4" ht="17.649999999999999" x14ac:dyDescent="0.5">
      <c r="D1013" s="3" t="s">
        <v>124</v>
      </c>
    </row>
    <row r="1014" spans="4:4" ht="17.649999999999999" x14ac:dyDescent="0.5">
      <c r="D1014" s="3" t="s">
        <v>57</v>
      </c>
    </row>
    <row r="1015" spans="4:4" ht="17.649999999999999" x14ac:dyDescent="0.5">
      <c r="D1015" s="3" t="s">
        <v>109</v>
      </c>
    </row>
    <row r="1016" spans="4:4" ht="17.649999999999999" x14ac:dyDescent="0.5">
      <c r="D1016" s="3" t="s">
        <v>53</v>
      </c>
    </row>
    <row r="1017" spans="4:4" ht="17.649999999999999" x14ac:dyDescent="0.5">
      <c r="D1017" s="3" t="s">
        <v>131</v>
      </c>
    </row>
    <row r="1018" spans="4:4" ht="17.649999999999999" x14ac:dyDescent="0.5">
      <c r="D1018" s="3" t="s">
        <v>87</v>
      </c>
    </row>
    <row r="1019" spans="4:4" ht="17.649999999999999" x14ac:dyDescent="0.5">
      <c r="D1019" s="3" t="s">
        <v>117</v>
      </c>
    </row>
    <row r="1020" spans="4:4" ht="17.649999999999999" x14ac:dyDescent="0.5">
      <c r="D1020" s="3" t="s">
        <v>74</v>
      </c>
    </row>
    <row r="1021" spans="4:4" ht="17.649999999999999" x14ac:dyDescent="0.5">
      <c r="D1021" s="3" t="s">
        <v>59</v>
      </c>
    </row>
    <row r="1022" spans="4:4" ht="17.649999999999999" x14ac:dyDescent="0.5">
      <c r="D1022" s="3" t="s">
        <v>50</v>
      </c>
    </row>
    <row r="1023" spans="4:4" ht="17.649999999999999" x14ac:dyDescent="0.5">
      <c r="D1023" s="3" t="s">
        <v>46</v>
      </c>
    </row>
    <row r="1024" spans="4:4" ht="17.649999999999999" x14ac:dyDescent="0.5">
      <c r="D1024" s="3" t="s">
        <v>107</v>
      </c>
    </row>
    <row r="1025" spans="4:4" ht="17.649999999999999" x14ac:dyDescent="0.5">
      <c r="D1025" s="3" t="s">
        <v>101</v>
      </c>
    </row>
    <row r="1026" spans="4:4" ht="17.649999999999999" x14ac:dyDescent="0.5">
      <c r="D1026" s="3" t="s">
        <v>48</v>
      </c>
    </row>
    <row r="1027" spans="4:4" ht="17.649999999999999" x14ac:dyDescent="0.5">
      <c r="D1027" s="3" t="s">
        <v>120</v>
      </c>
    </row>
    <row r="1028" spans="4:4" ht="17.649999999999999" x14ac:dyDescent="0.5">
      <c r="D1028" s="3" t="s">
        <v>112</v>
      </c>
    </row>
    <row r="1029" spans="4:4" ht="17.649999999999999" x14ac:dyDescent="0.5">
      <c r="D1029" s="3" t="s">
        <v>71</v>
      </c>
    </row>
    <row r="1030" spans="4:4" ht="17.649999999999999" x14ac:dyDescent="0.5">
      <c r="D1030" s="3" t="s">
        <v>49</v>
      </c>
    </row>
    <row r="1031" spans="4:4" ht="17.649999999999999" x14ac:dyDescent="0.5">
      <c r="D1031" s="3" t="s">
        <v>69</v>
      </c>
    </row>
    <row r="1032" spans="4:4" ht="17.649999999999999" x14ac:dyDescent="0.5">
      <c r="D1032" s="3" t="s">
        <v>96</v>
      </c>
    </row>
    <row r="1033" spans="4:4" ht="17.649999999999999" x14ac:dyDescent="0.5">
      <c r="D1033" s="3" t="s">
        <v>106</v>
      </c>
    </row>
    <row r="1034" spans="4:4" ht="17.649999999999999" x14ac:dyDescent="0.5">
      <c r="D1034" s="3" t="s">
        <v>95</v>
      </c>
    </row>
    <row r="1035" spans="4:4" ht="17.649999999999999" x14ac:dyDescent="0.5">
      <c r="D1035" s="3" t="s">
        <v>109</v>
      </c>
    </row>
    <row r="1036" spans="4:4" ht="17.649999999999999" x14ac:dyDescent="0.5">
      <c r="D1036" s="3" t="s">
        <v>117</v>
      </c>
    </row>
    <row r="1037" spans="4:4" ht="17.649999999999999" x14ac:dyDescent="0.5">
      <c r="D1037" s="3" t="s">
        <v>49</v>
      </c>
    </row>
    <row r="1038" spans="4:4" ht="17.649999999999999" x14ac:dyDescent="0.5">
      <c r="D1038" s="3" t="s">
        <v>73</v>
      </c>
    </row>
    <row r="1039" spans="4:4" ht="17.649999999999999" x14ac:dyDescent="0.5">
      <c r="D1039" s="3" t="s">
        <v>113</v>
      </c>
    </row>
    <row r="1040" spans="4:4" ht="17.649999999999999" x14ac:dyDescent="0.5">
      <c r="D1040" s="3" t="s">
        <v>71</v>
      </c>
    </row>
    <row r="1041" spans="4:4" ht="17.649999999999999" x14ac:dyDescent="0.5">
      <c r="D1041" s="3" t="s">
        <v>41</v>
      </c>
    </row>
    <row r="1042" spans="4:4" ht="17.649999999999999" x14ac:dyDescent="0.5">
      <c r="D1042" s="3" t="s">
        <v>79</v>
      </c>
    </row>
    <row r="1043" spans="4:4" ht="17.649999999999999" x14ac:dyDescent="0.5">
      <c r="D1043" s="3" t="s">
        <v>131</v>
      </c>
    </row>
    <row r="1044" spans="4:4" ht="17.649999999999999" x14ac:dyDescent="0.5">
      <c r="D1044" s="3" t="s">
        <v>78</v>
      </c>
    </row>
    <row r="1045" spans="4:4" ht="17.649999999999999" x14ac:dyDescent="0.5">
      <c r="D1045" s="3" t="s">
        <v>43</v>
      </c>
    </row>
    <row r="1046" spans="4:4" ht="17.649999999999999" x14ac:dyDescent="0.5">
      <c r="D1046" s="3" t="s">
        <v>52</v>
      </c>
    </row>
    <row r="1047" spans="4:4" ht="17.649999999999999" x14ac:dyDescent="0.5">
      <c r="D1047" s="3" t="s">
        <v>104</v>
      </c>
    </row>
    <row r="1048" spans="4:4" ht="17.649999999999999" x14ac:dyDescent="0.5">
      <c r="D1048" s="3" t="s">
        <v>66</v>
      </c>
    </row>
    <row r="1049" spans="4:4" ht="17.649999999999999" x14ac:dyDescent="0.5">
      <c r="D1049" s="3" t="s">
        <v>61</v>
      </c>
    </row>
    <row r="1050" spans="4:4" ht="17.649999999999999" x14ac:dyDescent="0.5">
      <c r="D1050" s="3" t="s">
        <v>47</v>
      </c>
    </row>
    <row r="1051" spans="4:4" ht="17.649999999999999" x14ac:dyDescent="0.5">
      <c r="D1051" s="3" t="s">
        <v>72</v>
      </c>
    </row>
    <row r="1052" spans="4:4" ht="17.649999999999999" x14ac:dyDescent="0.5">
      <c r="D1052" s="3" t="s">
        <v>73</v>
      </c>
    </row>
    <row r="1053" spans="4:4" ht="17.649999999999999" x14ac:dyDescent="0.5">
      <c r="D1053" s="3" t="s">
        <v>59</v>
      </c>
    </row>
    <row r="1054" spans="4:4" ht="17.649999999999999" x14ac:dyDescent="0.5">
      <c r="D1054" s="3" t="s">
        <v>47</v>
      </c>
    </row>
    <row r="1055" spans="4:4" ht="17.649999999999999" x14ac:dyDescent="0.5">
      <c r="D1055" s="3" t="s">
        <v>96</v>
      </c>
    </row>
    <row r="1056" spans="4:4" ht="17.649999999999999" x14ac:dyDescent="0.5">
      <c r="D1056" s="3" t="s">
        <v>67</v>
      </c>
    </row>
    <row r="1057" spans="4:4" ht="17.649999999999999" x14ac:dyDescent="0.5">
      <c r="D1057" s="3" t="s">
        <v>49</v>
      </c>
    </row>
    <row r="1058" spans="4:4" ht="17.649999999999999" x14ac:dyDescent="0.5">
      <c r="D1058" s="3" t="s">
        <v>50</v>
      </c>
    </row>
    <row r="1059" spans="4:4" ht="17.649999999999999" x14ac:dyDescent="0.5">
      <c r="D1059" s="3" t="s">
        <v>101</v>
      </c>
    </row>
    <row r="1060" spans="4:4" ht="17.649999999999999" x14ac:dyDescent="0.5">
      <c r="D1060" s="3" t="s">
        <v>125</v>
      </c>
    </row>
    <row r="1061" spans="4:4" ht="17.649999999999999" x14ac:dyDescent="0.5">
      <c r="D1061" s="3" t="s">
        <v>43</v>
      </c>
    </row>
    <row r="1062" spans="4:4" ht="17.649999999999999" x14ac:dyDescent="0.5">
      <c r="D1062" s="3" t="s">
        <v>77</v>
      </c>
    </row>
    <row r="1063" spans="4:4" ht="17.649999999999999" x14ac:dyDescent="0.5">
      <c r="D1063" s="3" t="s">
        <v>61</v>
      </c>
    </row>
    <row r="1064" spans="4:4" ht="17.649999999999999" x14ac:dyDescent="0.5">
      <c r="D1064" s="3" t="s">
        <v>59</v>
      </c>
    </row>
    <row r="1065" spans="4:4" ht="17.649999999999999" x14ac:dyDescent="0.5">
      <c r="D1065" s="3" t="s">
        <v>90</v>
      </c>
    </row>
    <row r="1066" spans="4:4" ht="17.649999999999999" x14ac:dyDescent="0.5">
      <c r="D1066" s="3" t="s">
        <v>117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64</v>
      </c>
    </row>
    <row r="1069" spans="4:4" ht="17.649999999999999" x14ac:dyDescent="0.5">
      <c r="D1069" s="3" t="s">
        <v>46</v>
      </c>
    </row>
    <row r="1070" spans="4:4" ht="17.649999999999999" x14ac:dyDescent="0.5">
      <c r="D1070" s="3" t="s">
        <v>107</v>
      </c>
    </row>
    <row r="1071" spans="4:4" ht="17.649999999999999" x14ac:dyDescent="0.5">
      <c r="D1071" s="3" t="s">
        <v>96</v>
      </c>
    </row>
    <row r="1072" spans="4:4" ht="17.649999999999999" x14ac:dyDescent="0.5">
      <c r="D1072" s="3" t="s">
        <v>52</v>
      </c>
    </row>
    <row r="1073" spans="4:4" ht="17.649999999999999" x14ac:dyDescent="0.5">
      <c r="D1073" s="3" t="s">
        <v>67</v>
      </c>
    </row>
    <row r="1074" spans="4:4" ht="17.649999999999999" x14ac:dyDescent="0.5">
      <c r="D1074" s="3" t="s">
        <v>45</v>
      </c>
    </row>
    <row r="1075" spans="4:4" ht="17.649999999999999" x14ac:dyDescent="0.5">
      <c r="D1075" s="3" t="s">
        <v>68</v>
      </c>
    </row>
    <row r="1076" spans="4:4" ht="17.649999999999999" x14ac:dyDescent="0.5">
      <c r="D1076" s="3" t="s">
        <v>59</v>
      </c>
    </row>
    <row r="1077" spans="4:4" ht="17.649999999999999" x14ac:dyDescent="0.5">
      <c r="D1077" s="3" t="s">
        <v>114</v>
      </c>
    </row>
    <row r="1078" spans="4:4" ht="17.649999999999999" x14ac:dyDescent="0.5">
      <c r="D1078" s="3" t="s">
        <v>112</v>
      </c>
    </row>
    <row r="1079" spans="4:4" ht="17.649999999999999" x14ac:dyDescent="0.5">
      <c r="D1079" s="3" t="s">
        <v>78</v>
      </c>
    </row>
    <row r="1080" spans="4:4" ht="17.649999999999999" x14ac:dyDescent="0.5">
      <c r="D1080" s="3" t="s">
        <v>87</v>
      </c>
    </row>
    <row r="1081" spans="4:4" ht="17.649999999999999" x14ac:dyDescent="0.5">
      <c r="D1081" s="3" t="s">
        <v>124</v>
      </c>
    </row>
    <row r="1082" spans="4:4" ht="17.649999999999999" x14ac:dyDescent="0.5">
      <c r="D1082" s="3" t="s">
        <v>103</v>
      </c>
    </row>
    <row r="1083" spans="4:4" ht="17.649999999999999" x14ac:dyDescent="0.5">
      <c r="D1083" s="3" t="s">
        <v>80</v>
      </c>
    </row>
    <row r="1084" spans="4:4" ht="17.649999999999999" x14ac:dyDescent="0.5">
      <c r="D1084" s="3" t="s">
        <v>88</v>
      </c>
    </row>
    <row r="1085" spans="4:4" ht="17.649999999999999" x14ac:dyDescent="0.5">
      <c r="D1085" s="3" t="s">
        <v>78</v>
      </c>
    </row>
    <row r="1086" spans="4:4" ht="17.649999999999999" x14ac:dyDescent="0.5">
      <c r="D1086" s="3" t="s">
        <v>105</v>
      </c>
    </row>
    <row r="1087" spans="4:4" ht="17.649999999999999" x14ac:dyDescent="0.5">
      <c r="D1087" s="3" t="s">
        <v>114</v>
      </c>
    </row>
    <row r="1088" spans="4:4" ht="17.649999999999999" x14ac:dyDescent="0.5">
      <c r="D1088" s="3" t="s">
        <v>96</v>
      </c>
    </row>
    <row r="1089" spans="4:4" ht="17.649999999999999" x14ac:dyDescent="0.5">
      <c r="D1089" s="3" t="s">
        <v>77</v>
      </c>
    </row>
    <row r="1090" spans="4:4" ht="17.649999999999999" x14ac:dyDescent="0.5">
      <c r="D1090" s="3" t="s">
        <v>69</v>
      </c>
    </row>
    <row r="1091" spans="4:4" ht="17.649999999999999" x14ac:dyDescent="0.5">
      <c r="D1091" s="3" t="s">
        <v>117</v>
      </c>
    </row>
    <row r="1092" spans="4:4" ht="17.649999999999999" x14ac:dyDescent="0.5">
      <c r="D1092" s="3" t="s">
        <v>101</v>
      </c>
    </row>
    <row r="1093" spans="4:4" ht="17.649999999999999" x14ac:dyDescent="0.5">
      <c r="D1093" s="3" t="s">
        <v>49</v>
      </c>
    </row>
    <row r="1094" spans="4:4" ht="17.649999999999999" x14ac:dyDescent="0.5">
      <c r="D1094" s="3" t="s">
        <v>105</v>
      </c>
    </row>
    <row r="1095" spans="4:4" ht="17.649999999999999" x14ac:dyDescent="0.5">
      <c r="D1095" s="3" t="s">
        <v>86</v>
      </c>
    </row>
    <row r="1096" spans="4:4" ht="17.649999999999999" x14ac:dyDescent="0.5">
      <c r="D1096" s="3" t="s">
        <v>65</v>
      </c>
    </row>
    <row r="1097" spans="4:4" ht="17.649999999999999" x14ac:dyDescent="0.5">
      <c r="D1097" s="3" t="s">
        <v>96</v>
      </c>
    </row>
    <row r="1098" spans="4:4" ht="17.649999999999999" x14ac:dyDescent="0.5">
      <c r="D1098" s="3" t="s">
        <v>125</v>
      </c>
    </row>
    <row r="1099" spans="4:4" ht="17.649999999999999" x14ac:dyDescent="0.5">
      <c r="D1099" s="3" t="s">
        <v>84</v>
      </c>
    </row>
    <row r="1100" spans="4:4" ht="17.649999999999999" x14ac:dyDescent="0.5">
      <c r="D1100" s="3" t="s">
        <v>69</v>
      </c>
    </row>
    <row r="1101" spans="4:4" ht="17.649999999999999" x14ac:dyDescent="0.5">
      <c r="D1101" s="3" t="s">
        <v>61</v>
      </c>
    </row>
    <row r="1102" spans="4:4" ht="17.649999999999999" x14ac:dyDescent="0.5">
      <c r="D1102" s="3" t="s">
        <v>92</v>
      </c>
    </row>
    <row r="1103" spans="4:4" ht="17.649999999999999" x14ac:dyDescent="0.5">
      <c r="D1103" s="3" t="s">
        <v>85</v>
      </c>
    </row>
    <row r="1104" spans="4:4" ht="17.649999999999999" x14ac:dyDescent="0.5">
      <c r="D1104" s="3" t="s">
        <v>117</v>
      </c>
    </row>
    <row r="1105" spans="4:4" ht="17.649999999999999" x14ac:dyDescent="0.5">
      <c r="D1105" s="3" t="s">
        <v>69</v>
      </c>
    </row>
    <row r="1106" spans="4:4" ht="17.649999999999999" x14ac:dyDescent="0.5">
      <c r="D1106" s="3" t="s">
        <v>129</v>
      </c>
    </row>
    <row r="1107" spans="4:4" ht="17.649999999999999" x14ac:dyDescent="0.5">
      <c r="D1107" s="3" t="s">
        <v>59</v>
      </c>
    </row>
    <row r="1108" spans="4:4" ht="17.649999999999999" x14ac:dyDescent="0.5">
      <c r="D1108" s="3" t="s">
        <v>92</v>
      </c>
    </row>
    <row r="1109" spans="4:4" ht="17.649999999999999" x14ac:dyDescent="0.5">
      <c r="D1109" s="3" t="s">
        <v>98</v>
      </c>
    </row>
    <row r="1110" spans="4:4" ht="17.649999999999999" x14ac:dyDescent="0.5">
      <c r="D1110" s="3" t="s">
        <v>109</v>
      </c>
    </row>
    <row r="1111" spans="4:4" ht="17.649999999999999" x14ac:dyDescent="0.5">
      <c r="D1111" s="3" t="s">
        <v>60</v>
      </c>
    </row>
    <row r="1112" spans="4:4" ht="17.649999999999999" x14ac:dyDescent="0.5">
      <c r="D1112" s="3" t="s">
        <v>134</v>
      </c>
    </row>
    <row r="1113" spans="4:4" ht="17.649999999999999" x14ac:dyDescent="0.5">
      <c r="D1113" s="3" t="s">
        <v>111</v>
      </c>
    </row>
    <row r="1114" spans="4:4" ht="17.649999999999999" x14ac:dyDescent="0.5">
      <c r="D1114" s="3" t="s">
        <v>41</v>
      </c>
    </row>
    <row r="1115" spans="4:4" ht="17.649999999999999" x14ac:dyDescent="0.5">
      <c r="D1115" s="3" t="s">
        <v>64</v>
      </c>
    </row>
    <row r="1116" spans="4:4" ht="17.649999999999999" x14ac:dyDescent="0.5">
      <c r="D1116" s="3" t="s">
        <v>57</v>
      </c>
    </row>
    <row r="1117" spans="4:4" ht="17.649999999999999" x14ac:dyDescent="0.5">
      <c r="D1117" s="3" t="s">
        <v>101</v>
      </c>
    </row>
    <row r="1118" spans="4:4" ht="17.649999999999999" x14ac:dyDescent="0.5">
      <c r="D1118" s="3" t="s">
        <v>91</v>
      </c>
    </row>
    <row r="1119" spans="4:4" ht="17.649999999999999" x14ac:dyDescent="0.5">
      <c r="D1119" s="3" t="s">
        <v>101</v>
      </c>
    </row>
    <row r="1120" spans="4:4" ht="17.649999999999999" x14ac:dyDescent="0.5">
      <c r="D1120" s="3" t="s">
        <v>91</v>
      </c>
    </row>
    <row r="1121" spans="4:4" ht="17.649999999999999" x14ac:dyDescent="0.5">
      <c r="D1121" s="3" t="s">
        <v>82</v>
      </c>
    </row>
    <row r="1122" spans="4:4" ht="17.649999999999999" x14ac:dyDescent="0.5">
      <c r="D1122" s="3" t="s">
        <v>74</v>
      </c>
    </row>
    <row r="1123" spans="4:4" ht="17.649999999999999" x14ac:dyDescent="0.5">
      <c r="D1123" s="3" t="s">
        <v>48</v>
      </c>
    </row>
    <row r="1124" spans="4:4" ht="17.649999999999999" x14ac:dyDescent="0.5">
      <c r="D1124" s="3" t="s">
        <v>77</v>
      </c>
    </row>
    <row r="1125" spans="4:4" ht="17.649999999999999" x14ac:dyDescent="0.5">
      <c r="D1125" s="3" t="s">
        <v>87</v>
      </c>
    </row>
    <row r="1126" spans="4:4" ht="17.649999999999999" x14ac:dyDescent="0.5">
      <c r="D1126" s="3" t="s">
        <v>67</v>
      </c>
    </row>
    <row r="1127" spans="4:4" ht="17.649999999999999" x14ac:dyDescent="0.5">
      <c r="D1127" s="3" t="s">
        <v>114</v>
      </c>
    </row>
    <row r="1128" spans="4:4" ht="17.649999999999999" x14ac:dyDescent="0.5">
      <c r="D1128" s="3" t="s">
        <v>53</v>
      </c>
    </row>
    <row r="1129" spans="4:4" ht="17.649999999999999" x14ac:dyDescent="0.5">
      <c r="D1129" s="3" t="s">
        <v>91</v>
      </c>
    </row>
    <row r="1130" spans="4:4" ht="17.649999999999999" x14ac:dyDescent="0.5">
      <c r="D1130" s="3" t="s">
        <v>106</v>
      </c>
    </row>
    <row r="1131" spans="4:4" ht="17.649999999999999" x14ac:dyDescent="0.5">
      <c r="D1131" s="3" t="s">
        <v>98</v>
      </c>
    </row>
    <row r="1132" spans="4:4" ht="17.649999999999999" x14ac:dyDescent="0.5">
      <c r="D1132" s="3" t="s">
        <v>96</v>
      </c>
    </row>
    <row r="1133" spans="4:4" ht="17.649999999999999" x14ac:dyDescent="0.5">
      <c r="D1133" s="3" t="s">
        <v>125</v>
      </c>
    </row>
    <row r="1134" spans="4:4" ht="17.649999999999999" x14ac:dyDescent="0.5">
      <c r="D1134" s="3" t="s">
        <v>80</v>
      </c>
    </row>
    <row r="1135" spans="4:4" ht="17.649999999999999" x14ac:dyDescent="0.5">
      <c r="D1135" s="3" t="s">
        <v>86</v>
      </c>
    </row>
    <row r="1136" spans="4:4" ht="17.649999999999999" x14ac:dyDescent="0.5">
      <c r="D1136" s="3" t="s">
        <v>83</v>
      </c>
    </row>
    <row r="1137" spans="4:4" ht="17.649999999999999" x14ac:dyDescent="0.5">
      <c r="D1137" s="3" t="s">
        <v>64</v>
      </c>
    </row>
    <row r="1138" spans="4:4" ht="17.649999999999999" x14ac:dyDescent="0.5">
      <c r="D1138" s="3" t="s">
        <v>91</v>
      </c>
    </row>
    <row r="1139" spans="4:4" ht="17.649999999999999" x14ac:dyDescent="0.5">
      <c r="D1139" s="3" t="s">
        <v>103</v>
      </c>
    </row>
    <row r="1140" spans="4:4" ht="17.649999999999999" x14ac:dyDescent="0.5">
      <c r="D1140" s="3" t="s">
        <v>50</v>
      </c>
    </row>
    <row r="1141" spans="4:4" ht="17.649999999999999" x14ac:dyDescent="0.5">
      <c r="D1141" s="3" t="s">
        <v>94</v>
      </c>
    </row>
    <row r="1142" spans="4:4" ht="17.649999999999999" x14ac:dyDescent="0.5">
      <c r="D1142" s="3" t="s">
        <v>129</v>
      </c>
    </row>
    <row r="1143" spans="4:4" ht="17.649999999999999" x14ac:dyDescent="0.5">
      <c r="D1143" s="3" t="s">
        <v>87</v>
      </c>
    </row>
    <row r="1144" spans="4:4" ht="17.649999999999999" x14ac:dyDescent="0.5">
      <c r="D1144" s="3" t="s">
        <v>63</v>
      </c>
    </row>
    <row r="1145" spans="4:4" ht="17.649999999999999" x14ac:dyDescent="0.5">
      <c r="D1145" s="3" t="s">
        <v>94</v>
      </c>
    </row>
    <row r="1146" spans="4:4" ht="17.649999999999999" x14ac:dyDescent="0.5">
      <c r="D1146" s="3" t="s">
        <v>43</v>
      </c>
    </row>
    <row r="1147" spans="4:4" ht="17.649999999999999" x14ac:dyDescent="0.5">
      <c r="D1147" s="3" t="s">
        <v>72</v>
      </c>
    </row>
    <row r="1148" spans="4:4" ht="17.649999999999999" x14ac:dyDescent="0.5">
      <c r="D1148" s="3" t="s">
        <v>49</v>
      </c>
    </row>
    <row r="1149" spans="4:4" ht="17.649999999999999" x14ac:dyDescent="0.5">
      <c r="D1149" s="3" t="s">
        <v>92</v>
      </c>
    </row>
    <row r="1150" spans="4:4" ht="17.649999999999999" x14ac:dyDescent="0.5">
      <c r="D1150" s="3" t="s">
        <v>115</v>
      </c>
    </row>
    <row r="1151" spans="4:4" ht="17.649999999999999" x14ac:dyDescent="0.5">
      <c r="D1151" s="3" t="s">
        <v>81</v>
      </c>
    </row>
    <row r="1152" spans="4:4" ht="17.649999999999999" x14ac:dyDescent="0.5">
      <c r="D1152" s="3" t="s">
        <v>51</v>
      </c>
    </row>
    <row r="1153" spans="4:4" ht="17.649999999999999" x14ac:dyDescent="0.5">
      <c r="D1153" s="3" t="s">
        <v>98</v>
      </c>
    </row>
    <row r="1154" spans="4:4" ht="17.649999999999999" x14ac:dyDescent="0.5">
      <c r="D1154" s="3" t="s">
        <v>57</v>
      </c>
    </row>
    <row r="1155" spans="4:4" ht="17.649999999999999" x14ac:dyDescent="0.5">
      <c r="D1155" s="3" t="s">
        <v>43</v>
      </c>
    </row>
    <row r="1156" spans="4:4" ht="17.649999999999999" x14ac:dyDescent="0.5">
      <c r="D1156" s="3" t="s">
        <v>113</v>
      </c>
    </row>
    <row r="1157" spans="4:4" ht="17.649999999999999" x14ac:dyDescent="0.5">
      <c r="D1157" s="3" t="s">
        <v>56</v>
      </c>
    </row>
    <row r="1158" spans="4:4" ht="17.649999999999999" x14ac:dyDescent="0.5">
      <c r="D1158" s="3" t="s">
        <v>135</v>
      </c>
    </row>
    <row r="1159" spans="4:4" ht="17.649999999999999" x14ac:dyDescent="0.5">
      <c r="D1159" s="3" t="s">
        <v>48</v>
      </c>
    </row>
    <row r="1160" spans="4:4" ht="17.649999999999999" x14ac:dyDescent="0.5">
      <c r="D1160" s="3" t="s">
        <v>83</v>
      </c>
    </row>
    <row r="1161" spans="4:4" ht="17.649999999999999" x14ac:dyDescent="0.5">
      <c r="D1161" s="3" t="s">
        <v>93</v>
      </c>
    </row>
    <row r="1162" spans="4:4" ht="17.649999999999999" x14ac:dyDescent="0.5">
      <c r="D1162" s="3" t="s">
        <v>94</v>
      </c>
    </row>
    <row r="1163" spans="4:4" ht="17.649999999999999" x14ac:dyDescent="0.5">
      <c r="D1163" s="3" t="s">
        <v>127</v>
      </c>
    </row>
    <row r="1164" spans="4:4" ht="17.649999999999999" x14ac:dyDescent="0.5">
      <c r="D1164" s="3" t="s">
        <v>51</v>
      </c>
    </row>
    <row r="1165" spans="4:4" ht="17.649999999999999" x14ac:dyDescent="0.5">
      <c r="D1165" s="3" t="s">
        <v>131</v>
      </c>
    </row>
    <row r="1166" spans="4:4" ht="17.649999999999999" x14ac:dyDescent="0.5">
      <c r="D1166" s="3" t="s">
        <v>117</v>
      </c>
    </row>
    <row r="1167" spans="4:4" ht="17.649999999999999" x14ac:dyDescent="0.5">
      <c r="D1167" s="3" t="s">
        <v>65</v>
      </c>
    </row>
    <row r="1168" spans="4:4" ht="17.649999999999999" x14ac:dyDescent="0.5">
      <c r="D1168" s="3" t="s">
        <v>79</v>
      </c>
    </row>
    <row r="1169" spans="4:4" ht="17.649999999999999" x14ac:dyDescent="0.5">
      <c r="D1169" s="3" t="s">
        <v>66</v>
      </c>
    </row>
    <row r="1170" spans="4:4" ht="17.649999999999999" x14ac:dyDescent="0.5">
      <c r="D1170" s="3" t="s">
        <v>41</v>
      </c>
    </row>
    <row r="1171" spans="4:4" ht="17.649999999999999" x14ac:dyDescent="0.5">
      <c r="D1171" s="3" t="s">
        <v>85</v>
      </c>
    </row>
    <row r="1172" spans="4:4" ht="17.649999999999999" x14ac:dyDescent="0.5">
      <c r="D1172" s="3" t="s">
        <v>51</v>
      </c>
    </row>
    <row r="1173" spans="4:4" ht="17.649999999999999" x14ac:dyDescent="0.5">
      <c r="D1173" s="3" t="s">
        <v>83</v>
      </c>
    </row>
    <row r="1174" spans="4:4" ht="17.649999999999999" x14ac:dyDescent="0.5">
      <c r="D1174" s="3" t="s">
        <v>126</v>
      </c>
    </row>
    <row r="1175" spans="4:4" ht="17.649999999999999" x14ac:dyDescent="0.5">
      <c r="D1175" s="3" t="s">
        <v>49</v>
      </c>
    </row>
    <row r="1176" spans="4:4" ht="17.649999999999999" x14ac:dyDescent="0.5">
      <c r="D1176" s="3" t="s">
        <v>136</v>
      </c>
    </row>
    <row r="1177" spans="4:4" ht="17.649999999999999" x14ac:dyDescent="0.5">
      <c r="D1177" s="3" t="s">
        <v>56</v>
      </c>
    </row>
    <row r="1178" spans="4:4" ht="17.649999999999999" x14ac:dyDescent="0.5">
      <c r="D1178" s="3" t="s">
        <v>68</v>
      </c>
    </row>
    <row r="1179" spans="4:4" ht="17.649999999999999" x14ac:dyDescent="0.5">
      <c r="D1179" s="3" t="s">
        <v>78</v>
      </c>
    </row>
    <row r="1180" spans="4:4" ht="17.649999999999999" x14ac:dyDescent="0.5">
      <c r="D1180" s="3" t="s">
        <v>112</v>
      </c>
    </row>
    <row r="1181" spans="4:4" ht="17.649999999999999" x14ac:dyDescent="0.5">
      <c r="D1181" s="3" t="s">
        <v>54</v>
      </c>
    </row>
    <row r="1182" spans="4:4" ht="17.649999999999999" x14ac:dyDescent="0.5">
      <c r="D1182" s="3" t="s">
        <v>98</v>
      </c>
    </row>
    <row r="1183" spans="4:4" ht="17.649999999999999" x14ac:dyDescent="0.5">
      <c r="D1183" s="3" t="s">
        <v>117</v>
      </c>
    </row>
    <row r="1184" spans="4:4" ht="17.649999999999999" x14ac:dyDescent="0.5">
      <c r="D1184" s="3" t="s">
        <v>87</v>
      </c>
    </row>
    <row r="1185" spans="4:4" ht="17.649999999999999" x14ac:dyDescent="0.5">
      <c r="D1185" s="3" t="s">
        <v>51</v>
      </c>
    </row>
    <row r="1186" spans="4:4" ht="17.649999999999999" x14ac:dyDescent="0.5">
      <c r="D1186" s="3" t="s">
        <v>82</v>
      </c>
    </row>
    <row r="1187" spans="4:4" ht="17.649999999999999" x14ac:dyDescent="0.5">
      <c r="D1187" s="3" t="s">
        <v>103</v>
      </c>
    </row>
    <row r="1188" spans="4:4" ht="17.649999999999999" x14ac:dyDescent="0.5">
      <c r="D1188" s="3" t="s">
        <v>52</v>
      </c>
    </row>
    <row r="1189" spans="4:4" ht="17.649999999999999" x14ac:dyDescent="0.5">
      <c r="D1189" s="3" t="s">
        <v>67</v>
      </c>
    </row>
    <row r="1190" spans="4:4" ht="17.649999999999999" x14ac:dyDescent="0.5">
      <c r="D1190" s="3" t="s">
        <v>48</v>
      </c>
    </row>
    <row r="1191" spans="4:4" ht="17.649999999999999" x14ac:dyDescent="0.5">
      <c r="D1191" s="3" t="s">
        <v>133</v>
      </c>
    </row>
    <row r="1192" spans="4:4" ht="17.649999999999999" x14ac:dyDescent="0.5">
      <c r="D1192" s="3" t="s">
        <v>101</v>
      </c>
    </row>
    <row r="1193" spans="4:4" ht="17.649999999999999" x14ac:dyDescent="0.5">
      <c r="D1193" s="3" t="s">
        <v>96</v>
      </c>
    </row>
    <row r="1194" spans="4:4" ht="17.649999999999999" x14ac:dyDescent="0.5">
      <c r="D1194" s="3" t="s">
        <v>42</v>
      </c>
    </row>
    <row r="1195" spans="4:4" ht="17.649999999999999" x14ac:dyDescent="0.5">
      <c r="D1195" s="3" t="s">
        <v>57</v>
      </c>
    </row>
    <row r="1196" spans="4:4" ht="17.649999999999999" x14ac:dyDescent="0.5">
      <c r="D1196" s="3" t="s">
        <v>78</v>
      </c>
    </row>
    <row r="1197" spans="4:4" ht="17.649999999999999" x14ac:dyDescent="0.5">
      <c r="D1197" s="3" t="s">
        <v>71</v>
      </c>
    </row>
    <row r="1198" spans="4:4" ht="17.649999999999999" x14ac:dyDescent="0.5">
      <c r="D1198" s="3" t="s">
        <v>63</v>
      </c>
    </row>
    <row r="1199" spans="4:4" ht="17.649999999999999" x14ac:dyDescent="0.5">
      <c r="D1199" s="3" t="s">
        <v>50</v>
      </c>
    </row>
    <row r="1200" spans="4:4" ht="17.649999999999999" x14ac:dyDescent="0.5">
      <c r="D1200" s="3" t="s">
        <v>85</v>
      </c>
    </row>
    <row r="1201" spans="4:4" ht="17.649999999999999" x14ac:dyDescent="0.5">
      <c r="D1201" s="3" t="s">
        <v>120</v>
      </c>
    </row>
    <row r="1202" spans="4:4" ht="17.649999999999999" x14ac:dyDescent="0.5">
      <c r="D1202" s="3" t="s">
        <v>106</v>
      </c>
    </row>
    <row r="1203" spans="4:4" ht="17.649999999999999" x14ac:dyDescent="0.5">
      <c r="D1203" s="3" t="s">
        <v>54</v>
      </c>
    </row>
    <row r="1204" spans="4:4" ht="17.649999999999999" x14ac:dyDescent="0.5">
      <c r="D1204" s="3" t="s">
        <v>46</v>
      </c>
    </row>
    <row r="1205" spans="4:4" ht="17.649999999999999" x14ac:dyDescent="0.5">
      <c r="D1205" s="3" t="s">
        <v>48</v>
      </c>
    </row>
    <row r="1206" spans="4:4" ht="17.649999999999999" x14ac:dyDescent="0.5">
      <c r="D1206" s="3" t="s">
        <v>136</v>
      </c>
    </row>
    <row r="1207" spans="4:4" ht="17.649999999999999" x14ac:dyDescent="0.5">
      <c r="D1207" s="3" t="s">
        <v>99</v>
      </c>
    </row>
    <row r="1208" spans="4:4" ht="17.649999999999999" x14ac:dyDescent="0.5">
      <c r="D1208" s="3" t="s">
        <v>101</v>
      </c>
    </row>
    <row r="1209" spans="4:4" ht="17.649999999999999" x14ac:dyDescent="0.5">
      <c r="D1209" s="3" t="s">
        <v>75</v>
      </c>
    </row>
    <row r="1210" spans="4:4" ht="17.649999999999999" x14ac:dyDescent="0.5">
      <c r="D1210" s="3" t="s">
        <v>107</v>
      </c>
    </row>
    <row r="1211" spans="4:4" ht="17.649999999999999" x14ac:dyDescent="0.5">
      <c r="D1211" s="3" t="s">
        <v>48</v>
      </c>
    </row>
    <row r="1212" spans="4:4" ht="17.649999999999999" x14ac:dyDescent="0.5">
      <c r="D1212" s="3" t="s">
        <v>46</v>
      </c>
    </row>
    <row r="1213" spans="4:4" ht="17.649999999999999" x14ac:dyDescent="0.5">
      <c r="D1213" s="3" t="s">
        <v>119</v>
      </c>
    </row>
    <row r="1214" spans="4:4" ht="17.649999999999999" x14ac:dyDescent="0.5">
      <c r="D1214" s="3" t="s">
        <v>49</v>
      </c>
    </row>
    <row r="1215" spans="4:4" ht="17.649999999999999" x14ac:dyDescent="0.5">
      <c r="D1215" s="3" t="s">
        <v>50</v>
      </c>
    </row>
    <row r="1216" spans="4:4" ht="17.649999999999999" x14ac:dyDescent="0.5">
      <c r="D1216" s="3" t="s">
        <v>103</v>
      </c>
    </row>
    <row r="1217" spans="4:4" ht="17.649999999999999" x14ac:dyDescent="0.5">
      <c r="D1217" s="3" t="s">
        <v>49</v>
      </c>
    </row>
    <row r="1218" spans="4:4" ht="17.649999999999999" x14ac:dyDescent="0.5">
      <c r="D1218" s="3" t="s">
        <v>88</v>
      </c>
    </row>
    <row r="1219" spans="4:4" ht="17.649999999999999" x14ac:dyDescent="0.5">
      <c r="D1219" s="3" t="s">
        <v>96</v>
      </c>
    </row>
    <row r="1220" spans="4:4" ht="17.649999999999999" x14ac:dyDescent="0.5">
      <c r="D1220" s="3" t="s">
        <v>46</v>
      </c>
    </row>
    <row r="1221" spans="4:4" ht="17.649999999999999" x14ac:dyDescent="0.5">
      <c r="D1221" s="3" t="s">
        <v>81</v>
      </c>
    </row>
    <row r="1222" spans="4:4" ht="17.649999999999999" x14ac:dyDescent="0.5">
      <c r="D1222" s="3" t="s">
        <v>63</v>
      </c>
    </row>
    <row r="1223" spans="4:4" ht="17.649999999999999" x14ac:dyDescent="0.5">
      <c r="D1223" s="3" t="s">
        <v>56</v>
      </c>
    </row>
    <row r="1224" spans="4:4" ht="17.649999999999999" x14ac:dyDescent="0.5">
      <c r="D1224" s="3" t="s">
        <v>120</v>
      </c>
    </row>
    <row r="1225" spans="4:4" ht="17.649999999999999" x14ac:dyDescent="0.5">
      <c r="D1225" s="3" t="s">
        <v>113</v>
      </c>
    </row>
    <row r="1226" spans="4:4" ht="17.649999999999999" x14ac:dyDescent="0.5">
      <c r="D1226" s="3" t="s">
        <v>61</v>
      </c>
    </row>
    <row r="1227" spans="4:4" ht="17.649999999999999" x14ac:dyDescent="0.5">
      <c r="D1227" s="3" t="s">
        <v>47</v>
      </c>
    </row>
    <row r="1228" spans="4:4" ht="17.649999999999999" x14ac:dyDescent="0.5">
      <c r="D1228" s="3" t="s">
        <v>83</v>
      </c>
    </row>
    <row r="1229" spans="4:4" ht="17.649999999999999" x14ac:dyDescent="0.5">
      <c r="D1229" s="3" t="s">
        <v>118</v>
      </c>
    </row>
    <row r="1230" spans="4:4" ht="17.649999999999999" x14ac:dyDescent="0.5">
      <c r="D1230" s="3" t="s">
        <v>80</v>
      </c>
    </row>
    <row r="1231" spans="4:4" ht="17.649999999999999" x14ac:dyDescent="0.5">
      <c r="D1231" s="3" t="s">
        <v>115</v>
      </c>
    </row>
    <row r="1232" spans="4:4" ht="17.649999999999999" x14ac:dyDescent="0.5">
      <c r="D1232" s="3" t="s">
        <v>44</v>
      </c>
    </row>
    <row r="1233" spans="4:4" ht="17.649999999999999" x14ac:dyDescent="0.5">
      <c r="D1233" s="3" t="s">
        <v>77</v>
      </c>
    </row>
    <row r="1234" spans="4:4" ht="17.649999999999999" x14ac:dyDescent="0.5">
      <c r="D1234" s="3" t="s">
        <v>43</v>
      </c>
    </row>
    <row r="1235" spans="4:4" ht="17.649999999999999" x14ac:dyDescent="0.5">
      <c r="D1235" s="3" t="s">
        <v>51</v>
      </c>
    </row>
    <row r="1236" spans="4:4" ht="17.649999999999999" x14ac:dyDescent="0.5">
      <c r="D1236" s="3" t="s">
        <v>65</v>
      </c>
    </row>
    <row r="1237" spans="4:4" ht="17.649999999999999" x14ac:dyDescent="0.5">
      <c r="D1237" s="3" t="s">
        <v>94</v>
      </c>
    </row>
    <row r="1238" spans="4:4" ht="17.649999999999999" x14ac:dyDescent="0.5">
      <c r="D1238" s="3" t="s">
        <v>80</v>
      </c>
    </row>
    <row r="1239" spans="4:4" ht="17.649999999999999" x14ac:dyDescent="0.5">
      <c r="D1239" s="3" t="s">
        <v>133</v>
      </c>
    </row>
    <row r="1240" spans="4:4" ht="17.649999999999999" x14ac:dyDescent="0.5">
      <c r="D1240" s="3" t="s">
        <v>87</v>
      </c>
    </row>
    <row r="1241" spans="4:4" ht="17.649999999999999" x14ac:dyDescent="0.5">
      <c r="D1241" s="3" t="s">
        <v>63</v>
      </c>
    </row>
    <row r="1242" spans="4:4" ht="17.649999999999999" x14ac:dyDescent="0.5">
      <c r="D1242" s="3" t="s">
        <v>91</v>
      </c>
    </row>
    <row r="1243" spans="4:4" ht="17.649999999999999" x14ac:dyDescent="0.5">
      <c r="D1243" s="3" t="s">
        <v>68</v>
      </c>
    </row>
    <row r="1244" spans="4:4" ht="17.649999999999999" x14ac:dyDescent="0.5">
      <c r="D1244" s="3" t="s">
        <v>53</v>
      </c>
    </row>
    <row r="1245" spans="4:4" ht="17.649999999999999" x14ac:dyDescent="0.5">
      <c r="D1245" s="3" t="s">
        <v>81</v>
      </c>
    </row>
    <row r="1246" spans="4:4" ht="17.649999999999999" x14ac:dyDescent="0.5">
      <c r="D1246" s="3" t="s">
        <v>87</v>
      </c>
    </row>
    <row r="1247" spans="4:4" ht="17.649999999999999" x14ac:dyDescent="0.5">
      <c r="D1247" s="3" t="s">
        <v>117</v>
      </c>
    </row>
    <row r="1248" spans="4:4" ht="17.649999999999999" x14ac:dyDescent="0.5">
      <c r="D1248" s="3" t="s">
        <v>55</v>
      </c>
    </row>
    <row r="1249" spans="4:4" ht="17.649999999999999" x14ac:dyDescent="0.5">
      <c r="D1249" s="3" t="s">
        <v>98</v>
      </c>
    </row>
    <row r="1250" spans="4:4" ht="17.649999999999999" x14ac:dyDescent="0.5">
      <c r="D1250" s="3" t="s">
        <v>107</v>
      </c>
    </row>
    <row r="1251" spans="4:4" ht="17.649999999999999" x14ac:dyDescent="0.5">
      <c r="D1251" s="3" t="s">
        <v>48</v>
      </c>
    </row>
    <row r="1252" spans="4:4" ht="17.649999999999999" x14ac:dyDescent="0.5">
      <c r="D1252" s="3" t="s">
        <v>49</v>
      </c>
    </row>
    <row r="1253" spans="4:4" ht="17.649999999999999" x14ac:dyDescent="0.5">
      <c r="D1253" s="3" t="s">
        <v>116</v>
      </c>
    </row>
    <row r="1254" spans="4:4" ht="17.649999999999999" x14ac:dyDescent="0.5">
      <c r="D1254" s="3" t="s">
        <v>90</v>
      </c>
    </row>
    <row r="1255" spans="4:4" ht="17.649999999999999" x14ac:dyDescent="0.5">
      <c r="D1255" s="3" t="s">
        <v>57</v>
      </c>
    </row>
    <row r="1256" spans="4:4" ht="17.649999999999999" x14ac:dyDescent="0.5">
      <c r="D1256" s="3" t="s">
        <v>61</v>
      </c>
    </row>
    <row r="1257" spans="4:4" ht="17.649999999999999" x14ac:dyDescent="0.5">
      <c r="D1257" s="3" t="s">
        <v>53</v>
      </c>
    </row>
    <row r="1258" spans="4:4" ht="17.649999999999999" x14ac:dyDescent="0.5">
      <c r="D1258" s="3" t="s">
        <v>99</v>
      </c>
    </row>
    <row r="1259" spans="4:4" ht="17.649999999999999" x14ac:dyDescent="0.5">
      <c r="D1259" s="3" t="s">
        <v>91</v>
      </c>
    </row>
    <row r="1260" spans="4:4" ht="17.649999999999999" x14ac:dyDescent="0.5">
      <c r="D1260" s="3" t="s">
        <v>98</v>
      </c>
    </row>
    <row r="1261" spans="4:4" ht="17.649999999999999" x14ac:dyDescent="0.5">
      <c r="D1261" s="3" t="s">
        <v>96</v>
      </c>
    </row>
    <row r="1262" spans="4:4" ht="17.649999999999999" x14ac:dyDescent="0.5">
      <c r="D1262" s="3" t="s">
        <v>57</v>
      </c>
    </row>
    <row r="1263" spans="4:4" ht="17.649999999999999" x14ac:dyDescent="0.5">
      <c r="D1263" s="3" t="s">
        <v>117</v>
      </c>
    </row>
    <row r="1264" spans="4:4" ht="17.649999999999999" x14ac:dyDescent="0.5">
      <c r="D1264" s="3" t="s">
        <v>66</v>
      </c>
    </row>
    <row r="1265" spans="4:4" ht="17.649999999999999" x14ac:dyDescent="0.5">
      <c r="D1265" s="3" t="s">
        <v>83</v>
      </c>
    </row>
    <row r="1266" spans="4:4" ht="17.649999999999999" x14ac:dyDescent="0.5">
      <c r="D1266" s="3" t="s">
        <v>85</v>
      </c>
    </row>
    <row r="1267" spans="4:4" ht="17.649999999999999" x14ac:dyDescent="0.5">
      <c r="D1267" s="3" t="s">
        <v>87</v>
      </c>
    </row>
    <row r="1268" spans="4:4" ht="17.649999999999999" x14ac:dyDescent="0.5">
      <c r="D1268" s="3" t="s">
        <v>73</v>
      </c>
    </row>
    <row r="1269" spans="4:4" ht="17.649999999999999" x14ac:dyDescent="0.5">
      <c r="D1269" s="3" t="s">
        <v>117</v>
      </c>
    </row>
    <row r="1270" spans="4:4" ht="17.649999999999999" x14ac:dyDescent="0.5">
      <c r="D1270" s="3" t="s">
        <v>106</v>
      </c>
    </row>
    <row r="1271" spans="4:4" ht="17.649999999999999" x14ac:dyDescent="0.5">
      <c r="D1271" s="3" t="s">
        <v>81</v>
      </c>
    </row>
    <row r="1272" spans="4:4" ht="17.649999999999999" x14ac:dyDescent="0.5">
      <c r="D1272" s="3" t="s">
        <v>91</v>
      </c>
    </row>
    <row r="1273" spans="4:4" ht="17.649999999999999" x14ac:dyDescent="0.5">
      <c r="D1273" s="3" t="s">
        <v>82</v>
      </c>
    </row>
    <row r="1274" spans="4:4" ht="17.649999999999999" x14ac:dyDescent="0.5">
      <c r="D1274" s="3" t="s">
        <v>87</v>
      </c>
    </row>
    <row r="1275" spans="4:4" ht="17.649999999999999" x14ac:dyDescent="0.5">
      <c r="D1275" s="3" t="s">
        <v>115</v>
      </c>
    </row>
    <row r="1276" spans="4:4" ht="17.649999999999999" x14ac:dyDescent="0.5">
      <c r="D1276" s="3" t="s">
        <v>128</v>
      </c>
    </row>
    <row r="1277" spans="4:4" ht="17.649999999999999" x14ac:dyDescent="0.5">
      <c r="D1277" s="3" t="s">
        <v>74</v>
      </c>
    </row>
    <row r="1278" spans="4:4" ht="17.649999999999999" x14ac:dyDescent="0.5">
      <c r="D1278" s="3" t="s">
        <v>85</v>
      </c>
    </row>
    <row r="1279" spans="4:4" ht="17.649999999999999" x14ac:dyDescent="0.5">
      <c r="D1279" s="3" t="s">
        <v>92</v>
      </c>
    </row>
    <row r="1280" spans="4:4" ht="17.649999999999999" x14ac:dyDescent="0.5">
      <c r="D1280" s="3" t="s">
        <v>112</v>
      </c>
    </row>
    <row r="1281" spans="4:4" ht="17.649999999999999" x14ac:dyDescent="0.5">
      <c r="D1281" s="3" t="s">
        <v>118</v>
      </c>
    </row>
    <row r="1282" spans="4:4" ht="17.649999999999999" x14ac:dyDescent="0.5">
      <c r="D1282" s="3" t="s">
        <v>48</v>
      </c>
    </row>
    <row r="1283" spans="4:4" ht="17.649999999999999" x14ac:dyDescent="0.5">
      <c r="D1283" s="3" t="s">
        <v>105</v>
      </c>
    </row>
    <row r="1284" spans="4:4" ht="17.649999999999999" x14ac:dyDescent="0.5">
      <c r="D1284" s="3" t="s">
        <v>75</v>
      </c>
    </row>
    <row r="1285" spans="4:4" ht="17.649999999999999" x14ac:dyDescent="0.5">
      <c r="D1285" s="3" t="s">
        <v>68</v>
      </c>
    </row>
    <row r="1286" spans="4:4" ht="17.649999999999999" x14ac:dyDescent="0.5">
      <c r="D1286" s="3" t="s">
        <v>63</v>
      </c>
    </row>
    <row r="1287" spans="4:4" ht="17.649999999999999" x14ac:dyDescent="0.5">
      <c r="D1287" s="3" t="s">
        <v>112</v>
      </c>
    </row>
    <row r="1288" spans="4:4" ht="17.649999999999999" x14ac:dyDescent="0.5">
      <c r="D1288" s="3" t="s">
        <v>64</v>
      </c>
    </row>
    <row r="1289" spans="4:4" ht="17.649999999999999" x14ac:dyDescent="0.5">
      <c r="D1289" s="3" t="s">
        <v>71</v>
      </c>
    </row>
    <row r="1290" spans="4:4" ht="17.649999999999999" x14ac:dyDescent="0.5">
      <c r="D1290" s="3" t="s">
        <v>52</v>
      </c>
    </row>
    <row r="1291" spans="4:4" ht="17.649999999999999" x14ac:dyDescent="0.5">
      <c r="D1291" s="3" t="s">
        <v>58</v>
      </c>
    </row>
    <row r="1292" spans="4:4" ht="17.649999999999999" x14ac:dyDescent="0.5">
      <c r="D1292" s="3" t="s">
        <v>103</v>
      </c>
    </row>
    <row r="1293" spans="4:4" ht="17.649999999999999" x14ac:dyDescent="0.5">
      <c r="D1293" s="3" t="s">
        <v>112</v>
      </c>
    </row>
    <row r="1294" spans="4:4" ht="17.649999999999999" x14ac:dyDescent="0.5">
      <c r="D1294" s="3" t="s">
        <v>57</v>
      </c>
    </row>
    <row r="1295" spans="4:4" ht="17.649999999999999" x14ac:dyDescent="0.5">
      <c r="D1295" s="3" t="s">
        <v>130</v>
      </c>
    </row>
    <row r="1296" spans="4:4" ht="17.649999999999999" x14ac:dyDescent="0.5">
      <c r="D1296" s="3" t="s">
        <v>53</v>
      </c>
    </row>
    <row r="1297" spans="4:4" ht="17.649999999999999" x14ac:dyDescent="0.5">
      <c r="D1297" s="3" t="s">
        <v>59</v>
      </c>
    </row>
    <row r="1298" spans="4:4" ht="17.649999999999999" x14ac:dyDescent="0.5">
      <c r="D1298" s="3" t="s">
        <v>74</v>
      </c>
    </row>
    <row r="1299" spans="4:4" ht="17.649999999999999" x14ac:dyDescent="0.5">
      <c r="D1299" s="3" t="s">
        <v>63</v>
      </c>
    </row>
    <row r="1300" spans="4:4" ht="17.649999999999999" x14ac:dyDescent="0.5">
      <c r="D1300" s="3" t="s">
        <v>44</v>
      </c>
    </row>
    <row r="1301" spans="4:4" ht="17.649999999999999" x14ac:dyDescent="0.5">
      <c r="D1301" s="3" t="s">
        <v>55</v>
      </c>
    </row>
    <row r="1302" spans="4:4" ht="17.649999999999999" x14ac:dyDescent="0.5">
      <c r="D1302" s="3" t="s">
        <v>105</v>
      </c>
    </row>
    <row r="1303" spans="4:4" ht="17.649999999999999" x14ac:dyDescent="0.5">
      <c r="D1303" s="3" t="s">
        <v>133</v>
      </c>
    </row>
    <row r="1304" spans="4:4" ht="17.649999999999999" x14ac:dyDescent="0.5">
      <c r="D1304" s="3" t="s">
        <v>46</v>
      </c>
    </row>
    <row r="1305" spans="4:4" ht="17.649999999999999" x14ac:dyDescent="0.5">
      <c r="D1305" s="3" t="s">
        <v>115</v>
      </c>
    </row>
    <row r="1306" spans="4:4" ht="17.649999999999999" x14ac:dyDescent="0.5">
      <c r="D1306" s="3" t="s">
        <v>133</v>
      </c>
    </row>
    <row r="1307" spans="4:4" ht="17.649999999999999" x14ac:dyDescent="0.5">
      <c r="D1307" s="3" t="s">
        <v>56</v>
      </c>
    </row>
    <row r="1308" spans="4:4" ht="17.649999999999999" x14ac:dyDescent="0.5">
      <c r="D1308" s="3" t="s">
        <v>57</v>
      </c>
    </row>
    <row r="1309" spans="4:4" ht="17.649999999999999" x14ac:dyDescent="0.5">
      <c r="D1309" s="3" t="s">
        <v>132</v>
      </c>
    </row>
    <row r="1310" spans="4:4" ht="17.649999999999999" x14ac:dyDescent="0.5">
      <c r="D1310" s="3" t="s">
        <v>103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117</v>
      </c>
    </row>
    <row r="1313" spans="4:4" ht="17.649999999999999" x14ac:dyDescent="0.5">
      <c r="D1313" s="3" t="s">
        <v>73</v>
      </c>
    </row>
    <row r="1314" spans="4:4" ht="17.649999999999999" x14ac:dyDescent="0.5">
      <c r="D1314" s="3" t="s">
        <v>113</v>
      </c>
    </row>
    <row r="1315" spans="4:4" ht="17.649999999999999" x14ac:dyDescent="0.5">
      <c r="D1315" s="3" t="s">
        <v>79</v>
      </c>
    </row>
    <row r="1316" spans="4:4" ht="17.649999999999999" x14ac:dyDescent="0.5">
      <c r="D1316" s="3" t="s">
        <v>78</v>
      </c>
    </row>
    <row r="1317" spans="4:4" ht="17.649999999999999" x14ac:dyDescent="0.5">
      <c r="D1317" s="3" t="s">
        <v>129</v>
      </c>
    </row>
    <row r="1318" spans="4:4" ht="17.649999999999999" x14ac:dyDescent="0.5">
      <c r="D1318" s="3" t="s">
        <v>107</v>
      </c>
    </row>
    <row r="1319" spans="4:4" ht="17.649999999999999" x14ac:dyDescent="0.5">
      <c r="D1319" s="3" t="s">
        <v>44</v>
      </c>
    </row>
    <row r="1320" spans="4:4" ht="17.649999999999999" x14ac:dyDescent="0.5">
      <c r="D1320" s="3" t="s">
        <v>78</v>
      </c>
    </row>
    <row r="1321" spans="4:4" ht="17.649999999999999" x14ac:dyDescent="0.5">
      <c r="D1321" s="3" t="s">
        <v>59</v>
      </c>
    </row>
    <row r="1322" spans="4:4" ht="17.649999999999999" x14ac:dyDescent="0.5">
      <c r="D1322" s="3" t="s">
        <v>50</v>
      </c>
    </row>
    <row r="1323" spans="4:4" ht="17.649999999999999" x14ac:dyDescent="0.5">
      <c r="D1323" s="3" t="s">
        <v>90</v>
      </c>
    </row>
    <row r="1324" spans="4:4" ht="17.649999999999999" x14ac:dyDescent="0.5">
      <c r="D1324" s="3" t="s">
        <v>80</v>
      </c>
    </row>
    <row r="1325" spans="4:4" ht="17.649999999999999" x14ac:dyDescent="0.5">
      <c r="D1325" s="3" t="s">
        <v>89</v>
      </c>
    </row>
    <row r="1326" spans="4:4" ht="17.649999999999999" x14ac:dyDescent="0.5">
      <c r="D1326" s="3" t="s">
        <v>54</v>
      </c>
    </row>
    <row r="1327" spans="4:4" ht="17.649999999999999" x14ac:dyDescent="0.5">
      <c r="D1327" s="3" t="s">
        <v>68</v>
      </c>
    </row>
    <row r="1328" spans="4:4" ht="17.649999999999999" x14ac:dyDescent="0.5">
      <c r="D1328" s="3" t="s">
        <v>77</v>
      </c>
    </row>
    <row r="1329" spans="4:4" ht="17.649999999999999" x14ac:dyDescent="0.5">
      <c r="D1329" s="3" t="s">
        <v>82</v>
      </c>
    </row>
    <row r="1330" spans="4:4" ht="17.649999999999999" x14ac:dyDescent="0.5">
      <c r="D1330" s="3" t="s">
        <v>67</v>
      </c>
    </row>
    <row r="1331" spans="4:4" ht="17.649999999999999" x14ac:dyDescent="0.5">
      <c r="D1331" s="3" t="s">
        <v>56</v>
      </c>
    </row>
    <row r="1332" spans="4:4" ht="17.649999999999999" x14ac:dyDescent="0.5">
      <c r="D1332" s="3" t="s">
        <v>53</v>
      </c>
    </row>
    <row r="1333" spans="4:4" ht="17.649999999999999" x14ac:dyDescent="0.5">
      <c r="D1333" s="3" t="s">
        <v>81</v>
      </c>
    </row>
    <row r="1334" spans="4:4" ht="17.649999999999999" x14ac:dyDescent="0.5">
      <c r="D1334" s="3" t="s">
        <v>74</v>
      </c>
    </row>
    <row r="1335" spans="4:4" ht="17.649999999999999" x14ac:dyDescent="0.5">
      <c r="D1335" s="3" t="s">
        <v>53</v>
      </c>
    </row>
    <row r="1336" spans="4:4" ht="17.649999999999999" x14ac:dyDescent="0.5">
      <c r="D1336" s="3" t="s">
        <v>68</v>
      </c>
    </row>
    <row r="1337" spans="4:4" ht="17.649999999999999" x14ac:dyDescent="0.5">
      <c r="D1337" s="3" t="s">
        <v>99</v>
      </c>
    </row>
    <row r="1338" spans="4:4" ht="17.649999999999999" x14ac:dyDescent="0.5">
      <c r="D1338" s="3" t="s">
        <v>55</v>
      </c>
    </row>
    <row r="1339" spans="4:4" ht="17.649999999999999" x14ac:dyDescent="0.5">
      <c r="D1339" s="3" t="s">
        <v>71</v>
      </c>
    </row>
    <row r="1340" spans="4:4" ht="17.649999999999999" x14ac:dyDescent="0.5">
      <c r="D1340" s="3" t="s">
        <v>66</v>
      </c>
    </row>
    <row r="1341" spans="4:4" ht="17.649999999999999" x14ac:dyDescent="0.5">
      <c r="D1341" s="3" t="s">
        <v>115</v>
      </c>
    </row>
    <row r="1342" spans="4:4" ht="17.649999999999999" x14ac:dyDescent="0.5">
      <c r="D1342" s="3" t="s">
        <v>64</v>
      </c>
    </row>
    <row r="1343" spans="4:4" ht="17.649999999999999" x14ac:dyDescent="0.5">
      <c r="D1343" s="3" t="s">
        <v>54</v>
      </c>
    </row>
    <row r="1344" spans="4:4" ht="17.649999999999999" x14ac:dyDescent="0.5">
      <c r="D1344" s="3" t="s">
        <v>114</v>
      </c>
    </row>
    <row r="1345" spans="4:4" ht="17.649999999999999" x14ac:dyDescent="0.5">
      <c r="D1345" s="3" t="s">
        <v>128</v>
      </c>
    </row>
    <row r="1346" spans="4:4" ht="17.649999999999999" x14ac:dyDescent="0.5">
      <c r="D1346" s="3" t="s">
        <v>68</v>
      </c>
    </row>
    <row r="1347" spans="4:4" ht="17.649999999999999" x14ac:dyDescent="0.5">
      <c r="D1347" s="3" t="s">
        <v>103</v>
      </c>
    </row>
    <row r="1348" spans="4:4" ht="17.649999999999999" x14ac:dyDescent="0.5">
      <c r="D1348" s="3" t="s">
        <v>49</v>
      </c>
    </row>
    <row r="1349" spans="4:4" ht="17.649999999999999" x14ac:dyDescent="0.5">
      <c r="D1349" s="3" t="s">
        <v>78</v>
      </c>
    </row>
    <row r="1350" spans="4:4" ht="17.649999999999999" x14ac:dyDescent="0.5">
      <c r="D1350" s="3" t="s">
        <v>44</v>
      </c>
    </row>
    <row r="1351" spans="4:4" ht="17.649999999999999" x14ac:dyDescent="0.5">
      <c r="D1351" s="3" t="s">
        <v>57</v>
      </c>
    </row>
    <row r="1352" spans="4:4" ht="17.649999999999999" x14ac:dyDescent="0.5">
      <c r="D1352" s="3" t="s">
        <v>117</v>
      </c>
    </row>
    <row r="1353" spans="4:4" ht="17.649999999999999" x14ac:dyDescent="0.5">
      <c r="D1353" s="3" t="s">
        <v>103</v>
      </c>
    </row>
    <row r="1354" spans="4:4" ht="17.649999999999999" x14ac:dyDescent="0.5">
      <c r="D1354" s="3" t="s">
        <v>112</v>
      </c>
    </row>
    <row r="1355" spans="4:4" ht="17.649999999999999" x14ac:dyDescent="0.5">
      <c r="D1355" s="3" t="s">
        <v>101</v>
      </c>
    </row>
    <row r="1356" spans="4:4" ht="17.649999999999999" x14ac:dyDescent="0.5">
      <c r="D1356" s="3" t="s">
        <v>87</v>
      </c>
    </row>
    <row r="1357" spans="4:4" ht="17.649999999999999" x14ac:dyDescent="0.5">
      <c r="D1357" s="3" t="s">
        <v>78</v>
      </c>
    </row>
    <row r="1358" spans="4:4" ht="17.649999999999999" x14ac:dyDescent="0.5">
      <c r="D1358" s="3" t="s">
        <v>125</v>
      </c>
    </row>
    <row r="1359" spans="4:4" ht="17.649999999999999" x14ac:dyDescent="0.5">
      <c r="D1359" s="3" t="s">
        <v>53</v>
      </c>
    </row>
    <row r="1360" spans="4:4" ht="17.649999999999999" x14ac:dyDescent="0.5">
      <c r="D1360" s="3" t="s">
        <v>107</v>
      </c>
    </row>
    <row r="1361" spans="4:4" ht="17.649999999999999" x14ac:dyDescent="0.5">
      <c r="D1361" s="3" t="s">
        <v>57</v>
      </c>
    </row>
    <row r="1362" spans="4:4" ht="17.649999999999999" x14ac:dyDescent="0.5">
      <c r="D1362" s="3" t="s">
        <v>63</v>
      </c>
    </row>
    <row r="1363" spans="4:4" ht="17.649999999999999" x14ac:dyDescent="0.5">
      <c r="D1363" s="3" t="s">
        <v>63</v>
      </c>
    </row>
    <row r="1364" spans="4:4" ht="17.649999999999999" x14ac:dyDescent="0.5">
      <c r="D1364" s="3" t="s">
        <v>84</v>
      </c>
    </row>
    <row r="1365" spans="4:4" ht="17.649999999999999" x14ac:dyDescent="0.5">
      <c r="D1365" s="3" t="s">
        <v>136</v>
      </c>
    </row>
    <row r="1366" spans="4:4" ht="17.649999999999999" x14ac:dyDescent="0.5">
      <c r="D1366" s="3" t="s">
        <v>70</v>
      </c>
    </row>
    <row r="1367" spans="4:4" ht="17.649999999999999" x14ac:dyDescent="0.5">
      <c r="D1367" s="3" t="s">
        <v>83</v>
      </c>
    </row>
    <row r="1368" spans="4:4" ht="17.649999999999999" x14ac:dyDescent="0.5">
      <c r="D1368" s="3" t="s">
        <v>90</v>
      </c>
    </row>
    <row r="1369" spans="4:4" ht="17.649999999999999" x14ac:dyDescent="0.5">
      <c r="D1369" s="3" t="s">
        <v>98</v>
      </c>
    </row>
    <row r="1370" spans="4:4" ht="17.649999999999999" x14ac:dyDescent="0.5">
      <c r="D1370" s="3" t="s">
        <v>54</v>
      </c>
    </row>
    <row r="1371" spans="4:4" ht="17.649999999999999" x14ac:dyDescent="0.5">
      <c r="D1371" s="3" t="s">
        <v>46</v>
      </c>
    </row>
    <row r="1372" spans="4:4" ht="17.649999999999999" x14ac:dyDescent="0.5">
      <c r="D1372" s="3" t="s">
        <v>105</v>
      </c>
    </row>
    <row r="1373" spans="4:4" ht="17.649999999999999" x14ac:dyDescent="0.5">
      <c r="D1373" s="3" t="s">
        <v>102</v>
      </c>
    </row>
    <row r="1374" spans="4:4" ht="17.649999999999999" x14ac:dyDescent="0.5">
      <c r="D1374" s="3" t="s">
        <v>61</v>
      </c>
    </row>
    <row r="1375" spans="4:4" ht="17.649999999999999" x14ac:dyDescent="0.5">
      <c r="D1375" s="3" t="s">
        <v>49</v>
      </c>
    </row>
    <row r="1376" spans="4:4" ht="17.649999999999999" x14ac:dyDescent="0.5">
      <c r="D1376" s="3" t="s">
        <v>55</v>
      </c>
    </row>
    <row r="1377" spans="4:4" ht="17.649999999999999" x14ac:dyDescent="0.5">
      <c r="D1377" s="3" t="s">
        <v>47</v>
      </c>
    </row>
    <row r="1378" spans="4:4" ht="17.649999999999999" x14ac:dyDescent="0.5">
      <c r="D1378" s="3" t="s">
        <v>92</v>
      </c>
    </row>
    <row r="1379" spans="4:4" ht="17.649999999999999" x14ac:dyDescent="0.5">
      <c r="D1379" s="3" t="s">
        <v>115</v>
      </c>
    </row>
    <row r="1380" spans="4:4" ht="17.649999999999999" x14ac:dyDescent="0.5">
      <c r="D1380" s="3" t="s">
        <v>89</v>
      </c>
    </row>
    <row r="1381" spans="4:4" ht="17.649999999999999" x14ac:dyDescent="0.5">
      <c r="D1381" s="3" t="s">
        <v>126</v>
      </c>
    </row>
    <row r="1382" spans="4:4" ht="17.649999999999999" x14ac:dyDescent="0.5">
      <c r="D1382" s="3" t="s">
        <v>84</v>
      </c>
    </row>
    <row r="1383" spans="4:4" ht="17.649999999999999" x14ac:dyDescent="0.5">
      <c r="D1383" s="3" t="s">
        <v>94</v>
      </c>
    </row>
    <row r="1384" spans="4:4" ht="17.649999999999999" x14ac:dyDescent="0.5">
      <c r="D1384" s="3" t="s">
        <v>112</v>
      </c>
    </row>
    <row r="1385" spans="4:4" ht="17.649999999999999" x14ac:dyDescent="0.5">
      <c r="D1385" s="3" t="s">
        <v>56</v>
      </c>
    </row>
    <row r="1386" spans="4:4" ht="17.649999999999999" x14ac:dyDescent="0.5">
      <c r="D1386" s="3" t="s">
        <v>49</v>
      </c>
    </row>
    <row r="1387" spans="4:4" ht="17.649999999999999" x14ac:dyDescent="0.5">
      <c r="D1387" s="3" t="s">
        <v>73</v>
      </c>
    </row>
    <row r="1388" spans="4:4" ht="17.649999999999999" x14ac:dyDescent="0.5">
      <c r="D1388" s="3" t="s">
        <v>67</v>
      </c>
    </row>
    <row r="1389" spans="4:4" ht="17.649999999999999" x14ac:dyDescent="0.5">
      <c r="D1389" s="3" t="s">
        <v>49</v>
      </c>
    </row>
    <row r="1390" spans="4:4" ht="17.649999999999999" x14ac:dyDescent="0.5">
      <c r="D1390" s="3" t="s">
        <v>59</v>
      </c>
    </row>
    <row r="1391" spans="4:4" ht="17.649999999999999" x14ac:dyDescent="0.5">
      <c r="D1391" s="3" t="s">
        <v>114</v>
      </c>
    </row>
    <row r="1392" spans="4:4" ht="17.649999999999999" x14ac:dyDescent="0.5">
      <c r="D1392" s="3" t="s">
        <v>90</v>
      </c>
    </row>
    <row r="1393" spans="4:4" ht="17.649999999999999" x14ac:dyDescent="0.5">
      <c r="D1393" s="3" t="s">
        <v>74</v>
      </c>
    </row>
    <row r="1394" spans="4:4" ht="17.649999999999999" x14ac:dyDescent="0.5">
      <c r="D1394" s="3" t="s">
        <v>90</v>
      </c>
    </row>
    <row r="1395" spans="4:4" ht="17.649999999999999" x14ac:dyDescent="0.5">
      <c r="D1395" s="3" t="s">
        <v>123</v>
      </c>
    </row>
    <row r="1396" spans="4:4" ht="17.649999999999999" x14ac:dyDescent="0.5">
      <c r="D1396" s="3" t="s">
        <v>53</v>
      </c>
    </row>
    <row r="1397" spans="4:4" ht="17.649999999999999" x14ac:dyDescent="0.5">
      <c r="D1397" s="3" t="s">
        <v>85</v>
      </c>
    </row>
    <row r="1398" spans="4:4" ht="17.649999999999999" x14ac:dyDescent="0.5">
      <c r="D1398" s="3" t="s">
        <v>51</v>
      </c>
    </row>
    <row r="1399" spans="4:4" ht="17.649999999999999" x14ac:dyDescent="0.5">
      <c r="D1399" s="3" t="s">
        <v>91</v>
      </c>
    </row>
    <row r="1400" spans="4:4" ht="17.649999999999999" x14ac:dyDescent="0.5">
      <c r="D1400" s="3" t="s">
        <v>80</v>
      </c>
    </row>
    <row r="1401" spans="4:4" ht="17.649999999999999" x14ac:dyDescent="0.5">
      <c r="D1401" s="3" t="s">
        <v>96</v>
      </c>
    </row>
    <row r="1402" spans="4:4" ht="17.649999999999999" x14ac:dyDescent="0.5">
      <c r="D1402" s="3" t="s">
        <v>117</v>
      </c>
    </row>
    <row r="1403" spans="4:4" ht="17.649999999999999" x14ac:dyDescent="0.5">
      <c r="D1403" s="3" t="s">
        <v>52</v>
      </c>
    </row>
    <row r="1404" spans="4:4" ht="17.649999999999999" x14ac:dyDescent="0.5">
      <c r="D1404" s="3" t="s">
        <v>84</v>
      </c>
    </row>
    <row r="1405" spans="4:4" ht="17.649999999999999" x14ac:dyDescent="0.5">
      <c r="D1405" s="3" t="s">
        <v>130</v>
      </c>
    </row>
    <row r="1406" spans="4:4" ht="17.649999999999999" x14ac:dyDescent="0.5">
      <c r="D1406" s="3" t="s">
        <v>49</v>
      </c>
    </row>
    <row r="1407" spans="4:4" ht="17.649999999999999" x14ac:dyDescent="0.5">
      <c r="D1407" s="3" t="s">
        <v>57</v>
      </c>
    </row>
    <row r="1408" spans="4:4" ht="17.649999999999999" x14ac:dyDescent="0.5">
      <c r="D1408" s="3" t="s">
        <v>106</v>
      </c>
    </row>
    <row r="1409" spans="4:4" ht="17.649999999999999" x14ac:dyDescent="0.5">
      <c r="D1409" s="3" t="s">
        <v>90</v>
      </c>
    </row>
    <row r="1410" spans="4:4" ht="17.649999999999999" x14ac:dyDescent="0.5">
      <c r="D1410" s="3" t="s">
        <v>80</v>
      </c>
    </row>
    <row r="1411" spans="4:4" ht="17.649999999999999" x14ac:dyDescent="0.5">
      <c r="D1411" s="3" t="s">
        <v>61</v>
      </c>
    </row>
    <row r="1412" spans="4:4" ht="17.649999999999999" x14ac:dyDescent="0.5">
      <c r="D1412" s="3" t="s">
        <v>84</v>
      </c>
    </row>
    <row r="1413" spans="4:4" ht="17.649999999999999" x14ac:dyDescent="0.5">
      <c r="D1413" s="3" t="s">
        <v>50</v>
      </c>
    </row>
    <row r="1414" spans="4:4" ht="17.649999999999999" x14ac:dyDescent="0.5">
      <c r="D1414" s="3" t="s">
        <v>67</v>
      </c>
    </row>
    <row r="1415" spans="4:4" ht="17.649999999999999" x14ac:dyDescent="0.5">
      <c r="D1415" s="3" t="s">
        <v>98</v>
      </c>
    </row>
    <row r="1416" spans="4:4" ht="17.649999999999999" x14ac:dyDescent="0.5">
      <c r="D1416" s="3" t="s">
        <v>49</v>
      </c>
    </row>
    <row r="1417" spans="4:4" ht="17.649999999999999" x14ac:dyDescent="0.5">
      <c r="D1417" s="3" t="s">
        <v>72</v>
      </c>
    </row>
    <row r="1418" spans="4:4" ht="17.649999999999999" x14ac:dyDescent="0.5">
      <c r="D1418" s="3" t="s">
        <v>54</v>
      </c>
    </row>
    <row r="1419" spans="4:4" ht="17.649999999999999" x14ac:dyDescent="0.5">
      <c r="D1419" s="3" t="s">
        <v>128</v>
      </c>
    </row>
    <row r="1420" spans="4:4" ht="17.649999999999999" x14ac:dyDescent="0.5">
      <c r="D1420" s="3" t="s">
        <v>117</v>
      </c>
    </row>
    <row r="1421" spans="4:4" ht="17.649999999999999" x14ac:dyDescent="0.5">
      <c r="D1421" s="3" t="s">
        <v>84</v>
      </c>
    </row>
    <row r="1422" spans="4:4" ht="17.649999999999999" x14ac:dyDescent="0.5">
      <c r="D1422" s="3" t="s">
        <v>66</v>
      </c>
    </row>
    <row r="1423" spans="4:4" ht="17.649999999999999" x14ac:dyDescent="0.5">
      <c r="D1423" s="3" t="s">
        <v>76</v>
      </c>
    </row>
    <row r="1424" spans="4:4" ht="17.649999999999999" x14ac:dyDescent="0.5">
      <c r="D1424" s="3" t="s">
        <v>45</v>
      </c>
    </row>
    <row r="1425" spans="4:4" ht="17.649999999999999" x14ac:dyDescent="0.5">
      <c r="D1425" s="3" t="s">
        <v>113</v>
      </c>
    </row>
    <row r="1426" spans="4:4" ht="17.649999999999999" x14ac:dyDescent="0.5">
      <c r="D1426" s="3" t="s">
        <v>59</v>
      </c>
    </row>
    <row r="1427" spans="4:4" ht="17.649999999999999" x14ac:dyDescent="0.5">
      <c r="D1427" s="3" t="s">
        <v>117</v>
      </c>
    </row>
    <row r="1428" spans="4:4" ht="17.649999999999999" x14ac:dyDescent="0.5">
      <c r="D1428" s="3" t="s">
        <v>101</v>
      </c>
    </row>
    <row r="1429" spans="4:4" ht="17.649999999999999" x14ac:dyDescent="0.5">
      <c r="D1429" s="3" t="s">
        <v>105</v>
      </c>
    </row>
    <row r="1430" spans="4:4" ht="17.649999999999999" x14ac:dyDescent="0.5">
      <c r="D1430" s="3" t="s">
        <v>92</v>
      </c>
    </row>
    <row r="1431" spans="4:4" ht="17.649999999999999" x14ac:dyDescent="0.5">
      <c r="D1431" s="3" t="s">
        <v>81</v>
      </c>
    </row>
    <row r="1432" spans="4:4" ht="17.649999999999999" x14ac:dyDescent="0.5">
      <c r="D1432" s="3" t="s">
        <v>103</v>
      </c>
    </row>
    <row r="1433" spans="4:4" ht="17.649999999999999" x14ac:dyDescent="0.5">
      <c r="D1433" s="3" t="s">
        <v>75</v>
      </c>
    </row>
    <row r="1434" spans="4:4" ht="17.649999999999999" x14ac:dyDescent="0.5">
      <c r="D1434" s="3" t="s">
        <v>135</v>
      </c>
    </row>
    <row r="1435" spans="4:4" ht="17.649999999999999" x14ac:dyDescent="0.5">
      <c r="D1435" s="3" t="s">
        <v>83</v>
      </c>
    </row>
    <row r="1436" spans="4:4" ht="17.649999999999999" x14ac:dyDescent="0.5">
      <c r="D1436" s="3" t="s">
        <v>91</v>
      </c>
    </row>
    <row r="1437" spans="4:4" ht="17.649999999999999" x14ac:dyDescent="0.5">
      <c r="D1437" s="3" t="s">
        <v>73</v>
      </c>
    </row>
    <row r="1438" spans="4:4" ht="17.649999999999999" x14ac:dyDescent="0.5">
      <c r="D1438" s="3" t="s">
        <v>90</v>
      </c>
    </row>
    <row r="1439" spans="4:4" ht="17.649999999999999" x14ac:dyDescent="0.5">
      <c r="D1439" s="3" t="s">
        <v>75</v>
      </c>
    </row>
    <row r="1440" spans="4:4" ht="17.649999999999999" x14ac:dyDescent="0.5">
      <c r="D1440" s="3" t="s">
        <v>69</v>
      </c>
    </row>
    <row r="1441" spans="4:4" ht="17.649999999999999" x14ac:dyDescent="0.5">
      <c r="D1441" s="3" t="s">
        <v>41</v>
      </c>
    </row>
    <row r="1442" spans="4:4" ht="17.649999999999999" x14ac:dyDescent="0.5">
      <c r="D1442" s="3" t="s">
        <v>77</v>
      </c>
    </row>
    <row r="1443" spans="4:4" ht="17.649999999999999" x14ac:dyDescent="0.5">
      <c r="D1443" s="3" t="s">
        <v>47</v>
      </c>
    </row>
    <row r="1444" spans="4:4" ht="17.649999999999999" x14ac:dyDescent="0.5">
      <c r="D1444" s="3" t="s">
        <v>92</v>
      </c>
    </row>
    <row r="1445" spans="4:4" ht="17.649999999999999" x14ac:dyDescent="0.5">
      <c r="D1445" s="3" t="s">
        <v>80</v>
      </c>
    </row>
    <row r="1446" spans="4:4" ht="17.649999999999999" x14ac:dyDescent="0.5">
      <c r="D1446" s="3" t="s">
        <v>78</v>
      </c>
    </row>
    <row r="1447" spans="4:4" ht="17.649999999999999" x14ac:dyDescent="0.5">
      <c r="D1447" s="3" t="s">
        <v>63</v>
      </c>
    </row>
    <row r="1448" spans="4:4" ht="17.649999999999999" x14ac:dyDescent="0.5">
      <c r="D1448" s="3" t="s">
        <v>79</v>
      </c>
    </row>
    <row r="1449" spans="4:4" ht="17.649999999999999" x14ac:dyDescent="0.5">
      <c r="D1449" s="3" t="s">
        <v>60</v>
      </c>
    </row>
    <row r="1450" spans="4:4" ht="17.649999999999999" x14ac:dyDescent="0.5">
      <c r="D1450" s="3" t="s">
        <v>57</v>
      </c>
    </row>
    <row r="1451" spans="4:4" ht="17.649999999999999" x14ac:dyDescent="0.5">
      <c r="D1451" s="3" t="s">
        <v>121</v>
      </c>
    </row>
    <row r="1452" spans="4:4" ht="17.649999999999999" x14ac:dyDescent="0.5">
      <c r="D1452" s="3" t="s">
        <v>117</v>
      </c>
    </row>
    <row r="1453" spans="4:4" ht="17.649999999999999" x14ac:dyDescent="0.5">
      <c r="D1453" s="3" t="s">
        <v>93</v>
      </c>
    </row>
    <row r="1454" spans="4:4" ht="17.649999999999999" x14ac:dyDescent="0.5">
      <c r="D1454" s="3" t="s">
        <v>115</v>
      </c>
    </row>
    <row r="1455" spans="4:4" ht="17.649999999999999" x14ac:dyDescent="0.5">
      <c r="D1455" s="3" t="s">
        <v>118</v>
      </c>
    </row>
    <row r="1456" spans="4:4" ht="17.649999999999999" x14ac:dyDescent="0.5">
      <c r="D1456" s="3" t="s">
        <v>69</v>
      </c>
    </row>
    <row r="1457" spans="4:4" ht="17.649999999999999" x14ac:dyDescent="0.5">
      <c r="D1457" s="3" t="s">
        <v>44</v>
      </c>
    </row>
    <row r="1458" spans="4:4" ht="17.649999999999999" x14ac:dyDescent="0.5">
      <c r="D1458" s="3" t="s">
        <v>47</v>
      </c>
    </row>
    <row r="1459" spans="4:4" ht="17.649999999999999" x14ac:dyDescent="0.5">
      <c r="D1459" s="3" t="s">
        <v>115</v>
      </c>
    </row>
    <row r="1460" spans="4:4" ht="17.649999999999999" x14ac:dyDescent="0.5">
      <c r="D1460" s="3" t="s">
        <v>74</v>
      </c>
    </row>
    <row r="1461" spans="4:4" ht="17.649999999999999" x14ac:dyDescent="0.5">
      <c r="D1461" s="3" t="s">
        <v>56</v>
      </c>
    </row>
    <row r="1462" spans="4:4" ht="17.649999999999999" x14ac:dyDescent="0.5">
      <c r="D1462" s="3" t="s">
        <v>130</v>
      </c>
    </row>
    <row r="1463" spans="4:4" ht="17.649999999999999" x14ac:dyDescent="0.5">
      <c r="D1463" s="3" t="s">
        <v>44</v>
      </c>
    </row>
    <row r="1464" spans="4:4" ht="17.649999999999999" x14ac:dyDescent="0.5">
      <c r="D1464" s="3" t="s">
        <v>94</v>
      </c>
    </row>
    <row r="1465" spans="4:4" ht="17.649999999999999" x14ac:dyDescent="0.5">
      <c r="D1465" s="3" t="s">
        <v>129</v>
      </c>
    </row>
    <row r="1466" spans="4:4" ht="17.649999999999999" x14ac:dyDescent="0.5">
      <c r="D1466" s="3" t="s">
        <v>90</v>
      </c>
    </row>
    <row r="1467" spans="4:4" ht="17.649999999999999" x14ac:dyDescent="0.5">
      <c r="D1467" s="3" t="s">
        <v>99</v>
      </c>
    </row>
    <row r="1468" spans="4:4" ht="17.649999999999999" x14ac:dyDescent="0.5">
      <c r="D1468" s="3" t="s">
        <v>107</v>
      </c>
    </row>
    <row r="1469" spans="4:4" ht="17.649999999999999" x14ac:dyDescent="0.5">
      <c r="D1469" s="3" t="s">
        <v>75</v>
      </c>
    </row>
    <row r="1470" spans="4:4" ht="17.649999999999999" x14ac:dyDescent="0.5">
      <c r="D1470" s="3" t="s">
        <v>134</v>
      </c>
    </row>
    <row r="1471" spans="4:4" ht="17.649999999999999" x14ac:dyDescent="0.5">
      <c r="D1471" s="3" t="s">
        <v>83</v>
      </c>
    </row>
    <row r="1472" spans="4:4" ht="17.649999999999999" x14ac:dyDescent="0.5">
      <c r="D1472" s="3" t="s">
        <v>52</v>
      </c>
    </row>
    <row r="1473" spans="4:4" ht="17.649999999999999" x14ac:dyDescent="0.5">
      <c r="D1473" s="3" t="s">
        <v>68</v>
      </c>
    </row>
    <row r="1474" spans="4:4" ht="17.649999999999999" x14ac:dyDescent="0.5">
      <c r="D1474" s="3" t="s">
        <v>94</v>
      </c>
    </row>
    <row r="1475" spans="4:4" ht="17.649999999999999" x14ac:dyDescent="0.5">
      <c r="D1475" s="3" t="s">
        <v>42</v>
      </c>
    </row>
    <row r="1476" spans="4:4" ht="17.649999999999999" x14ac:dyDescent="0.5">
      <c r="D1476" s="3" t="s">
        <v>80</v>
      </c>
    </row>
    <row r="1477" spans="4:4" ht="17.649999999999999" x14ac:dyDescent="0.5">
      <c r="D1477" s="3" t="s">
        <v>44</v>
      </c>
    </row>
    <row r="1478" spans="4:4" ht="17.649999999999999" x14ac:dyDescent="0.5">
      <c r="D1478" s="3" t="s">
        <v>85</v>
      </c>
    </row>
    <row r="1479" spans="4:4" ht="17.649999999999999" x14ac:dyDescent="0.5">
      <c r="D1479" s="3" t="s">
        <v>98</v>
      </c>
    </row>
    <row r="1480" spans="4:4" ht="17.649999999999999" x14ac:dyDescent="0.5">
      <c r="D1480" s="3" t="s">
        <v>63</v>
      </c>
    </row>
    <row r="1481" spans="4:4" ht="17.649999999999999" x14ac:dyDescent="0.5">
      <c r="D1481" s="3" t="s">
        <v>132</v>
      </c>
    </row>
    <row r="1482" spans="4:4" ht="17.649999999999999" x14ac:dyDescent="0.5">
      <c r="D1482" s="3" t="s">
        <v>49</v>
      </c>
    </row>
    <row r="1483" spans="4:4" ht="17.649999999999999" x14ac:dyDescent="0.5">
      <c r="D1483" s="3" t="s">
        <v>43</v>
      </c>
    </row>
    <row r="1484" spans="4:4" ht="17.649999999999999" x14ac:dyDescent="0.5">
      <c r="D1484" s="3" t="s">
        <v>92</v>
      </c>
    </row>
    <row r="1485" spans="4:4" ht="17.649999999999999" x14ac:dyDescent="0.5">
      <c r="D1485" s="3" t="s">
        <v>76</v>
      </c>
    </row>
    <row r="1486" spans="4:4" ht="17.649999999999999" x14ac:dyDescent="0.5">
      <c r="D1486" s="3" t="s">
        <v>115</v>
      </c>
    </row>
    <row r="1487" spans="4:4" ht="17.649999999999999" x14ac:dyDescent="0.5">
      <c r="D1487" s="3" t="s">
        <v>56</v>
      </c>
    </row>
    <row r="1488" spans="4:4" ht="17.649999999999999" x14ac:dyDescent="0.5">
      <c r="D1488" s="3" t="s">
        <v>68</v>
      </c>
    </row>
    <row r="1489" spans="4:4" ht="17.649999999999999" x14ac:dyDescent="0.5">
      <c r="D1489" s="3" t="s">
        <v>80</v>
      </c>
    </row>
    <row r="1490" spans="4:4" ht="17.649999999999999" x14ac:dyDescent="0.5">
      <c r="D1490" s="3" t="s">
        <v>77</v>
      </c>
    </row>
    <row r="1491" spans="4:4" ht="17.649999999999999" x14ac:dyDescent="0.5">
      <c r="D1491" s="3" t="s">
        <v>68</v>
      </c>
    </row>
    <row r="1492" spans="4:4" ht="17.649999999999999" x14ac:dyDescent="0.5">
      <c r="D1492" s="3" t="s">
        <v>92</v>
      </c>
    </row>
    <row r="1493" spans="4:4" ht="17.649999999999999" x14ac:dyDescent="0.5">
      <c r="D1493" s="3" t="s">
        <v>67</v>
      </c>
    </row>
    <row r="1494" spans="4:4" ht="17.649999999999999" x14ac:dyDescent="0.5">
      <c r="D1494" s="3" t="s">
        <v>85</v>
      </c>
    </row>
    <row r="1495" spans="4:4" ht="17.649999999999999" x14ac:dyDescent="0.5">
      <c r="D1495" s="3" t="s">
        <v>78</v>
      </c>
    </row>
    <row r="1496" spans="4:4" ht="17.649999999999999" x14ac:dyDescent="0.5">
      <c r="D1496" s="3" t="s">
        <v>98</v>
      </c>
    </row>
    <row r="1497" spans="4:4" ht="17.649999999999999" x14ac:dyDescent="0.5">
      <c r="D1497" s="3" t="s">
        <v>129</v>
      </c>
    </row>
    <row r="1498" spans="4:4" ht="17.649999999999999" x14ac:dyDescent="0.5">
      <c r="D1498" s="3" t="s">
        <v>123</v>
      </c>
    </row>
    <row r="1499" spans="4:4" ht="17.649999999999999" x14ac:dyDescent="0.5">
      <c r="D1499" s="3" t="s">
        <v>65</v>
      </c>
    </row>
    <row r="1500" spans="4:4" ht="17.649999999999999" x14ac:dyDescent="0.5">
      <c r="D1500" s="3" t="s">
        <v>68</v>
      </c>
    </row>
    <row r="1501" spans="4:4" ht="17.649999999999999" x14ac:dyDescent="0.5">
      <c r="D1501" s="3" t="s">
        <v>41</v>
      </c>
    </row>
    <row r="1502" spans="4:4" ht="17.649999999999999" x14ac:dyDescent="0.5">
      <c r="D1502" s="3" t="s">
        <v>57</v>
      </c>
    </row>
    <row r="1503" spans="4:4" ht="17.649999999999999" x14ac:dyDescent="0.5">
      <c r="D1503" s="3" t="s">
        <v>50</v>
      </c>
    </row>
    <row r="1504" spans="4:4" ht="17.649999999999999" x14ac:dyDescent="0.5">
      <c r="D1504" s="3" t="s">
        <v>43</v>
      </c>
    </row>
    <row r="1505" spans="4:4" ht="17.649999999999999" x14ac:dyDescent="0.5">
      <c r="D1505" s="3" t="s">
        <v>111</v>
      </c>
    </row>
    <row r="1506" spans="4:4" ht="17.649999999999999" x14ac:dyDescent="0.5">
      <c r="D1506" s="3" t="s">
        <v>63</v>
      </c>
    </row>
    <row r="1507" spans="4:4" ht="17.649999999999999" x14ac:dyDescent="0.5">
      <c r="D1507" s="3" t="s">
        <v>91</v>
      </c>
    </row>
    <row r="1508" spans="4:4" ht="17.649999999999999" x14ac:dyDescent="0.5">
      <c r="D1508" s="3" t="s">
        <v>119</v>
      </c>
    </row>
    <row r="1509" spans="4:4" ht="17.649999999999999" x14ac:dyDescent="0.5">
      <c r="D1509" s="3" t="s">
        <v>46</v>
      </c>
    </row>
    <row r="1510" spans="4:4" ht="17.649999999999999" x14ac:dyDescent="0.5">
      <c r="D1510" s="3" t="s">
        <v>57</v>
      </c>
    </row>
    <row r="1511" spans="4:4" ht="17.649999999999999" x14ac:dyDescent="0.5">
      <c r="D1511" s="3" t="s">
        <v>55</v>
      </c>
    </row>
    <row r="1512" spans="4:4" ht="17.649999999999999" x14ac:dyDescent="0.5">
      <c r="D1512" s="3" t="s">
        <v>91</v>
      </c>
    </row>
    <row r="1513" spans="4:4" ht="17.649999999999999" x14ac:dyDescent="0.5">
      <c r="D1513" s="3" t="s">
        <v>72</v>
      </c>
    </row>
    <row r="1514" spans="4:4" ht="17.649999999999999" x14ac:dyDescent="0.5">
      <c r="D1514" s="3" t="s">
        <v>66</v>
      </c>
    </row>
    <row r="1515" spans="4:4" ht="17.649999999999999" x14ac:dyDescent="0.5">
      <c r="D1515" s="3" t="s">
        <v>117</v>
      </c>
    </row>
    <row r="1516" spans="4:4" ht="17.649999999999999" x14ac:dyDescent="0.5">
      <c r="D1516" s="3" t="s">
        <v>61</v>
      </c>
    </row>
    <row r="1517" spans="4:4" ht="17.649999999999999" x14ac:dyDescent="0.5">
      <c r="D1517" s="3" t="s">
        <v>129</v>
      </c>
    </row>
    <row r="1518" spans="4:4" ht="17.649999999999999" x14ac:dyDescent="0.5">
      <c r="D1518" s="3" t="s">
        <v>76</v>
      </c>
    </row>
    <row r="1519" spans="4:4" ht="17.649999999999999" x14ac:dyDescent="0.5">
      <c r="D1519" s="3" t="s">
        <v>75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46</v>
      </c>
    </row>
    <row r="1522" spans="4:4" ht="17.649999999999999" x14ac:dyDescent="0.5">
      <c r="D1522" s="3" t="s">
        <v>107</v>
      </c>
    </row>
    <row r="1523" spans="4:4" ht="17.649999999999999" x14ac:dyDescent="0.5">
      <c r="D1523" s="3" t="s">
        <v>89</v>
      </c>
    </row>
    <row r="1524" spans="4:4" ht="17.649999999999999" x14ac:dyDescent="0.5">
      <c r="D1524" s="3" t="s">
        <v>67</v>
      </c>
    </row>
    <row r="1525" spans="4:4" ht="17.649999999999999" x14ac:dyDescent="0.5">
      <c r="D1525" s="3" t="s">
        <v>91</v>
      </c>
    </row>
    <row r="1526" spans="4:4" ht="17.649999999999999" x14ac:dyDescent="0.5">
      <c r="D1526" s="3" t="s">
        <v>48</v>
      </c>
    </row>
    <row r="1527" spans="4:4" ht="17.649999999999999" x14ac:dyDescent="0.5">
      <c r="D1527" s="3" t="s">
        <v>74</v>
      </c>
    </row>
    <row r="1528" spans="4:4" ht="17.649999999999999" x14ac:dyDescent="0.5">
      <c r="D1528" s="3" t="s">
        <v>127</v>
      </c>
    </row>
    <row r="1529" spans="4:4" ht="17.649999999999999" x14ac:dyDescent="0.5">
      <c r="D1529" s="3" t="s">
        <v>84</v>
      </c>
    </row>
    <row r="1530" spans="4:4" ht="17.649999999999999" x14ac:dyDescent="0.5">
      <c r="D1530" s="3" t="s">
        <v>135</v>
      </c>
    </row>
    <row r="1531" spans="4:4" ht="17.649999999999999" x14ac:dyDescent="0.5">
      <c r="D1531" s="3" t="s">
        <v>122</v>
      </c>
    </row>
    <row r="1532" spans="4:4" ht="17.649999999999999" x14ac:dyDescent="0.5">
      <c r="D1532" s="3" t="s">
        <v>69</v>
      </c>
    </row>
    <row r="1533" spans="4:4" ht="17.649999999999999" x14ac:dyDescent="0.5">
      <c r="D1533" s="3" t="s">
        <v>112</v>
      </c>
    </row>
    <row r="1534" spans="4:4" ht="17.649999999999999" x14ac:dyDescent="0.5">
      <c r="D1534" s="3" t="s">
        <v>85</v>
      </c>
    </row>
    <row r="1535" spans="4:4" ht="17.649999999999999" x14ac:dyDescent="0.5">
      <c r="D1535" s="3" t="s">
        <v>115</v>
      </c>
    </row>
    <row r="1536" spans="4:4" ht="17.649999999999999" x14ac:dyDescent="0.5">
      <c r="D1536" s="3" t="s">
        <v>94</v>
      </c>
    </row>
    <row r="1537" spans="4:4" ht="17.649999999999999" x14ac:dyDescent="0.5">
      <c r="D1537" s="3" t="s">
        <v>70</v>
      </c>
    </row>
    <row r="1538" spans="4:4" ht="17.649999999999999" x14ac:dyDescent="0.5">
      <c r="D1538" s="3" t="s">
        <v>41</v>
      </c>
    </row>
    <row r="1539" spans="4:4" ht="17.649999999999999" x14ac:dyDescent="0.5">
      <c r="D1539" s="3" t="s">
        <v>77</v>
      </c>
    </row>
    <row r="1540" spans="4:4" ht="17.649999999999999" x14ac:dyDescent="0.5">
      <c r="D1540" s="3" t="s">
        <v>51</v>
      </c>
    </row>
    <row r="1541" spans="4:4" ht="17.649999999999999" x14ac:dyDescent="0.5">
      <c r="D1541" s="3" t="s">
        <v>87</v>
      </c>
    </row>
    <row r="1542" spans="4:4" ht="17.649999999999999" x14ac:dyDescent="0.5">
      <c r="D1542" s="3" t="s">
        <v>48</v>
      </c>
    </row>
    <row r="1543" spans="4:4" ht="17.649999999999999" x14ac:dyDescent="0.5">
      <c r="D1543" s="3" t="s">
        <v>92</v>
      </c>
    </row>
    <row r="1544" spans="4:4" ht="17.649999999999999" x14ac:dyDescent="0.5">
      <c r="D1544" s="3" t="s">
        <v>70</v>
      </c>
    </row>
    <row r="1545" spans="4:4" ht="17.649999999999999" x14ac:dyDescent="0.5">
      <c r="D1545" s="3" t="s">
        <v>103</v>
      </c>
    </row>
    <row r="1546" spans="4:4" ht="17.649999999999999" x14ac:dyDescent="0.5">
      <c r="D1546" s="3" t="s">
        <v>121</v>
      </c>
    </row>
    <row r="1547" spans="4:4" ht="17.649999999999999" x14ac:dyDescent="0.5">
      <c r="D1547" s="3" t="s">
        <v>84</v>
      </c>
    </row>
    <row r="1548" spans="4:4" ht="17.649999999999999" x14ac:dyDescent="0.5">
      <c r="D1548" s="3" t="s">
        <v>96</v>
      </c>
    </row>
    <row r="1549" spans="4:4" ht="17.649999999999999" x14ac:dyDescent="0.5">
      <c r="D1549" s="3" t="s">
        <v>80</v>
      </c>
    </row>
    <row r="1550" spans="4:4" ht="17.649999999999999" x14ac:dyDescent="0.5">
      <c r="D1550" s="3" t="s">
        <v>53</v>
      </c>
    </row>
    <row r="1551" spans="4:4" ht="17.649999999999999" x14ac:dyDescent="0.5">
      <c r="D1551" s="3" t="s">
        <v>117</v>
      </c>
    </row>
    <row r="1552" spans="4:4" ht="17.649999999999999" x14ac:dyDescent="0.5">
      <c r="D1552" s="3" t="s">
        <v>66</v>
      </c>
    </row>
    <row r="1553" spans="4:4" ht="17.649999999999999" x14ac:dyDescent="0.5">
      <c r="D1553" s="3" t="s">
        <v>81</v>
      </c>
    </row>
    <row r="1554" spans="4:4" ht="17.649999999999999" x14ac:dyDescent="0.5">
      <c r="D1554" s="3" t="s">
        <v>128</v>
      </c>
    </row>
    <row r="1555" spans="4:4" ht="17.649999999999999" x14ac:dyDescent="0.5">
      <c r="D1555" s="3" t="s">
        <v>55</v>
      </c>
    </row>
    <row r="1556" spans="4:4" ht="17.649999999999999" x14ac:dyDescent="0.5">
      <c r="D1556" s="3" t="s">
        <v>124</v>
      </c>
    </row>
    <row r="1557" spans="4:4" ht="17.649999999999999" x14ac:dyDescent="0.5">
      <c r="D1557" s="3" t="s">
        <v>70</v>
      </c>
    </row>
    <row r="1558" spans="4:4" ht="17.649999999999999" x14ac:dyDescent="0.5">
      <c r="D1558" s="3" t="s">
        <v>84</v>
      </c>
    </row>
    <row r="1559" spans="4:4" ht="17.649999999999999" x14ac:dyDescent="0.5">
      <c r="D1559" s="3" t="s">
        <v>130</v>
      </c>
    </row>
    <row r="1560" spans="4:4" ht="17.649999999999999" x14ac:dyDescent="0.5">
      <c r="D1560" s="3" t="s">
        <v>83</v>
      </c>
    </row>
    <row r="1561" spans="4:4" ht="17.649999999999999" x14ac:dyDescent="0.5">
      <c r="D1561" s="3" t="s">
        <v>87</v>
      </c>
    </row>
    <row r="1562" spans="4:4" ht="17.649999999999999" x14ac:dyDescent="0.5">
      <c r="D1562" s="3" t="s">
        <v>50</v>
      </c>
    </row>
    <row r="1563" spans="4:4" ht="17.649999999999999" x14ac:dyDescent="0.5">
      <c r="D1563" s="3" t="s">
        <v>85</v>
      </c>
    </row>
    <row r="1564" spans="4:4" ht="17.649999999999999" x14ac:dyDescent="0.5">
      <c r="D1564" s="3" t="s">
        <v>117</v>
      </c>
    </row>
    <row r="1565" spans="4:4" ht="17.649999999999999" x14ac:dyDescent="0.5">
      <c r="D1565" s="3" t="s">
        <v>98</v>
      </c>
    </row>
    <row r="1566" spans="4:4" ht="17.649999999999999" x14ac:dyDescent="0.5">
      <c r="D1566" s="3" t="s">
        <v>118</v>
      </c>
    </row>
    <row r="1567" spans="4:4" ht="17.649999999999999" x14ac:dyDescent="0.5">
      <c r="D1567" s="3" t="s">
        <v>73</v>
      </c>
    </row>
    <row r="1568" spans="4:4" ht="17.649999999999999" x14ac:dyDescent="0.5">
      <c r="D1568" s="3" t="s">
        <v>57</v>
      </c>
    </row>
    <row r="1569" spans="4:4" ht="17.649999999999999" x14ac:dyDescent="0.5">
      <c r="D1569" s="3" t="s">
        <v>55</v>
      </c>
    </row>
    <row r="1570" spans="4:4" ht="17.649999999999999" x14ac:dyDescent="0.5">
      <c r="D1570" s="3" t="s">
        <v>105</v>
      </c>
    </row>
    <row r="1571" spans="4:4" ht="17.649999999999999" x14ac:dyDescent="0.5">
      <c r="D1571" s="3" t="s">
        <v>132</v>
      </c>
    </row>
    <row r="1572" spans="4:4" ht="17.649999999999999" x14ac:dyDescent="0.5">
      <c r="D1572" s="3" t="s">
        <v>65</v>
      </c>
    </row>
    <row r="1573" spans="4:4" ht="17.649999999999999" x14ac:dyDescent="0.5">
      <c r="D1573" s="3" t="s">
        <v>73</v>
      </c>
    </row>
    <row r="1574" spans="4:4" ht="17.649999999999999" x14ac:dyDescent="0.5">
      <c r="D1574" s="3" t="s">
        <v>59</v>
      </c>
    </row>
    <row r="1575" spans="4:4" ht="17.649999999999999" x14ac:dyDescent="0.5">
      <c r="D1575" s="3" t="s">
        <v>81</v>
      </c>
    </row>
    <row r="1576" spans="4:4" ht="17.649999999999999" x14ac:dyDescent="0.5">
      <c r="D1576" s="3" t="s">
        <v>110</v>
      </c>
    </row>
    <row r="1577" spans="4:4" ht="17.649999999999999" x14ac:dyDescent="0.5">
      <c r="D1577" s="3" t="s">
        <v>71</v>
      </c>
    </row>
    <row r="1578" spans="4:4" ht="17.649999999999999" x14ac:dyDescent="0.5">
      <c r="D1578" s="3" t="s">
        <v>52</v>
      </c>
    </row>
    <row r="1579" spans="4:4" ht="17.649999999999999" x14ac:dyDescent="0.5">
      <c r="D1579" s="3" t="s">
        <v>132</v>
      </c>
    </row>
    <row r="1580" spans="4:4" ht="17.649999999999999" x14ac:dyDescent="0.5">
      <c r="D1580" s="3" t="s">
        <v>85</v>
      </c>
    </row>
    <row r="1581" spans="4:4" ht="17.649999999999999" x14ac:dyDescent="0.5">
      <c r="D1581" s="3" t="s">
        <v>65</v>
      </c>
    </row>
    <row r="1582" spans="4:4" ht="17.649999999999999" x14ac:dyDescent="0.5">
      <c r="D1582" s="3" t="s">
        <v>63</v>
      </c>
    </row>
    <row r="1583" spans="4:4" ht="17.649999999999999" x14ac:dyDescent="0.5">
      <c r="D1583" s="3" t="s">
        <v>81</v>
      </c>
    </row>
    <row r="1584" spans="4:4" ht="17.649999999999999" x14ac:dyDescent="0.5">
      <c r="D1584" s="3" t="s">
        <v>44</v>
      </c>
    </row>
    <row r="1585" spans="4:4" ht="17.649999999999999" x14ac:dyDescent="0.5">
      <c r="D1585" s="3" t="s">
        <v>83</v>
      </c>
    </row>
    <row r="1586" spans="4:4" ht="17.649999999999999" x14ac:dyDescent="0.5">
      <c r="D1586" s="3" t="s">
        <v>45</v>
      </c>
    </row>
    <row r="1587" spans="4:4" ht="17.649999999999999" x14ac:dyDescent="0.5">
      <c r="D1587" s="3" t="s">
        <v>69</v>
      </c>
    </row>
    <row r="1588" spans="4:4" ht="17.649999999999999" x14ac:dyDescent="0.5">
      <c r="D1588" s="3" t="s">
        <v>50</v>
      </c>
    </row>
    <row r="1589" spans="4:4" ht="17.649999999999999" x14ac:dyDescent="0.5">
      <c r="D1589" s="3" t="s">
        <v>127</v>
      </c>
    </row>
    <row r="1590" spans="4:4" ht="17.649999999999999" x14ac:dyDescent="0.5">
      <c r="D1590" s="3" t="s">
        <v>78</v>
      </c>
    </row>
    <row r="1591" spans="4:4" ht="17.649999999999999" x14ac:dyDescent="0.5">
      <c r="D1591" s="3" t="s">
        <v>120</v>
      </c>
    </row>
    <row r="1592" spans="4:4" ht="17.649999999999999" x14ac:dyDescent="0.5">
      <c r="D1592" s="3" t="s">
        <v>91</v>
      </c>
    </row>
    <row r="1593" spans="4:4" ht="17.649999999999999" x14ac:dyDescent="0.5">
      <c r="D1593" s="3" t="s">
        <v>117</v>
      </c>
    </row>
    <row r="1594" spans="4:4" ht="17.649999999999999" x14ac:dyDescent="0.5">
      <c r="D1594" s="3" t="s">
        <v>81</v>
      </c>
    </row>
    <row r="1595" spans="4:4" ht="17.649999999999999" x14ac:dyDescent="0.5">
      <c r="D1595" s="3" t="s">
        <v>105</v>
      </c>
    </row>
    <row r="1596" spans="4:4" ht="17.649999999999999" x14ac:dyDescent="0.5">
      <c r="D1596" s="3" t="s">
        <v>61</v>
      </c>
    </row>
    <row r="1597" spans="4:4" ht="17.649999999999999" x14ac:dyDescent="0.5">
      <c r="D1597" s="3" t="s">
        <v>83</v>
      </c>
    </row>
    <row r="1598" spans="4:4" ht="17.649999999999999" x14ac:dyDescent="0.5">
      <c r="D1598" s="3" t="s">
        <v>87</v>
      </c>
    </row>
    <row r="1599" spans="4:4" ht="17.649999999999999" x14ac:dyDescent="0.5">
      <c r="D1599" s="3" t="s">
        <v>92</v>
      </c>
    </row>
    <row r="1600" spans="4:4" ht="17.649999999999999" x14ac:dyDescent="0.5">
      <c r="D1600" s="3" t="s">
        <v>93</v>
      </c>
    </row>
    <row r="1601" spans="4:4" ht="17.649999999999999" x14ac:dyDescent="0.5">
      <c r="D1601" s="3" t="s">
        <v>84</v>
      </c>
    </row>
    <row r="1602" spans="4:4" ht="17.649999999999999" x14ac:dyDescent="0.5">
      <c r="D1602" s="3" t="s">
        <v>68</v>
      </c>
    </row>
    <row r="1603" spans="4:4" ht="17.649999999999999" x14ac:dyDescent="0.5">
      <c r="D1603" s="3" t="s">
        <v>60</v>
      </c>
    </row>
    <row r="1604" spans="4:4" ht="17.649999999999999" x14ac:dyDescent="0.5">
      <c r="D1604" s="3" t="s">
        <v>56</v>
      </c>
    </row>
    <row r="1605" spans="4:4" ht="17.649999999999999" x14ac:dyDescent="0.5">
      <c r="D1605" s="3" t="s">
        <v>78</v>
      </c>
    </row>
    <row r="1606" spans="4:4" ht="17.649999999999999" x14ac:dyDescent="0.5">
      <c r="D1606" s="3" t="s">
        <v>84</v>
      </c>
    </row>
    <row r="1607" spans="4:4" ht="17.649999999999999" x14ac:dyDescent="0.5">
      <c r="D1607" s="3" t="s">
        <v>50</v>
      </c>
    </row>
    <row r="1608" spans="4:4" ht="17.649999999999999" x14ac:dyDescent="0.5">
      <c r="D1608" s="3" t="s">
        <v>59</v>
      </c>
    </row>
    <row r="1609" spans="4:4" ht="17.649999999999999" x14ac:dyDescent="0.5">
      <c r="D1609" s="3" t="s">
        <v>56</v>
      </c>
    </row>
    <row r="1610" spans="4:4" ht="17.649999999999999" x14ac:dyDescent="0.5">
      <c r="D1610" s="3" t="s">
        <v>67</v>
      </c>
    </row>
    <row r="1611" spans="4:4" ht="17.649999999999999" x14ac:dyDescent="0.5">
      <c r="D1611" s="3" t="s">
        <v>122</v>
      </c>
    </row>
    <row r="1612" spans="4:4" ht="17.649999999999999" x14ac:dyDescent="0.5">
      <c r="D1612" s="3" t="s">
        <v>53</v>
      </c>
    </row>
    <row r="1613" spans="4:4" ht="17.649999999999999" x14ac:dyDescent="0.5">
      <c r="D1613" s="3" t="s">
        <v>84</v>
      </c>
    </row>
    <row r="1614" spans="4:4" ht="17.649999999999999" x14ac:dyDescent="0.5">
      <c r="D1614" s="3" t="s">
        <v>105</v>
      </c>
    </row>
    <row r="1615" spans="4:4" ht="17.649999999999999" x14ac:dyDescent="0.5">
      <c r="D1615" s="3" t="s">
        <v>101</v>
      </c>
    </row>
    <row r="1616" spans="4:4" ht="17.649999999999999" x14ac:dyDescent="0.5">
      <c r="D1616" s="3" t="s">
        <v>75</v>
      </c>
    </row>
    <row r="1617" spans="4:4" ht="17.649999999999999" x14ac:dyDescent="0.5">
      <c r="D1617" s="3" t="s">
        <v>67</v>
      </c>
    </row>
    <row r="1618" spans="4:4" ht="17.649999999999999" x14ac:dyDescent="0.5">
      <c r="D1618" s="3" t="s">
        <v>91</v>
      </c>
    </row>
    <row r="1619" spans="4:4" ht="17.649999999999999" x14ac:dyDescent="0.5">
      <c r="D1619" s="3" t="s">
        <v>63</v>
      </c>
    </row>
    <row r="1620" spans="4:4" ht="17.649999999999999" x14ac:dyDescent="0.5">
      <c r="D1620" s="3" t="s">
        <v>90</v>
      </c>
    </row>
    <row r="1621" spans="4:4" ht="17.649999999999999" x14ac:dyDescent="0.5">
      <c r="D1621" s="3" t="s">
        <v>75</v>
      </c>
    </row>
    <row r="1622" spans="4:4" ht="17.649999999999999" x14ac:dyDescent="0.5">
      <c r="D1622" s="3" t="s">
        <v>73</v>
      </c>
    </row>
    <row r="1623" spans="4:4" ht="17.649999999999999" x14ac:dyDescent="0.5">
      <c r="D1623" s="3" t="s">
        <v>43</v>
      </c>
    </row>
    <row r="1624" spans="4:4" ht="17.649999999999999" x14ac:dyDescent="0.5">
      <c r="D1624" s="3" t="s">
        <v>111</v>
      </c>
    </row>
    <row r="1625" spans="4:4" ht="17.649999999999999" x14ac:dyDescent="0.5">
      <c r="D1625" s="3" t="s">
        <v>104</v>
      </c>
    </row>
    <row r="1626" spans="4:4" ht="17.649999999999999" x14ac:dyDescent="0.5">
      <c r="D1626" s="3" t="s">
        <v>54</v>
      </c>
    </row>
    <row r="1627" spans="4:4" ht="17.649999999999999" x14ac:dyDescent="0.5">
      <c r="D1627" s="3" t="s">
        <v>44</v>
      </c>
    </row>
    <row r="1628" spans="4:4" ht="17.649999999999999" x14ac:dyDescent="0.5">
      <c r="D1628" s="3" t="s">
        <v>90</v>
      </c>
    </row>
    <row r="1629" spans="4:4" ht="17.649999999999999" x14ac:dyDescent="0.5">
      <c r="D1629" s="3" t="s">
        <v>85</v>
      </c>
    </row>
    <row r="1630" spans="4:4" ht="17.649999999999999" x14ac:dyDescent="0.5">
      <c r="D1630" s="3" t="s">
        <v>101</v>
      </c>
    </row>
    <row r="1631" spans="4:4" ht="17.649999999999999" x14ac:dyDescent="0.5">
      <c r="D1631" s="3" t="s">
        <v>61</v>
      </c>
    </row>
    <row r="1632" spans="4:4" ht="17.649999999999999" x14ac:dyDescent="0.5">
      <c r="D1632" s="3" t="s">
        <v>131</v>
      </c>
    </row>
    <row r="1633" spans="4:4" ht="17.649999999999999" x14ac:dyDescent="0.5">
      <c r="D1633" s="3" t="s">
        <v>120</v>
      </c>
    </row>
    <row r="1634" spans="4:4" ht="17.649999999999999" x14ac:dyDescent="0.5">
      <c r="D1634" s="3" t="s">
        <v>48</v>
      </c>
    </row>
    <row r="1635" spans="4:4" ht="17.649999999999999" x14ac:dyDescent="0.5">
      <c r="D1635" s="3" t="s">
        <v>77</v>
      </c>
    </row>
    <row r="1636" spans="4:4" ht="17.649999999999999" x14ac:dyDescent="0.5">
      <c r="D1636" s="3" t="s">
        <v>46</v>
      </c>
    </row>
    <row r="1637" spans="4:4" ht="17.649999999999999" x14ac:dyDescent="0.5">
      <c r="D1637" s="3" t="s">
        <v>57</v>
      </c>
    </row>
    <row r="1638" spans="4:4" ht="17.649999999999999" x14ac:dyDescent="0.5">
      <c r="D1638" s="3" t="s">
        <v>90</v>
      </c>
    </row>
    <row r="1639" spans="4:4" ht="17.649999999999999" x14ac:dyDescent="0.5">
      <c r="D1639" s="3" t="s">
        <v>85</v>
      </c>
    </row>
    <row r="1640" spans="4:4" ht="17.649999999999999" x14ac:dyDescent="0.5">
      <c r="D1640" s="3" t="s">
        <v>64</v>
      </c>
    </row>
    <row r="1641" spans="4:4" ht="17.649999999999999" x14ac:dyDescent="0.5">
      <c r="D1641" s="3" t="s">
        <v>78</v>
      </c>
    </row>
    <row r="1642" spans="4:4" ht="17.649999999999999" x14ac:dyDescent="0.5">
      <c r="D1642" s="3" t="s">
        <v>65</v>
      </c>
    </row>
    <row r="1643" spans="4:4" ht="17.649999999999999" x14ac:dyDescent="0.5">
      <c r="D1643" s="3" t="s">
        <v>44</v>
      </c>
    </row>
    <row r="1644" spans="4:4" ht="17.649999999999999" x14ac:dyDescent="0.5">
      <c r="D1644" s="3" t="s">
        <v>103</v>
      </c>
    </row>
    <row r="1645" spans="4:4" ht="17.649999999999999" x14ac:dyDescent="0.5">
      <c r="D1645" s="3" t="s">
        <v>125</v>
      </c>
    </row>
    <row r="1646" spans="4:4" ht="17.649999999999999" x14ac:dyDescent="0.5">
      <c r="D1646" s="3" t="s">
        <v>54</v>
      </c>
    </row>
    <row r="1647" spans="4:4" ht="17.649999999999999" x14ac:dyDescent="0.5">
      <c r="D1647" s="3" t="s">
        <v>115</v>
      </c>
    </row>
    <row r="1648" spans="4:4" ht="17.649999999999999" x14ac:dyDescent="0.5">
      <c r="D1648" s="3" t="s">
        <v>73</v>
      </c>
    </row>
    <row r="1649" spans="4:4" ht="17.649999999999999" x14ac:dyDescent="0.5">
      <c r="D1649" s="3" t="s">
        <v>87</v>
      </c>
    </row>
    <row r="1650" spans="4:4" ht="17.649999999999999" x14ac:dyDescent="0.5">
      <c r="D1650" s="3" t="s">
        <v>53</v>
      </c>
    </row>
    <row r="1651" spans="4:4" ht="17.649999999999999" x14ac:dyDescent="0.5">
      <c r="D1651" s="3" t="s">
        <v>112</v>
      </c>
    </row>
    <row r="1652" spans="4:4" ht="17.649999999999999" x14ac:dyDescent="0.5">
      <c r="D1652" s="3" t="s">
        <v>133</v>
      </c>
    </row>
    <row r="1653" spans="4:4" ht="17.649999999999999" x14ac:dyDescent="0.5">
      <c r="D1653" s="3" t="s">
        <v>95</v>
      </c>
    </row>
    <row r="1654" spans="4:4" ht="17.649999999999999" x14ac:dyDescent="0.5">
      <c r="D1654" s="3" t="s">
        <v>90</v>
      </c>
    </row>
    <row r="1655" spans="4:4" ht="17.649999999999999" x14ac:dyDescent="0.5">
      <c r="D1655" s="3" t="s">
        <v>98</v>
      </c>
    </row>
    <row r="1656" spans="4:4" ht="17.649999999999999" x14ac:dyDescent="0.5">
      <c r="D1656" s="3" t="s">
        <v>41</v>
      </c>
    </row>
    <row r="1657" spans="4:4" ht="17.649999999999999" x14ac:dyDescent="0.5">
      <c r="D1657" s="3" t="s">
        <v>96</v>
      </c>
    </row>
    <row r="1658" spans="4:4" ht="17.649999999999999" x14ac:dyDescent="0.5">
      <c r="D1658" s="3" t="s">
        <v>77</v>
      </c>
    </row>
    <row r="1659" spans="4:4" ht="17.649999999999999" x14ac:dyDescent="0.5">
      <c r="D1659" s="3" t="s">
        <v>89</v>
      </c>
    </row>
    <row r="1660" spans="4:4" ht="17.649999999999999" x14ac:dyDescent="0.5">
      <c r="D1660" s="3" t="s">
        <v>73</v>
      </c>
    </row>
    <row r="1661" spans="4:4" ht="17.649999999999999" x14ac:dyDescent="0.5">
      <c r="D1661" s="3" t="s">
        <v>87</v>
      </c>
    </row>
    <row r="1662" spans="4:4" ht="17.649999999999999" x14ac:dyDescent="0.5">
      <c r="D1662" s="3" t="s">
        <v>48</v>
      </c>
    </row>
    <row r="1663" spans="4:4" ht="17.649999999999999" x14ac:dyDescent="0.5">
      <c r="D1663" s="3" t="s">
        <v>98</v>
      </c>
    </row>
    <row r="1664" spans="4:4" ht="17.649999999999999" x14ac:dyDescent="0.5">
      <c r="D1664" s="3" t="s">
        <v>107</v>
      </c>
    </row>
    <row r="1665" spans="4:4" ht="17.649999999999999" x14ac:dyDescent="0.5">
      <c r="D1665" s="3" t="s">
        <v>70</v>
      </c>
    </row>
    <row r="1666" spans="4:4" ht="17.649999999999999" x14ac:dyDescent="0.5">
      <c r="D1666" s="3" t="s">
        <v>106</v>
      </c>
    </row>
    <row r="1667" spans="4:4" ht="17.649999999999999" x14ac:dyDescent="0.5">
      <c r="D1667" s="3" t="s">
        <v>52</v>
      </c>
    </row>
    <row r="1668" spans="4:4" ht="17.649999999999999" x14ac:dyDescent="0.5">
      <c r="D1668" s="3" t="s">
        <v>96</v>
      </c>
    </row>
    <row r="1669" spans="4:4" ht="17.649999999999999" x14ac:dyDescent="0.5">
      <c r="D1669" s="3" t="s">
        <v>122</v>
      </c>
    </row>
    <row r="1670" spans="4:4" ht="17.649999999999999" x14ac:dyDescent="0.5">
      <c r="D1670" s="3" t="s">
        <v>62</v>
      </c>
    </row>
    <row r="1671" spans="4:4" ht="17.649999999999999" x14ac:dyDescent="0.5">
      <c r="D1671" s="3" t="s">
        <v>43</v>
      </c>
    </row>
    <row r="1672" spans="4:4" ht="17.649999999999999" x14ac:dyDescent="0.5">
      <c r="D1672" s="3" t="s">
        <v>115</v>
      </c>
    </row>
    <row r="1673" spans="4:4" ht="17.649999999999999" x14ac:dyDescent="0.5">
      <c r="D1673" s="3" t="s">
        <v>91</v>
      </c>
    </row>
    <row r="1674" spans="4:4" ht="17.649999999999999" x14ac:dyDescent="0.5">
      <c r="D1674" s="3" t="s">
        <v>51</v>
      </c>
    </row>
    <row r="1675" spans="4:4" ht="17.649999999999999" x14ac:dyDescent="0.5">
      <c r="D1675" s="3" t="s">
        <v>55</v>
      </c>
    </row>
    <row r="1676" spans="4:4" ht="17.649999999999999" x14ac:dyDescent="0.5">
      <c r="D1676" s="3" t="s">
        <v>82</v>
      </c>
    </row>
    <row r="1677" spans="4:4" ht="17.649999999999999" x14ac:dyDescent="0.5">
      <c r="D1677" s="3" t="s">
        <v>78</v>
      </c>
    </row>
    <row r="1678" spans="4:4" ht="17.649999999999999" x14ac:dyDescent="0.5">
      <c r="D1678" s="3" t="s">
        <v>125</v>
      </c>
    </row>
    <row r="1679" spans="4:4" ht="17.649999999999999" x14ac:dyDescent="0.5">
      <c r="D1679" s="3" t="s">
        <v>92</v>
      </c>
    </row>
    <row r="1680" spans="4:4" ht="17.649999999999999" x14ac:dyDescent="0.5">
      <c r="D1680" s="3" t="s">
        <v>123</v>
      </c>
    </row>
    <row r="1681" spans="4:4" ht="17.649999999999999" x14ac:dyDescent="0.5">
      <c r="D1681" s="3" t="s">
        <v>136</v>
      </c>
    </row>
    <row r="1682" spans="4:4" ht="17.649999999999999" x14ac:dyDescent="0.5">
      <c r="D1682" s="3" t="s">
        <v>78</v>
      </c>
    </row>
    <row r="1683" spans="4:4" ht="17.649999999999999" x14ac:dyDescent="0.5">
      <c r="D1683" s="3" t="s">
        <v>85</v>
      </c>
    </row>
    <row r="1684" spans="4:4" ht="17.649999999999999" x14ac:dyDescent="0.5">
      <c r="D1684" s="3" t="s">
        <v>98</v>
      </c>
    </row>
    <row r="1685" spans="4:4" ht="17.649999999999999" x14ac:dyDescent="0.5">
      <c r="D1685" s="3" t="s">
        <v>73</v>
      </c>
    </row>
    <row r="1686" spans="4:4" ht="17.649999999999999" x14ac:dyDescent="0.5">
      <c r="D1686" s="3" t="s">
        <v>55</v>
      </c>
    </row>
    <row r="1687" spans="4:4" ht="17.649999999999999" x14ac:dyDescent="0.5">
      <c r="D1687" s="3" t="s">
        <v>56</v>
      </c>
    </row>
    <row r="1688" spans="4:4" ht="17.649999999999999" x14ac:dyDescent="0.5">
      <c r="D1688" s="3" t="s">
        <v>103</v>
      </c>
    </row>
    <row r="1689" spans="4:4" ht="17.649999999999999" x14ac:dyDescent="0.5">
      <c r="D1689" s="3" t="s">
        <v>101</v>
      </c>
    </row>
    <row r="1690" spans="4:4" ht="17.649999999999999" x14ac:dyDescent="0.5">
      <c r="D1690" s="3" t="s">
        <v>67</v>
      </c>
    </row>
    <row r="1691" spans="4:4" ht="17.649999999999999" x14ac:dyDescent="0.5">
      <c r="D1691" s="3" t="s">
        <v>64</v>
      </c>
    </row>
    <row r="1692" spans="4:4" ht="17.649999999999999" x14ac:dyDescent="0.5">
      <c r="D1692" s="3" t="s">
        <v>59</v>
      </c>
    </row>
    <row r="1693" spans="4:4" ht="17.649999999999999" x14ac:dyDescent="0.5">
      <c r="D1693" s="3" t="s">
        <v>51</v>
      </c>
    </row>
    <row r="1694" spans="4:4" ht="17.649999999999999" x14ac:dyDescent="0.5">
      <c r="D1694" s="3" t="s">
        <v>66</v>
      </c>
    </row>
    <row r="1695" spans="4:4" ht="17.649999999999999" x14ac:dyDescent="0.5">
      <c r="D1695" s="3" t="s">
        <v>74</v>
      </c>
    </row>
    <row r="1696" spans="4:4" ht="17.649999999999999" x14ac:dyDescent="0.5">
      <c r="D1696" s="3" t="s">
        <v>130</v>
      </c>
    </row>
    <row r="1697" spans="4:4" ht="17.649999999999999" x14ac:dyDescent="0.5">
      <c r="D1697" s="3" t="s">
        <v>115</v>
      </c>
    </row>
    <row r="1698" spans="4:4" ht="17.649999999999999" x14ac:dyDescent="0.5">
      <c r="D1698" s="3" t="s">
        <v>56</v>
      </c>
    </row>
    <row r="1699" spans="4:4" ht="17.649999999999999" x14ac:dyDescent="0.5">
      <c r="D1699" s="3" t="s">
        <v>88</v>
      </c>
    </row>
    <row r="1700" spans="4:4" ht="17.649999999999999" x14ac:dyDescent="0.5">
      <c r="D1700" s="3" t="s">
        <v>84</v>
      </c>
    </row>
    <row r="1701" spans="4:4" ht="17.649999999999999" x14ac:dyDescent="0.5">
      <c r="D1701" s="3" t="s">
        <v>44</v>
      </c>
    </row>
    <row r="1702" spans="4:4" ht="17.649999999999999" x14ac:dyDescent="0.5">
      <c r="D1702" s="3" t="s">
        <v>47</v>
      </c>
    </row>
    <row r="1703" spans="4:4" ht="17.649999999999999" x14ac:dyDescent="0.5">
      <c r="D1703" s="3" t="s">
        <v>65</v>
      </c>
    </row>
    <row r="1704" spans="4:4" ht="17.649999999999999" x14ac:dyDescent="0.5">
      <c r="D1704" s="3" t="s">
        <v>96</v>
      </c>
    </row>
    <row r="1705" spans="4:4" ht="17.649999999999999" x14ac:dyDescent="0.5">
      <c r="D1705" s="3" t="s">
        <v>57</v>
      </c>
    </row>
    <row r="1706" spans="4:4" ht="17.649999999999999" x14ac:dyDescent="0.5">
      <c r="D1706" s="3" t="s">
        <v>105</v>
      </c>
    </row>
    <row r="1707" spans="4:4" ht="17.649999999999999" x14ac:dyDescent="0.5">
      <c r="D1707" s="3" t="s">
        <v>121</v>
      </c>
    </row>
    <row r="1708" spans="4:4" ht="17.649999999999999" x14ac:dyDescent="0.5">
      <c r="D1708" s="3" t="s">
        <v>124</v>
      </c>
    </row>
    <row r="1709" spans="4:4" ht="17.649999999999999" x14ac:dyDescent="0.5">
      <c r="D1709" s="3" t="s">
        <v>55</v>
      </c>
    </row>
    <row r="1710" spans="4:4" ht="17.649999999999999" x14ac:dyDescent="0.5">
      <c r="D1710" s="3" t="s">
        <v>75</v>
      </c>
    </row>
    <row r="1711" spans="4:4" ht="17.649999999999999" x14ac:dyDescent="0.5">
      <c r="D1711" s="3" t="s">
        <v>67</v>
      </c>
    </row>
    <row r="1712" spans="4:4" ht="17.649999999999999" x14ac:dyDescent="0.5">
      <c r="D1712" s="3" t="s">
        <v>44</v>
      </c>
    </row>
    <row r="1713" spans="4:4" ht="17.649999999999999" x14ac:dyDescent="0.5">
      <c r="D1713" s="3" t="s">
        <v>75</v>
      </c>
    </row>
    <row r="1714" spans="4:4" ht="17.649999999999999" x14ac:dyDescent="0.5">
      <c r="D1714" s="3" t="s">
        <v>83</v>
      </c>
    </row>
    <row r="1715" spans="4:4" ht="17.649999999999999" x14ac:dyDescent="0.5">
      <c r="D1715" s="3" t="s">
        <v>93</v>
      </c>
    </row>
    <row r="1716" spans="4:4" ht="17.649999999999999" x14ac:dyDescent="0.5">
      <c r="D1716" s="3" t="s">
        <v>65</v>
      </c>
    </row>
    <row r="1717" spans="4:4" ht="17.649999999999999" x14ac:dyDescent="0.5">
      <c r="D1717" s="3" t="s">
        <v>103</v>
      </c>
    </row>
    <row r="1718" spans="4:4" ht="17.649999999999999" x14ac:dyDescent="0.5">
      <c r="D1718" s="3" t="s">
        <v>64</v>
      </c>
    </row>
    <row r="1719" spans="4:4" ht="17.649999999999999" x14ac:dyDescent="0.5">
      <c r="D1719" s="3" t="s">
        <v>78</v>
      </c>
    </row>
    <row r="1720" spans="4:4" ht="17.649999999999999" x14ac:dyDescent="0.5">
      <c r="D1720" s="3" t="s">
        <v>52</v>
      </c>
    </row>
    <row r="1721" spans="4:4" ht="17.649999999999999" x14ac:dyDescent="0.5">
      <c r="D1721" s="3" t="s">
        <v>61</v>
      </c>
    </row>
    <row r="1722" spans="4:4" ht="17.649999999999999" x14ac:dyDescent="0.5">
      <c r="D1722" s="3" t="s">
        <v>129</v>
      </c>
    </row>
    <row r="1723" spans="4:4" ht="17.649999999999999" x14ac:dyDescent="0.5">
      <c r="D1723" s="3" t="s">
        <v>65</v>
      </c>
    </row>
    <row r="1724" spans="4:4" ht="17.649999999999999" x14ac:dyDescent="0.5">
      <c r="D1724" s="3" t="s">
        <v>60</v>
      </c>
    </row>
    <row r="1725" spans="4:4" ht="17.649999999999999" x14ac:dyDescent="0.5">
      <c r="D1725" s="3" t="s">
        <v>49</v>
      </c>
    </row>
    <row r="1726" spans="4:4" ht="17.649999999999999" x14ac:dyDescent="0.5">
      <c r="D1726" s="3" t="s">
        <v>85</v>
      </c>
    </row>
    <row r="1727" spans="4:4" ht="17.649999999999999" x14ac:dyDescent="0.5">
      <c r="D1727" s="3" t="s">
        <v>43</v>
      </c>
    </row>
    <row r="1728" spans="4:4" ht="17.649999999999999" x14ac:dyDescent="0.5">
      <c r="D1728" s="3" t="s">
        <v>114</v>
      </c>
    </row>
    <row r="1729" spans="4:4" ht="17.649999999999999" x14ac:dyDescent="0.5">
      <c r="D1729" s="3" t="s">
        <v>106</v>
      </c>
    </row>
    <row r="1730" spans="4:4" ht="17.649999999999999" x14ac:dyDescent="0.5">
      <c r="D1730" s="3" t="s">
        <v>121</v>
      </c>
    </row>
    <row r="1731" spans="4:4" ht="17.649999999999999" x14ac:dyDescent="0.5">
      <c r="D1731" s="3" t="s">
        <v>66</v>
      </c>
    </row>
    <row r="1732" spans="4:4" ht="17.649999999999999" x14ac:dyDescent="0.5">
      <c r="D1732" s="3" t="s">
        <v>48</v>
      </c>
    </row>
    <row r="1733" spans="4:4" ht="17.649999999999999" x14ac:dyDescent="0.5">
      <c r="D1733" s="3" t="s">
        <v>87</v>
      </c>
    </row>
    <row r="1734" spans="4:4" ht="17.649999999999999" x14ac:dyDescent="0.5">
      <c r="D1734" s="3" t="s">
        <v>76</v>
      </c>
    </row>
    <row r="1735" spans="4:4" ht="17.649999999999999" x14ac:dyDescent="0.5">
      <c r="D1735" s="3" t="s">
        <v>75</v>
      </c>
    </row>
    <row r="1736" spans="4:4" ht="17.649999999999999" x14ac:dyDescent="0.5">
      <c r="D1736" s="3" t="s">
        <v>117</v>
      </c>
    </row>
    <row r="1737" spans="4:4" ht="17.649999999999999" x14ac:dyDescent="0.5">
      <c r="D1737" s="3" t="s">
        <v>99</v>
      </c>
    </row>
    <row r="1738" spans="4:4" ht="17.649999999999999" x14ac:dyDescent="0.5">
      <c r="D1738" s="3" t="s">
        <v>84</v>
      </c>
    </row>
    <row r="1739" spans="4:4" ht="17.649999999999999" x14ac:dyDescent="0.5">
      <c r="D1739" s="3" t="s">
        <v>101</v>
      </c>
    </row>
    <row r="1740" spans="4:4" ht="17.649999999999999" x14ac:dyDescent="0.5">
      <c r="D1740" s="3" t="s">
        <v>67</v>
      </c>
    </row>
    <row r="1741" spans="4:4" ht="17.649999999999999" x14ac:dyDescent="0.5">
      <c r="D1741" s="3" t="s">
        <v>126</v>
      </c>
    </row>
    <row r="1742" spans="4:4" ht="17.649999999999999" x14ac:dyDescent="0.5">
      <c r="D1742" s="3" t="s">
        <v>78</v>
      </c>
    </row>
    <row r="1743" spans="4:4" ht="17.649999999999999" x14ac:dyDescent="0.5">
      <c r="D1743" s="3" t="s">
        <v>43</v>
      </c>
    </row>
    <row r="1744" spans="4:4" ht="17.649999999999999" x14ac:dyDescent="0.5">
      <c r="D1744" s="3" t="s">
        <v>84</v>
      </c>
    </row>
    <row r="1745" spans="4:4" ht="17.649999999999999" x14ac:dyDescent="0.5">
      <c r="D1745" s="3" t="s">
        <v>59</v>
      </c>
    </row>
    <row r="1746" spans="4:4" ht="17.649999999999999" x14ac:dyDescent="0.5">
      <c r="D1746" s="3" t="s">
        <v>90</v>
      </c>
    </row>
    <row r="1747" spans="4:4" ht="17.649999999999999" x14ac:dyDescent="0.5">
      <c r="D1747" s="3" t="s">
        <v>64</v>
      </c>
    </row>
    <row r="1748" spans="4:4" ht="17.649999999999999" x14ac:dyDescent="0.5">
      <c r="D1748" s="3" t="s">
        <v>117</v>
      </c>
    </row>
    <row r="1749" spans="4:4" ht="17.649999999999999" x14ac:dyDescent="0.5">
      <c r="D1749" s="3" t="s">
        <v>59</v>
      </c>
    </row>
    <row r="1750" spans="4:4" ht="17.649999999999999" x14ac:dyDescent="0.5">
      <c r="D1750" s="3" t="s">
        <v>61</v>
      </c>
    </row>
    <row r="1751" spans="4:4" ht="17.649999999999999" x14ac:dyDescent="0.5">
      <c r="D1751" s="3" t="s">
        <v>87</v>
      </c>
    </row>
    <row r="1752" spans="4:4" ht="17.649999999999999" x14ac:dyDescent="0.5">
      <c r="D1752" s="3" t="s">
        <v>122</v>
      </c>
    </row>
    <row r="1753" spans="4:4" ht="17.649999999999999" x14ac:dyDescent="0.5">
      <c r="D1753" s="3" t="s">
        <v>98</v>
      </c>
    </row>
    <row r="1754" spans="4:4" ht="17.649999999999999" x14ac:dyDescent="0.5">
      <c r="D1754" s="3" t="s">
        <v>66</v>
      </c>
    </row>
    <row r="1755" spans="4:4" ht="17.649999999999999" x14ac:dyDescent="0.5">
      <c r="D1755" s="3" t="s">
        <v>130</v>
      </c>
    </row>
    <row r="1756" spans="4:4" ht="17.649999999999999" x14ac:dyDescent="0.5">
      <c r="D1756" s="3" t="s">
        <v>55</v>
      </c>
    </row>
    <row r="1757" spans="4:4" ht="17.649999999999999" x14ac:dyDescent="0.5">
      <c r="D1757" s="3" t="s">
        <v>121</v>
      </c>
    </row>
    <row r="1758" spans="4:4" ht="17.649999999999999" x14ac:dyDescent="0.5">
      <c r="D1758" s="3" t="s">
        <v>103</v>
      </c>
    </row>
    <row r="1759" spans="4:4" ht="17.649999999999999" x14ac:dyDescent="0.5">
      <c r="D1759" s="3" t="s">
        <v>122</v>
      </c>
    </row>
    <row r="1760" spans="4:4" ht="17.649999999999999" x14ac:dyDescent="0.5">
      <c r="D1760" s="3" t="s">
        <v>109</v>
      </c>
    </row>
    <row r="1761" spans="4:4" ht="17.649999999999999" x14ac:dyDescent="0.5">
      <c r="D1761" s="3" t="s">
        <v>98</v>
      </c>
    </row>
    <row r="1762" spans="4:4" ht="17.649999999999999" x14ac:dyDescent="0.5">
      <c r="D1762" s="3" t="s">
        <v>111</v>
      </c>
    </row>
    <row r="1763" spans="4:4" ht="17.649999999999999" x14ac:dyDescent="0.5">
      <c r="D1763" s="3" t="s">
        <v>104</v>
      </c>
    </row>
    <row r="1764" spans="4:4" ht="17.649999999999999" x14ac:dyDescent="0.5">
      <c r="D1764" s="3" t="s">
        <v>66</v>
      </c>
    </row>
    <row r="1765" spans="4:4" ht="17.649999999999999" x14ac:dyDescent="0.5">
      <c r="D1765" s="3" t="s">
        <v>84</v>
      </c>
    </row>
    <row r="1766" spans="4:4" ht="17.649999999999999" x14ac:dyDescent="0.5">
      <c r="D1766" s="3" t="s">
        <v>58</v>
      </c>
    </row>
    <row r="1767" spans="4:4" ht="17.649999999999999" x14ac:dyDescent="0.5">
      <c r="D1767" s="3" t="s">
        <v>91</v>
      </c>
    </row>
    <row r="1768" spans="4:4" ht="17.649999999999999" x14ac:dyDescent="0.5">
      <c r="D1768" s="3" t="s">
        <v>88</v>
      </c>
    </row>
    <row r="1769" spans="4:4" ht="17.649999999999999" x14ac:dyDescent="0.5">
      <c r="D1769" s="3" t="s">
        <v>101</v>
      </c>
    </row>
    <row r="1770" spans="4:4" ht="17.649999999999999" x14ac:dyDescent="0.5">
      <c r="D1770" s="3" t="s">
        <v>54</v>
      </c>
    </row>
    <row r="1771" spans="4:4" ht="17.649999999999999" x14ac:dyDescent="0.5">
      <c r="D1771" s="3" t="s">
        <v>51</v>
      </c>
    </row>
    <row r="1772" spans="4:4" ht="17.649999999999999" x14ac:dyDescent="0.5">
      <c r="D1772" s="3" t="s">
        <v>112</v>
      </c>
    </row>
    <row r="1773" spans="4:4" ht="17.649999999999999" x14ac:dyDescent="0.5">
      <c r="D1773" s="3" t="s">
        <v>97</v>
      </c>
    </row>
    <row r="1774" spans="4:4" ht="17.649999999999999" x14ac:dyDescent="0.5">
      <c r="D1774" s="3" t="s">
        <v>66</v>
      </c>
    </row>
    <row r="1775" spans="4:4" ht="17.649999999999999" x14ac:dyDescent="0.5">
      <c r="D1775" s="3" t="s">
        <v>128</v>
      </c>
    </row>
    <row r="1776" spans="4:4" ht="17.649999999999999" x14ac:dyDescent="0.5">
      <c r="D1776" s="3" t="s">
        <v>85</v>
      </c>
    </row>
    <row r="1777" spans="4:4" ht="17.649999999999999" x14ac:dyDescent="0.5">
      <c r="D1777" s="3" t="s">
        <v>57</v>
      </c>
    </row>
    <row r="1778" spans="4:4" ht="17.649999999999999" x14ac:dyDescent="0.5">
      <c r="D1778" s="3" t="s">
        <v>135</v>
      </c>
    </row>
    <row r="1779" spans="4:4" ht="17.649999999999999" x14ac:dyDescent="0.5">
      <c r="D1779" s="3" t="s">
        <v>68</v>
      </c>
    </row>
    <row r="1780" spans="4:4" ht="17.649999999999999" x14ac:dyDescent="0.5">
      <c r="D1780" s="3" t="s">
        <v>53</v>
      </c>
    </row>
    <row r="1781" spans="4:4" ht="17.649999999999999" x14ac:dyDescent="0.5">
      <c r="D1781" s="3" t="s">
        <v>47</v>
      </c>
    </row>
    <row r="1782" spans="4:4" ht="17.649999999999999" x14ac:dyDescent="0.5">
      <c r="D1782" s="3" t="s">
        <v>73</v>
      </c>
    </row>
    <row r="1783" spans="4:4" ht="17.649999999999999" x14ac:dyDescent="0.5">
      <c r="D1783" s="3" t="s">
        <v>57</v>
      </c>
    </row>
    <row r="1784" spans="4:4" ht="17.649999999999999" x14ac:dyDescent="0.5">
      <c r="D1784" s="3" t="s">
        <v>98</v>
      </c>
    </row>
    <row r="1785" spans="4:4" ht="17.649999999999999" x14ac:dyDescent="0.5">
      <c r="D1785" s="3" t="s">
        <v>117</v>
      </c>
    </row>
    <row r="1786" spans="4:4" ht="17.649999999999999" x14ac:dyDescent="0.5">
      <c r="D1786" s="3" t="s">
        <v>68</v>
      </c>
    </row>
    <row r="1787" spans="4:4" ht="17.649999999999999" x14ac:dyDescent="0.5">
      <c r="D1787" s="3" t="s">
        <v>112</v>
      </c>
    </row>
    <row r="1788" spans="4:4" ht="17.649999999999999" x14ac:dyDescent="0.5">
      <c r="D1788" s="3" t="s">
        <v>93</v>
      </c>
    </row>
    <row r="1789" spans="4:4" ht="17.649999999999999" x14ac:dyDescent="0.5">
      <c r="D1789" s="3" t="s">
        <v>55</v>
      </c>
    </row>
    <row r="1790" spans="4:4" ht="17.649999999999999" x14ac:dyDescent="0.5">
      <c r="D1790" s="3" t="s">
        <v>92</v>
      </c>
    </row>
    <row r="1791" spans="4:4" ht="17.649999999999999" x14ac:dyDescent="0.5">
      <c r="D1791" s="3" t="s">
        <v>111</v>
      </c>
    </row>
    <row r="1792" spans="4:4" ht="17.649999999999999" x14ac:dyDescent="0.5">
      <c r="D1792" s="3" t="s">
        <v>105</v>
      </c>
    </row>
    <row r="1793" spans="4:4" ht="17.649999999999999" x14ac:dyDescent="0.5">
      <c r="D1793" s="3" t="s">
        <v>49</v>
      </c>
    </row>
    <row r="1794" spans="4:4" ht="17.649999999999999" x14ac:dyDescent="0.5">
      <c r="D1794" s="3" t="s">
        <v>74</v>
      </c>
    </row>
    <row r="1795" spans="4:4" ht="17.649999999999999" x14ac:dyDescent="0.5">
      <c r="D1795" s="3" t="s">
        <v>113</v>
      </c>
    </row>
    <row r="1796" spans="4:4" ht="17.649999999999999" x14ac:dyDescent="0.5">
      <c r="D1796" s="3" t="s">
        <v>66</v>
      </c>
    </row>
    <row r="1797" spans="4:4" ht="17.649999999999999" x14ac:dyDescent="0.5">
      <c r="D1797" s="3" t="s">
        <v>107</v>
      </c>
    </row>
    <row r="1798" spans="4:4" ht="17.649999999999999" x14ac:dyDescent="0.5">
      <c r="D1798" s="3" t="s">
        <v>68</v>
      </c>
    </row>
    <row r="1799" spans="4:4" ht="17.649999999999999" x14ac:dyDescent="0.5">
      <c r="D1799" s="3" t="s">
        <v>78</v>
      </c>
    </row>
    <row r="1800" spans="4:4" ht="17.649999999999999" x14ac:dyDescent="0.5">
      <c r="D1800" s="3" t="s">
        <v>95</v>
      </c>
    </row>
    <row r="1801" spans="4:4" ht="17.649999999999999" x14ac:dyDescent="0.5">
      <c r="D1801" s="3" t="s">
        <v>81</v>
      </c>
    </row>
    <row r="1802" spans="4:4" ht="17.649999999999999" x14ac:dyDescent="0.5">
      <c r="D1802" s="3" t="s">
        <v>96</v>
      </c>
    </row>
    <row r="1803" spans="4:4" ht="17.649999999999999" x14ac:dyDescent="0.5">
      <c r="D1803" s="3" t="s">
        <v>52</v>
      </c>
    </row>
    <row r="1804" spans="4:4" ht="17.649999999999999" x14ac:dyDescent="0.5">
      <c r="D1804" s="3" t="s">
        <v>51</v>
      </c>
    </row>
    <row r="1805" spans="4:4" ht="17.649999999999999" x14ac:dyDescent="0.5">
      <c r="D1805" s="3" t="s">
        <v>82</v>
      </c>
    </row>
    <row r="1806" spans="4:4" ht="17.649999999999999" x14ac:dyDescent="0.5">
      <c r="D1806" s="3" t="s">
        <v>114</v>
      </c>
    </row>
    <row r="1807" spans="4:4" ht="17.649999999999999" x14ac:dyDescent="0.5">
      <c r="D1807" s="3" t="s">
        <v>64</v>
      </c>
    </row>
    <row r="1808" spans="4:4" ht="17.649999999999999" x14ac:dyDescent="0.5">
      <c r="D1808" s="3" t="s">
        <v>42</v>
      </c>
    </row>
    <row r="1809" spans="4:4" ht="17.649999999999999" x14ac:dyDescent="0.5">
      <c r="D1809" s="3" t="s">
        <v>108</v>
      </c>
    </row>
    <row r="1810" spans="4:4" ht="17.649999999999999" x14ac:dyDescent="0.5">
      <c r="D1810" s="3" t="s">
        <v>52</v>
      </c>
    </row>
    <row r="1811" spans="4:4" ht="17.649999999999999" x14ac:dyDescent="0.5">
      <c r="D1811" s="3" t="s">
        <v>52</v>
      </c>
    </row>
    <row r="1812" spans="4:4" ht="17.649999999999999" x14ac:dyDescent="0.5">
      <c r="D1812" s="3" t="s">
        <v>117</v>
      </c>
    </row>
    <row r="1813" spans="4:4" ht="17.649999999999999" x14ac:dyDescent="0.5">
      <c r="D1813" s="3" t="s">
        <v>54</v>
      </c>
    </row>
    <row r="1814" spans="4:4" ht="17.649999999999999" x14ac:dyDescent="0.5">
      <c r="D1814" s="3" t="s">
        <v>88</v>
      </c>
    </row>
    <row r="1815" spans="4:4" ht="17.649999999999999" x14ac:dyDescent="0.5">
      <c r="D1815" s="3" t="s">
        <v>78</v>
      </c>
    </row>
    <row r="1816" spans="4:4" ht="17.649999999999999" x14ac:dyDescent="0.5">
      <c r="D1816" s="3" t="s">
        <v>84</v>
      </c>
    </row>
    <row r="1817" spans="4:4" ht="17.649999999999999" x14ac:dyDescent="0.5">
      <c r="D1817" s="3" t="s">
        <v>65</v>
      </c>
    </row>
    <row r="1818" spans="4:4" ht="17.649999999999999" x14ac:dyDescent="0.5">
      <c r="D1818" s="3" t="s">
        <v>96</v>
      </c>
    </row>
    <row r="1819" spans="4:4" ht="17.649999999999999" x14ac:dyDescent="0.5">
      <c r="D1819" s="3" t="s">
        <v>103</v>
      </c>
    </row>
    <row r="1820" spans="4:4" ht="17.649999999999999" x14ac:dyDescent="0.5">
      <c r="D1820" s="3" t="s">
        <v>56</v>
      </c>
    </row>
    <row r="1821" spans="4:4" ht="17.649999999999999" x14ac:dyDescent="0.5">
      <c r="D1821" s="3" t="s">
        <v>78</v>
      </c>
    </row>
    <row r="1822" spans="4:4" ht="17.649999999999999" x14ac:dyDescent="0.5">
      <c r="D1822" s="3" t="s">
        <v>49</v>
      </c>
    </row>
    <row r="1823" spans="4:4" ht="17.649999999999999" x14ac:dyDescent="0.5">
      <c r="D1823" s="3" t="s">
        <v>83</v>
      </c>
    </row>
    <row r="1824" spans="4:4" ht="17.649999999999999" x14ac:dyDescent="0.5">
      <c r="D1824" s="3" t="s">
        <v>125</v>
      </c>
    </row>
    <row r="1825" spans="4:4" ht="17.649999999999999" x14ac:dyDescent="0.5">
      <c r="D1825" s="3" t="s">
        <v>65</v>
      </c>
    </row>
    <row r="1826" spans="4:4" ht="17.649999999999999" x14ac:dyDescent="0.5">
      <c r="D1826" s="3" t="s">
        <v>112</v>
      </c>
    </row>
    <row r="1827" spans="4:4" ht="17.649999999999999" x14ac:dyDescent="0.5">
      <c r="D1827" s="3" t="s">
        <v>77</v>
      </c>
    </row>
    <row r="1828" spans="4:4" ht="17.649999999999999" x14ac:dyDescent="0.5">
      <c r="D1828" s="3" t="s">
        <v>90</v>
      </c>
    </row>
    <row r="1829" spans="4:4" ht="17.649999999999999" x14ac:dyDescent="0.5">
      <c r="D1829" s="3" t="s">
        <v>69</v>
      </c>
    </row>
    <row r="1830" spans="4:4" ht="17.649999999999999" x14ac:dyDescent="0.5">
      <c r="D1830" s="3" t="s">
        <v>66</v>
      </c>
    </row>
    <row r="1831" spans="4:4" ht="17.649999999999999" x14ac:dyDescent="0.5">
      <c r="D1831" s="3" t="s">
        <v>49</v>
      </c>
    </row>
    <row r="1832" spans="4:4" ht="17.649999999999999" x14ac:dyDescent="0.5">
      <c r="D1832" s="3" t="s">
        <v>55</v>
      </c>
    </row>
    <row r="1833" spans="4:4" ht="17.649999999999999" x14ac:dyDescent="0.5">
      <c r="D1833" s="3" t="s">
        <v>65</v>
      </c>
    </row>
    <row r="1834" spans="4:4" ht="17.649999999999999" x14ac:dyDescent="0.5">
      <c r="D1834" s="3" t="s">
        <v>127</v>
      </c>
    </row>
    <row r="1835" spans="4:4" ht="17.649999999999999" x14ac:dyDescent="0.5">
      <c r="D1835" s="3" t="s">
        <v>86</v>
      </c>
    </row>
    <row r="1836" spans="4:4" ht="17.649999999999999" x14ac:dyDescent="0.5">
      <c r="D1836" s="3" t="s">
        <v>77</v>
      </c>
    </row>
    <row r="1837" spans="4:4" ht="17.649999999999999" x14ac:dyDescent="0.5">
      <c r="D1837" s="3" t="s">
        <v>68</v>
      </c>
    </row>
    <row r="1838" spans="4:4" ht="17.649999999999999" x14ac:dyDescent="0.5">
      <c r="D1838" s="3" t="s">
        <v>105</v>
      </c>
    </row>
    <row r="1839" spans="4:4" ht="17.649999999999999" x14ac:dyDescent="0.5">
      <c r="D1839" s="3" t="s">
        <v>107</v>
      </c>
    </row>
    <row r="1840" spans="4:4" ht="17.649999999999999" x14ac:dyDescent="0.5">
      <c r="D1840" s="3" t="s">
        <v>90</v>
      </c>
    </row>
    <row r="1841" spans="4:4" ht="17.649999999999999" x14ac:dyDescent="0.5">
      <c r="D1841" s="3" t="s">
        <v>135</v>
      </c>
    </row>
    <row r="1842" spans="4:4" ht="17.649999999999999" x14ac:dyDescent="0.5">
      <c r="D1842" s="3" t="s">
        <v>133</v>
      </c>
    </row>
    <row r="1843" spans="4:4" ht="17.649999999999999" x14ac:dyDescent="0.5">
      <c r="D1843" s="3" t="s">
        <v>98</v>
      </c>
    </row>
    <row r="1844" spans="4:4" ht="17.649999999999999" x14ac:dyDescent="0.5">
      <c r="D1844" s="3" t="s">
        <v>61</v>
      </c>
    </row>
    <row r="1845" spans="4:4" ht="17.649999999999999" x14ac:dyDescent="0.5">
      <c r="D1845" s="3" t="s">
        <v>104</v>
      </c>
    </row>
    <row r="1846" spans="4:4" ht="17.649999999999999" x14ac:dyDescent="0.5">
      <c r="D1846" s="3" t="s">
        <v>90</v>
      </c>
    </row>
    <row r="1847" spans="4:4" ht="17.649999999999999" x14ac:dyDescent="0.5">
      <c r="D1847" s="3" t="s">
        <v>85</v>
      </c>
    </row>
    <row r="1848" spans="4:4" ht="17.649999999999999" x14ac:dyDescent="0.5">
      <c r="D1848" s="3" t="s">
        <v>64</v>
      </c>
    </row>
    <row r="1849" spans="4:4" ht="17.649999999999999" x14ac:dyDescent="0.5">
      <c r="D1849" s="3" t="s">
        <v>68</v>
      </c>
    </row>
    <row r="1850" spans="4:4" ht="17.649999999999999" x14ac:dyDescent="0.5">
      <c r="D1850" s="3" t="s">
        <v>73</v>
      </c>
    </row>
    <row r="1851" spans="4:4" ht="17.649999999999999" x14ac:dyDescent="0.5">
      <c r="D1851" s="3" t="s">
        <v>57</v>
      </c>
    </row>
    <row r="1852" spans="4:4" ht="17.649999999999999" x14ac:dyDescent="0.5">
      <c r="D1852" s="3" t="s">
        <v>69</v>
      </c>
    </row>
    <row r="1853" spans="4:4" ht="17.649999999999999" x14ac:dyDescent="0.5">
      <c r="D1853" s="3" t="s">
        <v>76</v>
      </c>
    </row>
    <row r="1854" spans="4:4" ht="17.649999999999999" x14ac:dyDescent="0.5">
      <c r="D1854" s="3" t="s">
        <v>43</v>
      </c>
    </row>
    <row r="1855" spans="4:4" ht="17.649999999999999" x14ac:dyDescent="0.5">
      <c r="D1855" s="3" t="s">
        <v>83</v>
      </c>
    </row>
    <row r="1856" spans="4:4" ht="17.649999999999999" x14ac:dyDescent="0.5">
      <c r="D1856" s="3" t="s">
        <v>112</v>
      </c>
    </row>
    <row r="1857" spans="4:4" ht="17.649999999999999" x14ac:dyDescent="0.5">
      <c r="D1857" s="3" t="s">
        <v>42</v>
      </c>
    </row>
    <row r="1858" spans="4:4" ht="17.649999999999999" x14ac:dyDescent="0.5">
      <c r="D1858" s="3" t="s">
        <v>47</v>
      </c>
    </row>
    <row r="1859" spans="4:4" ht="17.649999999999999" x14ac:dyDescent="0.5">
      <c r="D1859" s="3" t="s">
        <v>66</v>
      </c>
    </row>
    <row r="1860" spans="4:4" ht="17.649999999999999" x14ac:dyDescent="0.5">
      <c r="D1860" s="3" t="s">
        <v>41</v>
      </c>
    </row>
    <row r="1861" spans="4:4" ht="17.649999999999999" x14ac:dyDescent="0.5">
      <c r="D1861" s="3" t="s">
        <v>112</v>
      </c>
    </row>
    <row r="1862" spans="4:4" ht="17.649999999999999" x14ac:dyDescent="0.5">
      <c r="D1862" s="3" t="s">
        <v>46</v>
      </c>
    </row>
    <row r="1863" spans="4:4" ht="17.649999999999999" x14ac:dyDescent="0.5">
      <c r="D1863" s="3" t="s">
        <v>91</v>
      </c>
    </row>
    <row r="1864" spans="4:4" ht="17.649999999999999" x14ac:dyDescent="0.5">
      <c r="D1864" s="3" t="s">
        <v>80</v>
      </c>
    </row>
    <row r="1865" spans="4:4" ht="17.649999999999999" x14ac:dyDescent="0.5">
      <c r="D1865" s="3" t="s">
        <v>50</v>
      </c>
    </row>
    <row r="1866" spans="4:4" ht="17.649999999999999" x14ac:dyDescent="0.5">
      <c r="D1866" s="3" t="s">
        <v>61</v>
      </c>
    </row>
    <row r="1867" spans="4:4" ht="17.649999999999999" x14ac:dyDescent="0.5">
      <c r="D1867" s="3" t="s">
        <v>49</v>
      </c>
    </row>
    <row r="1868" spans="4:4" ht="17.649999999999999" x14ac:dyDescent="0.5">
      <c r="D1868" s="3" t="s">
        <v>93</v>
      </c>
    </row>
    <row r="1869" spans="4:4" ht="17.649999999999999" x14ac:dyDescent="0.5">
      <c r="D1869" s="3" t="s">
        <v>60</v>
      </c>
    </row>
    <row r="1870" spans="4:4" ht="17.649999999999999" x14ac:dyDescent="0.5">
      <c r="D1870" s="3" t="s">
        <v>63</v>
      </c>
    </row>
    <row r="1871" spans="4:4" ht="17.649999999999999" x14ac:dyDescent="0.5">
      <c r="D1871" s="3" t="s">
        <v>47</v>
      </c>
    </row>
    <row r="1872" spans="4:4" ht="17.649999999999999" x14ac:dyDescent="0.5">
      <c r="D1872" s="3" t="s">
        <v>107</v>
      </c>
    </row>
    <row r="1873" spans="4:4" ht="17.649999999999999" x14ac:dyDescent="0.5">
      <c r="D1873" s="3" t="s">
        <v>43</v>
      </c>
    </row>
    <row r="1874" spans="4:4" ht="17.649999999999999" x14ac:dyDescent="0.5">
      <c r="D1874" s="3" t="s">
        <v>76</v>
      </c>
    </row>
    <row r="1875" spans="4:4" ht="17.649999999999999" x14ac:dyDescent="0.5">
      <c r="D1875" s="3" t="s">
        <v>117</v>
      </c>
    </row>
    <row r="1876" spans="4:4" ht="17.649999999999999" x14ac:dyDescent="0.5">
      <c r="D1876" s="3" t="s">
        <v>41</v>
      </c>
    </row>
    <row r="1877" spans="4:4" ht="17.649999999999999" x14ac:dyDescent="0.5">
      <c r="D1877" s="3" t="s">
        <v>47</v>
      </c>
    </row>
    <row r="1878" spans="4:4" ht="17.649999999999999" x14ac:dyDescent="0.5">
      <c r="D1878" s="3" t="s">
        <v>55</v>
      </c>
    </row>
    <row r="1879" spans="4:4" ht="17.649999999999999" x14ac:dyDescent="0.5">
      <c r="D1879" s="3" t="s">
        <v>126</v>
      </c>
    </row>
    <row r="1880" spans="4:4" ht="17.649999999999999" x14ac:dyDescent="0.5">
      <c r="D1880" s="3" t="s">
        <v>87</v>
      </c>
    </row>
    <row r="1881" spans="4:4" ht="17.649999999999999" x14ac:dyDescent="0.5">
      <c r="D1881" s="3" t="s">
        <v>78</v>
      </c>
    </row>
    <row r="1882" spans="4:4" ht="17.649999999999999" x14ac:dyDescent="0.5">
      <c r="D1882" s="3" t="s">
        <v>90</v>
      </c>
    </row>
    <row r="1883" spans="4:4" ht="17.649999999999999" x14ac:dyDescent="0.5">
      <c r="D1883" s="3" t="s">
        <v>127</v>
      </c>
    </row>
    <row r="1884" spans="4:4" ht="17.649999999999999" x14ac:dyDescent="0.5">
      <c r="D1884" s="3" t="s">
        <v>85</v>
      </c>
    </row>
    <row r="1885" spans="4:4" ht="17.649999999999999" x14ac:dyDescent="0.5">
      <c r="D1885" s="3" t="s">
        <v>104</v>
      </c>
    </row>
    <row r="1886" spans="4:4" ht="17.649999999999999" x14ac:dyDescent="0.5">
      <c r="D1886" s="3" t="s">
        <v>67</v>
      </c>
    </row>
    <row r="1887" spans="4:4" ht="17.649999999999999" x14ac:dyDescent="0.5">
      <c r="D1887" s="3" t="s">
        <v>80</v>
      </c>
    </row>
    <row r="1888" spans="4:4" ht="17.649999999999999" x14ac:dyDescent="0.5">
      <c r="D1888" s="3" t="s">
        <v>117</v>
      </c>
    </row>
    <row r="1889" spans="4:4" ht="17.649999999999999" x14ac:dyDescent="0.5">
      <c r="D1889" s="3" t="s">
        <v>103</v>
      </c>
    </row>
    <row r="1890" spans="4:4" ht="17.649999999999999" x14ac:dyDescent="0.5">
      <c r="D1890" s="3" t="s">
        <v>48</v>
      </c>
    </row>
    <row r="1891" spans="4:4" ht="17.649999999999999" x14ac:dyDescent="0.5">
      <c r="D1891" s="3" t="s">
        <v>85</v>
      </c>
    </row>
    <row r="1892" spans="4:4" ht="17.649999999999999" x14ac:dyDescent="0.5">
      <c r="D1892" s="3" t="s">
        <v>108</v>
      </c>
    </row>
    <row r="1893" spans="4:4" ht="17.649999999999999" x14ac:dyDescent="0.5">
      <c r="D1893" s="3" t="s">
        <v>125</v>
      </c>
    </row>
    <row r="1894" spans="4:4" ht="17.649999999999999" x14ac:dyDescent="0.5">
      <c r="D1894" s="3" t="s">
        <v>67</v>
      </c>
    </row>
    <row r="1895" spans="4:4" ht="17.649999999999999" x14ac:dyDescent="0.5">
      <c r="D1895" s="3" t="s">
        <v>75</v>
      </c>
    </row>
    <row r="1896" spans="4:4" ht="17.649999999999999" x14ac:dyDescent="0.5">
      <c r="D1896" s="3" t="s">
        <v>44</v>
      </c>
    </row>
    <row r="1897" spans="4:4" ht="17.649999999999999" x14ac:dyDescent="0.5">
      <c r="D1897" s="3" t="s">
        <v>91</v>
      </c>
    </row>
    <row r="1898" spans="4:4" ht="17.649999999999999" x14ac:dyDescent="0.5">
      <c r="D1898" s="3" t="s">
        <v>84</v>
      </c>
    </row>
    <row r="1899" spans="4:4" ht="17.649999999999999" x14ac:dyDescent="0.5">
      <c r="D1899" s="3" t="s">
        <v>73</v>
      </c>
    </row>
    <row r="1900" spans="4:4" ht="17.649999999999999" x14ac:dyDescent="0.5">
      <c r="D1900" s="3" t="s">
        <v>59</v>
      </c>
    </row>
    <row r="1901" spans="4:4" ht="17.649999999999999" x14ac:dyDescent="0.5">
      <c r="D1901" s="3" t="s">
        <v>101</v>
      </c>
    </row>
    <row r="1902" spans="4:4" ht="17.649999999999999" x14ac:dyDescent="0.5">
      <c r="D1902" s="3" t="s">
        <v>43</v>
      </c>
    </row>
    <row r="1903" spans="4:4" ht="17.649999999999999" x14ac:dyDescent="0.5">
      <c r="D1903" s="3" t="s">
        <v>96</v>
      </c>
    </row>
    <row r="1904" spans="4:4" ht="17.649999999999999" x14ac:dyDescent="0.5">
      <c r="D1904" s="3" t="s">
        <v>69</v>
      </c>
    </row>
    <row r="1905" spans="4:4" ht="17.649999999999999" x14ac:dyDescent="0.5">
      <c r="D1905" s="3" t="s">
        <v>41</v>
      </c>
    </row>
    <row r="1906" spans="4:4" ht="17.649999999999999" x14ac:dyDescent="0.5">
      <c r="D1906" s="3" t="s">
        <v>98</v>
      </c>
    </row>
    <row r="1907" spans="4:4" ht="17.649999999999999" x14ac:dyDescent="0.5">
      <c r="D1907" s="3" t="s">
        <v>46</v>
      </c>
    </row>
    <row r="1908" spans="4:4" ht="17.649999999999999" x14ac:dyDescent="0.5">
      <c r="D1908" s="3" t="s">
        <v>73</v>
      </c>
    </row>
    <row r="1909" spans="4:4" ht="17.649999999999999" x14ac:dyDescent="0.5">
      <c r="D1909" s="3" t="s">
        <v>49</v>
      </c>
    </row>
    <row r="1910" spans="4:4" ht="17.649999999999999" x14ac:dyDescent="0.5">
      <c r="D1910" s="3" t="s">
        <v>69</v>
      </c>
    </row>
    <row r="1911" spans="4:4" ht="17.649999999999999" x14ac:dyDescent="0.5">
      <c r="D1911" s="3" t="s">
        <v>83</v>
      </c>
    </row>
    <row r="1912" spans="4:4" ht="17.649999999999999" x14ac:dyDescent="0.5">
      <c r="D1912" s="3" t="s">
        <v>107</v>
      </c>
    </row>
    <row r="1913" spans="4:4" ht="17.649999999999999" x14ac:dyDescent="0.5">
      <c r="D1913" s="3" t="s">
        <v>69</v>
      </c>
    </row>
    <row r="1914" spans="4:4" ht="17.649999999999999" x14ac:dyDescent="0.5">
      <c r="D1914" s="3" t="s">
        <v>83</v>
      </c>
    </row>
    <row r="1915" spans="4:4" ht="17.649999999999999" x14ac:dyDescent="0.5">
      <c r="D1915" s="3" t="s">
        <v>109</v>
      </c>
    </row>
    <row r="1916" spans="4:4" ht="17.649999999999999" x14ac:dyDescent="0.5">
      <c r="D1916" s="3" t="s">
        <v>103</v>
      </c>
    </row>
    <row r="1917" spans="4:4" ht="17.649999999999999" x14ac:dyDescent="0.5">
      <c r="D1917" s="3" t="s">
        <v>52</v>
      </c>
    </row>
    <row r="1918" spans="4:4" ht="17.649999999999999" x14ac:dyDescent="0.5">
      <c r="D1918" s="3" t="s">
        <v>92</v>
      </c>
    </row>
    <row r="1919" spans="4:4" ht="17.649999999999999" x14ac:dyDescent="0.5">
      <c r="D1919" s="3" t="s">
        <v>50</v>
      </c>
    </row>
    <row r="1920" spans="4:4" ht="17.649999999999999" x14ac:dyDescent="0.5">
      <c r="D1920" s="3" t="s">
        <v>57</v>
      </c>
    </row>
    <row r="1921" spans="4:4" ht="17.649999999999999" x14ac:dyDescent="0.5">
      <c r="D1921" s="3" t="s">
        <v>96</v>
      </c>
    </row>
    <row r="1922" spans="4:4" ht="17.649999999999999" x14ac:dyDescent="0.5">
      <c r="D1922" s="3" t="s">
        <v>52</v>
      </c>
    </row>
    <row r="1923" spans="4:4" ht="17.649999999999999" x14ac:dyDescent="0.5">
      <c r="D1923" s="3" t="s">
        <v>52</v>
      </c>
    </row>
    <row r="1924" spans="4:4" ht="17.649999999999999" x14ac:dyDescent="0.5">
      <c r="D1924" s="3" t="s">
        <v>113</v>
      </c>
    </row>
    <row r="1925" spans="4:4" ht="17.649999999999999" x14ac:dyDescent="0.5">
      <c r="D1925" s="3" t="s">
        <v>108</v>
      </c>
    </row>
    <row r="1926" spans="4:4" ht="17.649999999999999" x14ac:dyDescent="0.5">
      <c r="D1926" s="3" t="s">
        <v>64</v>
      </c>
    </row>
    <row r="1927" spans="4:4" ht="17.649999999999999" x14ac:dyDescent="0.5">
      <c r="D1927" s="3" t="s">
        <v>41</v>
      </c>
    </row>
    <row r="1928" spans="4:4" ht="17.649999999999999" x14ac:dyDescent="0.5">
      <c r="D1928" s="3" t="s">
        <v>74</v>
      </c>
    </row>
    <row r="1929" spans="4:4" ht="17.649999999999999" x14ac:dyDescent="0.5">
      <c r="D1929" s="3" t="s">
        <v>82</v>
      </c>
    </row>
    <row r="1930" spans="4:4" ht="17.649999999999999" x14ac:dyDescent="0.5">
      <c r="D1930" s="3" t="s">
        <v>65</v>
      </c>
    </row>
    <row r="1931" spans="4:4" ht="17.649999999999999" x14ac:dyDescent="0.5">
      <c r="D1931" s="3" t="s">
        <v>115</v>
      </c>
    </row>
    <row r="1932" spans="4:4" ht="17.649999999999999" x14ac:dyDescent="0.5">
      <c r="D1932" s="3" t="s">
        <v>125</v>
      </c>
    </row>
    <row r="1933" spans="4:4" ht="17.649999999999999" x14ac:dyDescent="0.5">
      <c r="D1933" s="3" t="s">
        <v>74</v>
      </c>
    </row>
    <row r="1934" spans="4:4" ht="17.649999999999999" x14ac:dyDescent="0.5">
      <c r="D1934" s="3" t="s">
        <v>94</v>
      </c>
    </row>
    <row r="1935" spans="4:4" ht="17.649999999999999" x14ac:dyDescent="0.5">
      <c r="D1935" s="3" t="s">
        <v>127</v>
      </c>
    </row>
    <row r="1936" spans="4:4" ht="17.649999999999999" x14ac:dyDescent="0.5">
      <c r="D1936" s="3" t="s">
        <v>49</v>
      </c>
    </row>
    <row r="1937" spans="4:4" ht="17.649999999999999" x14ac:dyDescent="0.5">
      <c r="D1937" s="3" t="s">
        <v>101</v>
      </c>
    </row>
    <row r="1938" spans="4:4" ht="17.649999999999999" x14ac:dyDescent="0.5">
      <c r="D1938" s="3" t="s">
        <v>90</v>
      </c>
    </row>
    <row r="1939" spans="4:4" ht="17.649999999999999" x14ac:dyDescent="0.5">
      <c r="D1939" s="3" t="s">
        <v>77</v>
      </c>
    </row>
    <row r="1940" spans="4:4" ht="17.649999999999999" x14ac:dyDescent="0.5">
      <c r="D1940" s="3" t="s">
        <v>74</v>
      </c>
    </row>
    <row r="1941" spans="4:4" ht="17.649999999999999" x14ac:dyDescent="0.5">
      <c r="D1941" s="3" t="s">
        <v>60</v>
      </c>
    </row>
    <row r="1942" spans="4:4" ht="17.649999999999999" x14ac:dyDescent="0.5">
      <c r="D1942" s="3" t="s">
        <v>91</v>
      </c>
    </row>
    <row r="1943" spans="4:4" ht="17.649999999999999" x14ac:dyDescent="0.5">
      <c r="D1943" s="3" t="s">
        <v>46</v>
      </c>
    </row>
    <row r="1944" spans="4:4" ht="17.649999999999999" x14ac:dyDescent="0.5">
      <c r="D1944" s="3" t="s">
        <v>54</v>
      </c>
    </row>
    <row r="1945" spans="4:4" ht="17.649999999999999" x14ac:dyDescent="0.5">
      <c r="D1945" s="3" t="s">
        <v>53</v>
      </c>
    </row>
    <row r="1946" spans="4:4" ht="17.649999999999999" x14ac:dyDescent="0.5">
      <c r="D1946" s="3" t="s">
        <v>57</v>
      </c>
    </row>
    <row r="1947" spans="4:4" ht="17.649999999999999" x14ac:dyDescent="0.5">
      <c r="D1947" s="3" t="s">
        <v>73</v>
      </c>
    </row>
    <row r="1948" spans="4:4" ht="17.649999999999999" x14ac:dyDescent="0.5">
      <c r="D1948" s="3" t="s">
        <v>45</v>
      </c>
    </row>
    <row r="1949" spans="4:4" ht="17.649999999999999" x14ac:dyDescent="0.5">
      <c r="D1949" s="3" t="s">
        <v>53</v>
      </c>
    </row>
    <row r="1950" spans="4:4" ht="17.649999999999999" x14ac:dyDescent="0.5">
      <c r="D1950" s="3" t="s">
        <v>106</v>
      </c>
    </row>
    <row r="1951" spans="4:4" ht="17.649999999999999" x14ac:dyDescent="0.5">
      <c r="D1951" s="3" t="s">
        <v>74</v>
      </c>
    </row>
    <row r="1952" spans="4:4" ht="17.649999999999999" x14ac:dyDescent="0.5">
      <c r="D1952" s="3" t="s">
        <v>46</v>
      </c>
    </row>
    <row r="1953" spans="4:4" ht="17.649999999999999" x14ac:dyDescent="0.5">
      <c r="D1953" s="3" t="s">
        <v>55</v>
      </c>
    </row>
    <row r="1954" spans="4:4" ht="17.649999999999999" x14ac:dyDescent="0.5">
      <c r="D1954" s="3" t="s">
        <v>136</v>
      </c>
    </row>
    <row r="1955" spans="4:4" ht="17.649999999999999" x14ac:dyDescent="0.5">
      <c r="D1955" s="3" t="s">
        <v>87</v>
      </c>
    </row>
    <row r="1956" spans="4:4" ht="17.649999999999999" x14ac:dyDescent="0.5">
      <c r="D1956" s="3" t="s">
        <v>55</v>
      </c>
    </row>
    <row r="1957" spans="4:4" ht="17.649999999999999" x14ac:dyDescent="0.5">
      <c r="D1957" s="3" t="s">
        <v>52</v>
      </c>
    </row>
    <row r="1958" spans="4:4" ht="17.649999999999999" x14ac:dyDescent="0.5">
      <c r="D1958" s="3" t="s">
        <v>107</v>
      </c>
    </row>
    <row r="1959" spans="4:4" ht="17.649999999999999" x14ac:dyDescent="0.5">
      <c r="D1959" s="3" t="s">
        <v>67</v>
      </c>
    </row>
    <row r="1960" spans="4:4" ht="17.649999999999999" x14ac:dyDescent="0.5">
      <c r="D1960" s="3" t="s">
        <v>74</v>
      </c>
    </row>
    <row r="1961" spans="4:4" ht="17.649999999999999" x14ac:dyDescent="0.5">
      <c r="D1961" s="3" t="s">
        <v>109</v>
      </c>
    </row>
    <row r="1962" spans="4:4" ht="17.649999999999999" x14ac:dyDescent="0.5">
      <c r="D1962" s="3" t="s">
        <v>104</v>
      </c>
    </row>
    <row r="1963" spans="4:4" ht="17.649999999999999" x14ac:dyDescent="0.5">
      <c r="D1963" s="3" t="s">
        <v>83</v>
      </c>
    </row>
    <row r="1964" spans="4:4" ht="17.649999999999999" x14ac:dyDescent="0.5">
      <c r="D1964" s="3" t="s">
        <v>87</v>
      </c>
    </row>
    <row r="1965" spans="4:4" ht="17.649999999999999" x14ac:dyDescent="0.5">
      <c r="D1965" s="3" t="s">
        <v>53</v>
      </c>
    </row>
    <row r="1966" spans="4:4" ht="17.649999999999999" x14ac:dyDescent="0.5">
      <c r="D1966" s="3" t="s">
        <v>56</v>
      </c>
    </row>
    <row r="1967" spans="4:4" ht="17.649999999999999" x14ac:dyDescent="0.5">
      <c r="D1967" s="3" t="s">
        <v>54</v>
      </c>
    </row>
    <row r="1968" spans="4:4" ht="17.649999999999999" x14ac:dyDescent="0.5">
      <c r="D1968" s="3" t="s">
        <v>49</v>
      </c>
    </row>
    <row r="1969" spans="4:4" ht="17.649999999999999" x14ac:dyDescent="0.5">
      <c r="D1969" s="3" t="s">
        <v>103</v>
      </c>
    </row>
    <row r="1970" spans="4:4" ht="17.649999999999999" x14ac:dyDescent="0.5">
      <c r="D1970" s="3" t="s">
        <v>121</v>
      </c>
    </row>
    <row r="1971" spans="4:4" ht="17.649999999999999" x14ac:dyDescent="0.5">
      <c r="D1971" s="3" t="s">
        <v>113</v>
      </c>
    </row>
    <row r="1972" spans="4:4" ht="17.649999999999999" x14ac:dyDescent="0.5">
      <c r="D1972" s="3" t="s">
        <v>98</v>
      </c>
    </row>
    <row r="1973" spans="4:4" ht="17.649999999999999" x14ac:dyDescent="0.5">
      <c r="D1973" s="3" t="s">
        <v>76</v>
      </c>
    </row>
    <row r="1974" spans="4:4" ht="17.649999999999999" x14ac:dyDescent="0.5">
      <c r="D1974" s="3" t="s">
        <v>48</v>
      </c>
    </row>
    <row r="1975" spans="4:4" ht="17.649999999999999" x14ac:dyDescent="0.5">
      <c r="D1975" s="3" t="s">
        <v>77</v>
      </c>
    </row>
    <row r="1976" spans="4:4" ht="17.649999999999999" x14ac:dyDescent="0.5">
      <c r="D1976" s="3" t="s">
        <v>69</v>
      </c>
    </row>
    <row r="1977" spans="4:4" ht="17.649999999999999" x14ac:dyDescent="0.5">
      <c r="D1977" s="3" t="s">
        <v>92</v>
      </c>
    </row>
    <row r="1978" spans="4:4" ht="17.649999999999999" x14ac:dyDescent="0.5">
      <c r="D1978" s="3" t="s">
        <v>82</v>
      </c>
    </row>
    <row r="1979" spans="4:4" ht="17.649999999999999" x14ac:dyDescent="0.5">
      <c r="D1979" s="3" t="s">
        <v>91</v>
      </c>
    </row>
    <row r="1980" spans="4:4" ht="17.649999999999999" x14ac:dyDescent="0.5">
      <c r="D1980" s="3" t="s">
        <v>73</v>
      </c>
    </row>
    <row r="1981" spans="4:4" ht="17.649999999999999" x14ac:dyDescent="0.5">
      <c r="D1981" s="3" t="s">
        <v>45</v>
      </c>
    </row>
    <row r="1982" spans="4:4" ht="17.649999999999999" x14ac:dyDescent="0.5">
      <c r="D1982" s="3" t="s">
        <v>81</v>
      </c>
    </row>
    <row r="1983" spans="4:4" ht="17.649999999999999" x14ac:dyDescent="0.5">
      <c r="D1983" s="3" t="s">
        <v>104</v>
      </c>
    </row>
    <row r="1984" spans="4:4" ht="17.649999999999999" x14ac:dyDescent="0.5">
      <c r="D1984" s="3" t="s">
        <v>113</v>
      </c>
    </row>
    <row r="1985" spans="4:4" ht="17.649999999999999" x14ac:dyDescent="0.5">
      <c r="D1985" s="3" t="s">
        <v>94</v>
      </c>
    </row>
    <row r="1986" spans="4:4" ht="17.649999999999999" x14ac:dyDescent="0.5">
      <c r="D1986" s="3" t="s">
        <v>87</v>
      </c>
    </row>
    <row r="1987" spans="4:4" ht="17.649999999999999" x14ac:dyDescent="0.5">
      <c r="D1987" s="3" t="s">
        <v>62</v>
      </c>
    </row>
    <row r="1988" spans="4:4" ht="17.649999999999999" x14ac:dyDescent="0.5">
      <c r="D1988" s="3" t="s">
        <v>56</v>
      </c>
    </row>
    <row r="1989" spans="4:4" ht="17.649999999999999" x14ac:dyDescent="0.5">
      <c r="D1989" s="3" t="s">
        <v>101</v>
      </c>
    </row>
    <row r="1990" spans="4:4" ht="17.649999999999999" x14ac:dyDescent="0.5">
      <c r="D1990" s="3" t="s">
        <v>83</v>
      </c>
    </row>
    <row r="1991" spans="4:4" ht="17.649999999999999" x14ac:dyDescent="0.5">
      <c r="D1991" s="3" t="s">
        <v>81</v>
      </c>
    </row>
    <row r="1992" spans="4:4" ht="17.649999999999999" x14ac:dyDescent="0.5">
      <c r="D1992" s="3" t="s">
        <v>66</v>
      </c>
    </row>
    <row r="1993" spans="4:4" ht="17.649999999999999" x14ac:dyDescent="0.5">
      <c r="D1993" s="3" t="s">
        <v>48</v>
      </c>
    </row>
    <row r="1994" spans="4:4" ht="17.649999999999999" x14ac:dyDescent="0.5">
      <c r="D1994" s="3" t="s">
        <v>61</v>
      </c>
    </row>
    <row r="1995" spans="4:4" ht="17.649999999999999" x14ac:dyDescent="0.5">
      <c r="D1995" s="3" t="s">
        <v>93</v>
      </c>
    </row>
    <row r="1996" spans="4:4" ht="17.649999999999999" x14ac:dyDescent="0.5">
      <c r="D1996" s="3" t="s">
        <v>91</v>
      </c>
    </row>
    <row r="1997" spans="4:4" ht="17.649999999999999" x14ac:dyDescent="0.5">
      <c r="D1997" s="3" t="s">
        <v>75</v>
      </c>
    </row>
    <row r="1998" spans="4:4" ht="17.649999999999999" x14ac:dyDescent="0.5">
      <c r="D1998" s="3" t="s">
        <v>128</v>
      </c>
    </row>
    <row r="1999" spans="4:4" ht="17.649999999999999" x14ac:dyDescent="0.5">
      <c r="D1999" s="3" t="s">
        <v>53</v>
      </c>
    </row>
    <row r="2000" spans="4:4" ht="17.649999999999999" x14ac:dyDescent="0.5">
      <c r="D2000" s="3" t="s">
        <v>112</v>
      </c>
    </row>
    <row r="2001" spans="4:4" ht="17.649999999999999" x14ac:dyDescent="0.5">
      <c r="D2001" s="3" t="s">
        <v>64</v>
      </c>
    </row>
    <row r="2002" spans="4:4" ht="17.649999999999999" x14ac:dyDescent="0.5">
      <c r="D2002" s="3" t="s">
        <v>49</v>
      </c>
    </row>
    <row r="2003" spans="4:4" ht="17.649999999999999" x14ac:dyDescent="0.5">
      <c r="D2003" s="3" t="s">
        <v>55</v>
      </c>
    </row>
    <row r="2004" spans="4:4" ht="17.649999999999999" x14ac:dyDescent="0.5">
      <c r="D2004" s="3" t="s">
        <v>46</v>
      </c>
    </row>
    <row r="2005" spans="4:4" ht="17.649999999999999" x14ac:dyDescent="0.5">
      <c r="D2005" s="3" t="s">
        <v>66</v>
      </c>
    </row>
    <row r="2006" spans="4:4" ht="17.649999999999999" x14ac:dyDescent="0.5">
      <c r="D2006" s="3" t="s">
        <v>129</v>
      </c>
    </row>
    <row r="2007" spans="4:4" ht="17.649999999999999" x14ac:dyDescent="0.5">
      <c r="D2007" s="3" t="s">
        <v>90</v>
      </c>
    </row>
    <row r="2008" spans="4:4" ht="17.649999999999999" x14ac:dyDescent="0.5">
      <c r="D2008" s="3" t="s">
        <v>80</v>
      </c>
    </row>
    <row r="2009" spans="4:4" ht="17.649999999999999" x14ac:dyDescent="0.5">
      <c r="D2009" s="3" t="s">
        <v>50</v>
      </c>
    </row>
    <row r="2010" spans="4:4" ht="17.649999999999999" x14ac:dyDescent="0.5">
      <c r="D2010" s="3" t="s">
        <v>87</v>
      </c>
    </row>
    <row r="2011" spans="4:4" ht="17.649999999999999" x14ac:dyDescent="0.5">
      <c r="D2011" s="3" t="s">
        <v>44</v>
      </c>
    </row>
    <row r="2012" spans="4:4" ht="17.649999999999999" x14ac:dyDescent="0.5">
      <c r="D2012" s="3" t="s">
        <v>75</v>
      </c>
    </row>
    <row r="2013" spans="4:4" ht="17.649999999999999" x14ac:dyDescent="0.5">
      <c r="D2013" s="3" t="s">
        <v>108</v>
      </c>
    </row>
    <row r="2014" spans="4:4" ht="17.649999999999999" x14ac:dyDescent="0.5">
      <c r="D2014" s="3" t="s">
        <v>129</v>
      </c>
    </row>
    <row r="2015" spans="4:4" ht="17.649999999999999" x14ac:dyDescent="0.5">
      <c r="D2015" s="3" t="s">
        <v>83</v>
      </c>
    </row>
    <row r="2016" spans="4:4" ht="17.649999999999999" x14ac:dyDescent="0.5">
      <c r="D2016" s="3" t="s">
        <v>90</v>
      </c>
    </row>
    <row r="2017" spans="4:4" ht="17.649999999999999" x14ac:dyDescent="0.5">
      <c r="D2017" s="3" t="s">
        <v>81</v>
      </c>
    </row>
    <row r="2018" spans="4:4" ht="17.649999999999999" x14ac:dyDescent="0.5">
      <c r="D2018" s="3" t="s">
        <v>53</v>
      </c>
    </row>
    <row r="2019" spans="4:4" ht="17.649999999999999" x14ac:dyDescent="0.5">
      <c r="D2019" s="3" t="s">
        <v>105</v>
      </c>
    </row>
    <row r="2020" spans="4:4" ht="17.649999999999999" x14ac:dyDescent="0.5">
      <c r="D2020" s="3" t="s">
        <v>87</v>
      </c>
    </row>
    <row r="2021" spans="4:4" ht="17.649999999999999" x14ac:dyDescent="0.5">
      <c r="D2021" s="3" t="s">
        <v>110</v>
      </c>
    </row>
    <row r="2022" spans="4:4" ht="17.649999999999999" x14ac:dyDescent="0.5">
      <c r="D2022" s="3" t="s">
        <v>75</v>
      </c>
    </row>
    <row r="2023" spans="4:4" ht="17.649999999999999" x14ac:dyDescent="0.5">
      <c r="D2023" s="3" t="s">
        <v>61</v>
      </c>
    </row>
    <row r="2024" spans="4:4" ht="17.649999999999999" x14ac:dyDescent="0.5">
      <c r="D2024" s="3" t="s">
        <v>80</v>
      </c>
    </row>
    <row r="2025" spans="4:4" ht="17.649999999999999" x14ac:dyDescent="0.5">
      <c r="D2025" s="3" t="s">
        <v>90</v>
      </c>
    </row>
    <row r="2026" spans="4:4" ht="17.649999999999999" x14ac:dyDescent="0.5">
      <c r="D2026" s="3" t="s">
        <v>117</v>
      </c>
    </row>
    <row r="2027" spans="4:4" ht="17.649999999999999" x14ac:dyDescent="0.5">
      <c r="D2027" s="3" t="s">
        <v>111</v>
      </c>
    </row>
    <row r="2028" spans="4:4" ht="17.649999999999999" x14ac:dyDescent="0.5">
      <c r="D2028" s="3" t="s">
        <v>44</v>
      </c>
    </row>
    <row r="2029" spans="4:4" ht="17.649999999999999" x14ac:dyDescent="0.5">
      <c r="D2029" s="3" t="s">
        <v>59</v>
      </c>
    </row>
    <row r="2030" spans="4:4" ht="17.649999999999999" x14ac:dyDescent="0.5">
      <c r="D2030" s="3" t="s">
        <v>90</v>
      </c>
    </row>
    <row r="2031" spans="4:4" ht="17.649999999999999" x14ac:dyDescent="0.5">
      <c r="D2031" s="3" t="s">
        <v>81</v>
      </c>
    </row>
    <row r="2032" spans="4:4" ht="17.649999999999999" x14ac:dyDescent="0.5">
      <c r="D2032" s="3" t="s">
        <v>63</v>
      </c>
    </row>
    <row r="2033" spans="4:4" ht="17.649999999999999" x14ac:dyDescent="0.5">
      <c r="D2033" s="3" t="s">
        <v>66</v>
      </c>
    </row>
    <row r="2034" spans="4:4" ht="17.649999999999999" x14ac:dyDescent="0.5">
      <c r="D2034" s="3" t="s">
        <v>91</v>
      </c>
    </row>
    <row r="2035" spans="4:4" ht="17.649999999999999" x14ac:dyDescent="0.5">
      <c r="D2035" s="3" t="s">
        <v>51</v>
      </c>
    </row>
    <row r="2036" spans="4:4" ht="17.649999999999999" x14ac:dyDescent="0.5">
      <c r="D2036" s="3" t="s">
        <v>43</v>
      </c>
    </row>
    <row r="2037" spans="4:4" ht="17.649999999999999" x14ac:dyDescent="0.5">
      <c r="D2037" s="3" t="s">
        <v>84</v>
      </c>
    </row>
    <row r="2038" spans="4:4" ht="17.649999999999999" x14ac:dyDescent="0.5">
      <c r="D2038" s="3" t="s">
        <v>88</v>
      </c>
    </row>
    <row r="2039" spans="4:4" ht="17.649999999999999" x14ac:dyDescent="0.5">
      <c r="D2039" s="3" t="s">
        <v>60</v>
      </c>
    </row>
    <row r="2040" spans="4:4" ht="17.649999999999999" x14ac:dyDescent="0.5">
      <c r="D2040" s="3" t="s">
        <v>59</v>
      </c>
    </row>
    <row r="2041" spans="4:4" ht="17.649999999999999" x14ac:dyDescent="0.5">
      <c r="D2041" s="3" t="s">
        <v>78</v>
      </c>
    </row>
    <row r="2042" spans="4:4" ht="17.649999999999999" x14ac:dyDescent="0.5">
      <c r="D2042" s="3" t="s">
        <v>52</v>
      </c>
    </row>
    <row r="2043" spans="4:4" ht="17.649999999999999" x14ac:dyDescent="0.5">
      <c r="D2043" s="3" t="s">
        <v>75</v>
      </c>
    </row>
    <row r="2044" spans="4:4" ht="17.649999999999999" x14ac:dyDescent="0.5">
      <c r="D2044" s="3" t="s">
        <v>122</v>
      </c>
    </row>
    <row r="2045" spans="4:4" ht="17.649999999999999" x14ac:dyDescent="0.5">
      <c r="D2045" s="3" t="s">
        <v>135</v>
      </c>
    </row>
    <row r="2046" spans="4:4" ht="17.649999999999999" x14ac:dyDescent="0.5">
      <c r="D2046" s="3" t="s">
        <v>101</v>
      </c>
    </row>
    <row r="2047" spans="4:4" ht="17.649999999999999" x14ac:dyDescent="0.5">
      <c r="D2047" s="3" t="s">
        <v>56</v>
      </c>
    </row>
    <row r="2048" spans="4:4" ht="17.649999999999999" x14ac:dyDescent="0.5">
      <c r="D2048" s="3" t="s">
        <v>103</v>
      </c>
    </row>
    <row r="2049" spans="4:4" ht="17.649999999999999" x14ac:dyDescent="0.5">
      <c r="D2049" s="3" t="s">
        <v>44</v>
      </c>
    </row>
    <row r="2050" spans="4:4" ht="17.649999999999999" x14ac:dyDescent="0.5">
      <c r="D2050" s="3" t="s">
        <v>91</v>
      </c>
    </row>
    <row r="2051" spans="4:4" ht="17.649999999999999" x14ac:dyDescent="0.5">
      <c r="D2051" s="3" t="s">
        <v>58</v>
      </c>
    </row>
    <row r="2052" spans="4:4" ht="17.649999999999999" x14ac:dyDescent="0.5">
      <c r="D2052" s="3" t="s">
        <v>55</v>
      </c>
    </row>
    <row r="2053" spans="4:4" ht="17.649999999999999" x14ac:dyDescent="0.5">
      <c r="D2053" s="3" t="s">
        <v>75</v>
      </c>
    </row>
    <row r="2054" spans="4:4" ht="17.649999999999999" x14ac:dyDescent="0.5">
      <c r="D2054" s="3" t="s">
        <v>43</v>
      </c>
    </row>
    <row r="2055" spans="4:4" ht="17.649999999999999" x14ac:dyDescent="0.5">
      <c r="D2055" s="3" t="s">
        <v>80</v>
      </c>
    </row>
    <row r="2056" spans="4:4" ht="17.649999999999999" x14ac:dyDescent="0.5">
      <c r="D2056" s="3" t="s">
        <v>60</v>
      </c>
    </row>
    <row r="2057" spans="4:4" ht="17.649999999999999" x14ac:dyDescent="0.5">
      <c r="D2057" s="3" t="s">
        <v>57</v>
      </c>
    </row>
    <row r="2058" spans="4:4" ht="17.649999999999999" x14ac:dyDescent="0.5">
      <c r="D2058" s="3" t="s">
        <v>48</v>
      </c>
    </row>
    <row r="2059" spans="4:4" ht="17.649999999999999" x14ac:dyDescent="0.5">
      <c r="D2059" s="3" t="s">
        <v>102</v>
      </c>
    </row>
    <row r="2060" spans="4:4" ht="17.649999999999999" x14ac:dyDescent="0.5">
      <c r="D2060" s="3" t="s">
        <v>63</v>
      </c>
    </row>
    <row r="2061" spans="4:4" ht="17.649999999999999" x14ac:dyDescent="0.5">
      <c r="D2061" s="3" t="s">
        <v>62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144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41</v>
      </c>
      <c r="F31" s="2">
        <v>40</v>
      </c>
      <c r="G31" s="2">
        <v>40</v>
      </c>
      <c r="H31" s="2">
        <v>39</v>
      </c>
      <c r="I31" s="2">
        <v>42</v>
      </c>
      <c r="J31" s="2">
        <v>45</v>
      </c>
      <c r="K31" s="2">
        <v>41</v>
      </c>
      <c r="L31" s="2">
        <v>46</v>
      </c>
      <c r="M31" s="2">
        <v>49</v>
      </c>
      <c r="N31" s="2">
        <v>41</v>
      </c>
      <c r="O31" s="2">
        <v>41</v>
      </c>
      <c r="P31" s="2">
        <v>48</v>
      </c>
    </row>
    <row r="32" spans="4:16" x14ac:dyDescent="0.5">
      <c r="D32" s="2">
        <v>2</v>
      </c>
      <c r="E32" s="2">
        <v>49</v>
      </c>
      <c r="F32" s="2">
        <v>43</v>
      </c>
      <c r="G32" s="2">
        <v>46</v>
      </c>
      <c r="H32" s="2">
        <v>38</v>
      </c>
      <c r="I32" s="2">
        <v>37</v>
      </c>
      <c r="J32" s="2">
        <v>40</v>
      </c>
      <c r="K32" s="2">
        <v>36</v>
      </c>
      <c r="L32" s="2">
        <v>36</v>
      </c>
      <c r="M32" s="2">
        <v>44</v>
      </c>
      <c r="N32" s="2">
        <v>37</v>
      </c>
      <c r="O32" s="2">
        <v>35</v>
      </c>
      <c r="P32" s="2">
        <v>46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42</v>
      </c>
      <c r="F37" s="2">
        <v>43</v>
      </c>
      <c r="G37" s="2">
        <v>44</v>
      </c>
      <c r="H37" s="2">
        <v>44</v>
      </c>
      <c r="I37" s="2">
        <v>42</v>
      </c>
      <c r="J37" s="2">
        <v>38</v>
      </c>
      <c r="K37" s="2">
        <v>42</v>
      </c>
      <c r="L37" s="2">
        <v>37</v>
      </c>
      <c r="M37" s="2">
        <v>35</v>
      </c>
      <c r="N37" s="2">
        <v>42</v>
      </c>
      <c r="O37" s="2">
        <v>42</v>
      </c>
      <c r="P37" s="2">
        <v>36</v>
      </c>
    </row>
    <row r="38" spans="4:16" x14ac:dyDescent="0.5">
      <c r="D38" s="2">
        <v>2</v>
      </c>
      <c r="E38" s="2">
        <v>34</v>
      </c>
      <c r="F38" s="2">
        <v>40</v>
      </c>
      <c r="G38" s="2">
        <v>38</v>
      </c>
      <c r="H38" s="2">
        <v>45</v>
      </c>
      <c r="I38" s="2">
        <v>47</v>
      </c>
      <c r="J38" s="2">
        <v>43</v>
      </c>
      <c r="K38" s="2">
        <v>47</v>
      </c>
      <c r="L38" s="2">
        <v>47</v>
      </c>
      <c r="M38" s="2">
        <v>40</v>
      </c>
      <c r="N38" s="2">
        <v>46</v>
      </c>
      <c r="O38" s="2">
        <v>48</v>
      </c>
      <c r="P38" s="2">
        <v>38</v>
      </c>
    </row>
    <row r="39" spans="4:16" ht="17.649999999999999" x14ac:dyDescent="0.5">
      <c r="D39" s="3" t="s">
        <v>137</v>
      </c>
      <c r="E39">
        <f t="shared" ref="E39:P39" si="0">E31-E37</f>
        <v>-1</v>
      </c>
      <c r="F39">
        <f t="shared" si="0"/>
        <v>-3</v>
      </c>
      <c r="G39">
        <f t="shared" si="0"/>
        <v>-4</v>
      </c>
      <c r="H39">
        <f t="shared" si="0"/>
        <v>-5</v>
      </c>
      <c r="I39">
        <f t="shared" si="0"/>
        <v>0</v>
      </c>
      <c r="J39">
        <f t="shared" si="0"/>
        <v>7</v>
      </c>
      <c r="K39">
        <f t="shared" si="0"/>
        <v>-1</v>
      </c>
      <c r="L39">
        <f t="shared" si="0"/>
        <v>9</v>
      </c>
      <c r="M39">
        <f t="shared" si="0"/>
        <v>14</v>
      </c>
      <c r="N39">
        <f t="shared" si="0"/>
        <v>-1</v>
      </c>
      <c r="O39">
        <f t="shared" si="0"/>
        <v>-1</v>
      </c>
      <c r="P39">
        <f t="shared" si="0"/>
        <v>12</v>
      </c>
    </row>
    <row r="40" spans="4:16" ht="17.649999999999999" x14ac:dyDescent="0.5">
      <c r="D40" s="3" t="s">
        <v>138</v>
      </c>
      <c r="E40">
        <f t="shared" ref="E40:P40" si="1">E32-E38</f>
        <v>15</v>
      </c>
      <c r="F40">
        <f t="shared" si="1"/>
        <v>3</v>
      </c>
      <c r="G40">
        <f t="shared" si="1"/>
        <v>8</v>
      </c>
      <c r="H40">
        <f t="shared" si="1"/>
        <v>-7</v>
      </c>
      <c r="I40">
        <f t="shared" si="1"/>
        <v>-10</v>
      </c>
      <c r="J40">
        <f t="shared" si="1"/>
        <v>-3</v>
      </c>
      <c r="K40">
        <f t="shared" si="1"/>
        <v>-11</v>
      </c>
      <c r="L40">
        <f t="shared" si="1"/>
        <v>-11</v>
      </c>
      <c r="M40">
        <f t="shared" si="1"/>
        <v>4</v>
      </c>
      <c r="N40">
        <f t="shared" si="1"/>
        <v>-9</v>
      </c>
      <c r="O40">
        <f t="shared" si="1"/>
        <v>-13</v>
      </c>
      <c r="P40">
        <f t="shared" si="1"/>
        <v>8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90</v>
      </c>
      <c r="F44" s="2">
        <v>83</v>
      </c>
      <c r="G44" s="2">
        <v>86</v>
      </c>
      <c r="H44" s="2">
        <v>77</v>
      </c>
      <c r="I44" s="2">
        <v>79</v>
      </c>
      <c r="J44" s="2">
        <v>85</v>
      </c>
      <c r="K44" s="2">
        <v>77</v>
      </c>
      <c r="L44" s="2">
        <v>82</v>
      </c>
      <c r="M44" s="2">
        <v>93</v>
      </c>
      <c r="N44" s="2">
        <v>78</v>
      </c>
      <c r="O44" s="2">
        <v>76</v>
      </c>
      <c r="P44" s="2">
        <v>94</v>
      </c>
    </row>
    <row r="45" spans="4:16" x14ac:dyDescent="0.5">
      <c r="D45" s="2" t="s">
        <v>28</v>
      </c>
      <c r="E45" s="2">
        <v>76</v>
      </c>
      <c r="F45" s="2">
        <v>83</v>
      </c>
      <c r="G45" s="2">
        <v>82</v>
      </c>
      <c r="H45" s="2">
        <v>89</v>
      </c>
      <c r="I45" s="2">
        <v>89</v>
      </c>
      <c r="J45" s="2">
        <v>81</v>
      </c>
      <c r="K45" s="2">
        <v>89</v>
      </c>
      <c r="L45" s="2">
        <v>84</v>
      </c>
      <c r="M45" s="2">
        <v>75</v>
      </c>
      <c r="N45" s="2">
        <v>88</v>
      </c>
      <c r="O45" s="2">
        <v>90</v>
      </c>
      <c r="P45" s="2">
        <v>74</v>
      </c>
    </row>
    <row r="46" spans="4:16" x14ac:dyDescent="0.5">
      <c r="D46" s="2" t="s">
        <v>30</v>
      </c>
      <c r="E46" s="2">
        <v>14</v>
      </c>
      <c r="F46" s="2">
        <v>0</v>
      </c>
      <c r="G46" s="2">
        <v>4</v>
      </c>
      <c r="H46" s="2">
        <v>-12</v>
      </c>
      <c r="I46" s="2">
        <v>-10</v>
      </c>
      <c r="J46" s="2">
        <v>4</v>
      </c>
      <c r="K46" s="2">
        <v>-12</v>
      </c>
      <c r="L46" s="2">
        <v>-2</v>
      </c>
      <c r="M46" s="2">
        <v>18</v>
      </c>
      <c r="N46" s="2">
        <v>-10</v>
      </c>
      <c r="O46" s="2">
        <v>-14</v>
      </c>
      <c r="P46" s="2">
        <v>20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6</v>
      </c>
      <c r="F56" s="2">
        <v>123</v>
      </c>
      <c r="G56" s="2">
        <v>527</v>
      </c>
      <c r="H56" s="2">
        <v>800</v>
      </c>
      <c r="I56" s="2">
        <v>465</v>
      </c>
      <c r="J56" s="2">
        <v>77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157</v>
      </c>
    </row>
    <row r="61" spans="4:11" ht="17.649999999999999" x14ac:dyDescent="0.5">
      <c r="D61" s="3" t="s">
        <v>158</v>
      </c>
    </row>
    <row r="62" spans="4:11" ht="17.649999999999999" x14ac:dyDescent="0.5">
      <c r="D62" s="3" t="s">
        <v>101</v>
      </c>
    </row>
    <row r="63" spans="4:11" ht="17.649999999999999" x14ac:dyDescent="0.5">
      <c r="D63" s="3" t="s">
        <v>47</v>
      </c>
    </row>
    <row r="64" spans="4:11" ht="17.649999999999999" x14ac:dyDescent="0.5">
      <c r="D64" s="3" t="s">
        <v>107</v>
      </c>
    </row>
    <row r="65" spans="4:4" ht="17.649999999999999" x14ac:dyDescent="0.5">
      <c r="D65" s="3" t="s">
        <v>112</v>
      </c>
    </row>
    <row r="66" spans="4:4" ht="17.649999999999999" x14ac:dyDescent="0.5">
      <c r="D66" s="3" t="s">
        <v>63</v>
      </c>
    </row>
    <row r="67" spans="4:4" ht="17.649999999999999" x14ac:dyDescent="0.5">
      <c r="D67" s="3" t="s">
        <v>61</v>
      </c>
    </row>
    <row r="68" spans="4:4" ht="17.649999999999999" x14ac:dyDescent="0.5">
      <c r="D68" s="3" t="s">
        <v>107</v>
      </c>
    </row>
    <row r="69" spans="4:4" ht="17.649999999999999" x14ac:dyDescent="0.5">
      <c r="D69" s="3" t="s">
        <v>67</v>
      </c>
    </row>
    <row r="70" spans="4:4" ht="17.649999999999999" x14ac:dyDescent="0.5">
      <c r="D70" s="3" t="s">
        <v>52</v>
      </c>
    </row>
    <row r="71" spans="4:4" ht="17.649999999999999" x14ac:dyDescent="0.5">
      <c r="D71" s="3" t="s">
        <v>41</v>
      </c>
    </row>
    <row r="72" spans="4:4" ht="17.649999999999999" x14ac:dyDescent="0.5">
      <c r="D72" s="3" t="s">
        <v>64</v>
      </c>
    </row>
    <row r="73" spans="4:4" ht="17.649999999999999" x14ac:dyDescent="0.5">
      <c r="D73" s="3" t="s">
        <v>85</v>
      </c>
    </row>
    <row r="74" spans="4:4" ht="17.649999999999999" x14ac:dyDescent="0.5">
      <c r="D74" s="3" t="s">
        <v>51</v>
      </c>
    </row>
    <row r="75" spans="4:4" ht="17.649999999999999" x14ac:dyDescent="0.5">
      <c r="D75" s="3" t="s">
        <v>131</v>
      </c>
    </row>
    <row r="76" spans="4:4" ht="17.649999999999999" x14ac:dyDescent="0.5">
      <c r="D76" s="3" t="s">
        <v>61</v>
      </c>
    </row>
    <row r="77" spans="4:4" ht="17.649999999999999" x14ac:dyDescent="0.5">
      <c r="D77" s="3" t="s">
        <v>74</v>
      </c>
    </row>
    <row r="78" spans="4:4" ht="17.649999999999999" x14ac:dyDescent="0.5">
      <c r="D78" s="3" t="s">
        <v>104</v>
      </c>
    </row>
    <row r="79" spans="4:4" ht="17.649999999999999" x14ac:dyDescent="0.5">
      <c r="D79" s="3" t="s">
        <v>45</v>
      </c>
    </row>
    <row r="80" spans="4:4" ht="17.649999999999999" x14ac:dyDescent="0.5">
      <c r="D80" s="3" t="s">
        <v>103</v>
      </c>
    </row>
    <row r="81" spans="4:4" ht="17.649999999999999" x14ac:dyDescent="0.5">
      <c r="D81" s="3" t="s">
        <v>121</v>
      </c>
    </row>
    <row r="82" spans="4:4" ht="17.649999999999999" x14ac:dyDescent="0.5">
      <c r="D82" s="3" t="s">
        <v>59</v>
      </c>
    </row>
    <row r="83" spans="4:4" ht="17.649999999999999" x14ac:dyDescent="0.5">
      <c r="D83" s="3" t="s">
        <v>86</v>
      </c>
    </row>
    <row r="84" spans="4:4" ht="17.649999999999999" x14ac:dyDescent="0.5">
      <c r="D84" s="3" t="s">
        <v>69</v>
      </c>
    </row>
    <row r="85" spans="4:4" ht="17.649999999999999" x14ac:dyDescent="0.5">
      <c r="D85" s="3" t="s">
        <v>67</v>
      </c>
    </row>
    <row r="86" spans="4:4" ht="17.649999999999999" x14ac:dyDescent="0.5">
      <c r="D86" s="3" t="s">
        <v>56</v>
      </c>
    </row>
    <row r="87" spans="4:4" ht="17.649999999999999" x14ac:dyDescent="0.5">
      <c r="D87" s="3" t="s">
        <v>53</v>
      </c>
    </row>
    <row r="88" spans="4:4" ht="17.649999999999999" x14ac:dyDescent="0.5">
      <c r="D88" s="3" t="s">
        <v>112</v>
      </c>
    </row>
    <row r="89" spans="4:4" ht="17.649999999999999" x14ac:dyDescent="0.5">
      <c r="D89" s="3" t="s">
        <v>47</v>
      </c>
    </row>
    <row r="90" spans="4:4" ht="17.649999999999999" x14ac:dyDescent="0.5">
      <c r="D90" s="3" t="s">
        <v>68</v>
      </c>
    </row>
    <row r="91" spans="4:4" ht="17.649999999999999" x14ac:dyDescent="0.5">
      <c r="D91" s="3" t="s">
        <v>73</v>
      </c>
    </row>
    <row r="92" spans="4:4" ht="17.649999999999999" x14ac:dyDescent="0.5">
      <c r="D92" s="3" t="s">
        <v>56</v>
      </c>
    </row>
    <row r="93" spans="4:4" ht="17.649999999999999" x14ac:dyDescent="0.5">
      <c r="D93" s="3" t="s">
        <v>118</v>
      </c>
    </row>
    <row r="94" spans="4:4" ht="17.649999999999999" x14ac:dyDescent="0.5">
      <c r="D94" s="3" t="s">
        <v>73</v>
      </c>
    </row>
    <row r="95" spans="4:4" ht="17.649999999999999" x14ac:dyDescent="0.5">
      <c r="D95" s="3" t="s">
        <v>85</v>
      </c>
    </row>
    <row r="96" spans="4:4" ht="17.649999999999999" x14ac:dyDescent="0.5">
      <c r="D96" s="3" t="s">
        <v>44</v>
      </c>
    </row>
    <row r="97" spans="4:4" ht="17.649999999999999" x14ac:dyDescent="0.5">
      <c r="D97" s="3" t="s">
        <v>69</v>
      </c>
    </row>
    <row r="98" spans="4:4" ht="17.649999999999999" x14ac:dyDescent="0.5">
      <c r="D98" s="3" t="s">
        <v>55</v>
      </c>
    </row>
    <row r="99" spans="4:4" ht="17.649999999999999" x14ac:dyDescent="0.5">
      <c r="D99" s="3" t="s">
        <v>103</v>
      </c>
    </row>
    <row r="100" spans="4:4" ht="17.649999999999999" x14ac:dyDescent="0.5">
      <c r="D100" s="3" t="s">
        <v>64</v>
      </c>
    </row>
    <row r="101" spans="4:4" ht="17.649999999999999" x14ac:dyDescent="0.5">
      <c r="D101" s="3" t="s">
        <v>112</v>
      </c>
    </row>
    <row r="102" spans="4:4" ht="17.649999999999999" x14ac:dyDescent="0.5">
      <c r="D102" s="3" t="s">
        <v>85</v>
      </c>
    </row>
    <row r="103" spans="4:4" ht="17.649999999999999" x14ac:dyDescent="0.5">
      <c r="D103" s="3" t="s">
        <v>91</v>
      </c>
    </row>
    <row r="104" spans="4:4" ht="17.649999999999999" x14ac:dyDescent="0.5">
      <c r="D104" s="3" t="s">
        <v>104</v>
      </c>
    </row>
    <row r="105" spans="4:4" ht="17.649999999999999" x14ac:dyDescent="0.5">
      <c r="D105" s="3" t="s">
        <v>134</v>
      </c>
    </row>
    <row r="106" spans="4:4" ht="17.649999999999999" x14ac:dyDescent="0.5">
      <c r="D106" s="3" t="s">
        <v>47</v>
      </c>
    </row>
    <row r="107" spans="4:4" ht="17.649999999999999" x14ac:dyDescent="0.5">
      <c r="D107" s="3" t="s">
        <v>47</v>
      </c>
    </row>
    <row r="108" spans="4:4" ht="17.649999999999999" x14ac:dyDescent="0.5">
      <c r="D108" s="3" t="s">
        <v>78</v>
      </c>
    </row>
    <row r="109" spans="4:4" ht="17.649999999999999" x14ac:dyDescent="0.5">
      <c r="D109" s="3" t="s">
        <v>108</v>
      </c>
    </row>
    <row r="110" spans="4:4" ht="17.649999999999999" x14ac:dyDescent="0.5">
      <c r="D110" s="3" t="s">
        <v>73</v>
      </c>
    </row>
    <row r="111" spans="4:4" ht="17.649999999999999" x14ac:dyDescent="0.5">
      <c r="D111" s="3" t="s">
        <v>66</v>
      </c>
    </row>
    <row r="112" spans="4:4" ht="17.649999999999999" x14ac:dyDescent="0.5">
      <c r="D112" s="3" t="s">
        <v>73</v>
      </c>
    </row>
    <row r="113" spans="4:4" ht="17.649999999999999" x14ac:dyDescent="0.5">
      <c r="D113" s="3" t="s">
        <v>103</v>
      </c>
    </row>
    <row r="114" spans="4:4" ht="17.649999999999999" x14ac:dyDescent="0.5">
      <c r="D114" s="3" t="s">
        <v>101</v>
      </c>
    </row>
    <row r="115" spans="4:4" ht="17.649999999999999" x14ac:dyDescent="0.5">
      <c r="D115" s="3" t="s">
        <v>89</v>
      </c>
    </row>
    <row r="116" spans="4:4" ht="17.649999999999999" x14ac:dyDescent="0.5">
      <c r="D116" s="3" t="s">
        <v>57</v>
      </c>
    </row>
    <row r="117" spans="4:4" ht="17.649999999999999" x14ac:dyDescent="0.5">
      <c r="D117" s="3" t="s">
        <v>114</v>
      </c>
    </row>
    <row r="118" spans="4:4" ht="17.649999999999999" x14ac:dyDescent="0.5">
      <c r="D118" s="3" t="s">
        <v>73</v>
      </c>
    </row>
    <row r="119" spans="4:4" ht="17.649999999999999" x14ac:dyDescent="0.5">
      <c r="D119" s="3" t="s">
        <v>74</v>
      </c>
    </row>
    <row r="120" spans="4:4" ht="17.649999999999999" x14ac:dyDescent="0.5">
      <c r="D120" s="3" t="s">
        <v>44</v>
      </c>
    </row>
    <row r="121" spans="4:4" ht="17.649999999999999" x14ac:dyDescent="0.5">
      <c r="D121" s="3" t="s">
        <v>55</v>
      </c>
    </row>
    <row r="122" spans="4:4" ht="17.649999999999999" x14ac:dyDescent="0.5">
      <c r="D122" s="3" t="s">
        <v>62</v>
      </c>
    </row>
    <row r="123" spans="4:4" ht="17.649999999999999" x14ac:dyDescent="0.5">
      <c r="D123" s="3" t="s">
        <v>105</v>
      </c>
    </row>
    <row r="124" spans="4:4" ht="17.649999999999999" x14ac:dyDescent="0.5">
      <c r="D124" s="3" t="s">
        <v>55</v>
      </c>
    </row>
    <row r="125" spans="4:4" ht="17.649999999999999" x14ac:dyDescent="0.5">
      <c r="D125" s="3" t="s">
        <v>107</v>
      </c>
    </row>
    <row r="126" spans="4:4" ht="17.649999999999999" x14ac:dyDescent="0.5">
      <c r="D126" s="3" t="s">
        <v>98</v>
      </c>
    </row>
    <row r="127" spans="4:4" ht="17.649999999999999" x14ac:dyDescent="0.5">
      <c r="D127" s="3" t="s">
        <v>86</v>
      </c>
    </row>
    <row r="128" spans="4:4" ht="17.649999999999999" x14ac:dyDescent="0.5">
      <c r="D128" s="3" t="s">
        <v>63</v>
      </c>
    </row>
    <row r="129" spans="4:4" ht="17.649999999999999" x14ac:dyDescent="0.5">
      <c r="D129" s="3" t="s">
        <v>55</v>
      </c>
    </row>
    <row r="130" spans="4:4" ht="17.649999999999999" x14ac:dyDescent="0.5">
      <c r="D130" s="3" t="s">
        <v>103</v>
      </c>
    </row>
    <row r="131" spans="4:4" ht="17.649999999999999" x14ac:dyDescent="0.5">
      <c r="D131" s="3" t="s">
        <v>118</v>
      </c>
    </row>
    <row r="132" spans="4:4" ht="17.649999999999999" x14ac:dyDescent="0.5">
      <c r="D132" s="3" t="s">
        <v>75</v>
      </c>
    </row>
    <row r="133" spans="4:4" ht="17.649999999999999" x14ac:dyDescent="0.5">
      <c r="D133" s="3" t="s">
        <v>94</v>
      </c>
    </row>
    <row r="134" spans="4:4" ht="17.649999999999999" x14ac:dyDescent="0.5">
      <c r="D134" s="3" t="s">
        <v>57</v>
      </c>
    </row>
    <row r="135" spans="4:4" ht="17.649999999999999" x14ac:dyDescent="0.5">
      <c r="D135" s="3" t="s">
        <v>83</v>
      </c>
    </row>
    <row r="136" spans="4:4" ht="17.649999999999999" x14ac:dyDescent="0.5">
      <c r="D136" s="3" t="s">
        <v>53</v>
      </c>
    </row>
    <row r="137" spans="4:4" ht="17.649999999999999" x14ac:dyDescent="0.5">
      <c r="D137" s="3" t="s">
        <v>43</v>
      </c>
    </row>
    <row r="138" spans="4:4" ht="17.649999999999999" x14ac:dyDescent="0.5">
      <c r="D138" s="3" t="s">
        <v>87</v>
      </c>
    </row>
    <row r="139" spans="4:4" ht="17.649999999999999" x14ac:dyDescent="0.5">
      <c r="D139" s="3" t="s">
        <v>81</v>
      </c>
    </row>
    <row r="140" spans="4:4" ht="17.649999999999999" x14ac:dyDescent="0.5">
      <c r="D140" s="3" t="s">
        <v>86</v>
      </c>
    </row>
    <row r="141" spans="4:4" ht="17.649999999999999" x14ac:dyDescent="0.5">
      <c r="D141" s="3" t="s">
        <v>135</v>
      </c>
    </row>
    <row r="142" spans="4:4" ht="17.649999999999999" x14ac:dyDescent="0.5">
      <c r="D142" s="3" t="s">
        <v>78</v>
      </c>
    </row>
    <row r="143" spans="4:4" ht="17.649999999999999" x14ac:dyDescent="0.5">
      <c r="D143" s="3" t="s">
        <v>81</v>
      </c>
    </row>
    <row r="144" spans="4:4" ht="17.649999999999999" x14ac:dyDescent="0.5">
      <c r="D144" s="3" t="s">
        <v>78</v>
      </c>
    </row>
    <row r="145" spans="4:4" ht="17.649999999999999" x14ac:dyDescent="0.5">
      <c r="D145" s="3" t="s">
        <v>78</v>
      </c>
    </row>
    <row r="146" spans="4:4" ht="17.649999999999999" x14ac:dyDescent="0.5">
      <c r="D146" s="3" t="s">
        <v>97</v>
      </c>
    </row>
    <row r="147" spans="4:4" ht="17.649999999999999" x14ac:dyDescent="0.5">
      <c r="D147" s="3" t="s">
        <v>111</v>
      </c>
    </row>
    <row r="148" spans="4:4" ht="17.649999999999999" x14ac:dyDescent="0.5">
      <c r="D148" s="3" t="s">
        <v>77</v>
      </c>
    </row>
    <row r="149" spans="4:4" ht="17.649999999999999" x14ac:dyDescent="0.5">
      <c r="D149" s="3" t="s">
        <v>65</v>
      </c>
    </row>
    <row r="150" spans="4:4" ht="17.649999999999999" x14ac:dyDescent="0.5">
      <c r="D150" s="3" t="s">
        <v>64</v>
      </c>
    </row>
    <row r="151" spans="4:4" ht="17.649999999999999" x14ac:dyDescent="0.5">
      <c r="D151" s="3" t="s">
        <v>101</v>
      </c>
    </row>
    <row r="152" spans="4:4" ht="17.649999999999999" x14ac:dyDescent="0.5">
      <c r="D152" s="3" t="s">
        <v>66</v>
      </c>
    </row>
    <row r="153" spans="4:4" ht="17.649999999999999" x14ac:dyDescent="0.5">
      <c r="D153" s="3" t="s">
        <v>58</v>
      </c>
    </row>
    <row r="154" spans="4:4" ht="17.649999999999999" x14ac:dyDescent="0.5">
      <c r="D154" s="3" t="s">
        <v>117</v>
      </c>
    </row>
    <row r="155" spans="4:4" ht="17.649999999999999" x14ac:dyDescent="0.5">
      <c r="D155" s="3" t="s">
        <v>98</v>
      </c>
    </row>
    <row r="156" spans="4:4" ht="17.649999999999999" x14ac:dyDescent="0.5">
      <c r="D156" s="3" t="s">
        <v>122</v>
      </c>
    </row>
    <row r="157" spans="4:4" ht="17.649999999999999" x14ac:dyDescent="0.5">
      <c r="D157" s="3" t="s">
        <v>56</v>
      </c>
    </row>
    <row r="158" spans="4:4" ht="17.649999999999999" x14ac:dyDescent="0.5">
      <c r="D158" s="3" t="s">
        <v>122</v>
      </c>
    </row>
    <row r="159" spans="4:4" ht="17.649999999999999" x14ac:dyDescent="0.5">
      <c r="D159" s="3" t="s">
        <v>131</v>
      </c>
    </row>
    <row r="160" spans="4:4" ht="17.649999999999999" x14ac:dyDescent="0.5">
      <c r="D160" s="3" t="s">
        <v>73</v>
      </c>
    </row>
    <row r="161" spans="4:4" ht="17.649999999999999" x14ac:dyDescent="0.5">
      <c r="D161" s="3" t="s">
        <v>64</v>
      </c>
    </row>
    <row r="162" spans="4:4" ht="17.649999999999999" x14ac:dyDescent="0.5">
      <c r="D162" s="3" t="s">
        <v>105</v>
      </c>
    </row>
    <row r="163" spans="4:4" ht="17.649999999999999" x14ac:dyDescent="0.5">
      <c r="D163" s="3" t="s">
        <v>114</v>
      </c>
    </row>
    <row r="164" spans="4:4" ht="17.649999999999999" x14ac:dyDescent="0.5">
      <c r="D164" s="3" t="s">
        <v>58</v>
      </c>
    </row>
    <row r="165" spans="4:4" ht="17.649999999999999" x14ac:dyDescent="0.5">
      <c r="D165" s="3" t="s">
        <v>83</v>
      </c>
    </row>
    <row r="166" spans="4:4" ht="17.649999999999999" x14ac:dyDescent="0.5">
      <c r="D166" s="3" t="s">
        <v>65</v>
      </c>
    </row>
    <row r="167" spans="4:4" ht="17.649999999999999" x14ac:dyDescent="0.5">
      <c r="D167" s="3" t="s">
        <v>107</v>
      </c>
    </row>
    <row r="168" spans="4:4" ht="17.649999999999999" x14ac:dyDescent="0.5">
      <c r="D168" s="3" t="s">
        <v>117</v>
      </c>
    </row>
    <row r="169" spans="4:4" ht="17.649999999999999" x14ac:dyDescent="0.5">
      <c r="D169" s="3" t="s">
        <v>123</v>
      </c>
    </row>
    <row r="170" spans="4:4" ht="17.649999999999999" x14ac:dyDescent="0.5">
      <c r="D170" s="3" t="s">
        <v>117</v>
      </c>
    </row>
    <row r="171" spans="4:4" ht="17.649999999999999" x14ac:dyDescent="0.5">
      <c r="D171" s="3" t="s">
        <v>125</v>
      </c>
    </row>
    <row r="172" spans="4:4" ht="17.649999999999999" x14ac:dyDescent="0.5">
      <c r="D172" s="3" t="s">
        <v>124</v>
      </c>
    </row>
    <row r="173" spans="4:4" ht="17.649999999999999" x14ac:dyDescent="0.5">
      <c r="D173" s="3" t="s">
        <v>131</v>
      </c>
    </row>
    <row r="174" spans="4:4" ht="17.649999999999999" x14ac:dyDescent="0.5">
      <c r="D174" s="3" t="s">
        <v>59</v>
      </c>
    </row>
    <row r="175" spans="4:4" ht="17.649999999999999" x14ac:dyDescent="0.5">
      <c r="D175" s="3" t="s">
        <v>108</v>
      </c>
    </row>
    <row r="176" spans="4:4" ht="17.649999999999999" x14ac:dyDescent="0.5">
      <c r="D176" s="3" t="s">
        <v>41</v>
      </c>
    </row>
    <row r="177" spans="4:4" ht="17.649999999999999" x14ac:dyDescent="0.5">
      <c r="D177" s="3" t="s">
        <v>93</v>
      </c>
    </row>
    <row r="178" spans="4:4" ht="17.649999999999999" x14ac:dyDescent="0.5">
      <c r="D178" s="3" t="s">
        <v>46</v>
      </c>
    </row>
    <row r="179" spans="4:4" ht="17.649999999999999" x14ac:dyDescent="0.5">
      <c r="D179" s="3" t="s">
        <v>79</v>
      </c>
    </row>
    <row r="180" spans="4:4" ht="17.649999999999999" x14ac:dyDescent="0.5">
      <c r="D180" s="3" t="s">
        <v>89</v>
      </c>
    </row>
    <row r="181" spans="4:4" ht="17.649999999999999" x14ac:dyDescent="0.5">
      <c r="D181" s="3" t="s">
        <v>41</v>
      </c>
    </row>
    <row r="182" spans="4:4" ht="17.649999999999999" x14ac:dyDescent="0.5">
      <c r="D182" s="3" t="s">
        <v>128</v>
      </c>
    </row>
    <row r="183" spans="4:4" ht="17.649999999999999" x14ac:dyDescent="0.5">
      <c r="D183" s="3" t="s">
        <v>66</v>
      </c>
    </row>
    <row r="184" spans="4:4" ht="17.649999999999999" x14ac:dyDescent="0.5">
      <c r="D184" s="3" t="s">
        <v>81</v>
      </c>
    </row>
    <row r="185" spans="4:4" ht="17.649999999999999" x14ac:dyDescent="0.5">
      <c r="D185" s="3" t="s">
        <v>41</v>
      </c>
    </row>
    <row r="186" spans="4:4" ht="17.649999999999999" x14ac:dyDescent="0.5">
      <c r="D186" s="3" t="s">
        <v>74</v>
      </c>
    </row>
    <row r="187" spans="4:4" ht="17.649999999999999" x14ac:dyDescent="0.5">
      <c r="D187" s="3" t="s">
        <v>83</v>
      </c>
    </row>
    <row r="188" spans="4:4" ht="17.649999999999999" x14ac:dyDescent="0.5">
      <c r="D188" s="3" t="s">
        <v>103</v>
      </c>
    </row>
    <row r="189" spans="4:4" ht="17.649999999999999" x14ac:dyDescent="0.5">
      <c r="D189" s="3" t="s">
        <v>112</v>
      </c>
    </row>
    <row r="190" spans="4:4" ht="17.649999999999999" x14ac:dyDescent="0.5">
      <c r="D190" s="3" t="s">
        <v>63</v>
      </c>
    </row>
    <row r="191" spans="4:4" ht="17.649999999999999" x14ac:dyDescent="0.5">
      <c r="D191" s="3" t="s">
        <v>85</v>
      </c>
    </row>
    <row r="192" spans="4:4" ht="17.649999999999999" x14ac:dyDescent="0.5">
      <c r="D192" s="3" t="s">
        <v>87</v>
      </c>
    </row>
    <row r="193" spans="4:4" ht="17.649999999999999" x14ac:dyDescent="0.5">
      <c r="D193" s="3" t="s">
        <v>83</v>
      </c>
    </row>
    <row r="194" spans="4:4" ht="17.649999999999999" x14ac:dyDescent="0.5">
      <c r="D194" s="3" t="s">
        <v>61</v>
      </c>
    </row>
    <row r="195" spans="4:4" ht="17.649999999999999" x14ac:dyDescent="0.5">
      <c r="D195" s="3" t="s">
        <v>84</v>
      </c>
    </row>
    <row r="196" spans="4:4" ht="17.649999999999999" x14ac:dyDescent="0.5">
      <c r="D196" s="3" t="s">
        <v>63</v>
      </c>
    </row>
    <row r="197" spans="4:4" ht="17.649999999999999" x14ac:dyDescent="0.5">
      <c r="D197" s="3" t="s">
        <v>66</v>
      </c>
    </row>
    <row r="198" spans="4:4" ht="17.649999999999999" x14ac:dyDescent="0.5">
      <c r="D198" s="3" t="s">
        <v>69</v>
      </c>
    </row>
    <row r="199" spans="4:4" ht="17.649999999999999" x14ac:dyDescent="0.5">
      <c r="D199" s="3" t="s">
        <v>106</v>
      </c>
    </row>
    <row r="200" spans="4:4" ht="17.649999999999999" x14ac:dyDescent="0.5">
      <c r="D200" s="3" t="s">
        <v>115</v>
      </c>
    </row>
    <row r="201" spans="4:4" ht="17.649999999999999" x14ac:dyDescent="0.5">
      <c r="D201" s="3" t="s">
        <v>69</v>
      </c>
    </row>
    <row r="202" spans="4:4" ht="17.649999999999999" x14ac:dyDescent="0.5">
      <c r="D202" s="3" t="s">
        <v>77</v>
      </c>
    </row>
    <row r="203" spans="4:4" ht="17.649999999999999" x14ac:dyDescent="0.5">
      <c r="D203" s="3" t="s">
        <v>91</v>
      </c>
    </row>
    <row r="204" spans="4:4" ht="17.649999999999999" x14ac:dyDescent="0.5">
      <c r="D204" s="3" t="s">
        <v>122</v>
      </c>
    </row>
    <row r="205" spans="4:4" ht="17.649999999999999" x14ac:dyDescent="0.5">
      <c r="D205" s="3" t="s">
        <v>73</v>
      </c>
    </row>
    <row r="206" spans="4:4" ht="17.649999999999999" x14ac:dyDescent="0.5">
      <c r="D206" s="3" t="s">
        <v>115</v>
      </c>
    </row>
    <row r="207" spans="4:4" ht="17.649999999999999" x14ac:dyDescent="0.5">
      <c r="D207" s="3" t="s">
        <v>97</v>
      </c>
    </row>
    <row r="208" spans="4:4" ht="17.649999999999999" x14ac:dyDescent="0.5">
      <c r="D208" s="3" t="s">
        <v>65</v>
      </c>
    </row>
    <row r="209" spans="4:4" ht="17.649999999999999" x14ac:dyDescent="0.5">
      <c r="D209" s="3" t="s">
        <v>47</v>
      </c>
    </row>
    <row r="210" spans="4:4" ht="17.649999999999999" x14ac:dyDescent="0.5">
      <c r="D210" s="3" t="s">
        <v>74</v>
      </c>
    </row>
    <row r="211" spans="4:4" ht="17.649999999999999" x14ac:dyDescent="0.5">
      <c r="D211" s="3" t="s">
        <v>51</v>
      </c>
    </row>
    <row r="212" spans="4:4" ht="17.649999999999999" x14ac:dyDescent="0.5">
      <c r="D212" s="3" t="s">
        <v>41</v>
      </c>
    </row>
    <row r="213" spans="4:4" ht="17.649999999999999" x14ac:dyDescent="0.5">
      <c r="D213" s="3" t="s">
        <v>80</v>
      </c>
    </row>
    <row r="214" spans="4:4" ht="17.649999999999999" x14ac:dyDescent="0.5">
      <c r="D214" s="3" t="s">
        <v>94</v>
      </c>
    </row>
    <row r="215" spans="4:4" ht="17.649999999999999" x14ac:dyDescent="0.5">
      <c r="D215" s="3" t="s">
        <v>53</v>
      </c>
    </row>
    <row r="216" spans="4:4" ht="17.649999999999999" x14ac:dyDescent="0.5">
      <c r="D216" s="3" t="s">
        <v>133</v>
      </c>
    </row>
    <row r="217" spans="4:4" ht="17.649999999999999" x14ac:dyDescent="0.5">
      <c r="D217" s="3" t="s">
        <v>54</v>
      </c>
    </row>
    <row r="218" spans="4:4" ht="17.649999999999999" x14ac:dyDescent="0.5">
      <c r="D218" s="3" t="s">
        <v>84</v>
      </c>
    </row>
    <row r="219" spans="4:4" ht="17.649999999999999" x14ac:dyDescent="0.5">
      <c r="D219" s="3" t="s">
        <v>92</v>
      </c>
    </row>
    <row r="220" spans="4:4" ht="17.649999999999999" x14ac:dyDescent="0.5">
      <c r="D220" s="3" t="s">
        <v>56</v>
      </c>
    </row>
    <row r="221" spans="4:4" ht="17.649999999999999" x14ac:dyDescent="0.5">
      <c r="D221" s="3" t="s">
        <v>83</v>
      </c>
    </row>
    <row r="222" spans="4:4" ht="17.649999999999999" x14ac:dyDescent="0.5">
      <c r="D222" s="3" t="s">
        <v>48</v>
      </c>
    </row>
    <row r="223" spans="4:4" ht="17.649999999999999" x14ac:dyDescent="0.5">
      <c r="D223" s="3" t="s">
        <v>64</v>
      </c>
    </row>
    <row r="224" spans="4:4" ht="17.649999999999999" x14ac:dyDescent="0.5">
      <c r="D224" s="3" t="s">
        <v>65</v>
      </c>
    </row>
    <row r="225" spans="4:4" ht="17.649999999999999" x14ac:dyDescent="0.5">
      <c r="D225" s="3" t="s">
        <v>64</v>
      </c>
    </row>
    <row r="226" spans="4:4" ht="17.649999999999999" x14ac:dyDescent="0.5">
      <c r="D226" s="3" t="s">
        <v>57</v>
      </c>
    </row>
    <row r="227" spans="4:4" ht="17.649999999999999" x14ac:dyDescent="0.5">
      <c r="D227" s="3" t="s">
        <v>101</v>
      </c>
    </row>
    <row r="228" spans="4:4" ht="17.649999999999999" x14ac:dyDescent="0.5">
      <c r="D228" s="3" t="s">
        <v>65</v>
      </c>
    </row>
    <row r="229" spans="4:4" ht="17.649999999999999" x14ac:dyDescent="0.5">
      <c r="D229" s="3" t="s">
        <v>131</v>
      </c>
    </row>
    <row r="230" spans="4:4" ht="17.649999999999999" x14ac:dyDescent="0.5">
      <c r="D230" s="3" t="s">
        <v>94</v>
      </c>
    </row>
    <row r="231" spans="4:4" ht="17.649999999999999" x14ac:dyDescent="0.5">
      <c r="D231" s="3" t="s">
        <v>64</v>
      </c>
    </row>
    <row r="232" spans="4:4" ht="17.649999999999999" x14ac:dyDescent="0.5">
      <c r="D232" s="3" t="s">
        <v>56</v>
      </c>
    </row>
    <row r="233" spans="4:4" ht="17.649999999999999" x14ac:dyDescent="0.5">
      <c r="D233" s="3" t="s">
        <v>69</v>
      </c>
    </row>
    <row r="234" spans="4:4" ht="17.649999999999999" x14ac:dyDescent="0.5">
      <c r="D234" s="3" t="s">
        <v>128</v>
      </c>
    </row>
    <row r="235" spans="4:4" ht="17.649999999999999" x14ac:dyDescent="0.5">
      <c r="D235" s="3" t="s">
        <v>50</v>
      </c>
    </row>
    <row r="236" spans="4:4" ht="17.649999999999999" x14ac:dyDescent="0.5">
      <c r="D236" s="3" t="s">
        <v>59</v>
      </c>
    </row>
    <row r="237" spans="4:4" ht="17.649999999999999" x14ac:dyDescent="0.5">
      <c r="D237" s="3" t="s">
        <v>48</v>
      </c>
    </row>
    <row r="238" spans="4:4" ht="17.649999999999999" x14ac:dyDescent="0.5">
      <c r="D238" s="3" t="s">
        <v>98</v>
      </c>
    </row>
    <row r="239" spans="4:4" ht="17.649999999999999" x14ac:dyDescent="0.5">
      <c r="D239" s="3" t="s">
        <v>67</v>
      </c>
    </row>
    <row r="240" spans="4:4" ht="17.649999999999999" x14ac:dyDescent="0.5">
      <c r="D240" s="3" t="s">
        <v>96</v>
      </c>
    </row>
    <row r="241" spans="4:4" ht="17.649999999999999" x14ac:dyDescent="0.5">
      <c r="D241" s="3" t="s">
        <v>123</v>
      </c>
    </row>
    <row r="242" spans="4:4" ht="17.649999999999999" x14ac:dyDescent="0.5">
      <c r="D242" s="3" t="s">
        <v>96</v>
      </c>
    </row>
    <row r="243" spans="4:4" ht="17.649999999999999" x14ac:dyDescent="0.5">
      <c r="D243" s="3" t="s">
        <v>95</v>
      </c>
    </row>
    <row r="244" spans="4:4" ht="17.649999999999999" x14ac:dyDescent="0.5">
      <c r="D244" s="3" t="s">
        <v>47</v>
      </c>
    </row>
    <row r="245" spans="4:4" ht="17.649999999999999" x14ac:dyDescent="0.5">
      <c r="D245" s="3" t="s">
        <v>73</v>
      </c>
    </row>
    <row r="246" spans="4:4" ht="17.649999999999999" x14ac:dyDescent="0.5">
      <c r="D246" s="3" t="s">
        <v>117</v>
      </c>
    </row>
    <row r="247" spans="4:4" ht="17.649999999999999" x14ac:dyDescent="0.5">
      <c r="D247" s="3" t="s">
        <v>84</v>
      </c>
    </row>
    <row r="248" spans="4:4" ht="17.649999999999999" x14ac:dyDescent="0.5">
      <c r="D248" s="3" t="s">
        <v>101</v>
      </c>
    </row>
    <row r="249" spans="4:4" ht="17.649999999999999" x14ac:dyDescent="0.5">
      <c r="D249" s="3" t="s">
        <v>95</v>
      </c>
    </row>
    <row r="250" spans="4:4" ht="17.649999999999999" x14ac:dyDescent="0.5">
      <c r="D250" s="3" t="s">
        <v>59</v>
      </c>
    </row>
    <row r="251" spans="4:4" ht="17.649999999999999" x14ac:dyDescent="0.5">
      <c r="D251" s="3" t="s">
        <v>96</v>
      </c>
    </row>
    <row r="252" spans="4:4" ht="17.649999999999999" x14ac:dyDescent="0.5">
      <c r="D252" s="3" t="s">
        <v>41</v>
      </c>
    </row>
    <row r="253" spans="4:4" ht="17.649999999999999" x14ac:dyDescent="0.5">
      <c r="D253" s="3" t="s">
        <v>77</v>
      </c>
    </row>
    <row r="254" spans="4:4" ht="17.649999999999999" x14ac:dyDescent="0.5">
      <c r="D254" s="3" t="s">
        <v>95</v>
      </c>
    </row>
    <row r="255" spans="4:4" ht="17.649999999999999" x14ac:dyDescent="0.5">
      <c r="D255" s="3" t="s">
        <v>109</v>
      </c>
    </row>
    <row r="256" spans="4:4" ht="17.649999999999999" x14ac:dyDescent="0.5">
      <c r="D256" s="3" t="s">
        <v>92</v>
      </c>
    </row>
    <row r="257" spans="4:4" ht="17.649999999999999" x14ac:dyDescent="0.5">
      <c r="D257" s="3" t="s">
        <v>89</v>
      </c>
    </row>
    <row r="258" spans="4:4" ht="17.649999999999999" x14ac:dyDescent="0.5">
      <c r="D258" s="3" t="s">
        <v>41</v>
      </c>
    </row>
    <row r="259" spans="4:4" ht="17.649999999999999" x14ac:dyDescent="0.5">
      <c r="D259" s="3" t="s">
        <v>65</v>
      </c>
    </row>
    <row r="260" spans="4:4" ht="17.649999999999999" x14ac:dyDescent="0.5">
      <c r="D260" s="3" t="s">
        <v>136</v>
      </c>
    </row>
    <row r="261" spans="4:4" ht="17.649999999999999" x14ac:dyDescent="0.5">
      <c r="D261" s="3" t="s">
        <v>74</v>
      </c>
    </row>
    <row r="262" spans="4:4" ht="17.649999999999999" x14ac:dyDescent="0.5">
      <c r="D262" s="3" t="s">
        <v>101</v>
      </c>
    </row>
    <row r="263" spans="4:4" ht="17.649999999999999" x14ac:dyDescent="0.5">
      <c r="D263" s="3" t="s">
        <v>85</v>
      </c>
    </row>
    <row r="264" spans="4:4" ht="17.649999999999999" x14ac:dyDescent="0.5">
      <c r="D264" s="3" t="s">
        <v>117</v>
      </c>
    </row>
    <row r="265" spans="4:4" ht="17.649999999999999" x14ac:dyDescent="0.5">
      <c r="D265" s="3" t="s">
        <v>74</v>
      </c>
    </row>
    <row r="266" spans="4:4" ht="17.649999999999999" x14ac:dyDescent="0.5">
      <c r="D266" s="3" t="s">
        <v>77</v>
      </c>
    </row>
    <row r="267" spans="4:4" ht="17.649999999999999" x14ac:dyDescent="0.5">
      <c r="D267" s="3" t="s">
        <v>108</v>
      </c>
    </row>
    <row r="268" spans="4:4" ht="17.649999999999999" x14ac:dyDescent="0.5">
      <c r="D268" s="3" t="s">
        <v>129</v>
      </c>
    </row>
    <row r="269" spans="4:4" ht="17.649999999999999" x14ac:dyDescent="0.5">
      <c r="D269" s="3" t="s">
        <v>48</v>
      </c>
    </row>
    <row r="270" spans="4:4" ht="17.649999999999999" x14ac:dyDescent="0.5">
      <c r="D270" s="3" t="s">
        <v>96</v>
      </c>
    </row>
    <row r="271" spans="4:4" ht="17.649999999999999" x14ac:dyDescent="0.5">
      <c r="D271" s="3" t="s">
        <v>68</v>
      </c>
    </row>
    <row r="272" spans="4:4" ht="17.649999999999999" x14ac:dyDescent="0.5">
      <c r="D272" s="3" t="s">
        <v>119</v>
      </c>
    </row>
    <row r="273" spans="4:4" ht="17.649999999999999" x14ac:dyDescent="0.5">
      <c r="D273" s="3" t="s">
        <v>81</v>
      </c>
    </row>
    <row r="274" spans="4:4" ht="17.649999999999999" x14ac:dyDescent="0.5">
      <c r="D274" s="3" t="s">
        <v>62</v>
      </c>
    </row>
    <row r="275" spans="4:4" ht="17.649999999999999" x14ac:dyDescent="0.5">
      <c r="D275" s="3" t="s">
        <v>102</v>
      </c>
    </row>
    <row r="276" spans="4:4" ht="17.649999999999999" x14ac:dyDescent="0.5">
      <c r="D276" s="3" t="s">
        <v>92</v>
      </c>
    </row>
    <row r="277" spans="4:4" ht="17.649999999999999" x14ac:dyDescent="0.5">
      <c r="D277" s="3" t="s">
        <v>43</v>
      </c>
    </row>
    <row r="278" spans="4:4" ht="17.649999999999999" x14ac:dyDescent="0.5">
      <c r="D278" s="3" t="s">
        <v>46</v>
      </c>
    </row>
    <row r="279" spans="4:4" ht="17.649999999999999" x14ac:dyDescent="0.5">
      <c r="D279" s="3" t="s">
        <v>47</v>
      </c>
    </row>
    <row r="280" spans="4:4" ht="17.649999999999999" x14ac:dyDescent="0.5">
      <c r="D280" s="3" t="s">
        <v>56</v>
      </c>
    </row>
    <row r="281" spans="4:4" ht="17.649999999999999" x14ac:dyDescent="0.5">
      <c r="D281" s="3" t="s">
        <v>54</v>
      </c>
    </row>
    <row r="282" spans="4:4" ht="17.649999999999999" x14ac:dyDescent="0.5">
      <c r="D282" s="3" t="s">
        <v>55</v>
      </c>
    </row>
    <row r="283" spans="4:4" ht="17.649999999999999" x14ac:dyDescent="0.5">
      <c r="D283" s="3" t="s">
        <v>100</v>
      </c>
    </row>
    <row r="284" spans="4:4" ht="17.649999999999999" x14ac:dyDescent="0.5">
      <c r="D284" s="3" t="s">
        <v>94</v>
      </c>
    </row>
    <row r="285" spans="4:4" ht="17.649999999999999" x14ac:dyDescent="0.5">
      <c r="D285" s="3" t="s">
        <v>124</v>
      </c>
    </row>
    <row r="286" spans="4:4" ht="17.649999999999999" x14ac:dyDescent="0.5">
      <c r="D286" s="3" t="s">
        <v>51</v>
      </c>
    </row>
    <row r="287" spans="4:4" ht="17.649999999999999" x14ac:dyDescent="0.5">
      <c r="D287" s="3" t="s">
        <v>59</v>
      </c>
    </row>
    <row r="288" spans="4:4" ht="17.649999999999999" x14ac:dyDescent="0.5">
      <c r="D288" s="3" t="s">
        <v>64</v>
      </c>
    </row>
    <row r="289" spans="4:4" ht="17.649999999999999" x14ac:dyDescent="0.5">
      <c r="D289" s="3" t="s">
        <v>56</v>
      </c>
    </row>
    <row r="290" spans="4:4" ht="17.649999999999999" x14ac:dyDescent="0.5">
      <c r="D290" s="3" t="s">
        <v>83</v>
      </c>
    </row>
    <row r="291" spans="4:4" ht="17.649999999999999" x14ac:dyDescent="0.5">
      <c r="D291" s="3" t="s">
        <v>65</v>
      </c>
    </row>
    <row r="292" spans="4:4" ht="17.649999999999999" x14ac:dyDescent="0.5">
      <c r="D292" s="3" t="s">
        <v>75</v>
      </c>
    </row>
    <row r="293" spans="4:4" ht="17.649999999999999" x14ac:dyDescent="0.5">
      <c r="D293" s="3" t="s">
        <v>121</v>
      </c>
    </row>
    <row r="294" spans="4:4" ht="17.649999999999999" x14ac:dyDescent="0.5">
      <c r="D294" s="3" t="s">
        <v>52</v>
      </c>
    </row>
    <row r="295" spans="4:4" ht="17.649999999999999" x14ac:dyDescent="0.5">
      <c r="D295" s="3" t="s">
        <v>59</v>
      </c>
    </row>
    <row r="296" spans="4:4" ht="17.649999999999999" x14ac:dyDescent="0.5">
      <c r="D296" s="3" t="s">
        <v>84</v>
      </c>
    </row>
    <row r="297" spans="4:4" ht="17.649999999999999" x14ac:dyDescent="0.5">
      <c r="D297" s="3" t="s">
        <v>135</v>
      </c>
    </row>
    <row r="298" spans="4:4" ht="17.649999999999999" x14ac:dyDescent="0.5">
      <c r="D298" s="3" t="s">
        <v>132</v>
      </c>
    </row>
    <row r="299" spans="4:4" ht="17.649999999999999" x14ac:dyDescent="0.5">
      <c r="D299" s="3" t="s">
        <v>50</v>
      </c>
    </row>
    <row r="300" spans="4:4" ht="17.649999999999999" x14ac:dyDescent="0.5">
      <c r="D300" s="3" t="s">
        <v>103</v>
      </c>
    </row>
    <row r="301" spans="4:4" ht="17.649999999999999" x14ac:dyDescent="0.5">
      <c r="D301" s="3" t="s">
        <v>100</v>
      </c>
    </row>
    <row r="302" spans="4:4" ht="17.649999999999999" x14ac:dyDescent="0.5">
      <c r="D302" s="3" t="s">
        <v>63</v>
      </c>
    </row>
    <row r="303" spans="4:4" ht="17.649999999999999" x14ac:dyDescent="0.5">
      <c r="D303" s="3" t="s">
        <v>52</v>
      </c>
    </row>
    <row r="304" spans="4:4" ht="17.649999999999999" x14ac:dyDescent="0.5">
      <c r="D304" s="3" t="s">
        <v>51</v>
      </c>
    </row>
    <row r="305" spans="4:4" ht="17.649999999999999" x14ac:dyDescent="0.5">
      <c r="D305" s="3" t="s">
        <v>129</v>
      </c>
    </row>
    <row r="306" spans="4:4" ht="17.649999999999999" x14ac:dyDescent="0.5">
      <c r="D306" s="3" t="s">
        <v>103</v>
      </c>
    </row>
    <row r="307" spans="4:4" ht="17.649999999999999" x14ac:dyDescent="0.5">
      <c r="D307" s="3" t="s">
        <v>107</v>
      </c>
    </row>
    <row r="308" spans="4:4" ht="17.649999999999999" x14ac:dyDescent="0.5">
      <c r="D308" s="3" t="s">
        <v>48</v>
      </c>
    </row>
    <row r="309" spans="4:4" ht="17.649999999999999" x14ac:dyDescent="0.5">
      <c r="D309" s="3" t="s">
        <v>66</v>
      </c>
    </row>
    <row r="310" spans="4:4" ht="17.649999999999999" x14ac:dyDescent="0.5">
      <c r="D310" s="3" t="s">
        <v>88</v>
      </c>
    </row>
    <row r="311" spans="4:4" ht="17.649999999999999" x14ac:dyDescent="0.5">
      <c r="D311" s="3" t="s">
        <v>55</v>
      </c>
    </row>
    <row r="312" spans="4:4" ht="17.649999999999999" x14ac:dyDescent="0.5">
      <c r="D312" s="3" t="s">
        <v>80</v>
      </c>
    </row>
    <row r="313" spans="4:4" ht="17.649999999999999" x14ac:dyDescent="0.5">
      <c r="D313" s="3" t="s">
        <v>96</v>
      </c>
    </row>
    <row r="314" spans="4:4" ht="17.649999999999999" x14ac:dyDescent="0.5">
      <c r="D314" s="3" t="s">
        <v>102</v>
      </c>
    </row>
    <row r="315" spans="4:4" ht="17.649999999999999" x14ac:dyDescent="0.5">
      <c r="D315" s="3" t="s">
        <v>77</v>
      </c>
    </row>
    <row r="316" spans="4:4" ht="17.649999999999999" x14ac:dyDescent="0.5">
      <c r="D316" s="3" t="s">
        <v>94</v>
      </c>
    </row>
    <row r="317" spans="4:4" ht="17.649999999999999" x14ac:dyDescent="0.5">
      <c r="D317" s="3" t="s">
        <v>56</v>
      </c>
    </row>
    <row r="318" spans="4:4" ht="17.649999999999999" x14ac:dyDescent="0.5">
      <c r="D318" s="3" t="s">
        <v>103</v>
      </c>
    </row>
    <row r="319" spans="4:4" ht="17.649999999999999" x14ac:dyDescent="0.5">
      <c r="D319" s="3" t="s">
        <v>44</v>
      </c>
    </row>
    <row r="320" spans="4:4" ht="17.649999999999999" x14ac:dyDescent="0.5">
      <c r="D320" s="3" t="s">
        <v>115</v>
      </c>
    </row>
    <row r="321" spans="4:4" ht="17.649999999999999" x14ac:dyDescent="0.5">
      <c r="D321" s="3" t="s">
        <v>105</v>
      </c>
    </row>
    <row r="322" spans="4:4" ht="17.649999999999999" x14ac:dyDescent="0.5">
      <c r="D322" s="3" t="s">
        <v>78</v>
      </c>
    </row>
    <row r="323" spans="4:4" ht="17.649999999999999" x14ac:dyDescent="0.5">
      <c r="D323" s="3" t="s">
        <v>41</v>
      </c>
    </row>
    <row r="324" spans="4:4" ht="17.649999999999999" x14ac:dyDescent="0.5">
      <c r="D324" s="3" t="s">
        <v>49</v>
      </c>
    </row>
    <row r="325" spans="4:4" ht="17.649999999999999" x14ac:dyDescent="0.5">
      <c r="D325" s="3" t="s">
        <v>89</v>
      </c>
    </row>
    <row r="326" spans="4:4" ht="17.649999999999999" x14ac:dyDescent="0.5">
      <c r="D326" s="3" t="s">
        <v>67</v>
      </c>
    </row>
    <row r="327" spans="4:4" ht="17.649999999999999" x14ac:dyDescent="0.5">
      <c r="D327" s="3" t="s">
        <v>74</v>
      </c>
    </row>
    <row r="328" spans="4:4" ht="17.649999999999999" x14ac:dyDescent="0.5">
      <c r="D328" s="3" t="s">
        <v>112</v>
      </c>
    </row>
    <row r="329" spans="4:4" ht="17.649999999999999" x14ac:dyDescent="0.5">
      <c r="D329" s="3" t="s">
        <v>97</v>
      </c>
    </row>
    <row r="330" spans="4:4" ht="17.649999999999999" x14ac:dyDescent="0.5">
      <c r="D330" s="3" t="s">
        <v>63</v>
      </c>
    </row>
    <row r="331" spans="4:4" ht="17.649999999999999" x14ac:dyDescent="0.5">
      <c r="D331" s="3" t="s">
        <v>69</v>
      </c>
    </row>
    <row r="332" spans="4:4" ht="17.649999999999999" x14ac:dyDescent="0.5">
      <c r="D332" s="3" t="s">
        <v>83</v>
      </c>
    </row>
    <row r="333" spans="4:4" ht="17.649999999999999" x14ac:dyDescent="0.5">
      <c r="D333" s="3" t="s">
        <v>101</v>
      </c>
    </row>
    <row r="334" spans="4:4" ht="17.649999999999999" x14ac:dyDescent="0.5">
      <c r="D334" s="3" t="s">
        <v>119</v>
      </c>
    </row>
    <row r="335" spans="4:4" ht="17.649999999999999" x14ac:dyDescent="0.5">
      <c r="D335" s="3" t="s">
        <v>81</v>
      </c>
    </row>
    <row r="336" spans="4:4" ht="17.649999999999999" x14ac:dyDescent="0.5">
      <c r="D336" s="3" t="s">
        <v>90</v>
      </c>
    </row>
    <row r="337" spans="4:4" ht="17.649999999999999" x14ac:dyDescent="0.5">
      <c r="D337" s="3" t="s">
        <v>105</v>
      </c>
    </row>
    <row r="338" spans="4:4" ht="17.649999999999999" x14ac:dyDescent="0.5">
      <c r="D338" s="3" t="s">
        <v>71</v>
      </c>
    </row>
    <row r="339" spans="4:4" ht="17.649999999999999" x14ac:dyDescent="0.5">
      <c r="D339" s="3" t="s">
        <v>46</v>
      </c>
    </row>
    <row r="340" spans="4:4" ht="17.649999999999999" x14ac:dyDescent="0.5">
      <c r="D340" s="3" t="s">
        <v>73</v>
      </c>
    </row>
    <row r="341" spans="4:4" ht="17.649999999999999" x14ac:dyDescent="0.5">
      <c r="D341" s="3" t="s">
        <v>83</v>
      </c>
    </row>
    <row r="342" spans="4:4" ht="17.649999999999999" x14ac:dyDescent="0.5">
      <c r="D342" s="3" t="s">
        <v>62</v>
      </c>
    </row>
    <row r="343" spans="4:4" ht="17.649999999999999" x14ac:dyDescent="0.5">
      <c r="D343" s="3" t="s">
        <v>87</v>
      </c>
    </row>
    <row r="344" spans="4:4" ht="17.649999999999999" x14ac:dyDescent="0.5">
      <c r="D344" s="3" t="s">
        <v>114</v>
      </c>
    </row>
    <row r="345" spans="4:4" ht="17.649999999999999" x14ac:dyDescent="0.5">
      <c r="D345" s="3" t="s">
        <v>133</v>
      </c>
    </row>
    <row r="346" spans="4:4" ht="17.649999999999999" x14ac:dyDescent="0.5">
      <c r="D346" s="3" t="s">
        <v>91</v>
      </c>
    </row>
    <row r="347" spans="4:4" ht="17.649999999999999" x14ac:dyDescent="0.5">
      <c r="D347" s="3" t="s">
        <v>50</v>
      </c>
    </row>
    <row r="348" spans="4:4" ht="17.649999999999999" x14ac:dyDescent="0.5">
      <c r="D348" s="3" t="s">
        <v>115</v>
      </c>
    </row>
    <row r="349" spans="4:4" ht="17.649999999999999" x14ac:dyDescent="0.5">
      <c r="D349" s="3" t="s">
        <v>103</v>
      </c>
    </row>
    <row r="350" spans="4:4" ht="17.649999999999999" x14ac:dyDescent="0.5">
      <c r="D350" s="3" t="s">
        <v>105</v>
      </c>
    </row>
    <row r="351" spans="4:4" ht="17.649999999999999" x14ac:dyDescent="0.5">
      <c r="D351" s="3" t="s">
        <v>65</v>
      </c>
    </row>
    <row r="352" spans="4:4" ht="17.649999999999999" x14ac:dyDescent="0.5">
      <c r="D352" s="3" t="s">
        <v>87</v>
      </c>
    </row>
    <row r="353" spans="4:4" ht="17.649999999999999" x14ac:dyDescent="0.5">
      <c r="D353" s="3" t="s">
        <v>98</v>
      </c>
    </row>
    <row r="354" spans="4:4" ht="17.649999999999999" x14ac:dyDescent="0.5">
      <c r="D354" s="3" t="s">
        <v>98</v>
      </c>
    </row>
    <row r="355" spans="4:4" ht="17.649999999999999" x14ac:dyDescent="0.5">
      <c r="D355" s="3" t="s">
        <v>82</v>
      </c>
    </row>
    <row r="356" spans="4:4" ht="17.649999999999999" x14ac:dyDescent="0.5">
      <c r="D356" s="3" t="s">
        <v>104</v>
      </c>
    </row>
    <row r="357" spans="4:4" ht="17.649999999999999" x14ac:dyDescent="0.5">
      <c r="D357" s="3" t="s">
        <v>106</v>
      </c>
    </row>
    <row r="358" spans="4:4" ht="17.649999999999999" x14ac:dyDescent="0.5">
      <c r="D358" s="3" t="s">
        <v>119</v>
      </c>
    </row>
    <row r="359" spans="4:4" ht="17.649999999999999" x14ac:dyDescent="0.5">
      <c r="D359" s="3" t="s">
        <v>49</v>
      </c>
    </row>
    <row r="360" spans="4:4" ht="17.649999999999999" x14ac:dyDescent="0.5">
      <c r="D360" s="3" t="s">
        <v>90</v>
      </c>
    </row>
    <row r="361" spans="4:4" ht="17.649999999999999" x14ac:dyDescent="0.5">
      <c r="D361" s="3" t="s">
        <v>67</v>
      </c>
    </row>
    <row r="362" spans="4:4" ht="17.649999999999999" x14ac:dyDescent="0.5">
      <c r="D362" s="3" t="s">
        <v>54</v>
      </c>
    </row>
    <row r="363" spans="4:4" ht="17.649999999999999" x14ac:dyDescent="0.5">
      <c r="D363" s="3" t="s">
        <v>83</v>
      </c>
    </row>
    <row r="364" spans="4:4" ht="17.649999999999999" x14ac:dyDescent="0.5">
      <c r="D364" s="3" t="s">
        <v>117</v>
      </c>
    </row>
    <row r="365" spans="4:4" ht="17.649999999999999" x14ac:dyDescent="0.5">
      <c r="D365" s="3" t="s">
        <v>56</v>
      </c>
    </row>
    <row r="366" spans="4:4" ht="17.649999999999999" x14ac:dyDescent="0.5">
      <c r="D366" s="3" t="s">
        <v>77</v>
      </c>
    </row>
    <row r="367" spans="4:4" ht="17.649999999999999" x14ac:dyDescent="0.5">
      <c r="D367" s="3" t="s">
        <v>53</v>
      </c>
    </row>
    <row r="368" spans="4:4" ht="17.649999999999999" x14ac:dyDescent="0.5">
      <c r="D368" s="3" t="s">
        <v>81</v>
      </c>
    </row>
    <row r="369" spans="4:4" ht="17.649999999999999" x14ac:dyDescent="0.5">
      <c r="D369" s="3" t="s">
        <v>100</v>
      </c>
    </row>
    <row r="370" spans="4:4" ht="17.649999999999999" x14ac:dyDescent="0.5">
      <c r="D370" s="3" t="s">
        <v>94</v>
      </c>
    </row>
    <row r="371" spans="4:4" ht="17.649999999999999" x14ac:dyDescent="0.5">
      <c r="D371" s="3" t="s">
        <v>54</v>
      </c>
    </row>
    <row r="372" spans="4:4" ht="17.649999999999999" x14ac:dyDescent="0.5">
      <c r="D372" s="3" t="s">
        <v>51</v>
      </c>
    </row>
    <row r="373" spans="4:4" ht="17.649999999999999" x14ac:dyDescent="0.5">
      <c r="D373" s="3" t="s">
        <v>46</v>
      </c>
    </row>
    <row r="374" spans="4:4" ht="17.649999999999999" x14ac:dyDescent="0.5">
      <c r="D374" s="3" t="s">
        <v>93</v>
      </c>
    </row>
    <row r="375" spans="4:4" ht="17.649999999999999" x14ac:dyDescent="0.5">
      <c r="D375" s="3" t="s">
        <v>44</v>
      </c>
    </row>
    <row r="376" spans="4:4" ht="17.649999999999999" x14ac:dyDescent="0.5">
      <c r="D376" s="3" t="s">
        <v>52</v>
      </c>
    </row>
    <row r="377" spans="4:4" ht="17.649999999999999" x14ac:dyDescent="0.5">
      <c r="D377" s="3" t="s">
        <v>83</v>
      </c>
    </row>
    <row r="378" spans="4:4" ht="17.649999999999999" x14ac:dyDescent="0.5">
      <c r="D378" s="3" t="s">
        <v>64</v>
      </c>
    </row>
    <row r="379" spans="4:4" ht="17.649999999999999" x14ac:dyDescent="0.5">
      <c r="D379" s="3" t="s">
        <v>61</v>
      </c>
    </row>
    <row r="380" spans="4:4" ht="17.649999999999999" x14ac:dyDescent="0.5">
      <c r="D380" s="3" t="s">
        <v>42</v>
      </c>
    </row>
    <row r="381" spans="4:4" ht="17.649999999999999" x14ac:dyDescent="0.5">
      <c r="D381" s="3" t="s">
        <v>77</v>
      </c>
    </row>
    <row r="382" spans="4:4" ht="17.649999999999999" x14ac:dyDescent="0.5">
      <c r="D382" s="3" t="s">
        <v>129</v>
      </c>
    </row>
    <row r="383" spans="4:4" ht="17.649999999999999" x14ac:dyDescent="0.5">
      <c r="D383" s="3" t="s">
        <v>92</v>
      </c>
    </row>
    <row r="384" spans="4:4" ht="17.649999999999999" x14ac:dyDescent="0.5">
      <c r="D384" s="3" t="s">
        <v>87</v>
      </c>
    </row>
    <row r="385" spans="4:4" ht="17.649999999999999" x14ac:dyDescent="0.5">
      <c r="D385" s="3" t="s">
        <v>73</v>
      </c>
    </row>
    <row r="386" spans="4:4" ht="17.649999999999999" x14ac:dyDescent="0.5">
      <c r="D386" s="3" t="s">
        <v>67</v>
      </c>
    </row>
    <row r="387" spans="4:4" ht="17.649999999999999" x14ac:dyDescent="0.5">
      <c r="D387" s="3" t="s">
        <v>126</v>
      </c>
    </row>
    <row r="388" spans="4:4" ht="17.649999999999999" x14ac:dyDescent="0.5">
      <c r="D388" s="3" t="s">
        <v>95</v>
      </c>
    </row>
    <row r="389" spans="4:4" ht="17.649999999999999" x14ac:dyDescent="0.5">
      <c r="D389" s="3" t="s">
        <v>63</v>
      </c>
    </row>
    <row r="390" spans="4:4" ht="17.649999999999999" x14ac:dyDescent="0.5">
      <c r="D390" s="3" t="s">
        <v>68</v>
      </c>
    </row>
    <row r="391" spans="4:4" ht="17.649999999999999" x14ac:dyDescent="0.5">
      <c r="D391" s="3" t="s">
        <v>46</v>
      </c>
    </row>
    <row r="392" spans="4:4" ht="17.649999999999999" x14ac:dyDescent="0.5">
      <c r="D392" s="3" t="s">
        <v>49</v>
      </c>
    </row>
    <row r="393" spans="4:4" ht="17.649999999999999" x14ac:dyDescent="0.5">
      <c r="D393" s="3" t="s">
        <v>64</v>
      </c>
    </row>
    <row r="394" spans="4:4" ht="17.649999999999999" x14ac:dyDescent="0.5">
      <c r="D394" s="3" t="s">
        <v>130</v>
      </c>
    </row>
    <row r="395" spans="4:4" ht="17.649999999999999" x14ac:dyDescent="0.5">
      <c r="D395" s="3" t="s">
        <v>95</v>
      </c>
    </row>
    <row r="396" spans="4:4" ht="17.649999999999999" x14ac:dyDescent="0.5">
      <c r="D396" s="3" t="s">
        <v>72</v>
      </c>
    </row>
    <row r="397" spans="4:4" ht="17.649999999999999" x14ac:dyDescent="0.5">
      <c r="D397" s="3" t="s">
        <v>136</v>
      </c>
    </row>
    <row r="398" spans="4:4" ht="17.649999999999999" x14ac:dyDescent="0.5">
      <c r="D398" s="3" t="s">
        <v>51</v>
      </c>
    </row>
    <row r="399" spans="4:4" ht="17.649999999999999" x14ac:dyDescent="0.5">
      <c r="D399" s="3" t="s">
        <v>71</v>
      </c>
    </row>
    <row r="400" spans="4:4" ht="17.649999999999999" x14ac:dyDescent="0.5">
      <c r="D400" s="3" t="s">
        <v>41</v>
      </c>
    </row>
    <row r="401" spans="4:4" ht="17.649999999999999" x14ac:dyDescent="0.5">
      <c r="D401" s="3" t="s">
        <v>71</v>
      </c>
    </row>
    <row r="402" spans="4:4" ht="17.649999999999999" x14ac:dyDescent="0.5">
      <c r="D402" s="3" t="s">
        <v>87</v>
      </c>
    </row>
    <row r="403" spans="4:4" ht="17.649999999999999" x14ac:dyDescent="0.5">
      <c r="D403" s="3" t="s">
        <v>86</v>
      </c>
    </row>
    <row r="404" spans="4:4" ht="17.649999999999999" x14ac:dyDescent="0.5">
      <c r="D404" s="3" t="s">
        <v>43</v>
      </c>
    </row>
    <row r="405" spans="4:4" ht="17.649999999999999" x14ac:dyDescent="0.5">
      <c r="D405" s="3" t="s">
        <v>117</v>
      </c>
    </row>
    <row r="406" spans="4:4" ht="17.649999999999999" x14ac:dyDescent="0.5">
      <c r="D406" s="3" t="s">
        <v>59</v>
      </c>
    </row>
    <row r="407" spans="4:4" ht="17.649999999999999" x14ac:dyDescent="0.5">
      <c r="D407" s="3" t="s">
        <v>78</v>
      </c>
    </row>
    <row r="408" spans="4:4" ht="17.649999999999999" x14ac:dyDescent="0.5">
      <c r="D408" s="3" t="s">
        <v>112</v>
      </c>
    </row>
    <row r="409" spans="4:4" ht="17.649999999999999" x14ac:dyDescent="0.5">
      <c r="D409" s="3" t="s">
        <v>98</v>
      </c>
    </row>
    <row r="410" spans="4:4" ht="17.649999999999999" x14ac:dyDescent="0.5">
      <c r="D410" s="3" t="s">
        <v>80</v>
      </c>
    </row>
    <row r="411" spans="4:4" ht="17.649999999999999" x14ac:dyDescent="0.5">
      <c r="D411" s="3" t="s">
        <v>101</v>
      </c>
    </row>
    <row r="412" spans="4:4" ht="17.649999999999999" x14ac:dyDescent="0.5">
      <c r="D412" s="3" t="s">
        <v>83</v>
      </c>
    </row>
    <row r="413" spans="4:4" ht="17.649999999999999" x14ac:dyDescent="0.5">
      <c r="D413" s="3" t="s">
        <v>59</v>
      </c>
    </row>
    <row r="414" spans="4:4" ht="17.649999999999999" x14ac:dyDescent="0.5">
      <c r="D414" s="3" t="s">
        <v>81</v>
      </c>
    </row>
    <row r="415" spans="4:4" ht="17.649999999999999" x14ac:dyDescent="0.5">
      <c r="D415" s="3" t="s">
        <v>54</v>
      </c>
    </row>
    <row r="416" spans="4:4" ht="17.649999999999999" x14ac:dyDescent="0.5">
      <c r="D416" s="3" t="s">
        <v>109</v>
      </c>
    </row>
    <row r="417" spans="4:4" ht="17.649999999999999" x14ac:dyDescent="0.5">
      <c r="D417" s="3" t="s">
        <v>86</v>
      </c>
    </row>
    <row r="418" spans="4:4" ht="17.649999999999999" x14ac:dyDescent="0.5">
      <c r="D418" s="3" t="s">
        <v>88</v>
      </c>
    </row>
    <row r="419" spans="4:4" ht="17.649999999999999" x14ac:dyDescent="0.5">
      <c r="D419" s="3" t="s">
        <v>78</v>
      </c>
    </row>
    <row r="420" spans="4:4" ht="17.649999999999999" x14ac:dyDescent="0.5">
      <c r="D420" s="3" t="s">
        <v>103</v>
      </c>
    </row>
    <row r="421" spans="4:4" ht="17.649999999999999" x14ac:dyDescent="0.5">
      <c r="D421" s="3" t="s">
        <v>97</v>
      </c>
    </row>
    <row r="422" spans="4:4" ht="17.649999999999999" x14ac:dyDescent="0.5">
      <c r="D422" s="3" t="s">
        <v>69</v>
      </c>
    </row>
    <row r="423" spans="4:4" ht="17.649999999999999" x14ac:dyDescent="0.5">
      <c r="D423" s="3" t="s">
        <v>94</v>
      </c>
    </row>
    <row r="424" spans="4:4" ht="17.649999999999999" x14ac:dyDescent="0.5">
      <c r="D424" s="3" t="s">
        <v>74</v>
      </c>
    </row>
    <row r="425" spans="4:4" ht="17.649999999999999" x14ac:dyDescent="0.5">
      <c r="D425" s="3" t="s">
        <v>60</v>
      </c>
    </row>
    <row r="426" spans="4:4" ht="17.649999999999999" x14ac:dyDescent="0.5">
      <c r="D426" s="3" t="s">
        <v>134</v>
      </c>
    </row>
    <row r="427" spans="4:4" ht="17.649999999999999" x14ac:dyDescent="0.5">
      <c r="D427" s="3" t="s">
        <v>75</v>
      </c>
    </row>
    <row r="428" spans="4:4" ht="17.649999999999999" x14ac:dyDescent="0.5">
      <c r="D428" s="3" t="s">
        <v>59</v>
      </c>
    </row>
    <row r="429" spans="4:4" ht="17.649999999999999" x14ac:dyDescent="0.5">
      <c r="D429" s="3" t="s">
        <v>90</v>
      </c>
    </row>
    <row r="430" spans="4:4" ht="17.649999999999999" x14ac:dyDescent="0.5">
      <c r="D430" s="3" t="s">
        <v>119</v>
      </c>
    </row>
    <row r="431" spans="4:4" ht="17.649999999999999" x14ac:dyDescent="0.5">
      <c r="D431" s="3" t="s">
        <v>50</v>
      </c>
    </row>
    <row r="432" spans="4:4" ht="17.649999999999999" x14ac:dyDescent="0.5">
      <c r="D432" s="3" t="s">
        <v>107</v>
      </c>
    </row>
    <row r="433" spans="4:4" ht="17.649999999999999" x14ac:dyDescent="0.5">
      <c r="D433" s="3" t="s">
        <v>57</v>
      </c>
    </row>
    <row r="434" spans="4:4" ht="17.649999999999999" x14ac:dyDescent="0.5">
      <c r="D434" s="3" t="s">
        <v>67</v>
      </c>
    </row>
    <row r="435" spans="4:4" ht="17.649999999999999" x14ac:dyDescent="0.5">
      <c r="D435" s="3" t="s">
        <v>64</v>
      </c>
    </row>
    <row r="436" spans="4:4" ht="17.649999999999999" x14ac:dyDescent="0.5">
      <c r="D436" s="3" t="s">
        <v>134</v>
      </c>
    </row>
    <row r="437" spans="4:4" ht="17.649999999999999" x14ac:dyDescent="0.5">
      <c r="D437" s="3" t="s">
        <v>96</v>
      </c>
    </row>
    <row r="438" spans="4:4" ht="17.649999999999999" x14ac:dyDescent="0.5">
      <c r="D438" s="3" t="s">
        <v>103</v>
      </c>
    </row>
    <row r="439" spans="4:4" ht="17.649999999999999" x14ac:dyDescent="0.5">
      <c r="D439" s="3" t="s">
        <v>96</v>
      </c>
    </row>
    <row r="440" spans="4:4" ht="17.649999999999999" x14ac:dyDescent="0.5">
      <c r="D440" s="3" t="s">
        <v>56</v>
      </c>
    </row>
    <row r="441" spans="4:4" ht="17.649999999999999" x14ac:dyDescent="0.5">
      <c r="D441" s="3" t="s">
        <v>94</v>
      </c>
    </row>
    <row r="442" spans="4:4" ht="17.649999999999999" x14ac:dyDescent="0.5">
      <c r="D442" s="3" t="s">
        <v>90</v>
      </c>
    </row>
    <row r="443" spans="4:4" ht="17.649999999999999" x14ac:dyDescent="0.5">
      <c r="D443" s="3" t="s">
        <v>125</v>
      </c>
    </row>
    <row r="444" spans="4:4" ht="17.649999999999999" x14ac:dyDescent="0.5">
      <c r="D444" s="3" t="s">
        <v>92</v>
      </c>
    </row>
    <row r="445" spans="4:4" ht="17.649999999999999" x14ac:dyDescent="0.5">
      <c r="D445" s="3" t="s">
        <v>47</v>
      </c>
    </row>
    <row r="446" spans="4:4" ht="17.649999999999999" x14ac:dyDescent="0.5">
      <c r="D446" s="3" t="s">
        <v>135</v>
      </c>
    </row>
    <row r="447" spans="4:4" ht="17.649999999999999" x14ac:dyDescent="0.5">
      <c r="D447" s="3" t="s">
        <v>43</v>
      </c>
    </row>
    <row r="448" spans="4:4" ht="17.649999999999999" x14ac:dyDescent="0.5">
      <c r="D448" s="3" t="s">
        <v>44</v>
      </c>
    </row>
    <row r="449" spans="4:4" ht="17.649999999999999" x14ac:dyDescent="0.5">
      <c r="D449" s="3" t="s">
        <v>99</v>
      </c>
    </row>
    <row r="450" spans="4:4" ht="17.649999999999999" x14ac:dyDescent="0.5">
      <c r="D450" s="3" t="s">
        <v>101</v>
      </c>
    </row>
    <row r="451" spans="4:4" ht="17.649999999999999" x14ac:dyDescent="0.5">
      <c r="D451" s="3" t="s">
        <v>69</v>
      </c>
    </row>
    <row r="452" spans="4:4" ht="17.649999999999999" x14ac:dyDescent="0.5">
      <c r="D452" s="3" t="s">
        <v>77</v>
      </c>
    </row>
    <row r="453" spans="4:4" ht="17.649999999999999" x14ac:dyDescent="0.5">
      <c r="D453" s="3" t="s">
        <v>65</v>
      </c>
    </row>
    <row r="454" spans="4:4" ht="17.649999999999999" x14ac:dyDescent="0.5">
      <c r="D454" s="3" t="s">
        <v>80</v>
      </c>
    </row>
    <row r="455" spans="4:4" ht="17.649999999999999" x14ac:dyDescent="0.5">
      <c r="D455" s="3" t="s">
        <v>48</v>
      </c>
    </row>
    <row r="456" spans="4:4" ht="17.649999999999999" x14ac:dyDescent="0.5">
      <c r="D456" s="3" t="s">
        <v>53</v>
      </c>
    </row>
    <row r="457" spans="4:4" ht="17.649999999999999" x14ac:dyDescent="0.5">
      <c r="D457" s="3" t="s">
        <v>96</v>
      </c>
    </row>
    <row r="458" spans="4:4" ht="17.649999999999999" x14ac:dyDescent="0.5">
      <c r="D458" s="3" t="s">
        <v>55</v>
      </c>
    </row>
    <row r="459" spans="4:4" ht="17.649999999999999" x14ac:dyDescent="0.5">
      <c r="D459" s="3" t="s">
        <v>123</v>
      </c>
    </row>
    <row r="460" spans="4:4" ht="17.649999999999999" x14ac:dyDescent="0.5">
      <c r="D460" s="3" t="s">
        <v>87</v>
      </c>
    </row>
    <row r="461" spans="4:4" ht="17.649999999999999" x14ac:dyDescent="0.5">
      <c r="D461" s="3" t="s">
        <v>53</v>
      </c>
    </row>
    <row r="462" spans="4:4" ht="17.649999999999999" x14ac:dyDescent="0.5">
      <c r="D462" s="3" t="s">
        <v>99</v>
      </c>
    </row>
    <row r="463" spans="4:4" ht="17.649999999999999" x14ac:dyDescent="0.5">
      <c r="D463" s="3" t="s">
        <v>78</v>
      </c>
    </row>
    <row r="464" spans="4:4" ht="17.649999999999999" x14ac:dyDescent="0.5">
      <c r="D464" s="3" t="s">
        <v>105</v>
      </c>
    </row>
    <row r="465" spans="4:4" ht="17.649999999999999" x14ac:dyDescent="0.5">
      <c r="D465" s="3" t="s">
        <v>80</v>
      </c>
    </row>
    <row r="466" spans="4:4" ht="17.649999999999999" x14ac:dyDescent="0.5">
      <c r="D466" s="3" t="s">
        <v>115</v>
      </c>
    </row>
    <row r="467" spans="4:4" ht="17.649999999999999" x14ac:dyDescent="0.5">
      <c r="D467" s="3" t="s">
        <v>88</v>
      </c>
    </row>
    <row r="468" spans="4:4" ht="17.649999999999999" x14ac:dyDescent="0.5">
      <c r="D468" s="3" t="s">
        <v>62</v>
      </c>
    </row>
    <row r="469" spans="4:4" ht="17.649999999999999" x14ac:dyDescent="0.5">
      <c r="D469" s="3" t="s">
        <v>42</v>
      </c>
    </row>
    <row r="470" spans="4:4" ht="17.649999999999999" x14ac:dyDescent="0.5">
      <c r="D470" s="3" t="s">
        <v>75</v>
      </c>
    </row>
    <row r="471" spans="4:4" ht="17.649999999999999" x14ac:dyDescent="0.5">
      <c r="D471" s="3" t="s">
        <v>57</v>
      </c>
    </row>
    <row r="472" spans="4:4" ht="17.649999999999999" x14ac:dyDescent="0.5">
      <c r="D472" s="3" t="s">
        <v>121</v>
      </c>
    </row>
    <row r="473" spans="4:4" ht="17.649999999999999" x14ac:dyDescent="0.5">
      <c r="D473" s="3" t="s">
        <v>130</v>
      </c>
    </row>
    <row r="474" spans="4:4" ht="17.649999999999999" x14ac:dyDescent="0.5">
      <c r="D474" s="3" t="s">
        <v>98</v>
      </c>
    </row>
    <row r="475" spans="4:4" ht="17.649999999999999" x14ac:dyDescent="0.5">
      <c r="D475" s="3" t="s">
        <v>67</v>
      </c>
    </row>
    <row r="476" spans="4:4" ht="17.649999999999999" x14ac:dyDescent="0.5">
      <c r="D476" s="3" t="s">
        <v>66</v>
      </c>
    </row>
    <row r="477" spans="4:4" ht="17.649999999999999" x14ac:dyDescent="0.5">
      <c r="D477" s="3" t="s">
        <v>64</v>
      </c>
    </row>
    <row r="478" spans="4:4" ht="17.649999999999999" x14ac:dyDescent="0.5">
      <c r="D478" s="3" t="s">
        <v>78</v>
      </c>
    </row>
    <row r="479" spans="4:4" ht="17.649999999999999" x14ac:dyDescent="0.5">
      <c r="D479" s="3" t="s">
        <v>57</v>
      </c>
    </row>
    <row r="480" spans="4:4" ht="17.649999999999999" x14ac:dyDescent="0.5">
      <c r="D480" s="3" t="s">
        <v>58</v>
      </c>
    </row>
    <row r="481" spans="4:4" ht="17.649999999999999" x14ac:dyDescent="0.5">
      <c r="D481" s="3" t="s">
        <v>72</v>
      </c>
    </row>
    <row r="482" spans="4:4" ht="17.649999999999999" x14ac:dyDescent="0.5">
      <c r="D482" s="3" t="s">
        <v>115</v>
      </c>
    </row>
    <row r="483" spans="4:4" ht="17.649999999999999" x14ac:dyDescent="0.5">
      <c r="D483" s="3" t="s">
        <v>42</v>
      </c>
    </row>
    <row r="484" spans="4:4" ht="17.649999999999999" x14ac:dyDescent="0.5">
      <c r="D484" s="3" t="s">
        <v>63</v>
      </c>
    </row>
    <row r="485" spans="4:4" ht="17.649999999999999" x14ac:dyDescent="0.5">
      <c r="D485" s="3" t="s">
        <v>84</v>
      </c>
    </row>
    <row r="486" spans="4:4" ht="17.649999999999999" x14ac:dyDescent="0.5">
      <c r="D486" s="3" t="s">
        <v>61</v>
      </c>
    </row>
    <row r="487" spans="4:4" ht="17.649999999999999" x14ac:dyDescent="0.5">
      <c r="D487" s="3" t="s">
        <v>46</v>
      </c>
    </row>
    <row r="488" spans="4:4" ht="17.649999999999999" x14ac:dyDescent="0.5">
      <c r="D488" s="3" t="s">
        <v>62</v>
      </c>
    </row>
    <row r="489" spans="4:4" ht="17.649999999999999" x14ac:dyDescent="0.5">
      <c r="D489" s="3" t="s">
        <v>59</v>
      </c>
    </row>
    <row r="490" spans="4:4" ht="17.649999999999999" x14ac:dyDescent="0.5">
      <c r="D490" s="3" t="s">
        <v>77</v>
      </c>
    </row>
    <row r="491" spans="4:4" ht="17.649999999999999" x14ac:dyDescent="0.5">
      <c r="D491" s="3" t="s">
        <v>44</v>
      </c>
    </row>
    <row r="492" spans="4:4" ht="17.649999999999999" x14ac:dyDescent="0.5">
      <c r="D492" s="3" t="s">
        <v>50</v>
      </c>
    </row>
    <row r="493" spans="4:4" ht="17.649999999999999" x14ac:dyDescent="0.5">
      <c r="D493" s="3" t="s">
        <v>54</v>
      </c>
    </row>
    <row r="494" spans="4:4" ht="17.649999999999999" x14ac:dyDescent="0.5">
      <c r="D494" s="3" t="s">
        <v>78</v>
      </c>
    </row>
    <row r="495" spans="4:4" ht="17.649999999999999" x14ac:dyDescent="0.5">
      <c r="D495" s="3" t="s">
        <v>80</v>
      </c>
    </row>
    <row r="496" spans="4:4" ht="17.649999999999999" x14ac:dyDescent="0.5">
      <c r="D496" s="3" t="s">
        <v>84</v>
      </c>
    </row>
    <row r="497" spans="4:4" ht="17.649999999999999" x14ac:dyDescent="0.5">
      <c r="D497" s="3" t="s">
        <v>82</v>
      </c>
    </row>
    <row r="498" spans="4:4" ht="17.649999999999999" x14ac:dyDescent="0.5">
      <c r="D498" s="3" t="s">
        <v>61</v>
      </c>
    </row>
    <row r="499" spans="4:4" ht="17.649999999999999" x14ac:dyDescent="0.5">
      <c r="D499" s="3" t="s">
        <v>62</v>
      </c>
    </row>
    <row r="500" spans="4:4" ht="17.649999999999999" x14ac:dyDescent="0.5">
      <c r="D500" s="3" t="s">
        <v>74</v>
      </c>
    </row>
    <row r="501" spans="4:4" ht="17.649999999999999" x14ac:dyDescent="0.5">
      <c r="D501" s="3" t="s">
        <v>41</v>
      </c>
    </row>
    <row r="502" spans="4:4" ht="17.649999999999999" x14ac:dyDescent="0.5">
      <c r="D502" s="3" t="s">
        <v>84</v>
      </c>
    </row>
    <row r="503" spans="4:4" ht="17.649999999999999" x14ac:dyDescent="0.5">
      <c r="D503" s="3" t="s">
        <v>68</v>
      </c>
    </row>
    <row r="504" spans="4:4" ht="17.649999999999999" x14ac:dyDescent="0.5">
      <c r="D504" s="3" t="s">
        <v>92</v>
      </c>
    </row>
    <row r="505" spans="4:4" ht="17.649999999999999" x14ac:dyDescent="0.5">
      <c r="D505" s="3" t="s">
        <v>43</v>
      </c>
    </row>
    <row r="506" spans="4:4" ht="17.649999999999999" x14ac:dyDescent="0.5">
      <c r="D506" s="3" t="s">
        <v>76</v>
      </c>
    </row>
    <row r="507" spans="4:4" ht="17.649999999999999" x14ac:dyDescent="0.5">
      <c r="D507" s="3" t="s">
        <v>81</v>
      </c>
    </row>
    <row r="508" spans="4:4" ht="17.649999999999999" x14ac:dyDescent="0.5">
      <c r="D508" s="3" t="s">
        <v>92</v>
      </c>
    </row>
    <row r="509" spans="4:4" ht="17.649999999999999" x14ac:dyDescent="0.5">
      <c r="D509" s="3" t="s">
        <v>47</v>
      </c>
    </row>
    <row r="510" spans="4:4" ht="17.649999999999999" x14ac:dyDescent="0.5">
      <c r="D510" s="3" t="s">
        <v>75</v>
      </c>
    </row>
    <row r="511" spans="4:4" ht="17.649999999999999" x14ac:dyDescent="0.5">
      <c r="D511" s="3" t="s">
        <v>60</v>
      </c>
    </row>
    <row r="512" spans="4:4" ht="17.649999999999999" x14ac:dyDescent="0.5">
      <c r="D512" s="3" t="s">
        <v>44</v>
      </c>
    </row>
    <row r="513" spans="4:4" ht="17.649999999999999" x14ac:dyDescent="0.5">
      <c r="D513" s="3" t="s">
        <v>84</v>
      </c>
    </row>
    <row r="514" spans="4:4" ht="17.649999999999999" x14ac:dyDescent="0.5">
      <c r="D514" s="3" t="s">
        <v>78</v>
      </c>
    </row>
    <row r="515" spans="4:4" ht="17.649999999999999" x14ac:dyDescent="0.5">
      <c r="D515" s="3" t="s">
        <v>47</v>
      </c>
    </row>
    <row r="516" spans="4:4" ht="17.649999999999999" x14ac:dyDescent="0.5">
      <c r="D516" s="3" t="s">
        <v>81</v>
      </c>
    </row>
    <row r="517" spans="4:4" ht="17.649999999999999" x14ac:dyDescent="0.5">
      <c r="D517" s="3" t="s">
        <v>52</v>
      </c>
    </row>
    <row r="518" spans="4:4" ht="17.649999999999999" x14ac:dyDescent="0.5">
      <c r="D518" s="3" t="s">
        <v>117</v>
      </c>
    </row>
    <row r="519" spans="4:4" ht="17.649999999999999" x14ac:dyDescent="0.5">
      <c r="D519" s="3" t="s">
        <v>63</v>
      </c>
    </row>
    <row r="520" spans="4:4" ht="17.649999999999999" x14ac:dyDescent="0.5">
      <c r="D520" s="3" t="s">
        <v>81</v>
      </c>
    </row>
    <row r="521" spans="4:4" ht="17.649999999999999" x14ac:dyDescent="0.5">
      <c r="D521" s="3" t="s">
        <v>128</v>
      </c>
    </row>
    <row r="522" spans="4:4" ht="17.649999999999999" x14ac:dyDescent="0.5">
      <c r="D522" s="3" t="s">
        <v>51</v>
      </c>
    </row>
    <row r="523" spans="4:4" ht="17.649999999999999" x14ac:dyDescent="0.5">
      <c r="D523" s="3" t="s">
        <v>79</v>
      </c>
    </row>
    <row r="524" spans="4:4" ht="17.649999999999999" x14ac:dyDescent="0.5">
      <c r="D524" s="3" t="s">
        <v>41</v>
      </c>
    </row>
    <row r="525" spans="4:4" ht="17.649999999999999" x14ac:dyDescent="0.5">
      <c r="D525" s="3" t="s">
        <v>126</v>
      </c>
    </row>
    <row r="526" spans="4:4" ht="17.649999999999999" x14ac:dyDescent="0.5">
      <c r="D526" s="3" t="s">
        <v>105</v>
      </c>
    </row>
    <row r="527" spans="4:4" ht="17.649999999999999" x14ac:dyDescent="0.5">
      <c r="D527" s="3" t="s">
        <v>113</v>
      </c>
    </row>
    <row r="528" spans="4:4" ht="17.649999999999999" x14ac:dyDescent="0.5">
      <c r="D528" s="3" t="s">
        <v>92</v>
      </c>
    </row>
    <row r="529" spans="4:4" ht="17.649999999999999" x14ac:dyDescent="0.5">
      <c r="D529" s="3" t="s">
        <v>133</v>
      </c>
    </row>
    <row r="530" spans="4:4" ht="17.649999999999999" x14ac:dyDescent="0.5">
      <c r="D530" s="3" t="s">
        <v>69</v>
      </c>
    </row>
    <row r="531" spans="4:4" ht="17.649999999999999" x14ac:dyDescent="0.5">
      <c r="D531" s="3" t="s">
        <v>68</v>
      </c>
    </row>
    <row r="532" spans="4:4" ht="17.649999999999999" x14ac:dyDescent="0.5">
      <c r="D532" s="3" t="s">
        <v>107</v>
      </c>
    </row>
    <row r="533" spans="4:4" ht="17.649999999999999" x14ac:dyDescent="0.5">
      <c r="D533" s="3" t="s">
        <v>56</v>
      </c>
    </row>
    <row r="534" spans="4:4" ht="17.649999999999999" x14ac:dyDescent="0.5">
      <c r="D534" s="3" t="s">
        <v>83</v>
      </c>
    </row>
    <row r="535" spans="4:4" ht="17.649999999999999" x14ac:dyDescent="0.5">
      <c r="D535" s="3" t="s">
        <v>115</v>
      </c>
    </row>
    <row r="536" spans="4:4" ht="17.649999999999999" x14ac:dyDescent="0.5">
      <c r="D536" s="3" t="s">
        <v>102</v>
      </c>
    </row>
    <row r="537" spans="4:4" ht="17.649999999999999" x14ac:dyDescent="0.5">
      <c r="D537" s="3" t="s">
        <v>74</v>
      </c>
    </row>
    <row r="538" spans="4:4" ht="17.649999999999999" x14ac:dyDescent="0.5">
      <c r="D538" s="3" t="s">
        <v>112</v>
      </c>
    </row>
    <row r="539" spans="4:4" ht="17.649999999999999" x14ac:dyDescent="0.5">
      <c r="D539" s="3" t="s">
        <v>103</v>
      </c>
    </row>
    <row r="540" spans="4:4" ht="17.649999999999999" x14ac:dyDescent="0.5">
      <c r="D540" s="3" t="s">
        <v>85</v>
      </c>
    </row>
    <row r="541" spans="4:4" ht="17.649999999999999" x14ac:dyDescent="0.5">
      <c r="D541" s="3" t="s">
        <v>48</v>
      </c>
    </row>
    <row r="542" spans="4:4" ht="17.649999999999999" x14ac:dyDescent="0.5">
      <c r="D542" s="3" t="s">
        <v>64</v>
      </c>
    </row>
    <row r="543" spans="4:4" ht="17.649999999999999" x14ac:dyDescent="0.5">
      <c r="D543" s="3" t="s">
        <v>61</v>
      </c>
    </row>
    <row r="544" spans="4:4" ht="17.649999999999999" x14ac:dyDescent="0.5">
      <c r="D544" s="3" t="s">
        <v>65</v>
      </c>
    </row>
    <row r="545" spans="4:4" ht="17.649999999999999" x14ac:dyDescent="0.5">
      <c r="D545" s="3" t="s">
        <v>52</v>
      </c>
    </row>
    <row r="546" spans="4:4" ht="17.649999999999999" x14ac:dyDescent="0.5">
      <c r="D546" s="3" t="s">
        <v>60</v>
      </c>
    </row>
    <row r="547" spans="4:4" ht="17.649999999999999" x14ac:dyDescent="0.5">
      <c r="D547" s="3" t="s">
        <v>80</v>
      </c>
    </row>
    <row r="548" spans="4:4" ht="17.649999999999999" x14ac:dyDescent="0.5">
      <c r="D548" s="3" t="s">
        <v>112</v>
      </c>
    </row>
    <row r="549" spans="4:4" ht="17.649999999999999" x14ac:dyDescent="0.5">
      <c r="D549" s="3" t="s">
        <v>69</v>
      </c>
    </row>
    <row r="550" spans="4:4" ht="17.649999999999999" x14ac:dyDescent="0.5">
      <c r="D550" s="3" t="s">
        <v>103</v>
      </c>
    </row>
    <row r="551" spans="4:4" ht="17.649999999999999" x14ac:dyDescent="0.5">
      <c r="D551" s="3" t="s">
        <v>51</v>
      </c>
    </row>
    <row r="552" spans="4:4" ht="17.649999999999999" x14ac:dyDescent="0.5">
      <c r="D552" s="3" t="s">
        <v>117</v>
      </c>
    </row>
    <row r="553" spans="4:4" ht="17.649999999999999" x14ac:dyDescent="0.5">
      <c r="D553" s="3" t="s">
        <v>103</v>
      </c>
    </row>
    <row r="554" spans="4:4" ht="17.649999999999999" x14ac:dyDescent="0.5">
      <c r="D554" s="3" t="s">
        <v>117</v>
      </c>
    </row>
    <row r="555" spans="4:4" ht="17.649999999999999" x14ac:dyDescent="0.5">
      <c r="D555" s="3" t="s">
        <v>125</v>
      </c>
    </row>
    <row r="556" spans="4:4" ht="17.649999999999999" x14ac:dyDescent="0.5">
      <c r="D556" s="3" t="s">
        <v>59</v>
      </c>
    </row>
    <row r="557" spans="4:4" ht="17.649999999999999" x14ac:dyDescent="0.5">
      <c r="D557" s="3" t="s">
        <v>78</v>
      </c>
    </row>
    <row r="558" spans="4:4" ht="17.649999999999999" x14ac:dyDescent="0.5">
      <c r="D558" s="3" t="s">
        <v>50</v>
      </c>
    </row>
    <row r="559" spans="4:4" ht="17.649999999999999" x14ac:dyDescent="0.5">
      <c r="D559" s="3" t="s">
        <v>99</v>
      </c>
    </row>
    <row r="560" spans="4:4" ht="17.649999999999999" x14ac:dyDescent="0.5">
      <c r="D560" s="3" t="s">
        <v>44</v>
      </c>
    </row>
    <row r="561" spans="4:4" ht="17.649999999999999" x14ac:dyDescent="0.5">
      <c r="D561" s="3" t="s">
        <v>87</v>
      </c>
    </row>
    <row r="562" spans="4:4" ht="17.649999999999999" x14ac:dyDescent="0.5">
      <c r="D562" s="3" t="s">
        <v>50</v>
      </c>
    </row>
    <row r="563" spans="4:4" ht="17.649999999999999" x14ac:dyDescent="0.5">
      <c r="D563" s="3" t="s">
        <v>54</v>
      </c>
    </row>
    <row r="564" spans="4:4" ht="17.649999999999999" x14ac:dyDescent="0.5">
      <c r="D564" s="3" t="s">
        <v>93</v>
      </c>
    </row>
    <row r="565" spans="4:4" ht="17.649999999999999" x14ac:dyDescent="0.5">
      <c r="D565" s="3" t="s">
        <v>104</v>
      </c>
    </row>
    <row r="566" spans="4:4" ht="17.649999999999999" x14ac:dyDescent="0.5">
      <c r="D566" s="3" t="s">
        <v>91</v>
      </c>
    </row>
    <row r="567" spans="4:4" ht="17.649999999999999" x14ac:dyDescent="0.5">
      <c r="D567" s="3" t="s">
        <v>41</v>
      </c>
    </row>
    <row r="568" spans="4:4" ht="17.649999999999999" x14ac:dyDescent="0.5">
      <c r="D568" s="3" t="s">
        <v>73</v>
      </c>
    </row>
    <row r="569" spans="4:4" ht="17.649999999999999" x14ac:dyDescent="0.5">
      <c r="D569" s="3" t="s">
        <v>59</v>
      </c>
    </row>
    <row r="570" spans="4:4" ht="17.649999999999999" x14ac:dyDescent="0.5">
      <c r="D570" s="3" t="s">
        <v>86</v>
      </c>
    </row>
    <row r="571" spans="4:4" ht="17.649999999999999" x14ac:dyDescent="0.5">
      <c r="D571" s="3" t="s">
        <v>94</v>
      </c>
    </row>
    <row r="572" spans="4:4" ht="17.649999999999999" x14ac:dyDescent="0.5">
      <c r="D572" s="3" t="s">
        <v>119</v>
      </c>
    </row>
    <row r="573" spans="4:4" ht="17.649999999999999" x14ac:dyDescent="0.5">
      <c r="D573" s="3" t="s">
        <v>57</v>
      </c>
    </row>
    <row r="574" spans="4:4" ht="17.649999999999999" x14ac:dyDescent="0.5">
      <c r="D574" s="3" t="s">
        <v>51</v>
      </c>
    </row>
    <row r="575" spans="4:4" ht="17.649999999999999" x14ac:dyDescent="0.5">
      <c r="D575" s="3" t="s">
        <v>101</v>
      </c>
    </row>
    <row r="576" spans="4:4" ht="17.649999999999999" x14ac:dyDescent="0.5">
      <c r="D576" s="3" t="s">
        <v>80</v>
      </c>
    </row>
    <row r="577" spans="4:4" ht="17.649999999999999" x14ac:dyDescent="0.5">
      <c r="D577" s="3" t="s">
        <v>49</v>
      </c>
    </row>
    <row r="578" spans="4:4" ht="17.649999999999999" x14ac:dyDescent="0.5">
      <c r="D578" s="3" t="s">
        <v>46</v>
      </c>
    </row>
    <row r="579" spans="4:4" ht="17.649999999999999" x14ac:dyDescent="0.5">
      <c r="D579" s="3" t="s">
        <v>133</v>
      </c>
    </row>
    <row r="580" spans="4:4" ht="17.649999999999999" x14ac:dyDescent="0.5">
      <c r="D580" s="3" t="s">
        <v>83</v>
      </c>
    </row>
    <row r="581" spans="4:4" ht="17.649999999999999" x14ac:dyDescent="0.5">
      <c r="D581" s="3" t="s">
        <v>105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57</v>
      </c>
    </row>
    <row r="584" spans="4:4" ht="17.649999999999999" x14ac:dyDescent="0.5">
      <c r="D584" s="3" t="s">
        <v>124</v>
      </c>
    </row>
    <row r="585" spans="4:4" ht="17.649999999999999" x14ac:dyDescent="0.5">
      <c r="D585" s="3" t="s">
        <v>130</v>
      </c>
    </row>
    <row r="586" spans="4:4" ht="17.649999999999999" x14ac:dyDescent="0.5">
      <c r="D586" s="3" t="s">
        <v>53</v>
      </c>
    </row>
    <row r="587" spans="4:4" ht="17.649999999999999" x14ac:dyDescent="0.5">
      <c r="D587" s="3" t="s">
        <v>50</v>
      </c>
    </row>
    <row r="588" spans="4:4" ht="17.649999999999999" x14ac:dyDescent="0.5">
      <c r="D588" s="3" t="s">
        <v>85</v>
      </c>
    </row>
    <row r="589" spans="4:4" ht="17.649999999999999" x14ac:dyDescent="0.5">
      <c r="D589" s="3" t="s">
        <v>79</v>
      </c>
    </row>
    <row r="590" spans="4:4" ht="17.649999999999999" x14ac:dyDescent="0.5">
      <c r="D590" s="3" t="s">
        <v>78</v>
      </c>
    </row>
    <row r="591" spans="4:4" ht="17.649999999999999" x14ac:dyDescent="0.5">
      <c r="D591" s="3" t="s">
        <v>75</v>
      </c>
    </row>
    <row r="592" spans="4:4" ht="17.649999999999999" x14ac:dyDescent="0.5">
      <c r="D592" s="3" t="s">
        <v>57</v>
      </c>
    </row>
    <row r="593" spans="4:4" ht="17.649999999999999" x14ac:dyDescent="0.5">
      <c r="D593" s="3" t="s">
        <v>51</v>
      </c>
    </row>
    <row r="594" spans="4:4" ht="17.649999999999999" x14ac:dyDescent="0.5">
      <c r="D594" s="3" t="s">
        <v>87</v>
      </c>
    </row>
    <row r="595" spans="4:4" ht="17.649999999999999" x14ac:dyDescent="0.5">
      <c r="D595" s="3" t="s">
        <v>91</v>
      </c>
    </row>
    <row r="596" spans="4:4" ht="17.649999999999999" x14ac:dyDescent="0.5">
      <c r="D596" s="3" t="s">
        <v>78</v>
      </c>
    </row>
    <row r="597" spans="4:4" ht="17.649999999999999" x14ac:dyDescent="0.5">
      <c r="D597" s="3" t="s">
        <v>135</v>
      </c>
    </row>
    <row r="598" spans="4:4" ht="17.649999999999999" x14ac:dyDescent="0.5">
      <c r="D598" s="3" t="s">
        <v>75</v>
      </c>
    </row>
    <row r="599" spans="4:4" ht="17.649999999999999" x14ac:dyDescent="0.5">
      <c r="D599" s="3" t="s">
        <v>63</v>
      </c>
    </row>
    <row r="600" spans="4:4" ht="17.649999999999999" x14ac:dyDescent="0.5">
      <c r="D600" s="3" t="s">
        <v>115</v>
      </c>
    </row>
    <row r="601" spans="4:4" ht="17.649999999999999" x14ac:dyDescent="0.5">
      <c r="D601" s="3" t="s">
        <v>136</v>
      </c>
    </row>
    <row r="602" spans="4:4" ht="17.649999999999999" x14ac:dyDescent="0.5">
      <c r="D602" s="3" t="s">
        <v>41</v>
      </c>
    </row>
    <row r="603" spans="4:4" ht="17.649999999999999" x14ac:dyDescent="0.5">
      <c r="D603" s="3" t="s">
        <v>57</v>
      </c>
    </row>
    <row r="604" spans="4:4" ht="17.649999999999999" x14ac:dyDescent="0.5">
      <c r="D604" s="3" t="s">
        <v>53</v>
      </c>
    </row>
    <row r="605" spans="4:4" ht="17.649999999999999" x14ac:dyDescent="0.5">
      <c r="D605" s="3" t="s">
        <v>52</v>
      </c>
    </row>
    <row r="606" spans="4:4" ht="17.649999999999999" x14ac:dyDescent="0.5">
      <c r="D606" s="3" t="s">
        <v>56</v>
      </c>
    </row>
    <row r="607" spans="4:4" ht="17.649999999999999" x14ac:dyDescent="0.5">
      <c r="D607" s="3" t="s">
        <v>59</v>
      </c>
    </row>
    <row r="608" spans="4:4" ht="17.649999999999999" x14ac:dyDescent="0.5">
      <c r="D608" s="3" t="s">
        <v>63</v>
      </c>
    </row>
    <row r="609" spans="4:4" ht="17.649999999999999" x14ac:dyDescent="0.5">
      <c r="D609" s="3" t="s">
        <v>108</v>
      </c>
    </row>
    <row r="610" spans="4:4" ht="17.649999999999999" x14ac:dyDescent="0.5">
      <c r="D610" s="3" t="s">
        <v>101</v>
      </c>
    </row>
    <row r="611" spans="4:4" ht="17.649999999999999" x14ac:dyDescent="0.5">
      <c r="D611" s="3" t="s">
        <v>66</v>
      </c>
    </row>
    <row r="612" spans="4:4" ht="17.649999999999999" x14ac:dyDescent="0.5">
      <c r="D612" s="3" t="s">
        <v>68</v>
      </c>
    </row>
    <row r="613" spans="4:4" ht="17.649999999999999" x14ac:dyDescent="0.5">
      <c r="D613" s="3" t="s">
        <v>99</v>
      </c>
    </row>
    <row r="614" spans="4:4" ht="17.649999999999999" x14ac:dyDescent="0.5">
      <c r="D614" s="3" t="s">
        <v>105</v>
      </c>
    </row>
    <row r="615" spans="4:4" ht="17.649999999999999" x14ac:dyDescent="0.5">
      <c r="D615" s="3" t="s">
        <v>113</v>
      </c>
    </row>
    <row r="616" spans="4:4" ht="17.649999999999999" x14ac:dyDescent="0.5">
      <c r="D616" s="3" t="s">
        <v>98</v>
      </c>
    </row>
    <row r="617" spans="4:4" ht="17.649999999999999" x14ac:dyDescent="0.5">
      <c r="D617" s="3" t="s">
        <v>65</v>
      </c>
    </row>
    <row r="618" spans="4:4" ht="17.649999999999999" x14ac:dyDescent="0.5">
      <c r="D618" s="3" t="s">
        <v>73</v>
      </c>
    </row>
    <row r="619" spans="4:4" ht="17.649999999999999" x14ac:dyDescent="0.5">
      <c r="D619" s="3" t="s">
        <v>87</v>
      </c>
    </row>
    <row r="620" spans="4:4" ht="17.649999999999999" x14ac:dyDescent="0.5">
      <c r="D620" s="3" t="s">
        <v>54</v>
      </c>
    </row>
    <row r="621" spans="4:4" ht="17.649999999999999" x14ac:dyDescent="0.5">
      <c r="D621" s="3" t="s">
        <v>65</v>
      </c>
    </row>
    <row r="622" spans="4:4" ht="17.649999999999999" x14ac:dyDescent="0.5">
      <c r="D622" s="3" t="s">
        <v>53</v>
      </c>
    </row>
    <row r="623" spans="4:4" ht="17.649999999999999" x14ac:dyDescent="0.5">
      <c r="D623" s="3" t="s">
        <v>50</v>
      </c>
    </row>
    <row r="624" spans="4:4" ht="17.649999999999999" x14ac:dyDescent="0.5">
      <c r="D624" s="3" t="s">
        <v>80</v>
      </c>
    </row>
    <row r="625" spans="4:4" ht="17.649999999999999" x14ac:dyDescent="0.5">
      <c r="D625" s="3" t="s">
        <v>87</v>
      </c>
    </row>
    <row r="626" spans="4:4" ht="17.649999999999999" x14ac:dyDescent="0.5">
      <c r="D626" s="3" t="s">
        <v>96</v>
      </c>
    </row>
    <row r="627" spans="4:4" ht="17.649999999999999" x14ac:dyDescent="0.5">
      <c r="D627" s="3" t="s">
        <v>62</v>
      </c>
    </row>
    <row r="628" spans="4:4" ht="17.649999999999999" x14ac:dyDescent="0.5">
      <c r="D628" s="3" t="s">
        <v>90</v>
      </c>
    </row>
    <row r="629" spans="4:4" ht="17.649999999999999" x14ac:dyDescent="0.5">
      <c r="D629" s="3" t="s">
        <v>119</v>
      </c>
    </row>
    <row r="630" spans="4:4" ht="17.649999999999999" x14ac:dyDescent="0.5">
      <c r="D630" s="3" t="s">
        <v>69</v>
      </c>
    </row>
    <row r="631" spans="4:4" ht="17.649999999999999" x14ac:dyDescent="0.5">
      <c r="D631" s="3" t="s">
        <v>53</v>
      </c>
    </row>
    <row r="632" spans="4:4" ht="17.649999999999999" x14ac:dyDescent="0.5">
      <c r="D632" s="3" t="s">
        <v>57</v>
      </c>
    </row>
    <row r="633" spans="4:4" ht="17.649999999999999" x14ac:dyDescent="0.5">
      <c r="D633" s="3" t="s">
        <v>132</v>
      </c>
    </row>
    <row r="634" spans="4:4" ht="17.649999999999999" x14ac:dyDescent="0.5">
      <c r="D634" s="3" t="s">
        <v>84</v>
      </c>
    </row>
    <row r="635" spans="4:4" ht="17.649999999999999" x14ac:dyDescent="0.5">
      <c r="D635" s="3" t="s">
        <v>75</v>
      </c>
    </row>
    <row r="636" spans="4:4" ht="17.649999999999999" x14ac:dyDescent="0.5">
      <c r="D636" s="3" t="s">
        <v>94</v>
      </c>
    </row>
    <row r="637" spans="4:4" ht="17.649999999999999" x14ac:dyDescent="0.5">
      <c r="D637" s="3" t="s">
        <v>112</v>
      </c>
    </row>
    <row r="638" spans="4:4" ht="17.649999999999999" x14ac:dyDescent="0.5">
      <c r="D638" s="3" t="s">
        <v>68</v>
      </c>
    </row>
    <row r="639" spans="4:4" ht="17.649999999999999" x14ac:dyDescent="0.5">
      <c r="D639" s="3" t="s">
        <v>64</v>
      </c>
    </row>
    <row r="640" spans="4:4" ht="17.649999999999999" x14ac:dyDescent="0.5">
      <c r="D640" s="3" t="s">
        <v>46</v>
      </c>
    </row>
    <row r="641" spans="4:4" ht="17.649999999999999" x14ac:dyDescent="0.5">
      <c r="D641" s="3" t="s">
        <v>92</v>
      </c>
    </row>
    <row r="642" spans="4:4" ht="17.649999999999999" x14ac:dyDescent="0.5">
      <c r="D642" s="3" t="s">
        <v>52</v>
      </c>
    </row>
    <row r="643" spans="4:4" ht="17.649999999999999" x14ac:dyDescent="0.5">
      <c r="D643" s="3" t="s">
        <v>129</v>
      </c>
    </row>
    <row r="644" spans="4:4" ht="17.649999999999999" x14ac:dyDescent="0.5">
      <c r="D644" s="3" t="s">
        <v>47</v>
      </c>
    </row>
    <row r="645" spans="4:4" ht="17.649999999999999" x14ac:dyDescent="0.5">
      <c r="D645" s="3" t="s">
        <v>96</v>
      </c>
    </row>
    <row r="646" spans="4:4" ht="17.649999999999999" x14ac:dyDescent="0.5">
      <c r="D646" s="3" t="s">
        <v>59</v>
      </c>
    </row>
    <row r="647" spans="4:4" ht="17.649999999999999" x14ac:dyDescent="0.5">
      <c r="D647" s="3" t="s">
        <v>94</v>
      </c>
    </row>
    <row r="648" spans="4:4" ht="17.649999999999999" x14ac:dyDescent="0.5">
      <c r="D648" s="3" t="s">
        <v>78</v>
      </c>
    </row>
    <row r="649" spans="4:4" ht="17.649999999999999" x14ac:dyDescent="0.5">
      <c r="D649" s="3" t="s">
        <v>119</v>
      </c>
    </row>
    <row r="650" spans="4:4" ht="17.649999999999999" x14ac:dyDescent="0.5">
      <c r="D650" s="3" t="s">
        <v>108</v>
      </c>
    </row>
    <row r="651" spans="4:4" ht="17.649999999999999" x14ac:dyDescent="0.5">
      <c r="D651" s="3" t="s">
        <v>124</v>
      </c>
    </row>
    <row r="652" spans="4:4" ht="17.649999999999999" x14ac:dyDescent="0.5">
      <c r="D652" s="3" t="s">
        <v>132</v>
      </c>
    </row>
    <row r="653" spans="4:4" ht="17.649999999999999" x14ac:dyDescent="0.5">
      <c r="D653" s="3" t="s">
        <v>69</v>
      </c>
    </row>
    <row r="654" spans="4:4" ht="17.649999999999999" x14ac:dyDescent="0.5">
      <c r="D654" s="3" t="s">
        <v>55</v>
      </c>
    </row>
    <row r="655" spans="4:4" ht="17.649999999999999" x14ac:dyDescent="0.5">
      <c r="D655" s="3" t="s">
        <v>91</v>
      </c>
    </row>
    <row r="656" spans="4:4" ht="17.649999999999999" x14ac:dyDescent="0.5">
      <c r="D656" s="3" t="s">
        <v>44</v>
      </c>
    </row>
    <row r="657" spans="4:4" ht="17.649999999999999" x14ac:dyDescent="0.5">
      <c r="D657" s="3" t="s">
        <v>101</v>
      </c>
    </row>
    <row r="658" spans="4:4" ht="17.649999999999999" x14ac:dyDescent="0.5">
      <c r="D658" s="3" t="s">
        <v>56</v>
      </c>
    </row>
    <row r="659" spans="4:4" ht="17.649999999999999" x14ac:dyDescent="0.5">
      <c r="D659" s="3" t="s">
        <v>74</v>
      </c>
    </row>
    <row r="660" spans="4:4" ht="17.649999999999999" x14ac:dyDescent="0.5">
      <c r="D660" s="3" t="s">
        <v>59</v>
      </c>
    </row>
    <row r="661" spans="4:4" ht="17.649999999999999" x14ac:dyDescent="0.5">
      <c r="D661" s="3" t="s">
        <v>76</v>
      </c>
    </row>
    <row r="662" spans="4:4" ht="17.649999999999999" x14ac:dyDescent="0.5">
      <c r="D662" s="3" t="s">
        <v>47</v>
      </c>
    </row>
    <row r="663" spans="4:4" ht="17.649999999999999" x14ac:dyDescent="0.5">
      <c r="D663" s="3" t="s">
        <v>83</v>
      </c>
    </row>
    <row r="664" spans="4:4" ht="17.649999999999999" x14ac:dyDescent="0.5">
      <c r="D664" s="3" t="s">
        <v>50</v>
      </c>
    </row>
    <row r="665" spans="4:4" ht="17.649999999999999" x14ac:dyDescent="0.5">
      <c r="D665" s="3" t="s">
        <v>56</v>
      </c>
    </row>
    <row r="666" spans="4:4" ht="17.649999999999999" x14ac:dyDescent="0.5">
      <c r="D666" s="3" t="s">
        <v>81</v>
      </c>
    </row>
    <row r="667" spans="4:4" ht="17.649999999999999" x14ac:dyDescent="0.5">
      <c r="D667" s="3" t="s">
        <v>92</v>
      </c>
    </row>
    <row r="668" spans="4:4" ht="17.649999999999999" x14ac:dyDescent="0.5">
      <c r="D668" s="3" t="s">
        <v>80</v>
      </c>
    </row>
    <row r="669" spans="4:4" ht="17.649999999999999" x14ac:dyDescent="0.5">
      <c r="D669" s="3" t="s">
        <v>44</v>
      </c>
    </row>
    <row r="670" spans="4:4" ht="17.649999999999999" x14ac:dyDescent="0.5">
      <c r="D670" s="3" t="s">
        <v>57</v>
      </c>
    </row>
    <row r="671" spans="4:4" ht="17.649999999999999" x14ac:dyDescent="0.5">
      <c r="D671" s="3" t="s">
        <v>65</v>
      </c>
    </row>
    <row r="672" spans="4:4" ht="17.649999999999999" x14ac:dyDescent="0.5">
      <c r="D672" s="3" t="s">
        <v>66</v>
      </c>
    </row>
    <row r="673" spans="4:4" ht="17.649999999999999" x14ac:dyDescent="0.5">
      <c r="D673" s="3" t="s">
        <v>92</v>
      </c>
    </row>
    <row r="674" spans="4:4" ht="17.649999999999999" x14ac:dyDescent="0.5">
      <c r="D674" s="3" t="s">
        <v>51</v>
      </c>
    </row>
    <row r="675" spans="4:4" ht="17.649999999999999" x14ac:dyDescent="0.5">
      <c r="D675" s="3" t="s">
        <v>57</v>
      </c>
    </row>
    <row r="676" spans="4:4" ht="17.649999999999999" x14ac:dyDescent="0.5">
      <c r="D676" s="3" t="s">
        <v>80</v>
      </c>
    </row>
    <row r="677" spans="4:4" ht="17.649999999999999" x14ac:dyDescent="0.5">
      <c r="D677" s="3" t="s">
        <v>55</v>
      </c>
    </row>
    <row r="678" spans="4:4" ht="17.649999999999999" x14ac:dyDescent="0.5">
      <c r="D678" s="3" t="s">
        <v>52</v>
      </c>
    </row>
    <row r="679" spans="4:4" ht="17.649999999999999" x14ac:dyDescent="0.5">
      <c r="D679" s="3" t="s">
        <v>51</v>
      </c>
    </row>
    <row r="680" spans="4:4" ht="17.649999999999999" x14ac:dyDescent="0.5">
      <c r="D680" s="3" t="s">
        <v>64</v>
      </c>
    </row>
    <row r="681" spans="4:4" ht="17.649999999999999" x14ac:dyDescent="0.5">
      <c r="D681" s="3" t="s">
        <v>78</v>
      </c>
    </row>
    <row r="682" spans="4:4" ht="17.649999999999999" x14ac:dyDescent="0.5">
      <c r="D682" s="3" t="s">
        <v>97</v>
      </c>
    </row>
    <row r="683" spans="4:4" ht="17.649999999999999" x14ac:dyDescent="0.5">
      <c r="D683" s="3" t="s">
        <v>46</v>
      </c>
    </row>
    <row r="684" spans="4:4" ht="17.649999999999999" x14ac:dyDescent="0.5">
      <c r="D684" s="3" t="s">
        <v>49</v>
      </c>
    </row>
    <row r="685" spans="4:4" ht="17.649999999999999" x14ac:dyDescent="0.5">
      <c r="D685" s="3" t="s">
        <v>73</v>
      </c>
    </row>
    <row r="686" spans="4:4" ht="17.649999999999999" x14ac:dyDescent="0.5">
      <c r="D686" s="3" t="s">
        <v>61</v>
      </c>
    </row>
    <row r="687" spans="4:4" ht="17.649999999999999" x14ac:dyDescent="0.5">
      <c r="D687" s="3" t="s">
        <v>74</v>
      </c>
    </row>
    <row r="688" spans="4:4" ht="17.649999999999999" x14ac:dyDescent="0.5">
      <c r="D688" s="3" t="s">
        <v>84</v>
      </c>
    </row>
    <row r="689" spans="4:4" ht="17.649999999999999" x14ac:dyDescent="0.5">
      <c r="D689" s="3" t="s">
        <v>82</v>
      </c>
    </row>
    <row r="690" spans="4:4" ht="17.649999999999999" x14ac:dyDescent="0.5">
      <c r="D690" s="3" t="s">
        <v>115</v>
      </c>
    </row>
    <row r="691" spans="4:4" ht="17.649999999999999" x14ac:dyDescent="0.5">
      <c r="D691" s="3" t="s">
        <v>59</v>
      </c>
    </row>
    <row r="692" spans="4:4" ht="17.649999999999999" x14ac:dyDescent="0.5">
      <c r="D692" s="3" t="s">
        <v>91</v>
      </c>
    </row>
    <row r="693" spans="4:4" ht="17.649999999999999" x14ac:dyDescent="0.5">
      <c r="D693" s="3" t="s">
        <v>94</v>
      </c>
    </row>
    <row r="694" spans="4:4" ht="17.649999999999999" x14ac:dyDescent="0.5">
      <c r="D694" s="3" t="s">
        <v>57</v>
      </c>
    </row>
    <row r="695" spans="4:4" ht="17.649999999999999" x14ac:dyDescent="0.5">
      <c r="D695" s="3" t="s">
        <v>92</v>
      </c>
    </row>
    <row r="696" spans="4:4" ht="17.649999999999999" x14ac:dyDescent="0.5">
      <c r="D696" s="3" t="s">
        <v>112</v>
      </c>
    </row>
    <row r="697" spans="4:4" ht="17.649999999999999" x14ac:dyDescent="0.5">
      <c r="D697" s="3" t="s">
        <v>112</v>
      </c>
    </row>
    <row r="698" spans="4:4" ht="17.649999999999999" x14ac:dyDescent="0.5">
      <c r="D698" s="3" t="s">
        <v>105</v>
      </c>
    </row>
    <row r="699" spans="4:4" ht="17.649999999999999" x14ac:dyDescent="0.5">
      <c r="D699" s="3" t="s">
        <v>42</v>
      </c>
    </row>
    <row r="700" spans="4:4" ht="17.649999999999999" x14ac:dyDescent="0.5">
      <c r="D700" s="3" t="s">
        <v>46</v>
      </c>
    </row>
    <row r="701" spans="4:4" ht="17.649999999999999" x14ac:dyDescent="0.5">
      <c r="D701" s="3" t="s">
        <v>54</v>
      </c>
    </row>
    <row r="702" spans="4:4" ht="17.649999999999999" x14ac:dyDescent="0.5">
      <c r="D702" s="3" t="s">
        <v>98</v>
      </c>
    </row>
    <row r="703" spans="4:4" ht="17.649999999999999" x14ac:dyDescent="0.5">
      <c r="D703" s="3" t="s">
        <v>96</v>
      </c>
    </row>
    <row r="704" spans="4:4" ht="17.649999999999999" x14ac:dyDescent="0.5">
      <c r="D704" s="3" t="s">
        <v>68</v>
      </c>
    </row>
    <row r="705" spans="4:4" ht="17.649999999999999" x14ac:dyDescent="0.5">
      <c r="D705" s="3" t="s">
        <v>46</v>
      </c>
    </row>
    <row r="706" spans="4:4" ht="17.649999999999999" x14ac:dyDescent="0.5">
      <c r="D706" s="3" t="s">
        <v>87</v>
      </c>
    </row>
    <row r="707" spans="4:4" ht="17.649999999999999" x14ac:dyDescent="0.5">
      <c r="D707" s="3" t="s">
        <v>131</v>
      </c>
    </row>
    <row r="708" spans="4:4" ht="17.649999999999999" x14ac:dyDescent="0.5">
      <c r="D708" s="3" t="s">
        <v>50</v>
      </c>
    </row>
    <row r="709" spans="4:4" ht="17.649999999999999" x14ac:dyDescent="0.5">
      <c r="D709" s="3" t="s">
        <v>71</v>
      </c>
    </row>
    <row r="710" spans="4:4" ht="17.649999999999999" x14ac:dyDescent="0.5">
      <c r="D710" s="3" t="s">
        <v>63</v>
      </c>
    </row>
    <row r="711" spans="4:4" ht="17.649999999999999" x14ac:dyDescent="0.5">
      <c r="D711" s="3" t="s">
        <v>43</v>
      </c>
    </row>
    <row r="712" spans="4:4" ht="17.649999999999999" x14ac:dyDescent="0.5">
      <c r="D712" s="3" t="s">
        <v>51</v>
      </c>
    </row>
    <row r="713" spans="4:4" ht="17.649999999999999" x14ac:dyDescent="0.5">
      <c r="D713" s="3" t="s">
        <v>59</v>
      </c>
    </row>
    <row r="714" spans="4:4" ht="17.649999999999999" x14ac:dyDescent="0.5">
      <c r="D714" s="3" t="s">
        <v>94</v>
      </c>
    </row>
    <row r="715" spans="4:4" ht="17.649999999999999" x14ac:dyDescent="0.5">
      <c r="D715" s="3" t="s">
        <v>49</v>
      </c>
    </row>
    <row r="716" spans="4:4" ht="17.649999999999999" x14ac:dyDescent="0.5">
      <c r="D716" s="3" t="s">
        <v>48</v>
      </c>
    </row>
    <row r="717" spans="4:4" ht="17.649999999999999" x14ac:dyDescent="0.5">
      <c r="D717" s="3" t="s">
        <v>117</v>
      </c>
    </row>
    <row r="718" spans="4:4" ht="17.649999999999999" x14ac:dyDescent="0.5">
      <c r="D718" s="3" t="s">
        <v>69</v>
      </c>
    </row>
    <row r="719" spans="4:4" ht="17.649999999999999" x14ac:dyDescent="0.5">
      <c r="D719" s="3" t="s">
        <v>74</v>
      </c>
    </row>
    <row r="720" spans="4:4" ht="17.649999999999999" x14ac:dyDescent="0.5">
      <c r="D720" s="3" t="s">
        <v>127</v>
      </c>
    </row>
    <row r="721" spans="4:4" ht="17.649999999999999" x14ac:dyDescent="0.5">
      <c r="D721" s="3" t="s">
        <v>77</v>
      </c>
    </row>
    <row r="722" spans="4:4" ht="17.649999999999999" x14ac:dyDescent="0.5">
      <c r="D722" s="3" t="s">
        <v>113</v>
      </c>
    </row>
    <row r="723" spans="4:4" ht="17.649999999999999" x14ac:dyDescent="0.5">
      <c r="D723" s="3" t="s">
        <v>48</v>
      </c>
    </row>
    <row r="724" spans="4:4" ht="17.649999999999999" x14ac:dyDescent="0.5">
      <c r="D724" s="3" t="s">
        <v>56</v>
      </c>
    </row>
    <row r="725" spans="4:4" ht="17.649999999999999" x14ac:dyDescent="0.5">
      <c r="D725" s="3" t="s">
        <v>46</v>
      </c>
    </row>
    <row r="726" spans="4:4" ht="17.649999999999999" x14ac:dyDescent="0.5">
      <c r="D726" s="3" t="s">
        <v>112</v>
      </c>
    </row>
    <row r="727" spans="4:4" ht="17.649999999999999" x14ac:dyDescent="0.5">
      <c r="D727" s="3" t="s">
        <v>98</v>
      </c>
    </row>
    <row r="728" spans="4:4" ht="17.649999999999999" x14ac:dyDescent="0.5">
      <c r="D728" s="3" t="s">
        <v>96</v>
      </c>
    </row>
    <row r="729" spans="4:4" ht="17.649999999999999" x14ac:dyDescent="0.5">
      <c r="D729" s="3" t="s">
        <v>49</v>
      </c>
    </row>
    <row r="730" spans="4:4" ht="17.649999999999999" x14ac:dyDescent="0.5">
      <c r="D730" s="3" t="s">
        <v>53</v>
      </c>
    </row>
    <row r="731" spans="4:4" ht="17.649999999999999" x14ac:dyDescent="0.5">
      <c r="D731" s="3" t="s">
        <v>81</v>
      </c>
    </row>
    <row r="732" spans="4:4" ht="17.649999999999999" x14ac:dyDescent="0.5">
      <c r="D732" s="3" t="s">
        <v>48</v>
      </c>
    </row>
    <row r="733" spans="4:4" ht="17.649999999999999" x14ac:dyDescent="0.5">
      <c r="D733" s="3" t="s">
        <v>62</v>
      </c>
    </row>
    <row r="734" spans="4:4" ht="17.649999999999999" x14ac:dyDescent="0.5">
      <c r="D734" s="3" t="s">
        <v>87</v>
      </c>
    </row>
    <row r="735" spans="4:4" ht="17.649999999999999" x14ac:dyDescent="0.5">
      <c r="D735" s="3" t="s">
        <v>83</v>
      </c>
    </row>
    <row r="736" spans="4:4" ht="17.649999999999999" x14ac:dyDescent="0.5">
      <c r="D736" s="3" t="s">
        <v>66</v>
      </c>
    </row>
    <row r="737" spans="4:4" ht="17.649999999999999" x14ac:dyDescent="0.5">
      <c r="D737" s="3" t="s">
        <v>43</v>
      </c>
    </row>
    <row r="738" spans="4:4" ht="17.649999999999999" x14ac:dyDescent="0.5">
      <c r="D738" s="3" t="s">
        <v>78</v>
      </c>
    </row>
    <row r="739" spans="4:4" ht="17.649999999999999" x14ac:dyDescent="0.5">
      <c r="D739" s="3" t="s">
        <v>64</v>
      </c>
    </row>
    <row r="740" spans="4:4" ht="17.649999999999999" x14ac:dyDescent="0.5">
      <c r="D740" s="3" t="s">
        <v>51</v>
      </c>
    </row>
    <row r="741" spans="4:4" ht="17.649999999999999" x14ac:dyDescent="0.5">
      <c r="D741" s="3" t="s">
        <v>52</v>
      </c>
    </row>
    <row r="742" spans="4:4" ht="17.649999999999999" x14ac:dyDescent="0.5">
      <c r="D742" s="3" t="s">
        <v>67</v>
      </c>
    </row>
    <row r="743" spans="4:4" ht="17.649999999999999" x14ac:dyDescent="0.5">
      <c r="D743" s="3" t="s">
        <v>41</v>
      </c>
    </row>
    <row r="744" spans="4:4" ht="17.649999999999999" x14ac:dyDescent="0.5">
      <c r="D744" s="3" t="s">
        <v>81</v>
      </c>
    </row>
    <row r="745" spans="4:4" ht="17.649999999999999" x14ac:dyDescent="0.5">
      <c r="D745" s="3" t="s">
        <v>104</v>
      </c>
    </row>
    <row r="746" spans="4:4" ht="17.649999999999999" x14ac:dyDescent="0.5">
      <c r="D746" s="3" t="s">
        <v>93</v>
      </c>
    </row>
    <row r="747" spans="4:4" ht="17.649999999999999" x14ac:dyDescent="0.5">
      <c r="D747" s="3" t="s">
        <v>46</v>
      </c>
    </row>
    <row r="748" spans="4:4" ht="17.649999999999999" x14ac:dyDescent="0.5">
      <c r="D748" s="3" t="s">
        <v>77</v>
      </c>
    </row>
    <row r="749" spans="4:4" ht="17.649999999999999" x14ac:dyDescent="0.5">
      <c r="D749" s="3" t="s">
        <v>101</v>
      </c>
    </row>
    <row r="750" spans="4:4" ht="17.649999999999999" x14ac:dyDescent="0.5">
      <c r="D750" s="3" t="s">
        <v>42</v>
      </c>
    </row>
    <row r="751" spans="4:4" ht="17.649999999999999" x14ac:dyDescent="0.5">
      <c r="D751" s="3" t="s">
        <v>63</v>
      </c>
    </row>
    <row r="752" spans="4:4" ht="17.649999999999999" x14ac:dyDescent="0.5">
      <c r="D752" s="3" t="s">
        <v>54</v>
      </c>
    </row>
    <row r="753" spans="4:4" ht="17.649999999999999" x14ac:dyDescent="0.5">
      <c r="D753" s="3" t="s">
        <v>66</v>
      </c>
    </row>
    <row r="754" spans="4:4" ht="17.649999999999999" x14ac:dyDescent="0.5">
      <c r="D754" s="3" t="s">
        <v>115</v>
      </c>
    </row>
    <row r="755" spans="4:4" ht="17.649999999999999" x14ac:dyDescent="0.5">
      <c r="D755" s="3" t="s">
        <v>113</v>
      </c>
    </row>
    <row r="756" spans="4:4" ht="17.649999999999999" x14ac:dyDescent="0.5">
      <c r="D756" s="3" t="s">
        <v>59</v>
      </c>
    </row>
    <row r="757" spans="4:4" ht="17.649999999999999" x14ac:dyDescent="0.5">
      <c r="D757" s="3" t="s">
        <v>108</v>
      </c>
    </row>
    <row r="758" spans="4:4" ht="17.649999999999999" x14ac:dyDescent="0.5">
      <c r="D758" s="3" t="s">
        <v>75</v>
      </c>
    </row>
    <row r="759" spans="4:4" ht="17.649999999999999" x14ac:dyDescent="0.5">
      <c r="D759" s="3" t="s">
        <v>90</v>
      </c>
    </row>
    <row r="760" spans="4:4" ht="17.649999999999999" x14ac:dyDescent="0.5">
      <c r="D760" s="3" t="s">
        <v>49</v>
      </c>
    </row>
    <row r="761" spans="4:4" ht="17.649999999999999" x14ac:dyDescent="0.5">
      <c r="D761" s="3" t="s">
        <v>55</v>
      </c>
    </row>
    <row r="762" spans="4:4" ht="17.649999999999999" x14ac:dyDescent="0.5">
      <c r="D762" s="3" t="s">
        <v>85</v>
      </c>
    </row>
    <row r="763" spans="4:4" ht="17.649999999999999" x14ac:dyDescent="0.5">
      <c r="D763" s="3" t="s">
        <v>94</v>
      </c>
    </row>
    <row r="764" spans="4:4" ht="17.649999999999999" x14ac:dyDescent="0.5">
      <c r="D764" s="3" t="s">
        <v>64</v>
      </c>
    </row>
    <row r="765" spans="4:4" ht="17.649999999999999" x14ac:dyDescent="0.5">
      <c r="D765" s="3" t="s">
        <v>73</v>
      </c>
    </row>
    <row r="766" spans="4:4" ht="17.649999999999999" x14ac:dyDescent="0.5">
      <c r="D766" s="3" t="s">
        <v>132</v>
      </c>
    </row>
    <row r="767" spans="4:4" ht="17.649999999999999" x14ac:dyDescent="0.5">
      <c r="D767" s="3" t="s">
        <v>77</v>
      </c>
    </row>
    <row r="768" spans="4:4" ht="17.649999999999999" x14ac:dyDescent="0.5">
      <c r="D768" s="3" t="s">
        <v>68</v>
      </c>
    </row>
    <row r="769" spans="4:4" ht="17.649999999999999" x14ac:dyDescent="0.5">
      <c r="D769" s="3" t="s">
        <v>107</v>
      </c>
    </row>
    <row r="770" spans="4:4" ht="17.649999999999999" x14ac:dyDescent="0.5">
      <c r="D770" s="3" t="s">
        <v>94</v>
      </c>
    </row>
    <row r="771" spans="4:4" ht="17.649999999999999" x14ac:dyDescent="0.5">
      <c r="D771" s="3" t="s">
        <v>118</v>
      </c>
    </row>
    <row r="772" spans="4:4" ht="17.649999999999999" x14ac:dyDescent="0.5">
      <c r="D772" s="3" t="s">
        <v>128</v>
      </c>
    </row>
    <row r="773" spans="4:4" ht="17.649999999999999" x14ac:dyDescent="0.5">
      <c r="D773" s="3" t="s">
        <v>117</v>
      </c>
    </row>
    <row r="774" spans="4:4" ht="17.649999999999999" x14ac:dyDescent="0.5">
      <c r="D774" s="3" t="s">
        <v>77</v>
      </c>
    </row>
    <row r="775" spans="4:4" ht="17.649999999999999" x14ac:dyDescent="0.5">
      <c r="D775" s="3" t="s">
        <v>67</v>
      </c>
    </row>
    <row r="776" spans="4:4" ht="17.649999999999999" x14ac:dyDescent="0.5">
      <c r="D776" s="3" t="s">
        <v>54</v>
      </c>
    </row>
    <row r="777" spans="4:4" ht="17.649999999999999" x14ac:dyDescent="0.5">
      <c r="D777" s="3" t="s">
        <v>97</v>
      </c>
    </row>
    <row r="778" spans="4:4" ht="17.649999999999999" x14ac:dyDescent="0.5">
      <c r="D778" s="3" t="s">
        <v>70</v>
      </c>
    </row>
    <row r="779" spans="4:4" ht="17.649999999999999" x14ac:dyDescent="0.5">
      <c r="D779" s="3" t="s">
        <v>91</v>
      </c>
    </row>
    <row r="780" spans="4:4" ht="17.649999999999999" x14ac:dyDescent="0.5">
      <c r="D780" s="3" t="s">
        <v>117</v>
      </c>
    </row>
    <row r="781" spans="4:4" ht="17.649999999999999" x14ac:dyDescent="0.5">
      <c r="D781" s="3" t="s">
        <v>113</v>
      </c>
    </row>
    <row r="782" spans="4:4" ht="17.649999999999999" x14ac:dyDescent="0.5">
      <c r="D782" s="3" t="s">
        <v>81</v>
      </c>
    </row>
    <row r="783" spans="4:4" ht="17.649999999999999" x14ac:dyDescent="0.5">
      <c r="D783" s="3" t="s">
        <v>67</v>
      </c>
    </row>
    <row r="784" spans="4:4" ht="17.649999999999999" x14ac:dyDescent="0.5">
      <c r="D784" s="3" t="s">
        <v>73</v>
      </c>
    </row>
    <row r="785" spans="4:4" ht="17.649999999999999" x14ac:dyDescent="0.5">
      <c r="D785" s="3" t="s">
        <v>70</v>
      </c>
    </row>
    <row r="786" spans="4:4" ht="17.649999999999999" x14ac:dyDescent="0.5">
      <c r="D786" s="3" t="s">
        <v>73</v>
      </c>
    </row>
    <row r="787" spans="4:4" ht="17.649999999999999" x14ac:dyDescent="0.5">
      <c r="D787" s="3" t="s">
        <v>103</v>
      </c>
    </row>
    <row r="788" spans="4:4" ht="17.649999999999999" x14ac:dyDescent="0.5">
      <c r="D788" s="3" t="s">
        <v>115</v>
      </c>
    </row>
    <row r="789" spans="4:4" ht="17.649999999999999" x14ac:dyDescent="0.5">
      <c r="D789" s="3" t="s">
        <v>74</v>
      </c>
    </row>
    <row r="790" spans="4:4" ht="17.649999999999999" x14ac:dyDescent="0.5">
      <c r="D790" s="3" t="s">
        <v>81</v>
      </c>
    </row>
    <row r="791" spans="4:4" ht="17.649999999999999" x14ac:dyDescent="0.5">
      <c r="D791" s="3" t="s">
        <v>67</v>
      </c>
    </row>
    <row r="792" spans="4:4" ht="17.649999999999999" x14ac:dyDescent="0.5">
      <c r="D792" s="3" t="s">
        <v>68</v>
      </c>
    </row>
    <row r="793" spans="4:4" ht="17.649999999999999" x14ac:dyDescent="0.5">
      <c r="D793" s="3" t="s">
        <v>85</v>
      </c>
    </row>
    <row r="794" spans="4:4" ht="17.649999999999999" x14ac:dyDescent="0.5">
      <c r="D794" s="3" t="s">
        <v>105</v>
      </c>
    </row>
    <row r="795" spans="4:4" ht="17.649999999999999" x14ac:dyDescent="0.5">
      <c r="D795" s="3" t="s">
        <v>48</v>
      </c>
    </row>
    <row r="796" spans="4:4" ht="17.649999999999999" x14ac:dyDescent="0.5">
      <c r="D796" s="3" t="s">
        <v>64</v>
      </c>
    </row>
    <row r="797" spans="4:4" ht="17.649999999999999" x14ac:dyDescent="0.5">
      <c r="D797" s="3" t="s">
        <v>44</v>
      </c>
    </row>
    <row r="798" spans="4:4" ht="17.649999999999999" x14ac:dyDescent="0.5">
      <c r="D798" s="3" t="s">
        <v>65</v>
      </c>
    </row>
    <row r="799" spans="4:4" ht="17.649999999999999" x14ac:dyDescent="0.5">
      <c r="D799" s="3" t="s">
        <v>56</v>
      </c>
    </row>
    <row r="800" spans="4:4" ht="17.649999999999999" x14ac:dyDescent="0.5">
      <c r="D800" s="3" t="s">
        <v>56</v>
      </c>
    </row>
    <row r="801" spans="4:4" ht="17.649999999999999" x14ac:dyDescent="0.5">
      <c r="D801" s="3" t="s">
        <v>55</v>
      </c>
    </row>
    <row r="802" spans="4:4" ht="17.649999999999999" x14ac:dyDescent="0.5">
      <c r="D802" s="3" t="s">
        <v>75</v>
      </c>
    </row>
    <row r="803" spans="4:4" ht="17.649999999999999" x14ac:dyDescent="0.5">
      <c r="D803" s="3" t="s">
        <v>48</v>
      </c>
    </row>
    <row r="804" spans="4:4" ht="17.649999999999999" x14ac:dyDescent="0.5">
      <c r="D804" s="3" t="s">
        <v>96</v>
      </c>
    </row>
    <row r="805" spans="4:4" ht="17.649999999999999" x14ac:dyDescent="0.5">
      <c r="D805" s="3" t="s">
        <v>105</v>
      </c>
    </row>
    <row r="806" spans="4:4" ht="17.649999999999999" x14ac:dyDescent="0.5">
      <c r="D806" s="3" t="s">
        <v>47</v>
      </c>
    </row>
    <row r="807" spans="4:4" ht="17.649999999999999" x14ac:dyDescent="0.5">
      <c r="D807" s="3" t="s">
        <v>112</v>
      </c>
    </row>
    <row r="808" spans="4:4" ht="17.649999999999999" x14ac:dyDescent="0.5">
      <c r="D808" s="3" t="s">
        <v>53</v>
      </c>
    </row>
    <row r="809" spans="4:4" ht="17.649999999999999" x14ac:dyDescent="0.5">
      <c r="D809" s="3" t="s">
        <v>81</v>
      </c>
    </row>
    <row r="810" spans="4:4" ht="17.649999999999999" x14ac:dyDescent="0.5">
      <c r="D810" s="3" t="s">
        <v>90</v>
      </c>
    </row>
    <row r="811" spans="4:4" ht="17.649999999999999" x14ac:dyDescent="0.5">
      <c r="D811" s="3" t="s">
        <v>124</v>
      </c>
    </row>
    <row r="812" spans="4:4" ht="17.649999999999999" x14ac:dyDescent="0.5">
      <c r="D812" s="3" t="s">
        <v>91</v>
      </c>
    </row>
    <row r="813" spans="4:4" ht="17.649999999999999" x14ac:dyDescent="0.5">
      <c r="D813" s="3" t="s">
        <v>73</v>
      </c>
    </row>
    <row r="814" spans="4:4" ht="17.649999999999999" x14ac:dyDescent="0.5">
      <c r="D814" s="3" t="s">
        <v>61</v>
      </c>
    </row>
    <row r="815" spans="4:4" ht="17.649999999999999" x14ac:dyDescent="0.5">
      <c r="D815" s="3" t="s">
        <v>74</v>
      </c>
    </row>
    <row r="816" spans="4:4" ht="17.649999999999999" x14ac:dyDescent="0.5">
      <c r="D816" s="3" t="s">
        <v>57</v>
      </c>
    </row>
    <row r="817" spans="4:4" ht="17.649999999999999" x14ac:dyDescent="0.5">
      <c r="D817" s="3" t="s">
        <v>46</v>
      </c>
    </row>
    <row r="818" spans="4:4" ht="17.649999999999999" x14ac:dyDescent="0.5">
      <c r="D818" s="3" t="s">
        <v>84</v>
      </c>
    </row>
    <row r="819" spans="4:4" ht="17.649999999999999" x14ac:dyDescent="0.5">
      <c r="D819" s="3" t="s">
        <v>61</v>
      </c>
    </row>
    <row r="820" spans="4:4" ht="17.649999999999999" x14ac:dyDescent="0.5">
      <c r="D820" s="3" t="s">
        <v>126</v>
      </c>
    </row>
    <row r="821" spans="4:4" ht="17.649999999999999" x14ac:dyDescent="0.5">
      <c r="D821" s="3" t="s">
        <v>55</v>
      </c>
    </row>
    <row r="822" spans="4:4" ht="17.649999999999999" x14ac:dyDescent="0.5">
      <c r="D822" s="3" t="s">
        <v>53</v>
      </c>
    </row>
    <row r="823" spans="4:4" ht="17.649999999999999" x14ac:dyDescent="0.5">
      <c r="D823" s="3" t="s">
        <v>91</v>
      </c>
    </row>
    <row r="824" spans="4:4" ht="17.649999999999999" x14ac:dyDescent="0.5">
      <c r="D824" s="3" t="s">
        <v>45</v>
      </c>
    </row>
    <row r="825" spans="4:4" ht="17.649999999999999" x14ac:dyDescent="0.5">
      <c r="D825" s="3" t="s">
        <v>90</v>
      </c>
    </row>
    <row r="826" spans="4:4" ht="17.649999999999999" x14ac:dyDescent="0.5">
      <c r="D826" s="3" t="s">
        <v>101</v>
      </c>
    </row>
    <row r="827" spans="4:4" ht="17.649999999999999" x14ac:dyDescent="0.5">
      <c r="D827" s="3" t="s">
        <v>43</v>
      </c>
    </row>
    <row r="828" spans="4:4" ht="17.649999999999999" x14ac:dyDescent="0.5">
      <c r="D828" s="3" t="s">
        <v>126</v>
      </c>
    </row>
    <row r="829" spans="4:4" ht="17.649999999999999" x14ac:dyDescent="0.5">
      <c r="D829" s="3" t="s">
        <v>41</v>
      </c>
    </row>
    <row r="830" spans="4:4" ht="17.649999999999999" x14ac:dyDescent="0.5">
      <c r="D830" s="3" t="s">
        <v>109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84</v>
      </c>
    </row>
    <row r="833" spans="4:4" ht="17.649999999999999" x14ac:dyDescent="0.5">
      <c r="D833" s="3" t="s">
        <v>124</v>
      </c>
    </row>
    <row r="834" spans="4:4" ht="17.649999999999999" x14ac:dyDescent="0.5">
      <c r="D834" s="3" t="s">
        <v>128</v>
      </c>
    </row>
    <row r="835" spans="4:4" ht="17.649999999999999" x14ac:dyDescent="0.5">
      <c r="D835" s="3" t="s">
        <v>75</v>
      </c>
    </row>
    <row r="836" spans="4:4" ht="17.649999999999999" x14ac:dyDescent="0.5">
      <c r="D836" s="3" t="s">
        <v>87</v>
      </c>
    </row>
    <row r="837" spans="4:4" ht="17.649999999999999" x14ac:dyDescent="0.5">
      <c r="D837" s="3" t="s">
        <v>128</v>
      </c>
    </row>
    <row r="838" spans="4:4" ht="17.649999999999999" x14ac:dyDescent="0.5">
      <c r="D838" s="3" t="s">
        <v>101</v>
      </c>
    </row>
    <row r="839" spans="4:4" ht="17.649999999999999" x14ac:dyDescent="0.5">
      <c r="D839" s="3" t="s">
        <v>80</v>
      </c>
    </row>
    <row r="840" spans="4:4" ht="17.649999999999999" x14ac:dyDescent="0.5">
      <c r="D840" s="3" t="s">
        <v>83</v>
      </c>
    </row>
    <row r="841" spans="4:4" ht="17.649999999999999" x14ac:dyDescent="0.5">
      <c r="D841" s="3" t="s">
        <v>43</v>
      </c>
    </row>
    <row r="842" spans="4:4" ht="17.649999999999999" x14ac:dyDescent="0.5">
      <c r="D842" s="3" t="s">
        <v>63</v>
      </c>
    </row>
    <row r="843" spans="4:4" ht="17.649999999999999" x14ac:dyDescent="0.5">
      <c r="D843" s="3" t="s">
        <v>55</v>
      </c>
    </row>
    <row r="844" spans="4:4" ht="17.649999999999999" x14ac:dyDescent="0.5">
      <c r="D844" s="3" t="s">
        <v>129</v>
      </c>
    </row>
    <row r="845" spans="4:4" ht="17.649999999999999" x14ac:dyDescent="0.5">
      <c r="D845" s="3" t="s">
        <v>85</v>
      </c>
    </row>
    <row r="846" spans="4:4" ht="17.649999999999999" x14ac:dyDescent="0.5">
      <c r="D846" s="3" t="s">
        <v>77</v>
      </c>
    </row>
    <row r="847" spans="4:4" ht="17.649999999999999" x14ac:dyDescent="0.5">
      <c r="D847" s="3" t="s">
        <v>132</v>
      </c>
    </row>
    <row r="848" spans="4:4" ht="17.649999999999999" x14ac:dyDescent="0.5">
      <c r="D848" s="3" t="s">
        <v>94</v>
      </c>
    </row>
    <row r="849" spans="4:4" ht="17.649999999999999" x14ac:dyDescent="0.5">
      <c r="D849" s="3" t="s">
        <v>41</v>
      </c>
    </row>
    <row r="850" spans="4:4" ht="17.649999999999999" x14ac:dyDescent="0.5">
      <c r="D850" s="3" t="s">
        <v>84</v>
      </c>
    </row>
    <row r="851" spans="4:4" ht="17.649999999999999" x14ac:dyDescent="0.5">
      <c r="D851" s="3" t="s">
        <v>54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43</v>
      </c>
    </row>
    <row r="854" spans="4:4" ht="17.649999999999999" x14ac:dyDescent="0.5">
      <c r="D854" s="3" t="s">
        <v>115</v>
      </c>
    </row>
    <row r="855" spans="4:4" ht="17.649999999999999" x14ac:dyDescent="0.5">
      <c r="D855" s="3" t="s">
        <v>133</v>
      </c>
    </row>
    <row r="856" spans="4:4" ht="17.649999999999999" x14ac:dyDescent="0.5">
      <c r="D856" s="3" t="s">
        <v>115</v>
      </c>
    </row>
    <row r="857" spans="4:4" ht="17.649999999999999" x14ac:dyDescent="0.5">
      <c r="D857" s="3" t="s">
        <v>78</v>
      </c>
    </row>
    <row r="858" spans="4:4" ht="17.649999999999999" x14ac:dyDescent="0.5">
      <c r="D858" s="3" t="s">
        <v>93</v>
      </c>
    </row>
    <row r="859" spans="4:4" ht="17.649999999999999" x14ac:dyDescent="0.5">
      <c r="D859" s="3" t="s">
        <v>81</v>
      </c>
    </row>
    <row r="860" spans="4:4" ht="17.649999999999999" x14ac:dyDescent="0.5">
      <c r="D860" s="3" t="s">
        <v>65</v>
      </c>
    </row>
    <row r="861" spans="4:4" ht="17.649999999999999" x14ac:dyDescent="0.5">
      <c r="D861" s="3" t="s">
        <v>75</v>
      </c>
    </row>
    <row r="862" spans="4:4" ht="17.649999999999999" x14ac:dyDescent="0.5">
      <c r="D862" s="3" t="s">
        <v>67</v>
      </c>
    </row>
    <row r="863" spans="4:4" ht="17.649999999999999" x14ac:dyDescent="0.5">
      <c r="D863" s="3" t="s">
        <v>91</v>
      </c>
    </row>
    <row r="864" spans="4:4" ht="17.649999999999999" x14ac:dyDescent="0.5">
      <c r="D864" s="3" t="s">
        <v>122</v>
      </c>
    </row>
    <row r="865" spans="4:4" ht="17.649999999999999" x14ac:dyDescent="0.5">
      <c r="D865" s="3" t="s">
        <v>49</v>
      </c>
    </row>
    <row r="866" spans="4:4" ht="17.649999999999999" x14ac:dyDescent="0.5">
      <c r="D866" s="3" t="s">
        <v>105</v>
      </c>
    </row>
    <row r="867" spans="4:4" ht="17.649999999999999" x14ac:dyDescent="0.5">
      <c r="D867" s="3" t="s">
        <v>53</v>
      </c>
    </row>
    <row r="868" spans="4:4" ht="17.649999999999999" x14ac:dyDescent="0.5">
      <c r="D868" s="3" t="s">
        <v>85</v>
      </c>
    </row>
    <row r="869" spans="4:4" ht="17.649999999999999" x14ac:dyDescent="0.5">
      <c r="D869" s="3" t="s">
        <v>50</v>
      </c>
    </row>
    <row r="870" spans="4:4" ht="17.649999999999999" x14ac:dyDescent="0.5">
      <c r="D870" s="3" t="s">
        <v>118</v>
      </c>
    </row>
    <row r="871" spans="4:4" ht="17.649999999999999" x14ac:dyDescent="0.5">
      <c r="D871" s="3" t="s">
        <v>50</v>
      </c>
    </row>
    <row r="872" spans="4:4" ht="17.649999999999999" x14ac:dyDescent="0.5">
      <c r="D872" s="3" t="s">
        <v>106</v>
      </c>
    </row>
    <row r="873" spans="4:4" ht="17.649999999999999" x14ac:dyDescent="0.5">
      <c r="D873" s="3" t="s">
        <v>49</v>
      </c>
    </row>
    <row r="874" spans="4:4" ht="17.649999999999999" x14ac:dyDescent="0.5">
      <c r="D874" s="3" t="s">
        <v>104</v>
      </c>
    </row>
    <row r="875" spans="4:4" ht="17.649999999999999" x14ac:dyDescent="0.5">
      <c r="D875" s="3" t="s">
        <v>43</v>
      </c>
    </row>
    <row r="876" spans="4:4" ht="17.649999999999999" x14ac:dyDescent="0.5">
      <c r="D876" s="3" t="s">
        <v>84</v>
      </c>
    </row>
    <row r="877" spans="4:4" ht="17.649999999999999" x14ac:dyDescent="0.5">
      <c r="D877" s="3" t="s">
        <v>80</v>
      </c>
    </row>
    <row r="878" spans="4:4" ht="17.649999999999999" x14ac:dyDescent="0.5">
      <c r="D878" s="3" t="s">
        <v>55</v>
      </c>
    </row>
    <row r="879" spans="4:4" ht="17.649999999999999" x14ac:dyDescent="0.5">
      <c r="D879" s="3" t="s">
        <v>60</v>
      </c>
    </row>
    <row r="880" spans="4:4" ht="17.649999999999999" x14ac:dyDescent="0.5">
      <c r="D880" s="3" t="s">
        <v>53</v>
      </c>
    </row>
    <row r="881" spans="4:4" ht="17.649999999999999" x14ac:dyDescent="0.5">
      <c r="D881" s="3" t="s">
        <v>87</v>
      </c>
    </row>
    <row r="882" spans="4:4" ht="17.649999999999999" x14ac:dyDescent="0.5">
      <c r="D882" s="3" t="s">
        <v>63</v>
      </c>
    </row>
    <row r="883" spans="4:4" ht="17.649999999999999" x14ac:dyDescent="0.5">
      <c r="D883" s="3" t="s">
        <v>92</v>
      </c>
    </row>
    <row r="884" spans="4:4" ht="17.649999999999999" x14ac:dyDescent="0.5">
      <c r="D884" s="3" t="s">
        <v>71</v>
      </c>
    </row>
    <row r="885" spans="4:4" ht="17.649999999999999" x14ac:dyDescent="0.5">
      <c r="D885" s="3" t="s">
        <v>84</v>
      </c>
    </row>
    <row r="886" spans="4:4" ht="17.649999999999999" x14ac:dyDescent="0.5">
      <c r="D886" s="3" t="s">
        <v>43</v>
      </c>
    </row>
    <row r="887" spans="4:4" ht="17.649999999999999" x14ac:dyDescent="0.5">
      <c r="D887" s="3" t="s">
        <v>115</v>
      </c>
    </row>
    <row r="888" spans="4:4" ht="17.649999999999999" x14ac:dyDescent="0.5">
      <c r="D888" s="3" t="s">
        <v>51</v>
      </c>
    </row>
    <row r="889" spans="4:4" ht="17.649999999999999" x14ac:dyDescent="0.5">
      <c r="D889" s="3" t="s">
        <v>87</v>
      </c>
    </row>
    <row r="890" spans="4:4" ht="17.649999999999999" x14ac:dyDescent="0.5">
      <c r="D890" s="3" t="s">
        <v>91</v>
      </c>
    </row>
    <row r="891" spans="4:4" ht="17.649999999999999" x14ac:dyDescent="0.5">
      <c r="D891" s="3" t="s">
        <v>101</v>
      </c>
    </row>
    <row r="892" spans="4:4" ht="17.649999999999999" x14ac:dyDescent="0.5">
      <c r="D892" s="3" t="s">
        <v>107</v>
      </c>
    </row>
    <row r="893" spans="4:4" ht="17.649999999999999" x14ac:dyDescent="0.5">
      <c r="D893" s="3" t="s">
        <v>48</v>
      </c>
    </row>
    <row r="894" spans="4:4" ht="17.649999999999999" x14ac:dyDescent="0.5">
      <c r="D894" s="3" t="s">
        <v>128</v>
      </c>
    </row>
    <row r="895" spans="4:4" ht="17.649999999999999" x14ac:dyDescent="0.5">
      <c r="D895" s="3" t="s">
        <v>67</v>
      </c>
    </row>
    <row r="896" spans="4:4" ht="17.649999999999999" x14ac:dyDescent="0.5">
      <c r="D896" s="3" t="s">
        <v>80</v>
      </c>
    </row>
    <row r="897" spans="4:4" ht="17.649999999999999" x14ac:dyDescent="0.5">
      <c r="D897" s="3" t="s">
        <v>93</v>
      </c>
    </row>
    <row r="898" spans="4:4" ht="17.649999999999999" x14ac:dyDescent="0.5">
      <c r="D898" s="3" t="s">
        <v>103</v>
      </c>
    </row>
    <row r="899" spans="4:4" ht="17.649999999999999" x14ac:dyDescent="0.5">
      <c r="D899" s="3" t="s">
        <v>132</v>
      </c>
    </row>
    <row r="900" spans="4:4" ht="17.649999999999999" x14ac:dyDescent="0.5">
      <c r="D900" s="3" t="s">
        <v>46</v>
      </c>
    </row>
    <row r="901" spans="4:4" ht="17.649999999999999" x14ac:dyDescent="0.5">
      <c r="D901" s="3" t="s">
        <v>112</v>
      </c>
    </row>
    <row r="902" spans="4:4" ht="17.649999999999999" x14ac:dyDescent="0.5">
      <c r="D902" s="3" t="s">
        <v>59</v>
      </c>
    </row>
    <row r="903" spans="4:4" ht="17.649999999999999" x14ac:dyDescent="0.5">
      <c r="D903" s="3" t="s">
        <v>52</v>
      </c>
    </row>
    <row r="904" spans="4:4" ht="17.649999999999999" x14ac:dyDescent="0.5">
      <c r="D904" s="3" t="s">
        <v>61</v>
      </c>
    </row>
    <row r="905" spans="4:4" ht="17.649999999999999" x14ac:dyDescent="0.5">
      <c r="D905" s="3" t="s">
        <v>133</v>
      </c>
    </row>
    <row r="906" spans="4:4" ht="17.649999999999999" x14ac:dyDescent="0.5">
      <c r="D906" s="3" t="s">
        <v>73</v>
      </c>
    </row>
    <row r="907" spans="4:4" ht="17.649999999999999" x14ac:dyDescent="0.5">
      <c r="D907" s="3" t="s">
        <v>112</v>
      </c>
    </row>
    <row r="908" spans="4:4" ht="17.649999999999999" x14ac:dyDescent="0.5">
      <c r="D908" s="3" t="s">
        <v>79</v>
      </c>
    </row>
    <row r="909" spans="4:4" ht="17.649999999999999" x14ac:dyDescent="0.5">
      <c r="D909" s="3" t="s">
        <v>61</v>
      </c>
    </row>
    <row r="910" spans="4:4" ht="17.649999999999999" x14ac:dyDescent="0.5">
      <c r="D910" s="3" t="s">
        <v>126</v>
      </c>
    </row>
    <row r="911" spans="4:4" ht="17.649999999999999" x14ac:dyDescent="0.5">
      <c r="D911" s="3" t="s">
        <v>103</v>
      </c>
    </row>
    <row r="912" spans="4:4" ht="17.649999999999999" x14ac:dyDescent="0.5">
      <c r="D912" s="3" t="s">
        <v>65</v>
      </c>
    </row>
    <row r="913" spans="4:4" ht="17.649999999999999" x14ac:dyDescent="0.5">
      <c r="D913" s="3" t="s">
        <v>120</v>
      </c>
    </row>
    <row r="914" spans="4:4" ht="17.649999999999999" x14ac:dyDescent="0.5">
      <c r="D914" s="3" t="s">
        <v>127</v>
      </c>
    </row>
    <row r="915" spans="4:4" ht="17.649999999999999" x14ac:dyDescent="0.5">
      <c r="D915" s="3" t="s">
        <v>78</v>
      </c>
    </row>
    <row r="916" spans="4:4" ht="17.649999999999999" x14ac:dyDescent="0.5">
      <c r="D916" s="3" t="s">
        <v>96</v>
      </c>
    </row>
    <row r="917" spans="4:4" ht="17.649999999999999" x14ac:dyDescent="0.5">
      <c r="D917" s="3" t="s">
        <v>97</v>
      </c>
    </row>
    <row r="918" spans="4:4" ht="17.649999999999999" x14ac:dyDescent="0.5">
      <c r="D918" s="3" t="s">
        <v>84</v>
      </c>
    </row>
    <row r="919" spans="4:4" ht="17.649999999999999" x14ac:dyDescent="0.5">
      <c r="D919" s="3" t="s">
        <v>117</v>
      </c>
    </row>
    <row r="920" spans="4:4" ht="17.649999999999999" x14ac:dyDescent="0.5">
      <c r="D920" s="3" t="s">
        <v>83</v>
      </c>
    </row>
    <row r="921" spans="4:4" ht="17.649999999999999" x14ac:dyDescent="0.5">
      <c r="D921" s="3" t="s">
        <v>105</v>
      </c>
    </row>
    <row r="922" spans="4:4" ht="17.649999999999999" x14ac:dyDescent="0.5">
      <c r="D922" s="3" t="s">
        <v>52</v>
      </c>
    </row>
    <row r="923" spans="4:4" ht="17.649999999999999" x14ac:dyDescent="0.5">
      <c r="D923" s="3" t="s">
        <v>65</v>
      </c>
    </row>
    <row r="924" spans="4:4" ht="17.649999999999999" x14ac:dyDescent="0.5">
      <c r="D924" s="3" t="s">
        <v>67</v>
      </c>
    </row>
    <row r="925" spans="4:4" ht="17.649999999999999" x14ac:dyDescent="0.5">
      <c r="D925" s="3" t="s">
        <v>120</v>
      </c>
    </row>
    <row r="926" spans="4:4" ht="17.649999999999999" x14ac:dyDescent="0.5">
      <c r="D926" s="3" t="s">
        <v>94</v>
      </c>
    </row>
    <row r="927" spans="4:4" ht="17.649999999999999" x14ac:dyDescent="0.5">
      <c r="D927" s="3" t="s">
        <v>85</v>
      </c>
    </row>
    <row r="928" spans="4:4" ht="17.649999999999999" x14ac:dyDescent="0.5">
      <c r="D928" s="3" t="s">
        <v>91</v>
      </c>
    </row>
    <row r="929" spans="4:4" ht="17.649999999999999" x14ac:dyDescent="0.5">
      <c r="D929" s="3" t="s">
        <v>61</v>
      </c>
    </row>
    <row r="930" spans="4:4" ht="17.649999999999999" x14ac:dyDescent="0.5">
      <c r="D930" s="3" t="s">
        <v>75</v>
      </c>
    </row>
    <row r="931" spans="4:4" ht="17.649999999999999" x14ac:dyDescent="0.5">
      <c r="D931" s="3" t="s">
        <v>135</v>
      </c>
    </row>
    <row r="932" spans="4:4" ht="17.649999999999999" x14ac:dyDescent="0.5">
      <c r="D932" s="3" t="s">
        <v>115</v>
      </c>
    </row>
    <row r="933" spans="4:4" ht="17.649999999999999" x14ac:dyDescent="0.5">
      <c r="D933" s="3" t="s">
        <v>74</v>
      </c>
    </row>
    <row r="934" spans="4:4" ht="17.649999999999999" x14ac:dyDescent="0.5">
      <c r="D934" s="3" t="s">
        <v>115</v>
      </c>
    </row>
    <row r="935" spans="4:4" ht="17.649999999999999" x14ac:dyDescent="0.5">
      <c r="D935" s="3" t="s">
        <v>83</v>
      </c>
    </row>
    <row r="936" spans="4:4" ht="17.649999999999999" x14ac:dyDescent="0.5">
      <c r="D936" s="3" t="s">
        <v>79</v>
      </c>
    </row>
    <row r="937" spans="4:4" ht="17.649999999999999" x14ac:dyDescent="0.5">
      <c r="D937" s="3" t="s">
        <v>105</v>
      </c>
    </row>
    <row r="938" spans="4:4" ht="17.649999999999999" x14ac:dyDescent="0.5">
      <c r="D938" s="3" t="s">
        <v>53</v>
      </c>
    </row>
    <row r="939" spans="4:4" ht="17.649999999999999" x14ac:dyDescent="0.5">
      <c r="D939" s="3" t="s">
        <v>52</v>
      </c>
    </row>
    <row r="940" spans="4:4" ht="17.649999999999999" x14ac:dyDescent="0.5">
      <c r="D940" s="3" t="s">
        <v>80</v>
      </c>
    </row>
    <row r="941" spans="4:4" ht="17.649999999999999" x14ac:dyDescent="0.5">
      <c r="D941" s="3" t="s">
        <v>53</v>
      </c>
    </row>
    <row r="942" spans="4:4" ht="17.649999999999999" x14ac:dyDescent="0.5">
      <c r="D942" s="3" t="s">
        <v>78</v>
      </c>
    </row>
    <row r="943" spans="4:4" ht="17.649999999999999" x14ac:dyDescent="0.5">
      <c r="D943" s="3" t="s">
        <v>75</v>
      </c>
    </row>
    <row r="944" spans="4:4" ht="17.649999999999999" x14ac:dyDescent="0.5">
      <c r="D944" s="3" t="s">
        <v>67</v>
      </c>
    </row>
    <row r="945" spans="4:4" ht="17.649999999999999" x14ac:dyDescent="0.5">
      <c r="D945" s="3" t="s">
        <v>45</v>
      </c>
    </row>
    <row r="946" spans="4:4" ht="17.649999999999999" x14ac:dyDescent="0.5">
      <c r="D946" s="3" t="s">
        <v>108</v>
      </c>
    </row>
    <row r="947" spans="4:4" ht="17.649999999999999" x14ac:dyDescent="0.5">
      <c r="D947" s="3" t="s">
        <v>118</v>
      </c>
    </row>
    <row r="948" spans="4:4" ht="17.649999999999999" x14ac:dyDescent="0.5">
      <c r="D948" s="3" t="s">
        <v>64</v>
      </c>
    </row>
    <row r="949" spans="4:4" ht="17.649999999999999" x14ac:dyDescent="0.5">
      <c r="D949" s="3" t="s">
        <v>112</v>
      </c>
    </row>
    <row r="950" spans="4:4" ht="17.649999999999999" x14ac:dyDescent="0.5">
      <c r="D950" s="3" t="s">
        <v>96</v>
      </c>
    </row>
    <row r="951" spans="4:4" ht="17.649999999999999" x14ac:dyDescent="0.5">
      <c r="D951" s="3" t="s">
        <v>80</v>
      </c>
    </row>
    <row r="952" spans="4:4" ht="17.649999999999999" x14ac:dyDescent="0.5">
      <c r="D952" s="3" t="s">
        <v>113</v>
      </c>
    </row>
    <row r="953" spans="4:4" ht="17.649999999999999" x14ac:dyDescent="0.5">
      <c r="D953" s="3" t="s">
        <v>89</v>
      </c>
    </row>
    <row r="954" spans="4:4" ht="17.649999999999999" x14ac:dyDescent="0.5">
      <c r="D954" s="3" t="s">
        <v>83</v>
      </c>
    </row>
    <row r="955" spans="4:4" ht="17.649999999999999" x14ac:dyDescent="0.5">
      <c r="D955" s="3" t="s">
        <v>66</v>
      </c>
    </row>
    <row r="956" spans="4:4" ht="17.649999999999999" x14ac:dyDescent="0.5">
      <c r="D956" s="3" t="s">
        <v>115</v>
      </c>
    </row>
    <row r="957" spans="4:4" ht="17.649999999999999" x14ac:dyDescent="0.5">
      <c r="D957" s="3" t="s">
        <v>61</v>
      </c>
    </row>
    <row r="958" spans="4:4" ht="17.649999999999999" x14ac:dyDescent="0.5">
      <c r="D958" s="3" t="s">
        <v>136</v>
      </c>
    </row>
    <row r="959" spans="4:4" ht="17.649999999999999" x14ac:dyDescent="0.5">
      <c r="D959" s="3" t="s">
        <v>105</v>
      </c>
    </row>
    <row r="960" spans="4:4" ht="17.649999999999999" x14ac:dyDescent="0.5">
      <c r="D960" s="3" t="s">
        <v>96</v>
      </c>
    </row>
    <row r="961" spans="4:4" ht="17.649999999999999" x14ac:dyDescent="0.5">
      <c r="D961" s="3" t="s">
        <v>52</v>
      </c>
    </row>
    <row r="962" spans="4:4" ht="17.649999999999999" x14ac:dyDescent="0.5">
      <c r="D962" s="3" t="s">
        <v>103</v>
      </c>
    </row>
    <row r="963" spans="4:4" ht="17.649999999999999" x14ac:dyDescent="0.5">
      <c r="D963" s="3" t="s">
        <v>101</v>
      </c>
    </row>
    <row r="964" spans="4:4" ht="17.649999999999999" x14ac:dyDescent="0.5">
      <c r="D964" s="3" t="s">
        <v>57</v>
      </c>
    </row>
    <row r="965" spans="4:4" ht="17.649999999999999" x14ac:dyDescent="0.5">
      <c r="D965" s="3" t="s">
        <v>73</v>
      </c>
    </row>
    <row r="966" spans="4:4" ht="17.649999999999999" x14ac:dyDescent="0.5">
      <c r="D966" s="3" t="s">
        <v>43</v>
      </c>
    </row>
    <row r="967" spans="4:4" ht="17.649999999999999" x14ac:dyDescent="0.5">
      <c r="D967" s="3" t="s">
        <v>128</v>
      </c>
    </row>
    <row r="968" spans="4:4" ht="17.649999999999999" x14ac:dyDescent="0.5">
      <c r="D968" s="3" t="s">
        <v>54</v>
      </c>
    </row>
    <row r="969" spans="4:4" ht="17.649999999999999" x14ac:dyDescent="0.5">
      <c r="D969" s="3" t="s">
        <v>63</v>
      </c>
    </row>
    <row r="970" spans="4:4" ht="17.649999999999999" x14ac:dyDescent="0.5">
      <c r="D970" s="3" t="s">
        <v>75</v>
      </c>
    </row>
    <row r="971" spans="4:4" ht="17.649999999999999" x14ac:dyDescent="0.5">
      <c r="D971" s="3" t="s">
        <v>83</v>
      </c>
    </row>
    <row r="972" spans="4:4" ht="17.649999999999999" x14ac:dyDescent="0.5">
      <c r="D972" s="3" t="s">
        <v>50</v>
      </c>
    </row>
    <row r="973" spans="4:4" ht="17.649999999999999" x14ac:dyDescent="0.5">
      <c r="D973" s="3" t="s">
        <v>67</v>
      </c>
    </row>
    <row r="974" spans="4:4" ht="17.649999999999999" x14ac:dyDescent="0.5">
      <c r="D974" s="3" t="s">
        <v>111</v>
      </c>
    </row>
    <row r="975" spans="4:4" ht="17.649999999999999" x14ac:dyDescent="0.5">
      <c r="D975" s="3" t="s">
        <v>89</v>
      </c>
    </row>
    <row r="976" spans="4:4" ht="17.649999999999999" x14ac:dyDescent="0.5">
      <c r="D976" s="3" t="s">
        <v>56</v>
      </c>
    </row>
    <row r="977" spans="4:4" ht="17.649999999999999" x14ac:dyDescent="0.5">
      <c r="D977" s="3" t="s">
        <v>96</v>
      </c>
    </row>
    <row r="978" spans="4:4" ht="17.649999999999999" x14ac:dyDescent="0.5">
      <c r="D978" s="3" t="s">
        <v>112</v>
      </c>
    </row>
    <row r="979" spans="4:4" ht="17.649999999999999" x14ac:dyDescent="0.5">
      <c r="D979" s="3" t="s">
        <v>68</v>
      </c>
    </row>
    <row r="980" spans="4:4" ht="17.649999999999999" x14ac:dyDescent="0.5">
      <c r="D980" s="3" t="s">
        <v>66</v>
      </c>
    </row>
    <row r="981" spans="4:4" ht="17.649999999999999" x14ac:dyDescent="0.5">
      <c r="D981" s="3" t="s">
        <v>67</v>
      </c>
    </row>
    <row r="982" spans="4:4" ht="17.649999999999999" x14ac:dyDescent="0.5">
      <c r="D982" s="3" t="s">
        <v>107</v>
      </c>
    </row>
    <row r="983" spans="4:4" ht="17.649999999999999" x14ac:dyDescent="0.5">
      <c r="D983" s="3" t="s">
        <v>41</v>
      </c>
    </row>
    <row r="984" spans="4:4" ht="17.649999999999999" x14ac:dyDescent="0.5">
      <c r="D984" s="3" t="s">
        <v>62</v>
      </c>
    </row>
    <row r="985" spans="4:4" ht="17.649999999999999" x14ac:dyDescent="0.5">
      <c r="D985" s="3" t="s">
        <v>105</v>
      </c>
    </row>
    <row r="986" spans="4:4" ht="17.649999999999999" x14ac:dyDescent="0.5">
      <c r="D986" s="3" t="s">
        <v>96</v>
      </c>
    </row>
    <row r="987" spans="4:4" ht="17.649999999999999" x14ac:dyDescent="0.5">
      <c r="D987" s="3" t="s">
        <v>79</v>
      </c>
    </row>
    <row r="988" spans="4:4" ht="17.649999999999999" x14ac:dyDescent="0.5">
      <c r="D988" s="3" t="s">
        <v>69</v>
      </c>
    </row>
    <row r="989" spans="4:4" ht="17.649999999999999" x14ac:dyDescent="0.5">
      <c r="D989" s="3" t="s">
        <v>63</v>
      </c>
    </row>
    <row r="990" spans="4:4" ht="17.649999999999999" x14ac:dyDescent="0.5">
      <c r="D990" s="3" t="s">
        <v>67</v>
      </c>
    </row>
    <row r="991" spans="4:4" ht="17.649999999999999" x14ac:dyDescent="0.5">
      <c r="D991" s="3" t="s">
        <v>107</v>
      </c>
    </row>
    <row r="992" spans="4:4" ht="17.649999999999999" x14ac:dyDescent="0.5">
      <c r="D992" s="3" t="s">
        <v>54</v>
      </c>
    </row>
    <row r="993" spans="4:4" ht="17.649999999999999" x14ac:dyDescent="0.5">
      <c r="D993" s="3" t="s">
        <v>101</v>
      </c>
    </row>
    <row r="994" spans="4:4" ht="17.649999999999999" x14ac:dyDescent="0.5">
      <c r="D994" s="3" t="s">
        <v>43</v>
      </c>
    </row>
    <row r="995" spans="4:4" ht="17.649999999999999" x14ac:dyDescent="0.5">
      <c r="D995" s="3" t="s">
        <v>135</v>
      </c>
    </row>
    <row r="996" spans="4:4" ht="17.649999999999999" x14ac:dyDescent="0.5">
      <c r="D996" s="3" t="s">
        <v>91</v>
      </c>
    </row>
    <row r="997" spans="4:4" ht="17.649999999999999" x14ac:dyDescent="0.5">
      <c r="D997" s="3" t="s">
        <v>63</v>
      </c>
    </row>
    <row r="998" spans="4:4" ht="17.649999999999999" x14ac:dyDescent="0.5">
      <c r="D998" s="3" t="s">
        <v>90</v>
      </c>
    </row>
    <row r="999" spans="4:4" ht="17.649999999999999" x14ac:dyDescent="0.5">
      <c r="D999" s="3" t="s">
        <v>112</v>
      </c>
    </row>
    <row r="1000" spans="4:4" ht="17.649999999999999" x14ac:dyDescent="0.5">
      <c r="D1000" s="3" t="s">
        <v>133</v>
      </c>
    </row>
    <row r="1001" spans="4:4" ht="17.649999999999999" x14ac:dyDescent="0.5">
      <c r="D1001" s="3" t="s">
        <v>52</v>
      </c>
    </row>
    <row r="1002" spans="4:4" ht="17.649999999999999" x14ac:dyDescent="0.5">
      <c r="D1002" s="3" t="s">
        <v>54</v>
      </c>
    </row>
    <row r="1003" spans="4:4" ht="17.649999999999999" x14ac:dyDescent="0.5">
      <c r="D1003" s="3" t="s">
        <v>106</v>
      </c>
    </row>
    <row r="1004" spans="4:4" ht="17.649999999999999" x14ac:dyDescent="0.5">
      <c r="D1004" s="3" t="s">
        <v>48</v>
      </c>
    </row>
    <row r="1005" spans="4:4" ht="17.649999999999999" x14ac:dyDescent="0.5">
      <c r="D1005" s="3" t="s">
        <v>56</v>
      </c>
    </row>
    <row r="1006" spans="4:4" ht="17.649999999999999" x14ac:dyDescent="0.5">
      <c r="D1006" s="3" t="s">
        <v>63</v>
      </c>
    </row>
    <row r="1007" spans="4:4" ht="17.649999999999999" x14ac:dyDescent="0.5">
      <c r="D1007" s="3" t="s">
        <v>107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67</v>
      </c>
    </row>
    <row r="1010" spans="4:4" ht="17.649999999999999" x14ac:dyDescent="0.5">
      <c r="D1010" s="3" t="s">
        <v>126</v>
      </c>
    </row>
    <row r="1011" spans="4:4" ht="17.649999999999999" x14ac:dyDescent="0.5">
      <c r="D1011" s="3" t="s">
        <v>43</v>
      </c>
    </row>
    <row r="1012" spans="4:4" ht="17.649999999999999" x14ac:dyDescent="0.5">
      <c r="D1012" s="3" t="s">
        <v>75</v>
      </c>
    </row>
    <row r="1013" spans="4:4" ht="17.649999999999999" x14ac:dyDescent="0.5">
      <c r="D1013" s="3" t="s">
        <v>68</v>
      </c>
    </row>
    <row r="1014" spans="4:4" ht="17.649999999999999" x14ac:dyDescent="0.5">
      <c r="D1014" s="3" t="s">
        <v>64</v>
      </c>
    </row>
    <row r="1015" spans="4:4" ht="17.649999999999999" x14ac:dyDescent="0.5">
      <c r="D1015" s="3" t="s">
        <v>117</v>
      </c>
    </row>
    <row r="1016" spans="4:4" ht="17.649999999999999" x14ac:dyDescent="0.5">
      <c r="D1016" s="3" t="s">
        <v>43</v>
      </c>
    </row>
    <row r="1017" spans="4:4" ht="17.649999999999999" x14ac:dyDescent="0.5">
      <c r="D1017" s="3" t="s">
        <v>63</v>
      </c>
    </row>
    <row r="1018" spans="4:4" ht="17.649999999999999" x14ac:dyDescent="0.5">
      <c r="D1018" s="3" t="s">
        <v>68</v>
      </c>
    </row>
    <row r="1019" spans="4:4" ht="17.649999999999999" x14ac:dyDescent="0.5">
      <c r="D1019" s="3" t="s">
        <v>120</v>
      </c>
    </row>
    <row r="1020" spans="4:4" ht="17.649999999999999" x14ac:dyDescent="0.5">
      <c r="D1020" s="3" t="s">
        <v>81</v>
      </c>
    </row>
    <row r="1021" spans="4:4" ht="17.649999999999999" x14ac:dyDescent="0.5">
      <c r="D1021" s="3" t="s">
        <v>122</v>
      </c>
    </row>
    <row r="1022" spans="4:4" ht="17.649999999999999" x14ac:dyDescent="0.5">
      <c r="D1022" s="3" t="s">
        <v>91</v>
      </c>
    </row>
    <row r="1023" spans="4:4" ht="17.649999999999999" x14ac:dyDescent="0.5">
      <c r="D1023" s="3" t="s">
        <v>116</v>
      </c>
    </row>
    <row r="1024" spans="4:4" ht="17.649999999999999" x14ac:dyDescent="0.5">
      <c r="D1024" s="3" t="s">
        <v>103</v>
      </c>
    </row>
    <row r="1025" spans="4:4" ht="17.649999999999999" x14ac:dyDescent="0.5">
      <c r="D1025" s="3" t="s">
        <v>53</v>
      </c>
    </row>
    <row r="1026" spans="4:4" ht="17.649999999999999" x14ac:dyDescent="0.5">
      <c r="D1026" s="3" t="s">
        <v>81</v>
      </c>
    </row>
    <row r="1027" spans="4:4" ht="17.649999999999999" x14ac:dyDescent="0.5">
      <c r="D1027" s="3" t="s">
        <v>83</v>
      </c>
    </row>
    <row r="1028" spans="4:4" ht="17.649999999999999" x14ac:dyDescent="0.5">
      <c r="D1028" s="3" t="s">
        <v>67</v>
      </c>
    </row>
    <row r="1029" spans="4:4" ht="17.649999999999999" x14ac:dyDescent="0.5">
      <c r="D1029" s="3" t="s">
        <v>105</v>
      </c>
    </row>
    <row r="1030" spans="4:4" ht="17.649999999999999" x14ac:dyDescent="0.5">
      <c r="D1030" s="3" t="s">
        <v>46</v>
      </c>
    </row>
    <row r="1031" spans="4:4" ht="17.649999999999999" x14ac:dyDescent="0.5">
      <c r="D1031" s="3" t="s">
        <v>46</v>
      </c>
    </row>
    <row r="1032" spans="4:4" ht="17.649999999999999" x14ac:dyDescent="0.5">
      <c r="D1032" s="3" t="s">
        <v>98</v>
      </c>
    </row>
    <row r="1033" spans="4:4" ht="17.649999999999999" x14ac:dyDescent="0.5">
      <c r="D1033" s="3" t="s">
        <v>125</v>
      </c>
    </row>
    <row r="1034" spans="4:4" ht="17.649999999999999" x14ac:dyDescent="0.5">
      <c r="D1034" s="3" t="s">
        <v>105</v>
      </c>
    </row>
    <row r="1035" spans="4:4" ht="17.649999999999999" x14ac:dyDescent="0.5">
      <c r="D1035" s="3" t="s">
        <v>44</v>
      </c>
    </row>
    <row r="1036" spans="4:4" ht="17.649999999999999" x14ac:dyDescent="0.5">
      <c r="D1036" s="3" t="s">
        <v>41</v>
      </c>
    </row>
    <row r="1037" spans="4:4" ht="17.649999999999999" x14ac:dyDescent="0.5">
      <c r="D1037" s="3" t="s">
        <v>107</v>
      </c>
    </row>
    <row r="1038" spans="4:4" ht="17.649999999999999" x14ac:dyDescent="0.5">
      <c r="D1038" s="3" t="s">
        <v>49</v>
      </c>
    </row>
    <row r="1039" spans="4:4" ht="17.649999999999999" x14ac:dyDescent="0.5">
      <c r="D1039" s="3" t="s">
        <v>63</v>
      </c>
    </row>
    <row r="1040" spans="4:4" ht="17.649999999999999" x14ac:dyDescent="0.5">
      <c r="D1040" s="3" t="s">
        <v>89</v>
      </c>
    </row>
    <row r="1041" spans="4:4" ht="17.649999999999999" x14ac:dyDescent="0.5">
      <c r="D1041" s="3" t="s">
        <v>48</v>
      </c>
    </row>
    <row r="1042" spans="4:4" ht="17.649999999999999" x14ac:dyDescent="0.5">
      <c r="D1042" s="3" t="s">
        <v>43</v>
      </c>
    </row>
    <row r="1043" spans="4:4" ht="17.649999999999999" x14ac:dyDescent="0.5">
      <c r="D1043" s="3" t="s">
        <v>117</v>
      </c>
    </row>
    <row r="1044" spans="4:4" ht="17.649999999999999" x14ac:dyDescent="0.5">
      <c r="D1044" s="3" t="s">
        <v>65</v>
      </c>
    </row>
    <row r="1045" spans="4:4" ht="17.649999999999999" x14ac:dyDescent="0.5">
      <c r="D1045" s="3" t="s">
        <v>126</v>
      </c>
    </row>
    <row r="1046" spans="4:4" ht="17.649999999999999" x14ac:dyDescent="0.5">
      <c r="D1046" s="3" t="s">
        <v>44</v>
      </c>
    </row>
    <row r="1047" spans="4:4" ht="17.649999999999999" x14ac:dyDescent="0.5">
      <c r="D1047" s="3" t="s">
        <v>66</v>
      </c>
    </row>
    <row r="1048" spans="4:4" ht="17.649999999999999" x14ac:dyDescent="0.5">
      <c r="D1048" s="3" t="s">
        <v>103</v>
      </c>
    </row>
    <row r="1049" spans="4:4" ht="17.649999999999999" x14ac:dyDescent="0.5">
      <c r="D1049" s="3" t="s">
        <v>48</v>
      </c>
    </row>
    <row r="1050" spans="4:4" ht="17.649999999999999" x14ac:dyDescent="0.5">
      <c r="D1050" s="3" t="s">
        <v>43</v>
      </c>
    </row>
    <row r="1051" spans="4:4" ht="17.649999999999999" x14ac:dyDescent="0.5">
      <c r="D1051" s="3" t="s">
        <v>92</v>
      </c>
    </row>
    <row r="1052" spans="4:4" ht="17.649999999999999" x14ac:dyDescent="0.5">
      <c r="D1052" s="3" t="s">
        <v>60</v>
      </c>
    </row>
    <row r="1053" spans="4:4" ht="17.649999999999999" x14ac:dyDescent="0.5">
      <c r="D1053" s="3" t="s">
        <v>74</v>
      </c>
    </row>
    <row r="1054" spans="4:4" ht="17.649999999999999" x14ac:dyDescent="0.5">
      <c r="D1054" s="3" t="s">
        <v>51</v>
      </c>
    </row>
    <row r="1055" spans="4:4" ht="17.649999999999999" x14ac:dyDescent="0.5">
      <c r="D1055" s="3" t="s">
        <v>73</v>
      </c>
    </row>
    <row r="1056" spans="4:4" ht="17.649999999999999" x14ac:dyDescent="0.5">
      <c r="D1056" s="3" t="s">
        <v>118</v>
      </c>
    </row>
    <row r="1057" spans="4:4" ht="17.649999999999999" x14ac:dyDescent="0.5">
      <c r="D1057" s="3" t="s">
        <v>117</v>
      </c>
    </row>
    <row r="1058" spans="4:4" ht="17.649999999999999" x14ac:dyDescent="0.5">
      <c r="D1058" s="3" t="s">
        <v>103</v>
      </c>
    </row>
    <row r="1059" spans="4:4" ht="17.649999999999999" x14ac:dyDescent="0.5">
      <c r="D1059" s="3" t="s">
        <v>133</v>
      </c>
    </row>
    <row r="1060" spans="4:4" ht="17.649999999999999" x14ac:dyDescent="0.5">
      <c r="D1060" s="3" t="s">
        <v>117</v>
      </c>
    </row>
    <row r="1061" spans="4:4" ht="17.649999999999999" x14ac:dyDescent="0.5">
      <c r="D1061" s="3" t="s">
        <v>127</v>
      </c>
    </row>
    <row r="1062" spans="4:4" ht="17.649999999999999" x14ac:dyDescent="0.5">
      <c r="D1062" s="3" t="s">
        <v>87</v>
      </c>
    </row>
    <row r="1063" spans="4:4" ht="17.649999999999999" x14ac:dyDescent="0.5">
      <c r="D1063" s="3" t="s">
        <v>68</v>
      </c>
    </row>
    <row r="1064" spans="4:4" ht="17.649999999999999" x14ac:dyDescent="0.5">
      <c r="D1064" s="3" t="s">
        <v>55</v>
      </c>
    </row>
    <row r="1065" spans="4:4" ht="17.649999999999999" x14ac:dyDescent="0.5">
      <c r="D1065" s="3" t="s">
        <v>126</v>
      </c>
    </row>
    <row r="1066" spans="4:4" ht="17.649999999999999" x14ac:dyDescent="0.5">
      <c r="D1066" s="3" t="s">
        <v>64</v>
      </c>
    </row>
    <row r="1067" spans="4:4" ht="17.649999999999999" x14ac:dyDescent="0.5">
      <c r="D1067" s="3" t="s">
        <v>130</v>
      </c>
    </row>
    <row r="1068" spans="4:4" ht="17.649999999999999" x14ac:dyDescent="0.5">
      <c r="D1068" s="3" t="s">
        <v>98</v>
      </c>
    </row>
    <row r="1069" spans="4:4" ht="17.649999999999999" x14ac:dyDescent="0.5">
      <c r="D1069" s="3" t="s">
        <v>90</v>
      </c>
    </row>
    <row r="1070" spans="4:4" ht="17.649999999999999" x14ac:dyDescent="0.5">
      <c r="D1070" s="3" t="s">
        <v>65</v>
      </c>
    </row>
    <row r="1071" spans="4:4" ht="17.649999999999999" x14ac:dyDescent="0.5">
      <c r="D1071" s="3" t="s">
        <v>49</v>
      </c>
    </row>
    <row r="1072" spans="4:4" ht="17.649999999999999" x14ac:dyDescent="0.5">
      <c r="D1072" s="3" t="s">
        <v>103</v>
      </c>
    </row>
    <row r="1073" spans="4:4" ht="17.649999999999999" x14ac:dyDescent="0.5">
      <c r="D1073" s="3" t="s">
        <v>94</v>
      </c>
    </row>
    <row r="1074" spans="4:4" ht="17.649999999999999" x14ac:dyDescent="0.5">
      <c r="D1074" s="3" t="s">
        <v>102</v>
      </c>
    </row>
    <row r="1075" spans="4:4" ht="17.649999999999999" x14ac:dyDescent="0.5">
      <c r="D1075" s="3" t="s">
        <v>55</v>
      </c>
    </row>
    <row r="1076" spans="4:4" ht="17.649999999999999" x14ac:dyDescent="0.5">
      <c r="D1076" s="3" t="s">
        <v>133</v>
      </c>
    </row>
    <row r="1077" spans="4:4" ht="17.649999999999999" x14ac:dyDescent="0.5">
      <c r="D1077" s="3" t="s">
        <v>103</v>
      </c>
    </row>
    <row r="1078" spans="4:4" ht="17.649999999999999" x14ac:dyDescent="0.5">
      <c r="D1078" s="3" t="s">
        <v>63</v>
      </c>
    </row>
    <row r="1079" spans="4:4" ht="17.649999999999999" x14ac:dyDescent="0.5">
      <c r="D1079" s="3" t="s">
        <v>72</v>
      </c>
    </row>
    <row r="1080" spans="4:4" ht="17.649999999999999" x14ac:dyDescent="0.5">
      <c r="D1080" s="3" t="s">
        <v>105</v>
      </c>
    </row>
    <row r="1081" spans="4:4" ht="17.649999999999999" x14ac:dyDescent="0.5">
      <c r="D1081" s="3" t="s">
        <v>99</v>
      </c>
    </row>
    <row r="1082" spans="4:4" ht="17.649999999999999" x14ac:dyDescent="0.5">
      <c r="D1082" s="3" t="s">
        <v>127</v>
      </c>
    </row>
    <row r="1083" spans="4:4" ht="17.649999999999999" x14ac:dyDescent="0.5">
      <c r="D1083" s="3" t="s">
        <v>114</v>
      </c>
    </row>
    <row r="1084" spans="4:4" ht="17.649999999999999" x14ac:dyDescent="0.5">
      <c r="D1084" s="3" t="s">
        <v>80</v>
      </c>
    </row>
    <row r="1085" spans="4:4" ht="17.649999999999999" x14ac:dyDescent="0.5">
      <c r="D1085" s="3" t="s">
        <v>46</v>
      </c>
    </row>
    <row r="1086" spans="4:4" ht="17.649999999999999" x14ac:dyDescent="0.5">
      <c r="D1086" s="3" t="s">
        <v>44</v>
      </c>
    </row>
    <row r="1087" spans="4:4" ht="17.649999999999999" x14ac:dyDescent="0.5">
      <c r="D1087" s="3" t="s">
        <v>69</v>
      </c>
    </row>
    <row r="1088" spans="4:4" ht="17.649999999999999" x14ac:dyDescent="0.5">
      <c r="D1088" s="3" t="s">
        <v>52</v>
      </c>
    </row>
    <row r="1089" spans="4:4" ht="17.649999999999999" x14ac:dyDescent="0.5">
      <c r="D1089" s="3" t="s">
        <v>92</v>
      </c>
    </row>
    <row r="1090" spans="4:4" ht="17.649999999999999" x14ac:dyDescent="0.5">
      <c r="D1090" s="3" t="s">
        <v>80</v>
      </c>
    </row>
    <row r="1091" spans="4:4" ht="17.649999999999999" x14ac:dyDescent="0.5">
      <c r="D1091" s="3" t="s">
        <v>115</v>
      </c>
    </row>
    <row r="1092" spans="4:4" ht="17.649999999999999" x14ac:dyDescent="0.5">
      <c r="D1092" s="3" t="s">
        <v>57</v>
      </c>
    </row>
    <row r="1093" spans="4:4" ht="17.649999999999999" x14ac:dyDescent="0.5">
      <c r="D1093" s="3" t="s">
        <v>101</v>
      </c>
    </row>
    <row r="1094" spans="4:4" ht="17.649999999999999" x14ac:dyDescent="0.5">
      <c r="D1094" s="3" t="s">
        <v>57</v>
      </c>
    </row>
    <row r="1095" spans="4:4" ht="17.649999999999999" x14ac:dyDescent="0.5">
      <c r="D1095" s="3" t="s">
        <v>98</v>
      </c>
    </row>
    <row r="1096" spans="4:4" ht="17.649999999999999" x14ac:dyDescent="0.5">
      <c r="D1096" s="3" t="s">
        <v>46</v>
      </c>
    </row>
    <row r="1097" spans="4:4" ht="17.649999999999999" x14ac:dyDescent="0.5">
      <c r="D1097" s="3" t="s">
        <v>44</v>
      </c>
    </row>
    <row r="1098" spans="4:4" ht="17.649999999999999" x14ac:dyDescent="0.5">
      <c r="D1098" s="3" t="s">
        <v>103</v>
      </c>
    </row>
    <row r="1099" spans="4:4" ht="17.649999999999999" x14ac:dyDescent="0.5">
      <c r="D1099" s="3" t="s">
        <v>132</v>
      </c>
    </row>
    <row r="1100" spans="4:4" ht="17.649999999999999" x14ac:dyDescent="0.5">
      <c r="D1100" s="3" t="s">
        <v>119</v>
      </c>
    </row>
    <row r="1101" spans="4:4" ht="17.649999999999999" x14ac:dyDescent="0.5">
      <c r="D1101" s="3" t="s">
        <v>61</v>
      </c>
    </row>
    <row r="1102" spans="4:4" ht="17.649999999999999" x14ac:dyDescent="0.5">
      <c r="D1102" s="3" t="s">
        <v>57</v>
      </c>
    </row>
    <row r="1103" spans="4:4" ht="17.649999999999999" x14ac:dyDescent="0.5">
      <c r="D1103" s="3" t="s">
        <v>128</v>
      </c>
    </row>
    <row r="1104" spans="4:4" ht="17.649999999999999" x14ac:dyDescent="0.5">
      <c r="D1104" s="3" t="s">
        <v>80</v>
      </c>
    </row>
    <row r="1105" spans="4:4" ht="17.649999999999999" x14ac:dyDescent="0.5">
      <c r="D1105" s="3" t="s">
        <v>105</v>
      </c>
    </row>
    <row r="1106" spans="4:4" ht="17.649999999999999" x14ac:dyDescent="0.5">
      <c r="D1106" s="3" t="s">
        <v>132</v>
      </c>
    </row>
    <row r="1107" spans="4:4" ht="17.649999999999999" x14ac:dyDescent="0.5">
      <c r="D1107" s="3" t="s">
        <v>75</v>
      </c>
    </row>
    <row r="1108" spans="4:4" ht="17.649999999999999" x14ac:dyDescent="0.5">
      <c r="D1108" s="3" t="s">
        <v>110</v>
      </c>
    </row>
    <row r="1109" spans="4:4" ht="17.649999999999999" x14ac:dyDescent="0.5">
      <c r="D1109" s="3" t="s">
        <v>104</v>
      </c>
    </row>
    <row r="1110" spans="4:4" ht="17.649999999999999" x14ac:dyDescent="0.5">
      <c r="D1110" s="3" t="s">
        <v>77</v>
      </c>
    </row>
    <row r="1111" spans="4:4" ht="17.649999999999999" x14ac:dyDescent="0.5">
      <c r="D1111" s="3" t="s">
        <v>55</v>
      </c>
    </row>
    <row r="1112" spans="4:4" ht="17.649999999999999" x14ac:dyDescent="0.5">
      <c r="D1112" s="3" t="s">
        <v>98</v>
      </c>
    </row>
    <row r="1113" spans="4:4" ht="17.649999999999999" x14ac:dyDescent="0.5">
      <c r="D1113" s="3" t="s">
        <v>58</v>
      </c>
    </row>
    <row r="1114" spans="4:4" ht="17.649999999999999" x14ac:dyDescent="0.5">
      <c r="D1114" s="3" t="s">
        <v>73</v>
      </c>
    </row>
    <row r="1115" spans="4:4" ht="17.649999999999999" x14ac:dyDescent="0.5">
      <c r="D1115" s="3" t="s">
        <v>91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126</v>
      </c>
    </row>
    <row r="1118" spans="4:4" ht="17.649999999999999" x14ac:dyDescent="0.5">
      <c r="D1118" s="3" t="s">
        <v>91</v>
      </c>
    </row>
    <row r="1119" spans="4:4" ht="17.649999999999999" x14ac:dyDescent="0.5">
      <c r="D1119" s="3" t="s">
        <v>87</v>
      </c>
    </row>
    <row r="1120" spans="4:4" ht="17.649999999999999" x14ac:dyDescent="0.5">
      <c r="D1120" s="3" t="s">
        <v>83</v>
      </c>
    </row>
    <row r="1121" spans="4:4" ht="17.649999999999999" x14ac:dyDescent="0.5">
      <c r="D1121" s="3" t="s">
        <v>116</v>
      </c>
    </row>
    <row r="1122" spans="4:4" ht="17.649999999999999" x14ac:dyDescent="0.5">
      <c r="D1122" s="3" t="s">
        <v>46</v>
      </c>
    </row>
    <row r="1123" spans="4:4" ht="17.649999999999999" x14ac:dyDescent="0.5">
      <c r="D1123" s="3" t="s">
        <v>77</v>
      </c>
    </row>
    <row r="1124" spans="4:4" ht="17.649999999999999" x14ac:dyDescent="0.5">
      <c r="D1124" s="3" t="s">
        <v>90</v>
      </c>
    </row>
    <row r="1125" spans="4:4" ht="17.649999999999999" x14ac:dyDescent="0.5">
      <c r="D1125" s="3" t="s">
        <v>64</v>
      </c>
    </row>
    <row r="1126" spans="4:4" ht="17.649999999999999" x14ac:dyDescent="0.5">
      <c r="D1126" s="3" t="s">
        <v>68</v>
      </c>
    </row>
    <row r="1127" spans="4:4" ht="17.649999999999999" x14ac:dyDescent="0.5">
      <c r="D1127" s="3" t="s">
        <v>69</v>
      </c>
    </row>
    <row r="1128" spans="4:4" ht="17.649999999999999" x14ac:dyDescent="0.5">
      <c r="D1128" s="3" t="s">
        <v>94</v>
      </c>
    </row>
    <row r="1129" spans="4:4" ht="17.649999999999999" x14ac:dyDescent="0.5">
      <c r="D1129" s="3" t="s">
        <v>43</v>
      </c>
    </row>
    <row r="1130" spans="4:4" ht="17.649999999999999" x14ac:dyDescent="0.5">
      <c r="D1130" s="3" t="s">
        <v>84</v>
      </c>
    </row>
    <row r="1131" spans="4:4" ht="17.649999999999999" x14ac:dyDescent="0.5">
      <c r="D1131" s="3" t="s">
        <v>44</v>
      </c>
    </row>
    <row r="1132" spans="4:4" ht="17.649999999999999" x14ac:dyDescent="0.5">
      <c r="D1132" s="3" t="s">
        <v>73</v>
      </c>
    </row>
    <row r="1133" spans="4:4" ht="17.649999999999999" x14ac:dyDescent="0.5">
      <c r="D1133" s="3" t="s">
        <v>67</v>
      </c>
    </row>
    <row r="1134" spans="4:4" ht="17.649999999999999" x14ac:dyDescent="0.5">
      <c r="D1134" s="3" t="s">
        <v>43</v>
      </c>
    </row>
    <row r="1135" spans="4:4" ht="17.649999999999999" x14ac:dyDescent="0.5">
      <c r="D1135" s="3" t="s">
        <v>54</v>
      </c>
    </row>
    <row r="1136" spans="4:4" ht="17.649999999999999" x14ac:dyDescent="0.5">
      <c r="D1136" s="3" t="s">
        <v>109</v>
      </c>
    </row>
    <row r="1137" spans="4:4" ht="17.649999999999999" x14ac:dyDescent="0.5">
      <c r="D1137" s="3" t="s">
        <v>47</v>
      </c>
    </row>
    <row r="1138" spans="4:4" ht="17.649999999999999" x14ac:dyDescent="0.5">
      <c r="D1138" s="3" t="s">
        <v>49</v>
      </c>
    </row>
    <row r="1139" spans="4:4" ht="17.649999999999999" x14ac:dyDescent="0.5">
      <c r="D1139" s="3" t="s">
        <v>121</v>
      </c>
    </row>
    <row r="1140" spans="4:4" ht="17.649999999999999" x14ac:dyDescent="0.5">
      <c r="D1140" s="3" t="s">
        <v>46</v>
      </c>
    </row>
    <row r="1141" spans="4:4" ht="17.649999999999999" x14ac:dyDescent="0.5">
      <c r="D1141" s="3" t="s">
        <v>103</v>
      </c>
    </row>
    <row r="1142" spans="4:4" ht="17.649999999999999" x14ac:dyDescent="0.5">
      <c r="D1142" s="3" t="s">
        <v>103</v>
      </c>
    </row>
    <row r="1143" spans="4:4" ht="17.649999999999999" x14ac:dyDescent="0.5">
      <c r="D1143" s="3" t="s">
        <v>77</v>
      </c>
    </row>
    <row r="1144" spans="4:4" ht="17.649999999999999" x14ac:dyDescent="0.5">
      <c r="D1144" s="3" t="s">
        <v>122</v>
      </c>
    </row>
    <row r="1145" spans="4:4" ht="17.649999999999999" x14ac:dyDescent="0.5">
      <c r="D1145" s="3" t="s">
        <v>56</v>
      </c>
    </row>
    <row r="1146" spans="4:4" ht="17.649999999999999" x14ac:dyDescent="0.5">
      <c r="D1146" s="3" t="s">
        <v>58</v>
      </c>
    </row>
    <row r="1147" spans="4:4" ht="17.649999999999999" x14ac:dyDescent="0.5">
      <c r="D1147" s="3" t="s">
        <v>68</v>
      </c>
    </row>
    <row r="1148" spans="4:4" ht="17.649999999999999" x14ac:dyDescent="0.5">
      <c r="D1148" s="3" t="s">
        <v>60</v>
      </c>
    </row>
    <row r="1149" spans="4:4" ht="17.649999999999999" x14ac:dyDescent="0.5">
      <c r="D1149" s="3" t="s">
        <v>136</v>
      </c>
    </row>
    <row r="1150" spans="4:4" ht="17.649999999999999" x14ac:dyDescent="0.5">
      <c r="D1150" s="3" t="s">
        <v>80</v>
      </c>
    </row>
    <row r="1151" spans="4:4" ht="17.649999999999999" x14ac:dyDescent="0.5">
      <c r="D1151" s="3" t="s">
        <v>92</v>
      </c>
    </row>
    <row r="1152" spans="4:4" ht="17.649999999999999" x14ac:dyDescent="0.5">
      <c r="D1152" s="3" t="s">
        <v>73</v>
      </c>
    </row>
    <row r="1153" spans="4:4" ht="17.649999999999999" x14ac:dyDescent="0.5">
      <c r="D1153" s="3" t="s">
        <v>50</v>
      </c>
    </row>
    <row r="1154" spans="4:4" ht="17.649999999999999" x14ac:dyDescent="0.5">
      <c r="D1154" s="3" t="s">
        <v>124</v>
      </c>
    </row>
    <row r="1155" spans="4:4" ht="17.649999999999999" x14ac:dyDescent="0.5">
      <c r="D1155" s="3" t="s">
        <v>43</v>
      </c>
    </row>
    <row r="1156" spans="4:4" ht="17.649999999999999" x14ac:dyDescent="0.5">
      <c r="D1156" s="3" t="s">
        <v>64</v>
      </c>
    </row>
    <row r="1157" spans="4:4" ht="17.649999999999999" x14ac:dyDescent="0.5">
      <c r="D1157" s="3" t="s">
        <v>51</v>
      </c>
    </row>
    <row r="1158" spans="4:4" ht="17.649999999999999" x14ac:dyDescent="0.5">
      <c r="D1158" s="3" t="s">
        <v>66</v>
      </c>
    </row>
    <row r="1159" spans="4:4" ht="17.649999999999999" x14ac:dyDescent="0.5">
      <c r="D1159" s="3" t="s">
        <v>87</v>
      </c>
    </row>
    <row r="1160" spans="4:4" ht="17.649999999999999" x14ac:dyDescent="0.5">
      <c r="D1160" s="3" t="s">
        <v>130</v>
      </c>
    </row>
    <row r="1161" spans="4:4" ht="17.649999999999999" x14ac:dyDescent="0.5">
      <c r="D1161" s="3" t="s">
        <v>41</v>
      </c>
    </row>
    <row r="1162" spans="4:4" ht="17.649999999999999" x14ac:dyDescent="0.5">
      <c r="D1162" s="3" t="s">
        <v>66</v>
      </c>
    </row>
    <row r="1163" spans="4:4" ht="17.649999999999999" x14ac:dyDescent="0.5">
      <c r="D1163" s="3" t="s">
        <v>46</v>
      </c>
    </row>
    <row r="1164" spans="4:4" ht="17.649999999999999" x14ac:dyDescent="0.5">
      <c r="D1164" s="3" t="s">
        <v>64</v>
      </c>
    </row>
    <row r="1165" spans="4:4" ht="17.649999999999999" x14ac:dyDescent="0.5">
      <c r="D1165" s="3" t="s">
        <v>83</v>
      </c>
    </row>
    <row r="1166" spans="4:4" ht="17.649999999999999" x14ac:dyDescent="0.5">
      <c r="D1166" s="3" t="s">
        <v>117</v>
      </c>
    </row>
    <row r="1167" spans="4:4" ht="17.649999999999999" x14ac:dyDescent="0.5">
      <c r="D1167" s="3" t="s">
        <v>59</v>
      </c>
    </row>
    <row r="1168" spans="4:4" ht="17.649999999999999" x14ac:dyDescent="0.5">
      <c r="D1168" s="3" t="s">
        <v>83</v>
      </c>
    </row>
    <row r="1169" spans="4:4" ht="17.649999999999999" x14ac:dyDescent="0.5">
      <c r="D1169" s="3" t="s">
        <v>95</v>
      </c>
    </row>
    <row r="1170" spans="4:4" ht="17.649999999999999" x14ac:dyDescent="0.5">
      <c r="D1170" s="3" t="s">
        <v>84</v>
      </c>
    </row>
    <row r="1171" spans="4:4" ht="17.649999999999999" x14ac:dyDescent="0.5">
      <c r="D1171" s="3" t="s">
        <v>52</v>
      </c>
    </row>
    <row r="1172" spans="4:4" ht="17.649999999999999" x14ac:dyDescent="0.5">
      <c r="D1172" s="3" t="s">
        <v>94</v>
      </c>
    </row>
    <row r="1173" spans="4:4" ht="17.649999999999999" x14ac:dyDescent="0.5">
      <c r="D1173" s="3" t="s">
        <v>96</v>
      </c>
    </row>
    <row r="1174" spans="4:4" ht="17.649999999999999" x14ac:dyDescent="0.5">
      <c r="D1174" s="3" t="s">
        <v>91</v>
      </c>
    </row>
    <row r="1175" spans="4:4" ht="17.649999999999999" x14ac:dyDescent="0.5">
      <c r="D1175" s="3" t="s">
        <v>112</v>
      </c>
    </row>
    <row r="1176" spans="4:4" ht="17.649999999999999" x14ac:dyDescent="0.5">
      <c r="D1176" s="3" t="s">
        <v>41</v>
      </c>
    </row>
    <row r="1177" spans="4:4" ht="17.649999999999999" x14ac:dyDescent="0.5">
      <c r="D1177" s="3" t="s">
        <v>56</v>
      </c>
    </row>
    <row r="1178" spans="4:4" ht="17.649999999999999" x14ac:dyDescent="0.5">
      <c r="D1178" s="3" t="s">
        <v>54</v>
      </c>
    </row>
    <row r="1179" spans="4:4" ht="17.649999999999999" x14ac:dyDescent="0.5">
      <c r="D1179" s="3" t="s">
        <v>117</v>
      </c>
    </row>
    <row r="1180" spans="4:4" ht="17.649999999999999" x14ac:dyDescent="0.5">
      <c r="D1180" s="3" t="s">
        <v>51</v>
      </c>
    </row>
    <row r="1181" spans="4:4" ht="17.649999999999999" x14ac:dyDescent="0.5">
      <c r="D1181" s="3" t="s">
        <v>69</v>
      </c>
    </row>
    <row r="1182" spans="4:4" ht="17.649999999999999" x14ac:dyDescent="0.5">
      <c r="D1182" s="3" t="s">
        <v>51</v>
      </c>
    </row>
    <row r="1183" spans="4:4" ht="17.649999999999999" x14ac:dyDescent="0.5">
      <c r="D1183" s="3" t="s">
        <v>105</v>
      </c>
    </row>
    <row r="1184" spans="4:4" ht="17.649999999999999" x14ac:dyDescent="0.5">
      <c r="D1184" s="3" t="s">
        <v>93</v>
      </c>
    </row>
    <row r="1185" spans="4:4" ht="17.649999999999999" x14ac:dyDescent="0.5">
      <c r="D1185" s="3" t="s">
        <v>85</v>
      </c>
    </row>
    <row r="1186" spans="4:4" ht="17.649999999999999" x14ac:dyDescent="0.5">
      <c r="D1186" s="3" t="s">
        <v>83</v>
      </c>
    </row>
    <row r="1187" spans="4:4" ht="17.649999999999999" x14ac:dyDescent="0.5">
      <c r="D1187" s="3" t="s">
        <v>90</v>
      </c>
    </row>
    <row r="1188" spans="4:4" ht="17.649999999999999" x14ac:dyDescent="0.5">
      <c r="D1188" s="3" t="s">
        <v>84</v>
      </c>
    </row>
    <row r="1189" spans="4:4" ht="17.649999999999999" x14ac:dyDescent="0.5">
      <c r="D1189" s="3" t="s">
        <v>52</v>
      </c>
    </row>
    <row r="1190" spans="4:4" ht="17.649999999999999" x14ac:dyDescent="0.5">
      <c r="D1190" s="3" t="s">
        <v>108</v>
      </c>
    </row>
    <row r="1191" spans="4:4" ht="17.649999999999999" x14ac:dyDescent="0.5">
      <c r="D1191" s="3" t="s">
        <v>73</v>
      </c>
    </row>
    <row r="1192" spans="4:4" ht="17.649999999999999" x14ac:dyDescent="0.5">
      <c r="D1192" s="3" t="s">
        <v>85</v>
      </c>
    </row>
    <row r="1193" spans="4:4" ht="17.649999999999999" x14ac:dyDescent="0.5">
      <c r="D1193" s="3" t="s">
        <v>115</v>
      </c>
    </row>
    <row r="1194" spans="4:4" ht="17.649999999999999" x14ac:dyDescent="0.5">
      <c r="D1194" s="3" t="s">
        <v>52</v>
      </c>
    </row>
    <row r="1195" spans="4:4" ht="17.649999999999999" x14ac:dyDescent="0.5">
      <c r="D1195" s="3" t="s">
        <v>100</v>
      </c>
    </row>
    <row r="1196" spans="4:4" ht="17.649999999999999" x14ac:dyDescent="0.5">
      <c r="D1196" s="3" t="s">
        <v>56</v>
      </c>
    </row>
    <row r="1197" spans="4:4" ht="17.649999999999999" x14ac:dyDescent="0.5">
      <c r="D1197" s="3" t="s">
        <v>50</v>
      </c>
    </row>
    <row r="1198" spans="4:4" ht="17.649999999999999" x14ac:dyDescent="0.5">
      <c r="D1198" s="3" t="s">
        <v>110</v>
      </c>
    </row>
    <row r="1199" spans="4:4" ht="17.649999999999999" x14ac:dyDescent="0.5">
      <c r="D1199" s="3" t="s">
        <v>98</v>
      </c>
    </row>
    <row r="1200" spans="4:4" ht="17.649999999999999" x14ac:dyDescent="0.5">
      <c r="D1200" s="3" t="s">
        <v>92</v>
      </c>
    </row>
    <row r="1201" spans="4:4" ht="17.649999999999999" x14ac:dyDescent="0.5">
      <c r="D1201" s="3" t="s">
        <v>47</v>
      </c>
    </row>
    <row r="1202" spans="4:4" ht="17.649999999999999" x14ac:dyDescent="0.5">
      <c r="D1202" s="3" t="s">
        <v>135</v>
      </c>
    </row>
    <row r="1203" spans="4:4" ht="17.649999999999999" x14ac:dyDescent="0.5">
      <c r="D1203" s="3" t="s">
        <v>95</v>
      </c>
    </row>
    <row r="1204" spans="4:4" ht="17.649999999999999" x14ac:dyDescent="0.5">
      <c r="D1204" s="3" t="s">
        <v>45</v>
      </c>
    </row>
    <row r="1205" spans="4:4" ht="17.649999999999999" x14ac:dyDescent="0.5">
      <c r="D1205" s="3" t="s">
        <v>61</v>
      </c>
    </row>
    <row r="1206" spans="4:4" ht="17.649999999999999" x14ac:dyDescent="0.5">
      <c r="D1206" s="3" t="s">
        <v>64</v>
      </c>
    </row>
    <row r="1207" spans="4:4" ht="17.649999999999999" x14ac:dyDescent="0.5">
      <c r="D1207" s="3" t="s">
        <v>105</v>
      </c>
    </row>
    <row r="1208" spans="4:4" ht="17.649999999999999" x14ac:dyDescent="0.5">
      <c r="D1208" s="3" t="s">
        <v>67</v>
      </c>
    </row>
    <row r="1209" spans="4:4" ht="17.649999999999999" x14ac:dyDescent="0.5">
      <c r="D1209" s="3" t="s">
        <v>81</v>
      </c>
    </row>
    <row r="1210" spans="4:4" ht="17.649999999999999" x14ac:dyDescent="0.5">
      <c r="D1210" s="3" t="s">
        <v>78</v>
      </c>
    </row>
    <row r="1211" spans="4:4" ht="17.649999999999999" x14ac:dyDescent="0.5">
      <c r="D1211" s="3" t="s">
        <v>106</v>
      </c>
    </row>
    <row r="1212" spans="4:4" ht="17.649999999999999" x14ac:dyDescent="0.5">
      <c r="D1212" s="3" t="s">
        <v>80</v>
      </c>
    </row>
    <row r="1213" spans="4:4" ht="17.649999999999999" x14ac:dyDescent="0.5">
      <c r="D1213" s="3" t="s">
        <v>115</v>
      </c>
    </row>
    <row r="1214" spans="4:4" ht="17.649999999999999" x14ac:dyDescent="0.5">
      <c r="D1214" s="3" t="s">
        <v>84</v>
      </c>
    </row>
    <row r="1215" spans="4:4" ht="17.649999999999999" x14ac:dyDescent="0.5">
      <c r="D1215" s="3" t="s">
        <v>96</v>
      </c>
    </row>
    <row r="1216" spans="4:4" ht="17.649999999999999" x14ac:dyDescent="0.5">
      <c r="D1216" s="3" t="s">
        <v>55</v>
      </c>
    </row>
    <row r="1217" spans="4:4" ht="17.649999999999999" x14ac:dyDescent="0.5">
      <c r="D1217" s="3" t="s">
        <v>85</v>
      </c>
    </row>
    <row r="1218" spans="4:4" ht="17.649999999999999" x14ac:dyDescent="0.5">
      <c r="D1218" s="3" t="s">
        <v>78</v>
      </c>
    </row>
    <row r="1219" spans="4:4" ht="17.649999999999999" x14ac:dyDescent="0.5">
      <c r="D1219" s="3" t="s">
        <v>85</v>
      </c>
    </row>
    <row r="1220" spans="4:4" ht="17.649999999999999" x14ac:dyDescent="0.5">
      <c r="D1220" s="3" t="s">
        <v>91</v>
      </c>
    </row>
    <row r="1221" spans="4:4" ht="17.649999999999999" x14ac:dyDescent="0.5">
      <c r="D1221" s="3" t="s">
        <v>65</v>
      </c>
    </row>
    <row r="1222" spans="4:4" ht="17.649999999999999" x14ac:dyDescent="0.5">
      <c r="D1222" s="3" t="s">
        <v>77</v>
      </c>
    </row>
    <row r="1223" spans="4:4" ht="17.649999999999999" x14ac:dyDescent="0.5">
      <c r="D1223" s="3" t="s">
        <v>92</v>
      </c>
    </row>
    <row r="1224" spans="4:4" ht="17.649999999999999" x14ac:dyDescent="0.5">
      <c r="D1224" s="3" t="s">
        <v>118</v>
      </c>
    </row>
    <row r="1225" spans="4:4" ht="17.649999999999999" x14ac:dyDescent="0.5">
      <c r="D1225" s="3" t="s">
        <v>102</v>
      </c>
    </row>
    <row r="1226" spans="4:4" ht="17.649999999999999" x14ac:dyDescent="0.5">
      <c r="D1226" s="3" t="s">
        <v>84</v>
      </c>
    </row>
    <row r="1227" spans="4:4" ht="17.649999999999999" x14ac:dyDescent="0.5">
      <c r="D1227" s="3" t="s">
        <v>134</v>
      </c>
    </row>
    <row r="1228" spans="4:4" ht="17.649999999999999" x14ac:dyDescent="0.5">
      <c r="D1228" s="3" t="s">
        <v>63</v>
      </c>
    </row>
    <row r="1229" spans="4:4" ht="17.649999999999999" x14ac:dyDescent="0.5">
      <c r="D1229" s="3" t="s">
        <v>84</v>
      </c>
    </row>
    <row r="1230" spans="4:4" ht="17.649999999999999" x14ac:dyDescent="0.5">
      <c r="D1230" s="3" t="s">
        <v>55</v>
      </c>
    </row>
    <row r="1231" spans="4:4" ht="17.649999999999999" x14ac:dyDescent="0.5">
      <c r="D1231" s="3" t="s">
        <v>94</v>
      </c>
    </row>
    <row r="1232" spans="4:4" ht="17.649999999999999" x14ac:dyDescent="0.5">
      <c r="D1232" s="3" t="s">
        <v>52</v>
      </c>
    </row>
    <row r="1233" spans="4:4" ht="17.649999999999999" x14ac:dyDescent="0.5">
      <c r="D1233" s="3" t="s">
        <v>62</v>
      </c>
    </row>
    <row r="1234" spans="4:4" ht="17.649999999999999" x14ac:dyDescent="0.5">
      <c r="D1234" s="3" t="s">
        <v>68</v>
      </c>
    </row>
    <row r="1235" spans="4:4" ht="17.649999999999999" x14ac:dyDescent="0.5">
      <c r="D1235" s="3" t="s">
        <v>127</v>
      </c>
    </row>
    <row r="1236" spans="4:4" ht="17.649999999999999" x14ac:dyDescent="0.5">
      <c r="D1236" s="3" t="s">
        <v>59</v>
      </c>
    </row>
    <row r="1237" spans="4:4" ht="17.649999999999999" x14ac:dyDescent="0.5">
      <c r="D1237" s="3" t="s">
        <v>55</v>
      </c>
    </row>
    <row r="1238" spans="4:4" ht="17.649999999999999" x14ac:dyDescent="0.5">
      <c r="D1238" s="3" t="s">
        <v>50</v>
      </c>
    </row>
    <row r="1239" spans="4:4" ht="17.649999999999999" x14ac:dyDescent="0.5">
      <c r="D1239" s="3" t="s">
        <v>85</v>
      </c>
    </row>
    <row r="1240" spans="4:4" ht="17.649999999999999" x14ac:dyDescent="0.5">
      <c r="D1240" s="3" t="s">
        <v>87</v>
      </c>
    </row>
    <row r="1241" spans="4:4" ht="17.649999999999999" x14ac:dyDescent="0.5">
      <c r="D1241" s="3" t="s">
        <v>61</v>
      </c>
    </row>
    <row r="1242" spans="4:4" ht="17.649999999999999" x14ac:dyDescent="0.5">
      <c r="D1242" s="3" t="s">
        <v>43</v>
      </c>
    </row>
    <row r="1243" spans="4:4" ht="17.649999999999999" x14ac:dyDescent="0.5">
      <c r="D1243" s="3" t="s">
        <v>115</v>
      </c>
    </row>
    <row r="1244" spans="4:4" ht="17.649999999999999" x14ac:dyDescent="0.5">
      <c r="D1244" s="3" t="s">
        <v>75</v>
      </c>
    </row>
    <row r="1245" spans="4:4" ht="17.649999999999999" x14ac:dyDescent="0.5">
      <c r="D1245" s="3" t="s">
        <v>60</v>
      </c>
    </row>
    <row r="1246" spans="4:4" ht="17.649999999999999" x14ac:dyDescent="0.5">
      <c r="D1246" s="3" t="s">
        <v>100</v>
      </c>
    </row>
    <row r="1247" spans="4:4" ht="17.649999999999999" x14ac:dyDescent="0.5">
      <c r="D1247" s="3" t="s">
        <v>92</v>
      </c>
    </row>
    <row r="1248" spans="4:4" ht="17.649999999999999" x14ac:dyDescent="0.5">
      <c r="D1248" s="3" t="s">
        <v>70</v>
      </c>
    </row>
    <row r="1249" spans="4:4" ht="17.649999999999999" x14ac:dyDescent="0.5">
      <c r="D1249" s="3" t="s">
        <v>75</v>
      </c>
    </row>
    <row r="1250" spans="4:4" ht="17.649999999999999" x14ac:dyDescent="0.5">
      <c r="D1250" s="3" t="s">
        <v>77</v>
      </c>
    </row>
    <row r="1251" spans="4:4" ht="17.649999999999999" x14ac:dyDescent="0.5">
      <c r="D1251" s="3" t="s">
        <v>67</v>
      </c>
    </row>
    <row r="1252" spans="4:4" ht="17.649999999999999" x14ac:dyDescent="0.5">
      <c r="D1252" s="3" t="s">
        <v>90</v>
      </c>
    </row>
    <row r="1253" spans="4:4" ht="17.649999999999999" x14ac:dyDescent="0.5">
      <c r="D1253" s="3" t="s">
        <v>115</v>
      </c>
    </row>
    <row r="1254" spans="4:4" ht="17.649999999999999" x14ac:dyDescent="0.5">
      <c r="D1254" s="3" t="s">
        <v>74</v>
      </c>
    </row>
    <row r="1255" spans="4:4" ht="17.649999999999999" x14ac:dyDescent="0.5">
      <c r="D1255" s="3" t="s">
        <v>57</v>
      </c>
    </row>
    <row r="1256" spans="4:4" ht="17.649999999999999" x14ac:dyDescent="0.5">
      <c r="D1256" s="3" t="s">
        <v>63</v>
      </c>
    </row>
    <row r="1257" spans="4:4" ht="17.649999999999999" x14ac:dyDescent="0.5">
      <c r="D1257" s="3" t="s">
        <v>125</v>
      </c>
    </row>
    <row r="1258" spans="4:4" ht="17.649999999999999" x14ac:dyDescent="0.5">
      <c r="D1258" s="3" t="s">
        <v>64</v>
      </c>
    </row>
    <row r="1259" spans="4:4" ht="17.649999999999999" x14ac:dyDescent="0.5">
      <c r="D1259" s="3" t="s">
        <v>90</v>
      </c>
    </row>
    <row r="1260" spans="4:4" ht="17.649999999999999" x14ac:dyDescent="0.5">
      <c r="D1260" s="3" t="s">
        <v>101</v>
      </c>
    </row>
    <row r="1261" spans="4:4" ht="17.649999999999999" x14ac:dyDescent="0.5">
      <c r="D1261" s="3" t="s">
        <v>91</v>
      </c>
    </row>
    <row r="1262" spans="4:4" ht="17.649999999999999" x14ac:dyDescent="0.5">
      <c r="D1262" s="3" t="s">
        <v>73</v>
      </c>
    </row>
    <row r="1263" spans="4:4" ht="17.649999999999999" x14ac:dyDescent="0.5">
      <c r="D1263" s="3" t="s">
        <v>45</v>
      </c>
    </row>
    <row r="1264" spans="4:4" ht="17.649999999999999" x14ac:dyDescent="0.5">
      <c r="D1264" s="3" t="s">
        <v>103</v>
      </c>
    </row>
    <row r="1265" spans="4:4" ht="17.649999999999999" x14ac:dyDescent="0.5">
      <c r="D1265" s="3" t="s">
        <v>55</v>
      </c>
    </row>
    <row r="1266" spans="4:4" ht="17.649999999999999" x14ac:dyDescent="0.5">
      <c r="D1266" s="3" t="s">
        <v>50</v>
      </c>
    </row>
    <row r="1267" spans="4:4" ht="17.649999999999999" x14ac:dyDescent="0.5">
      <c r="D1267" s="3" t="s">
        <v>112</v>
      </c>
    </row>
    <row r="1268" spans="4:4" ht="17.649999999999999" x14ac:dyDescent="0.5">
      <c r="D1268" s="3" t="s">
        <v>87</v>
      </c>
    </row>
    <row r="1269" spans="4:4" ht="17.649999999999999" x14ac:dyDescent="0.5">
      <c r="D1269" s="3" t="s">
        <v>70</v>
      </c>
    </row>
    <row r="1270" spans="4:4" ht="17.649999999999999" x14ac:dyDescent="0.5">
      <c r="D1270" s="3" t="s">
        <v>96</v>
      </c>
    </row>
    <row r="1271" spans="4:4" ht="17.649999999999999" x14ac:dyDescent="0.5">
      <c r="D1271" s="3" t="s">
        <v>52</v>
      </c>
    </row>
    <row r="1272" spans="4:4" ht="17.649999999999999" x14ac:dyDescent="0.5">
      <c r="D1272" s="3" t="s">
        <v>85</v>
      </c>
    </row>
    <row r="1273" spans="4:4" ht="17.649999999999999" x14ac:dyDescent="0.5">
      <c r="D1273" s="3" t="s">
        <v>100</v>
      </c>
    </row>
    <row r="1274" spans="4:4" ht="17.649999999999999" x14ac:dyDescent="0.5">
      <c r="D1274" s="3" t="s">
        <v>49</v>
      </c>
    </row>
    <row r="1275" spans="4:4" ht="17.649999999999999" x14ac:dyDescent="0.5">
      <c r="D1275" s="3" t="s">
        <v>84</v>
      </c>
    </row>
    <row r="1276" spans="4:4" ht="17.649999999999999" x14ac:dyDescent="0.5">
      <c r="D1276" s="3" t="s">
        <v>55</v>
      </c>
    </row>
    <row r="1277" spans="4:4" ht="17.649999999999999" x14ac:dyDescent="0.5">
      <c r="D1277" s="3" t="s">
        <v>130</v>
      </c>
    </row>
    <row r="1278" spans="4:4" ht="17.649999999999999" x14ac:dyDescent="0.5">
      <c r="D1278" s="3" t="s">
        <v>75</v>
      </c>
    </row>
    <row r="1279" spans="4:4" ht="17.649999999999999" x14ac:dyDescent="0.5">
      <c r="D1279" s="3" t="s">
        <v>90</v>
      </c>
    </row>
    <row r="1280" spans="4:4" ht="17.649999999999999" x14ac:dyDescent="0.5">
      <c r="D1280" s="3" t="s">
        <v>94</v>
      </c>
    </row>
    <row r="1281" spans="4:4" ht="17.649999999999999" x14ac:dyDescent="0.5">
      <c r="D1281" s="3" t="s">
        <v>96</v>
      </c>
    </row>
    <row r="1282" spans="4:4" ht="17.649999999999999" x14ac:dyDescent="0.5">
      <c r="D1282" s="3" t="s">
        <v>133</v>
      </c>
    </row>
    <row r="1283" spans="4:4" ht="17.649999999999999" x14ac:dyDescent="0.5">
      <c r="D1283" s="3" t="s">
        <v>49</v>
      </c>
    </row>
    <row r="1284" spans="4:4" ht="17.649999999999999" x14ac:dyDescent="0.5">
      <c r="D1284" s="3" t="s">
        <v>80</v>
      </c>
    </row>
    <row r="1285" spans="4:4" ht="17.649999999999999" x14ac:dyDescent="0.5">
      <c r="D1285" s="3" t="s">
        <v>113</v>
      </c>
    </row>
    <row r="1286" spans="4:4" ht="17.649999999999999" x14ac:dyDescent="0.5">
      <c r="D1286" s="3" t="s">
        <v>67</v>
      </c>
    </row>
    <row r="1287" spans="4:4" ht="17.649999999999999" x14ac:dyDescent="0.5">
      <c r="D1287" s="3" t="s">
        <v>49</v>
      </c>
    </row>
    <row r="1288" spans="4:4" ht="17.649999999999999" x14ac:dyDescent="0.5">
      <c r="D1288" s="3" t="s">
        <v>115</v>
      </c>
    </row>
    <row r="1289" spans="4:4" ht="17.649999999999999" x14ac:dyDescent="0.5">
      <c r="D1289" s="3" t="s">
        <v>54</v>
      </c>
    </row>
    <row r="1290" spans="4:4" ht="17.649999999999999" x14ac:dyDescent="0.5">
      <c r="D1290" s="3" t="s">
        <v>77</v>
      </c>
    </row>
    <row r="1291" spans="4:4" ht="17.649999999999999" x14ac:dyDescent="0.5">
      <c r="D1291" s="3" t="s">
        <v>109</v>
      </c>
    </row>
    <row r="1292" spans="4:4" ht="17.649999999999999" x14ac:dyDescent="0.5">
      <c r="D1292" s="3" t="s">
        <v>43</v>
      </c>
    </row>
    <row r="1293" spans="4:4" ht="17.649999999999999" x14ac:dyDescent="0.5">
      <c r="D1293" s="3" t="s">
        <v>63</v>
      </c>
    </row>
    <row r="1294" spans="4:4" ht="17.649999999999999" x14ac:dyDescent="0.5">
      <c r="D1294" s="3" t="s">
        <v>83</v>
      </c>
    </row>
    <row r="1295" spans="4:4" ht="17.649999999999999" x14ac:dyDescent="0.5">
      <c r="D1295" s="3" t="s">
        <v>87</v>
      </c>
    </row>
    <row r="1296" spans="4:4" ht="17.649999999999999" x14ac:dyDescent="0.5">
      <c r="D1296" s="3" t="s">
        <v>50</v>
      </c>
    </row>
    <row r="1297" spans="4:4" ht="17.649999999999999" x14ac:dyDescent="0.5">
      <c r="D1297" s="3" t="s">
        <v>81</v>
      </c>
    </row>
    <row r="1298" spans="4:4" ht="17.649999999999999" x14ac:dyDescent="0.5">
      <c r="D1298" s="3" t="s">
        <v>82</v>
      </c>
    </row>
    <row r="1299" spans="4:4" ht="17.649999999999999" x14ac:dyDescent="0.5">
      <c r="D1299" s="3" t="s">
        <v>55</v>
      </c>
    </row>
    <row r="1300" spans="4:4" ht="17.649999999999999" x14ac:dyDescent="0.5">
      <c r="D1300" s="3" t="s">
        <v>87</v>
      </c>
    </row>
    <row r="1301" spans="4:4" ht="17.649999999999999" x14ac:dyDescent="0.5">
      <c r="D1301" s="3" t="s">
        <v>46</v>
      </c>
    </row>
    <row r="1302" spans="4:4" ht="17.649999999999999" x14ac:dyDescent="0.5">
      <c r="D1302" s="3" t="s">
        <v>77</v>
      </c>
    </row>
    <row r="1303" spans="4:4" ht="17.649999999999999" x14ac:dyDescent="0.5">
      <c r="D1303" s="3" t="s">
        <v>89</v>
      </c>
    </row>
    <row r="1304" spans="4:4" ht="17.649999999999999" x14ac:dyDescent="0.5">
      <c r="D1304" s="3" t="s">
        <v>109</v>
      </c>
    </row>
    <row r="1305" spans="4:4" ht="17.649999999999999" x14ac:dyDescent="0.5">
      <c r="D1305" s="3" t="s">
        <v>65</v>
      </c>
    </row>
    <row r="1306" spans="4:4" ht="17.649999999999999" x14ac:dyDescent="0.5">
      <c r="D1306" s="3" t="s">
        <v>87</v>
      </c>
    </row>
    <row r="1307" spans="4:4" ht="17.649999999999999" x14ac:dyDescent="0.5">
      <c r="D1307" s="3" t="s">
        <v>91</v>
      </c>
    </row>
    <row r="1308" spans="4:4" ht="17.649999999999999" x14ac:dyDescent="0.5">
      <c r="D1308" s="3" t="s">
        <v>46</v>
      </c>
    </row>
    <row r="1309" spans="4:4" ht="17.649999999999999" x14ac:dyDescent="0.5">
      <c r="D1309" s="3" t="s">
        <v>129</v>
      </c>
    </row>
    <row r="1310" spans="4:4" ht="17.649999999999999" x14ac:dyDescent="0.5">
      <c r="D1310" s="3" t="s">
        <v>54</v>
      </c>
    </row>
    <row r="1311" spans="4:4" ht="17.649999999999999" x14ac:dyDescent="0.5">
      <c r="D1311" s="3" t="s">
        <v>98</v>
      </c>
    </row>
    <row r="1312" spans="4:4" ht="17.649999999999999" x14ac:dyDescent="0.5">
      <c r="D1312" s="3" t="s">
        <v>114</v>
      </c>
    </row>
    <row r="1313" spans="4:4" ht="17.649999999999999" x14ac:dyDescent="0.5">
      <c r="D1313" s="3" t="s">
        <v>58</v>
      </c>
    </row>
    <row r="1314" spans="4:4" ht="17.649999999999999" x14ac:dyDescent="0.5">
      <c r="D1314" s="3" t="s">
        <v>60</v>
      </c>
    </row>
    <row r="1315" spans="4:4" ht="17.649999999999999" x14ac:dyDescent="0.5">
      <c r="D1315" s="3" t="s">
        <v>84</v>
      </c>
    </row>
    <row r="1316" spans="4:4" ht="17.649999999999999" x14ac:dyDescent="0.5">
      <c r="D1316" s="3" t="s">
        <v>93</v>
      </c>
    </row>
    <row r="1317" spans="4:4" ht="17.649999999999999" x14ac:dyDescent="0.5">
      <c r="D1317" s="3" t="s">
        <v>100</v>
      </c>
    </row>
    <row r="1318" spans="4:4" ht="17.649999999999999" x14ac:dyDescent="0.5">
      <c r="D1318" s="3" t="s">
        <v>117</v>
      </c>
    </row>
    <row r="1319" spans="4:4" ht="17.649999999999999" x14ac:dyDescent="0.5">
      <c r="D1319" s="3" t="s">
        <v>87</v>
      </c>
    </row>
    <row r="1320" spans="4:4" ht="17.649999999999999" x14ac:dyDescent="0.5">
      <c r="D1320" s="3" t="s">
        <v>94</v>
      </c>
    </row>
    <row r="1321" spans="4:4" ht="17.649999999999999" x14ac:dyDescent="0.5">
      <c r="D1321" s="3" t="s">
        <v>91</v>
      </c>
    </row>
    <row r="1322" spans="4:4" ht="17.649999999999999" x14ac:dyDescent="0.5">
      <c r="D1322" s="3" t="s">
        <v>107</v>
      </c>
    </row>
    <row r="1323" spans="4:4" ht="17.649999999999999" x14ac:dyDescent="0.5">
      <c r="D1323" s="3" t="s">
        <v>116</v>
      </c>
    </row>
    <row r="1324" spans="4:4" ht="17.649999999999999" x14ac:dyDescent="0.5">
      <c r="D1324" s="3" t="s">
        <v>129</v>
      </c>
    </row>
    <row r="1325" spans="4:4" ht="17.649999999999999" x14ac:dyDescent="0.5">
      <c r="D1325" s="3" t="s">
        <v>130</v>
      </c>
    </row>
    <row r="1326" spans="4:4" ht="17.649999999999999" x14ac:dyDescent="0.5">
      <c r="D1326" s="3" t="s">
        <v>47</v>
      </c>
    </row>
    <row r="1327" spans="4:4" ht="17.649999999999999" x14ac:dyDescent="0.5">
      <c r="D1327" s="3" t="s">
        <v>76</v>
      </c>
    </row>
    <row r="1328" spans="4:4" ht="17.649999999999999" x14ac:dyDescent="0.5">
      <c r="D1328" s="3" t="s">
        <v>49</v>
      </c>
    </row>
    <row r="1329" spans="4:4" ht="17.649999999999999" x14ac:dyDescent="0.5">
      <c r="D1329" s="3" t="s">
        <v>86</v>
      </c>
    </row>
    <row r="1330" spans="4:4" ht="17.649999999999999" x14ac:dyDescent="0.5">
      <c r="D1330" s="3" t="s">
        <v>92</v>
      </c>
    </row>
    <row r="1331" spans="4:4" ht="17.649999999999999" x14ac:dyDescent="0.5">
      <c r="D1331" s="3" t="s">
        <v>47</v>
      </c>
    </row>
    <row r="1332" spans="4:4" ht="17.649999999999999" x14ac:dyDescent="0.5">
      <c r="D1332" s="3" t="s">
        <v>115</v>
      </c>
    </row>
    <row r="1333" spans="4:4" ht="17.649999999999999" x14ac:dyDescent="0.5">
      <c r="D1333" s="3" t="s">
        <v>49</v>
      </c>
    </row>
    <row r="1334" spans="4:4" ht="17.649999999999999" x14ac:dyDescent="0.5">
      <c r="D1334" s="3" t="s">
        <v>112</v>
      </c>
    </row>
    <row r="1335" spans="4:4" ht="17.649999999999999" x14ac:dyDescent="0.5">
      <c r="D1335" s="3" t="s">
        <v>48</v>
      </c>
    </row>
    <row r="1336" spans="4:4" ht="17.649999999999999" x14ac:dyDescent="0.5">
      <c r="D1336" s="3" t="s">
        <v>127</v>
      </c>
    </row>
    <row r="1337" spans="4:4" ht="17.649999999999999" x14ac:dyDescent="0.5">
      <c r="D1337" s="3" t="s">
        <v>103</v>
      </c>
    </row>
    <row r="1338" spans="4:4" ht="17.649999999999999" x14ac:dyDescent="0.5">
      <c r="D1338" s="3" t="s">
        <v>112</v>
      </c>
    </row>
    <row r="1339" spans="4:4" ht="17.649999999999999" x14ac:dyDescent="0.5">
      <c r="D1339" s="3" t="s">
        <v>103</v>
      </c>
    </row>
    <row r="1340" spans="4:4" ht="17.649999999999999" x14ac:dyDescent="0.5">
      <c r="D1340" s="3" t="s">
        <v>112</v>
      </c>
    </row>
    <row r="1341" spans="4:4" ht="17.649999999999999" x14ac:dyDescent="0.5">
      <c r="D1341" s="3" t="s">
        <v>133</v>
      </c>
    </row>
    <row r="1342" spans="4:4" ht="17.649999999999999" x14ac:dyDescent="0.5">
      <c r="D1342" s="3" t="s">
        <v>75</v>
      </c>
    </row>
    <row r="1343" spans="4:4" ht="17.649999999999999" x14ac:dyDescent="0.5">
      <c r="D1343" s="3" t="s">
        <v>58</v>
      </c>
    </row>
    <row r="1344" spans="4:4" ht="17.649999999999999" x14ac:dyDescent="0.5">
      <c r="D1344" s="3" t="s">
        <v>56</v>
      </c>
    </row>
    <row r="1345" spans="4:4" ht="17.649999999999999" x14ac:dyDescent="0.5">
      <c r="D1345" s="3" t="s">
        <v>115</v>
      </c>
    </row>
    <row r="1346" spans="4:4" ht="17.649999999999999" x14ac:dyDescent="0.5">
      <c r="D1346" s="3" t="s">
        <v>67</v>
      </c>
    </row>
    <row r="1347" spans="4:4" ht="17.649999999999999" x14ac:dyDescent="0.5">
      <c r="D1347" s="3" t="s">
        <v>52</v>
      </c>
    </row>
    <row r="1348" spans="4:4" ht="17.649999999999999" x14ac:dyDescent="0.5">
      <c r="D1348" s="3" t="s">
        <v>101</v>
      </c>
    </row>
    <row r="1349" spans="4:4" ht="17.649999999999999" x14ac:dyDescent="0.5">
      <c r="D1349" s="3" t="s">
        <v>45</v>
      </c>
    </row>
    <row r="1350" spans="4:4" ht="17.649999999999999" x14ac:dyDescent="0.5">
      <c r="D1350" s="3" t="s">
        <v>83</v>
      </c>
    </row>
    <row r="1351" spans="4:4" ht="17.649999999999999" x14ac:dyDescent="0.5">
      <c r="D1351" s="3" t="s">
        <v>90</v>
      </c>
    </row>
    <row r="1352" spans="4:4" ht="17.649999999999999" x14ac:dyDescent="0.5">
      <c r="D1352" s="3" t="s">
        <v>70</v>
      </c>
    </row>
    <row r="1353" spans="4:4" ht="17.649999999999999" x14ac:dyDescent="0.5">
      <c r="D1353" s="3" t="s">
        <v>117</v>
      </c>
    </row>
    <row r="1354" spans="4:4" ht="17.649999999999999" x14ac:dyDescent="0.5">
      <c r="D1354" s="3" t="s">
        <v>59</v>
      </c>
    </row>
    <row r="1355" spans="4:4" ht="17.649999999999999" x14ac:dyDescent="0.5">
      <c r="D1355" s="3" t="s">
        <v>127</v>
      </c>
    </row>
    <row r="1356" spans="4:4" ht="17.649999999999999" x14ac:dyDescent="0.5">
      <c r="D1356" s="3" t="s">
        <v>65</v>
      </c>
    </row>
    <row r="1357" spans="4:4" ht="17.649999999999999" x14ac:dyDescent="0.5">
      <c r="D1357" s="3" t="s">
        <v>50</v>
      </c>
    </row>
    <row r="1358" spans="4:4" ht="17.649999999999999" x14ac:dyDescent="0.5">
      <c r="D1358" s="3" t="s">
        <v>69</v>
      </c>
    </row>
    <row r="1359" spans="4:4" ht="17.649999999999999" x14ac:dyDescent="0.5">
      <c r="D1359" s="3" t="s">
        <v>91</v>
      </c>
    </row>
    <row r="1360" spans="4:4" ht="17.649999999999999" x14ac:dyDescent="0.5">
      <c r="D1360" s="3" t="s">
        <v>80</v>
      </c>
    </row>
    <row r="1361" spans="4:4" ht="17.649999999999999" x14ac:dyDescent="0.5">
      <c r="D1361" s="3" t="s">
        <v>50</v>
      </c>
    </row>
    <row r="1362" spans="4:4" ht="17.649999999999999" x14ac:dyDescent="0.5">
      <c r="D1362" s="3" t="s">
        <v>96</v>
      </c>
    </row>
    <row r="1363" spans="4:4" ht="17.649999999999999" x14ac:dyDescent="0.5">
      <c r="D1363" s="3" t="s">
        <v>75</v>
      </c>
    </row>
    <row r="1364" spans="4:4" ht="17.649999999999999" x14ac:dyDescent="0.5">
      <c r="D1364" s="3" t="s">
        <v>54</v>
      </c>
    </row>
    <row r="1365" spans="4:4" ht="17.649999999999999" x14ac:dyDescent="0.5">
      <c r="D1365" s="3" t="s">
        <v>41</v>
      </c>
    </row>
    <row r="1366" spans="4:4" ht="17.649999999999999" x14ac:dyDescent="0.5">
      <c r="D1366" s="3" t="s">
        <v>48</v>
      </c>
    </row>
    <row r="1367" spans="4:4" ht="17.649999999999999" x14ac:dyDescent="0.5">
      <c r="D1367" s="3" t="s">
        <v>98</v>
      </c>
    </row>
    <row r="1368" spans="4:4" ht="17.649999999999999" x14ac:dyDescent="0.5">
      <c r="D1368" s="3" t="s">
        <v>80</v>
      </c>
    </row>
    <row r="1369" spans="4:4" ht="17.649999999999999" x14ac:dyDescent="0.5">
      <c r="D1369" s="3" t="s">
        <v>113</v>
      </c>
    </row>
    <row r="1370" spans="4:4" ht="17.649999999999999" x14ac:dyDescent="0.5">
      <c r="D1370" s="3" t="s">
        <v>74</v>
      </c>
    </row>
    <row r="1371" spans="4:4" ht="17.649999999999999" x14ac:dyDescent="0.5">
      <c r="D1371" s="3" t="s">
        <v>72</v>
      </c>
    </row>
    <row r="1372" spans="4:4" ht="17.649999999999999" x14ac:dyDescent="0.5">
      <c r="D1372" s="3" t="s">
        <v>81</v>
      </c>
    </row>
    <row r="1373" spans="4:4" ht="17.649999999999999" x14ac:dyDescent="0.5">
      <c r="D1373" s="3" t="s">
        <v>90</v>
      </c>
    </row>
    <row r="1374" spans="4:4" ht="17.649999999999999" x14ac:dyDescent="0.5">
      <c r="D1374" s="3" t="s">
        <v>115</v>
      </c>
    </row>
    <row r="1375" spans="4:4" ht="17.649999999999999" x14ac:dyDescent="0.5">
      <c r="D1375" s="3" t="s">
        <v>124</v>
      </c>
    </row>
    <row r="1376" spans="4:4" ht="17.649999999999999" x14ac:dyDescent="0.5">
      <c r="D1376" s="3" t="s">
        <v>53</v>
      </c>
    </row>
    <row r="1377" spans="4:4" ht="17.649999999999999" x14ac:dyDescent="0.5">
      <c r="D1377" s="3" t="s">
        <v>42</v>
      </c>
    </row>
    <row r="1378" spans="4:4" ht="17.649999999999999" x14ac:dyDescent="0.5">
      <c r="D1378" s="3" t="s">
        <v>105</v>
      </c>
    </row>
    <row r="1379" spans="4:4" ht="17.649999999999999" x14ac:dyDescent="0.5">
      <c r="D1379" s="3" t="s">
        <v>67</v>
      </c>
    </row>
    <row r="1380" spans="4:4" ht="17.649999999999999" x14ac:dyDescent="0.5">
      <c r="D1380" s="3" t="s">
        <v>55</v>
      </c>
    </row>
    <row r="1381" spans="4:4" ht="17.649999999999999" x14ac:dyDescent="0.5">
      <c r="D1381" s="3" t="s">
        <v>98</v>
      </c>
    </row>
    <row r="1382" spans="4:4" ht="17.649999999999999" x14ac:dyDescent="0.5">
      <c r="D1382" s="3" t="s">
        <v>85</v>
      </c>
    </row>
    <row r="1383" spans="4:4" ht="17.649999999999999" x14ac:dyDescent="0.5">
      <c r="D1383" s="3" t="s">
        <v>57</v>
      </c>
    </row>
    <row r="1384" spans="4:4" ht="17.649999999999999" x14ac:dyDescent="0.5">
      <c r="D1384" s="3" t="s">
        <v>135</v>
      </c>
    </row>
    <row r="1385" spans="4:4" ht="17.649999999999999" x14ac:dyDescent="0.5">
      <c r="D1385" s="3" t="s">
        <v>58</v>
      </c>
    </row>
    <row r="1386" spans="4:4" ht="17.649999999999999" x14ac:dyDescent="0.5">
      <c r="D1386" s="3" t="s">
        <v>54</v>
      </c>
    </row>
    <row r="1387" spans="4:4" ht="17.649999999999999" x14ac:dyDescent="0.5">
      <c r="D1387" s="3" t="s">
        <v>101</v>
      </c>
    </row>
    <row r="1388" spans="4:4" ht="17.649999999999999" x14ac:dyDescent="0.5">
      <c r="D1388" s="3" t="s">
        <v>54</v>
      </c>
    </row>
    <row r="1389" spans="4:4" ht="17.649999999999999" x14ac:dyDescent="0.5">
      <c r="D1389" s="3" t="s">
        <v>85</v>
      </c>
    </row>
    <row r="1390" spans="4:4" ht="17.649999999999999" x14ac:dyDescent="0.5">
      <c r="D1390" s="3" t="s">
        <v>73</v>
      </c>
    </row>
    <row r="1391" spans="4:4" ht="17.649999999999999" x14ac:dyDescent="0.5">
      <c r="D1391" s="3" t="s">
        <v>128</v>
      </c>
    </row>
    <row r="1392" spans="4:4" ht="17.649999999999999" x14ac:dyDescent="0.5">
      <c r="D1392" s="3" t="s">
        <v>90</v>
      </c>
    </row>
    <row r="1393" spans="4:4" ht="17.649999999999999" x14ac:dyDescent="0.5">
      <c r="D1393" s="3" t="s">
        <v>77</v>
      </c>
    </row>
    <row r="1394" spans="4:4" ht="17.649999999999999" x14ac:dyDescent="0.5">
      <c r="D1394" s="3" t="s">
        <v>69</v>
      </c>
    </row>
    <row r="1395" spans="4:4" ht="17.649999999999999" x14ac:dyDescent="0.5">
      <c r="D1395" s="3" t="s">
        <v>80</v>
      </c>
    </row>
    <row r="1396" spans="4:4" ht="17.649999999999999" x14ac:dyDescent="0.5">
      <c r="D1396" s="3" t="s">
        <v>101</v>
      </c>
    </row>
    <row r="1397" spans="4:4" ht="17.649999999999999" x14ac:dyDescent="0.5">
      <c r="D1397" s="3" t="s">
        <v>51</v>
      </c>
    </row>
    <row r="1398" spans="4:4" ht="17.649999999999999" x14ac:dyDescent="0.5">
      <c r="D1398" s="3" t="s">
        <v>132</v>
      </c>
    </row>
    <row r="1399" spans="4:4" ht="17.649999999999999" x14ac:dyDescent="0.5">
      <c r="D1399" s="3" t="s">
        <v>71</v>
      </c>
    </row>
    <row r="1400" spans="4:4" ht="17.649999999999999" x14ac:dyDescent="0.5">
      <c r="D1400" s="3" t="s">
        <v>91</v>
      </c>
    </row>
    <row r="1401" spans="4:4" ht="17.649999999999999" x14ac:dyDescent="0.5">
      <c r="D1401" s="3" t="s">
        <v>61</v>
      </c>
    </row>
    <row r="1402" spans="4:4" ht="17.649999999999999" x14ac:dyDescent="0.5">
      <c r="D1402" s="3" t="s">
        <v>77</v>
      </c>
    </row>
    <row r="1403" spans="4:4" ht="17.649999999999999" x14ac:dyDescent="0.5">
      <c r="D1403" s="3" t="s">
        <v>113</v>
      </c>
    </row>
    <row r="1404" spans="4:4" ht="17.649999999999999" x14ac:dyDescent="0.5">
      <c r="D1404" s="3" t="s">
        <v>101</v>
      </c>
    </row>
    <row r="1405" spans="4:4" ht="17.649999999999999" x14ac:dyDescent="0.5">
      <c r="D1405" s="3" t="s">
        <v>98</v>
      </c>
    </row>
    <row r="1406" spans="4:4" ht="17.649999999999999" x14ac:dyDescent="0.5">
      <c r="D1406" s="3" t="s">
        <v>49</v>
      </c>
    </row>
    <row r="1407" spans="4:4" ht="17.649999999999999" x14ac:dyDescent="0.5">
      <c r="D1407" s="3" t="s">
        <v>112</v>
      </c>
    </row>
    <row r="1408" spans="4:4" ht="17.649999999999999" x14ac:dyDescent="0.5">
      <c r="D1408" s="3" t="s">
        <v>82</v>
      </c>
    </row>
    <row r="1409" spans="4:4" ht="17.649999999999999" x14ac:dyDescent="0.5">
      <c r="D1409" s="3" t="s">
        <v>51</v>
      </c>
    </row>
    <row r="1410" spans="4:4" ht="17.649999999999999" x14ac:dyDescent="0.5">
      <c r="D1410" s="3" t="s">
        <v>131</v>
      </c>
    </row>
    <row r="1411" spans="4:4" ht="17.649999999999999" x14ac:dyDescent="0.5">
      <c r="D1411" s="3" t="s">
        <v>57</v>
      </c>
    </row>
    <row r="1412" spans="4:4" ht="17.649999999999999" x14ac:dyDescent="0.5">
      <c r="D1412" s="3" t="s">
        <v>71</v>
      </c>
    </row>
    <row r="1413" spans="4:4" ht="17.649999999999999" x14ac:dyDescent="0.5">
      <c r="D1413" s="3" t="s">
        <v>68</v>
      </c>
    </row>
    <row r="1414" spans="4:4" ht="17.649999999999999" x14ac:dyDescent="0.5">
      <c r="D1414" s="3" t="s">
        <v>81</v>
      </c>
    </row>
    <row r="1415" spans="4:4" ht="17.649999999999999" x14ac:dyDescent="0.5">
      <c r="D1415" s="3" t="s">
        <v>113</v>
      </c>
    </row>
    <row r="1416" spans="4:4" ht="17.649999999999999" x14ac:dyDescent="0.5">
      <c r="D1416" s="3" t="s">
        <v>75</v>
      </c>
    </row>
    <row r="1417" spans="4:4" ht="17.649999999999999" x14ac:dyDescent="0.5">
      <c r="D1417" s="3" t="s">
        <v>53</v>
      </c>
    </row>
    <row r="1418" spans="4:4" ht="17.649999999999999" x14ac:dyDescent="0.5">
      <c r="D1418" s="3" t="s">
        <v>81</v>
      </c>
    </row>
    <row r="1419" spans="4:4" ht="17.649999999999999" x14ac:dyDescent="0.5">
      <c r="D1419" s="3" t="s">
        <v>41</v>
      </c>
    </row>
    <row r="1420" spans="4:4" ht="17.649999999999999" x14ac:dyDescent="0.5">
      <c r="D1420" s="3" t="s">
        <v>92</v>
      </c>
    </row>
    <row r="1421" spans="4:4" ht="17.649999999999999" x14ac:dyDescent="0.5">
      <c r="D1421" s="3" t="s">
        <v>136</v>
      </c>
    </row>
    <row r="1422" spans="4:4" ht="17.649999999999999" x14ac:dyDescent="0.5">
      <c r="D1422" s="3" t="s">
        <v>43</v>
      </c>
    </row>
    <row r="1423" spans="4:4" ht="17.649999999999999" x14ac:dyDescent="0.5">
      <c r="D1423" s="3" t="s">
        <v>68</v>
      </c>
    </row>
    <row r="1424" spans="4:4" ht="17.649999999999999" x14ac:dyDescent="0.5">
      <c r="D1424" s="3" t="s">
        <v>64</v>
      </c>
    </row>
    <row r="1425" spans="4:4" ht="17.649999999999999" x14ac:dyDescent="0.5">
      <c r="D1425" s="3" t="s">
        <v>66</v>
      </c>
    </row>
    <row r="1426" spans="4:4" ht="17.649999999999999" x14ac:dyDescent="0.5">
      <c r="D1426" s="3" t="s">
        <v>61</v>
      </c>
    </row>
    <row r="1427" spans="4:4" ht="17.649999999999999" x14ac:dyDescent="0.5">
      <c r="D1427" s="3" t="s">
        <v>65</v>
      </c>
    </row>
    <row r="1428" spans="4:4" ht="17.649999999999999" x14ac:dyDescent="0.5">
      <c r="D1428" s="3" t="s">
        <v>101</v>
      </c>
    </row>
    <row r="1429" spans="4:4" ht="17.649999999999999" x14ac:dyDescent="0.5">
      <c r="D1429" s="3" t="s">
        <v>105</v>
      </c>
    </row>
    <row r="1430" spans="4:4" ht="17.649999999999999" x14ac:dyDescent="0.5">
      <c r="D1430" s="3" t="s">
        <v>98</v>
      </c>
    </row>
    <row r="1431" spans="4:4" ht="17.649999999999999" x14ac:dyDescent="0.5">
      <c r="D1431" s="3" t="s">
        <v>63</v>
      </c>
    </row>
    <row r="1432" spans="4:4" ht="17.649999999999999" x14ac:dyDescent="0.5">
      <c r="D1432" s="3" t="s">
        <v>55</v>
      </c>
    </row>
    <row r="1433" spans="4:4" ht="17.649999999999999" x14ac:dyDescent="0.5">
      <c r="D1433" s="3" t="s">
        <v>43</v>
      </c>
    </row>
    <row r="1434" spans="4:4" ht="17.649999999999999" x14ac:dyDescent="0.5">
      <c r="D1434" s="3" t="s">
        <v>84</v>
      </c>
    </row>
    <row r="1435" spans="4:4" ht="17.649999999999999" x14ac:dyDescent="0.5">
      <c r="D1435" s="3" t="s">
        <v>122</v>
      </c>
    </row>
    <row r="1436" spans="4:4" ht="17.649999999999999" x14ac:dyDescent="0.5">
      <c r="D1436" s="3" t="s">
        <v>63</v>
      </c>
    </row>
    <row r="1437" spans="4:4" ht="17.649999999999999" x14ac:dyDescent="0.5">
      <c r="D1437" s="3" t="s">
        <v>66</v>
      </c>
    </row>
    <row r="1438" spans="4:4" ht="17.649999999999999" x14ac:dyDescent="0.5">
      <c r="D1438" s="3" t="s">
        <v>54</v>
      </c>
    </row>
    <row r="1439" spans="4:4" ht="17.649999999999999" x14ac:dyDescent="0.5">
      <c r="D1439" s="3" t="s">
        <v>112</v>
      </c>
    </row>
    <row r="1440" spans="4:4" ht="17.649999999999999" x14ac:dyDescent="0.5">
      <c r="D1440" s="3" t="s">
        <v>43</v>
      </c>
    </row>
    <row r="1441" spans="4:4" ht="17.649999999999999" x14ac:dyDescent="0.5">
      <c r="D1441" s="3" t="s">
        <v>51</v>
      </c>
    </row>
    <row r="1442" spans="4:4" ht="17.649999999999999" x14ac:dyDescent="0.5">
      <c r="D1442" s="3" t="s">
        <v>80</v>
      </c>
    </row>
    <row r="1443" spans="4:4" ht="17.649999999999999" x14ac:dyDescent="0.5">
      <c r="D1443" s="3" t="s">
        <v>82</v>
      </c>
    </row>
    <row r="1444" spans="4:4" ht="17.649999999999999" x14ac:dyDescent="0.5">
      <c r="D1444" s="3" t="s">
        <v>64</v>
      </c>
    </row>
    <row r="1445" spans="4:4" ht="17.649999999999999" x14ac:dyDescent="0.5">
      <c r="D1445" s="3" t="s">
        <v>53</v>
      </c>
    </row>
    <row r="1446" spans="4:4" ht="17.649999999999999" x14ac:dyDescent="0.5">
      <c r="D1446" s="3" t="s">
        <v>69</v>
      </c>
    </row>
    <row r="1447" spans="4:4" ht="17.649999999999999" x14ac:dyDescent="0.5">
      <c r="D1447" s="3" t="s">
        <v>46</v>
      </c>
    </row>
    <row r="1448" spans="4:4" ht="17.649999999999999" x14ac:dyDescent="0.5">
      <c r="D1448" s="3" t="s">
        <v>54</v>
      </c>
    </row>
    <row r="1449" spans="4:4" ht="17.649999999999999" x14ac:dyDescent="0.5">
      <c r="D1449" s="3" t="s">
        <v>61</v>
      </c>
    </row>
    <row r="1450" spans="4:4" ht="17.649999999999999" x14ac:dyDescent="0.5">
      <c r="D1450" s="3" t="s">
        <v>115</v>
      </c>
    </row>
    <row r="1451" spans="4:4" ht="17.649999999999999" x14ac:dyDescent="0.5">
      <c r="D1451" s="3" t="s">
        <v>54</v>
      </c>
    </row>
    <row r="1452" spans="4:4" ht="17.649999999999999" x14ac:dyDescent="0.5">
      <c r="D1452" s="3" t="s">
        <v>66</v>
      </c>
    </row>
    <row r="1453" spans="4:4" ht="17.649999999999999" x14ac:dyDescent="0.5">
      <c r="D1453" s="3" t="s">
        <v>105</v>
      </c>
    </row>
    <row r="1454" spans="4:4" ht="17.649999999999999" x14ac:dyDescent="0.5">
      <c r="D1454" s="3" t="s">
        <v>73</v>
      </c>
    </row>
    <row r="1455" spans="4:4" ht="17.649999999999999" x14ac:dyDescent="0.5">
      <c r="D1455" s="3" t="s">
        <v>101</v>
      </c>
    </row>
    <row r="1456" spans="4:4" ht="17.649999999999999" x14ac:dyDescent="0.5">
      <c r="D1456" s="3" t="s">
        <v>81</v>
      </c>
    </row>
    <row r="1457" spans="4:4" ht="17.649999999999999" x14ac:dyDescent="0.5">
      <c r="D1457" s="3" t="s">
        <v>134</v>
      </c>
    </row>
    <row r="1458" spans="4:4" ht="17.649999999999999" x14ac:dyDescent="0.5">
      <c r="D1458" s="3" t="s">
        <v>49</v>
      </c>
    </row>
    <row r="1459" spans="4:4" ht="17.649999999999999" x14ac:dyDescent="0.5">
      <c r="D1459" s="3" t="s">
        <v>49</v>
      </c>
    </row>
    <row r="1460" spans="4:4" ht="17.649999999999999" x14ac:dyDescent="0.5">
      <c r="D1460" s="3" t="s">
        <v>58</v>
      </c>
    </row>
    <row r="1461" spans="4:4" ht="17.649999999999999" x14ac:dyDescent="0.5">
      <c r="D1461" s="3" t="s">
        <v>96</v>
      </c>
    </row>
    <row r="1462" spans="4:4" ht="17.649999999999999" x14ac:dyDescent="0.5">
      <c r="D1462" s="3" t="s">
        <v>67</v>
      </c>
    </row>
    <row r="1463" spans="4:4" ht="17.649999999999999" x14ac:dyDescent="0.5">
      <c r="D1463" s="3" t="s">
        <v>80</v>
      </c>
    </row>
    <row r="1464" spans="4:4" ht="17.649999999999999" x14ac:dyDescent="0.5">
      <c r="D1464" s="3" t="s">
        <v>75</v>
      </c>
    </row>
    <row r="1465" spans="4:4" ht="17.649999999999999" x14ac:dyDescent="0.5">
      <c r="D1465" s="3" t="s">
        <v>53</v>
      </c>
    </row>
    <row r="1466" spans="4:4" ht="17.649999999999999" x14ac:dyDescent="0.5">
      <c r="D1466" s="3" t="s">
        <v>132</v>
      </c>
    </row>
    <row r="1467" spans="4:4" ht="17.649999999999999" x14ac:dyDescent="0.5">
      <c r="D1467" s="3" t="s">
        <v>131</v>
      </c>
    </row>
    <row r="1468" spans="4:4" ht="17.649999999999999" x14ac:dyDescent="0.5">
      <c r="D1468" s="3" t="s">
        <v>70</v>
      </c>
    </row>
    <row r="1469" spans="4:4" ht="17.649999999999999" x14ac:dyDescent="0.5">
      <c r="D1469" s="3" t="s">
        <v>116</v>
      </c>
    </row>
    <row r="1470" spans="4:4" ht="17.649999999999999" x14ac:dyDescent="0.5">
      <c r="D1470" s="3" t="s">
        <v>82</v>
      </c>
    </row>
    <row r="1471" spans="4:4" ht="17.649999999999999" x14ac:dyDescent="0.5">
      <c r="D1471" s="3" t="s">
        <v>84</v>
      </c>
    </row>
    <row r="1472" spans="4:4" ht="17.649999999999999" x14ac:dyDescent="0.5">
      <c r="D1472" s="3" t="s">
        <v>47</v>
      </c>
    </row>
    <row r="1473" spans="4:4" ht="17.649999999999999" x14ac:dyDescent="0.5">
      <c r="D1473" s="3" t="s">
        <v>51</v>
      </c>
    </row>
    <row r="1474" spans="4:4" ht="17.649999999999999" x14ac:dyDescent="0.5">
      <c r="D1474" s="3" t="s">
        <v>44</v>
      </c>
    </row>
    <row r="1475" spans="4:4" ht="17.649999999999999" x14ac:dyDescent="0.5">
      <c r="D1475" s="3" t="s">
        <v>42</v>
      </c>
    </row>
    <row r="1476" spans="4:4" ht="17.649999999999999" x14ac:dyDescent="0.5">
      <c r="D1476" s="3" t="s">
        <v>113</v>
      </c>
    </row>
    <row r="1477" spans="4:4" ht="17.649999999999999" x14ac:dyDescent="0.5">
      <c r="D1477" s="3" t="s">
        <v>75</v>
      </c>
    </row>
    <row r="1478" spans="4:4" ht="17.649999999999999" x14ac:dyDescent="0.5">
      <c r="D1478" s="3" t="s">
        <v>103</v>
      </c>
    </row>
    <row r="1479" spans="4:4" ht="17.649999999999999" x14ac:dyDescent="0.5">
      <c r="D1479" s="3" t="s">
        <v>67</v>
      </c>
    </row>
    <row r="1480" spans="4:4" ht="17.649999999999999" x14ac:dyDescent="0.5">
      <c r="D1480" s="3" t="s">
        <v>96</v>
      </c>
    </row>
    <row r="1481" spans="4:4" ht="17.649999999999999" x14ac:dyDescent="0.5">
      <c r="D1481" s="3" t="s">
        <v>97</v>
      </c>
    </row>
    <row r="1482" spans="4:4" ht="17.649999999999999" x14ac:dyDescent="0.5">
      <c r="D1482" s="3" t="s">
        <v>80</v>
      </c>
    </row>
    <row r="1483" spans="4:4" ht="17.649999999999999" x14ac:dyDescent="0.5">
      <c r="D1483" s="3" t="s">
        <v>113</v>
      </c>
    </row>
    <row r="1484" spans="4:4" ht="17.649999999999999" x14ac:dyDescent="0.5">
      <c r="D1484" s="3" t="s">
        <v>72</v>
      </c>
    </row>
    <row r="1485" spans="4:4" ht="17.649999999999999" x14ac:dyDescent="0.5">
      <c r="D1485" s="3" t="s">
        <v>89</v>
      </c>
    </row>
    <row r="1486" spans="4:4" ht="17.649999999999999" x14ac:dyDescent="0.5">
      <c r="D1486" s="3" t="s">
        <v>68</v>
      </c>
    </row>
    <row r="1487" spans="4:4" ht="17.649999999999999" x14ac:dyDescent="0.5">
      <c r="D1487" s="3" t="s">
        <v>98</v>
      </c>
    </row>
    <row r="1488" spans="4:4" ht="17.649999999999999" x14ac:dyDescent="0.5">
      <c r="D1488" s="3" t="s">
        <v>51</v>
      </c>
    </row>
    <row r="1489" spans="4:4" ht="17.649999999999999" x14ac:dyDescent="0.5">
      <c r="D1489" s="3" t="s">
        <v>136</v>
      </c>
    </row>
    <row r="1490" spans="4:4" ht="17.649999999999999" x14ac:dyDescent="0.5">
      <c r="D1490" s="3" t="s">
        <v>112</v>
      </c>
    </row>
    <row r="1491" spans="4:4" ht="17.649999999999999" x14ac:dyDescent="0.5">
      <c r="D1491" s="3" t="s">
        <v>90</v>
      </c>
    </row>
    <row r="1492" spans="4:4" ht="17.649999999999999" x14ac:dyDescent="0.5">
      <c r="D1492" s="3" t="s">
        <v>99</v>
      </c>
    </row>
    <row r="1493" spans="4:4" ht="17.649999999999999" x14ac:dyDescent="0.5">
      <c r="D1493" s="3" t="s">
        <v>97</v>
      </c>
    </row>
    <row r="1494" spans="4:4" ht="17.649999999999999" x14ac:dyDescent="0.5">
      <c r="D1494" s="3" t="s">
        <v>115</v>
      </c>
    </row>
    <row r="1495" spans="4:4" ht="17.649999999999999" x14ac:dyDescent="0.5">
      <c r="D1495" s="3" t="s">
        <v>107</v>
      </c>
    </row>
    <row r="1496" spans="4:4" ht="17.649999999999999" x14ac:dyDescent="0.5">
      <c r="D1496" s="3" t="s">
        <v>83</v>
      </c>
    </row>
    <row r="1497" spans="4:4" ht="17.649999999999999" x14ac:dyDescent="0.5">
      <c r="D1497" s="3" t="s">
        <v>65</v>
      </c>
    </row>
    <row r="1498" spans="4:4" ht="17.649999999999999" x14ac:dyDescent="0.5">
      <c r="D1498" s="3" t="s">
        <v>124</v>
      </c>
    </row>
    <row r="1499" spans="4:4" ht="17.649999999999999" x14ac:dyDescent="0.5">
      <c r="D1499" s="3" t="s">
        <v>49</v>
      </c>
    </row>
    <row r="1500" spans="4:4" ht="17.649999999999999" x14ac:dyDescent="0.5">
      <c r="D1500" s="3" t="s">
        <v>115</v>
      </c>
    </row>
    <row r="1501" spans="4:4" ht="17.649999999999999" x14ac:dyDescent="0.5">
      <c r="D1501" s="3" t="s">
        <v>91</v>
      </c>
    </row>
    <row r="1502" spans="4:4" ht="17.649999999999999" x14ac:dyDescent="0.5">
      <c r="D1502" s="3" t="s">
        <v>44</v>
      </c>
    </row>
    <row r="1503" spans="4:4" ht="17.649999999999999" x14ac:dyDescent="0.5">
      <c r="D1503" s="3" t="s">
        <v>98</v>
      </c>
    </row>
    <row r="1504" spans="4:4" ht="17.649999999999999" x14ac:dyDescent="0.5">
      <c r="D1504" s="3" t="s">
        <v>130</v>
      </c>
    </row>
    <row r="1505" spans="4:4" ht="17.649999999999999" x14ac:dyDescent="0.5">
      <c r="D1505" s="3" t="s">
        <v>66</v>
      </c>
    </row>
    <row r="1506" spans="4:4" ht="17.649999999999999" x14ac:dyDescent="0.5">
      <c r="D1506" s="3" t="s">
        <v>108</v>
      </c>
    </row>
    <row r="1507" spans="4:4" ht="17.649999999999999" x14ac:dyDescent="0.5">
      <c r="D1507" s="3" t="s">
        <v>96</v>
      </c>
    </row>
    <row r="1508" spans="4:4" ht="17.649999999999999" x14ac:dyDescent="0.5">
      <c r="D1508" s="3" t="s">
        <v>45</v>
      </c>
    </row>
    <row r="1509" spans="4:4" ht="17.649999999999999" x14ac:dyDescent="0.5">
      <c r="D1509" s="3" t="s">
        <v>66</v>
      </c>
    </row>
    <row r="1510" spans="4:4" ht="17.649999999999999" x14ac:dyDescent="0.5">
      <c r="D1510" s="3" t="s">
        <v>50</v>
      </c>
    </row>
    <row r="1511" spans="4:4" ht="17.649999999999999" x14ac:dyDescent="0.5">
      <c r="D1511" s="3" t="s">
        <v>67</v>
      </c>
    </row>
    <row r="1512" spans="4:4" ht="17.649999999999999" x14ac:dyDescent="0.5">
      <c r="D1512" s="3" t="s">
        <v>90</v>
      </c>
    </row>
    <row r="1513" spans="4:4" ht="17.649999999999999" x14ac:dyDescent="0.5">
      <c r="D1513" s="3" t="s">
        <v>136</v>
      </c>
    </row>
    <row r="1514" spans="4:4" ht="17.649999999999999" x14ac:dyDescent="0.5">
      <c r="D1514" s="3" t="s">
        <v>56</v>
      </c>
    </row>
    <row r="1515" spans="4:4" ht="17.649999999999999" x14ac:dyDescent="0.5">
      <c r="D1515" s="3" t="s">
        <v>103</v>
      </c>
    </row>
    <row r="1516" spans="4:4" ht="17.649999999999999" x14ac:dyDescent="0.5">
      <c r="D1516" s="3" t="s">
        <v>45</v>
      </c>
    </row>
    <row r="1517" spans="4:4" ht="17.649999999999999" x14ac:dyDescent="0.5">
      <c r="D1517" s="3" t="s">
        <v>58</v>
      </c>
    </row>
    <row r="1518" spans="4:4" ht="17.649999999999999" x14ac:dyDescent="0.5">
      <c r="D1518" s="3" t="s">
        <v>120</v>
      </c>
    </row>
    <row r="1519" spans="4:4" ht="17.649999999999999" x14ac:dyDescent="0.5">
      <c r="D1519" s="3" t="s">
        <v>48</v>
      </c>
    </row>
    <row r="1520" spans="4:4" ht="17.649999999999999" x14ac:dyDescent="0.5">
      <c r="D1520" s="3" t="s">
        <v>123</v>
      </c>
    </row>
    <row r="1521" spans="4:4" ht="17.649999999999999" x14ac:dyDescent="0.5">
      <c r="D1521" s="3" t="s">
        <v>102</v>
      </c>
    </row>
    <row r="1522" spans="4:4" ht="17.649999999999999" x14ac:dyDescent="0.5">
      <c r="D1522" s="3" t="s">
        <v>112</v>
      </c>
    </row>
    <row r="1523" spans="4:4" ht="17.649999999999999" x14ac:dyDescent="0.5">
      <c r="D1523" s="3" t="s">
        <v>75</v>
      </c>
    </row>
    <row r="1524" spans="4:4" ht="17.649999999999999" x14ac:dyDescent="0.5">
      <c r="D1524" s="3" t="s">
        <v>68</v>
      </c>
    </row>
    <row r="1525" spans="4:4" ht="17.649999999999999" x14ac:dyDescent="0.5">
      <c r="D1525" s="3" t="s">
        <v>57</v>
      </c>
    </row>
    <row r="1526" spans="4:4" ht="17.649999999999999" x14ac:dyDescent="0.5">
      <c r="D1526" s="3" t="s">
        <v>54</v>
      </c>
    </row>
    <row r="1527" spans="4:4" ht="17.649999999999999" x14ac:dyDescent="0.5">
      <c r="D1527" s="3" t="s">
        <v>92</v>
      </c>
    </row>
    <row r="1528" spans="4:4" ht="17.649999999999999" x14ac:dyDescent="0.5">
      <c r="D1528" s="3" t="s">
        <v>81</v>
      </c>
    </row>
    <row r="1529" spans="4:4" ht="17.649999999999999" x14ac:dyDescent="0.5">
      <c r="D1529" s="3" t="s">
        <v>85</v>
      </c>
    </row>
    <row r="1530" spans="4:4" ht="17.649999999999999" x14ac:dyDescent="0.5">
      <c r="D1530" s="3" t="s">
        <v>135</v>
      </c>
    </row>
    <row r="1531" spans="4:4" ht="17.649999999999999" x14ac:dyDescent="0.5">
      <c r="D1531" s="3" t="s">
        <v>94</v>
      </c>
    </row>
    <row r="1532" spans="4:4" ht="17.649999999999999" x14ac:dyDescent="0.5">
      <c r="D1532" s="3" t="s">
        <v>55</v>
      </c>
    </row>
    <row r="1533" spans="4:4" ht="17.649999999999999" x14ac:dyDescent="0.5">
      <c r="D1533" s="3" t="s">
        <v>85</v>
      </c>
    </row>
    <row r="1534" spans="4:4" ht="17.649999999999999" x14ac:dyDescent="0.5">
      <c r="D1534" s="3" t="s">
        <v>98</v>
      </c>
    </row>
    <row r="1535" spans="4:4" ht="17.649999999999999" x14ac:dyDescent="0.5">
      <c r="D1535" s="3" t="s">
        <v>91</v>
      </c>
    </row>
    <row r="1536" spans="4:4" ht="17.649999999999999" x14ac:dyDescent="0.5">
      <c r="D1536" s="3" t="s">
        <v>72</v>
      </c>
    </row>
    <row r="1537" spans="4:4" ht="17.649999999999999" x14ac:dyDescent="0.5">
      <c r="D1537" s="3" t="s">
        <v>81</v>
      </c>
    </row>
    <row r="1538" spans="4:4" ht="17.649999999999999" x14ac:dyDescent="0.5">
      <c r="D1538" s="3" t="s">
        <v>113</v>
      </c>
    </row>
    <row r="1539" spans="4:4" ht="17.649999999999999" x14ac:dyDescent="0.5">
      <c r="D1539" s="3" t="s">
        <v>61</v>
      </c>
    </row>
    <row r="1540" spans="4:4" ht="17.649999999999999" x14ac:dyDescent="0.5">
      <c r="D1540" s="3" t="s">
        <v>47</v>
      </c>
    </row>
    <row r="1541" spans="4:4" ht="17.649999999999999" x14ac:dyDescent="0.5">
      <c r="D1541" s="3" t="s">
        <v>134</v>
      </c>
    </row>
    <row r="1542" spans="4:4" ht="17.649999999999999" x14ac:dyDescent="0.5">
      <c r="D1542" s="3" t="s">
        <v>54</v>
      </c>
    </row>
    <row r="1543" spans="4:4" ht="17.649999999999999" x14ac:dyDescent="0.5">
      <c r="D1543" s="3" t="s">
        <v>116</v>
      </c>
    </row>
    <row r="1544" spans="4:4" ht="17.649999999999999" x14ac:dyDescent="0.5">
      <c r="D1544" s="3" t="s">
        <v>57</v>
      </c>
    </row>
    <row r="1545" spans="4:4" ht="17.649999999999999" x14ac:dyDescent="0.5">
      <c r="D1545" s="3" t="s">
        <v>115</v>
      </c>
    </row>
    <row r="1546" spans="4:4" ht="17.649999999999999" x14ac:dyDescent="0.5">
      <c r="D1546" s="3" t="s">
        <v>73</v>
      </c>
    </row>
    <row r="1547" spans="4:4" ht="17.649999999999999" x14ac:dyDescent="0.5">
      <c r="D1547" s="3" t="s">
        <v>87</v>
      </c>
    </row>
    <row r="1548" spans="4:4" ht="17.649999999999999" x14ac:dyDescent="0.5">
      <c r="D1548" s="3" t="s">
        <v>90</v>
      </c>
    </row>
    <row r="1549" spans="4:4" ht="17.649999999999999" x14ac:dyDescent="0.5">
      <c r="D1549" s="3" t="s">
        <v>131</v>
      </c>
    </row>
    <row r="1550" spans="4:4" ht="17.649999999999999" x14ac:dyDescent="0.5">
      <c r="D1550" s="3" t="s">
        <v>76</v>
      </c>
    </row>
    <row r="1551" spans="4:4" ht="17.649999999999999" x14ac:dyDescent="0.5">
      <c r="D1551" s="3" t="s">
        <v>77</v>
      </c>
    </row>
    <row r="1552" spans="4:4" ht="17.649999999999999" x14ac:dyDescent="0.5">
      <c r="D1552" s="3" t="s">
        <v>47</v>
      </c>
    </row>
    <row r="1553" spans="4:4" ht="17.649999999999999" x14ac:dyDescent="0.5">
      <c r="D1553" s="3" t="s">
        <v>112</v>
      </c>
    </row>
    <row r="1554" spans="4:4" ht="17.649999999999999" x14ac:dyDescent="0.5">
      <c r="D1554" s="3" t="s">
        <v>98</v>
      </c>
    </row>
    <row r="1555" spans="4:4" ht="17.649999999999999" x14ac:dyDescent="0.5">
      <c r="D1555" s="3" t="s">
        <v>53</v>
      </c>
    </row>
    <row r="1556" spans="4:4" ht="17.649999999999999" x14ac:dyDescent="0.5">
      <c r="D1556" s="3" t="s">
        <v>83</v>
      </c>
    </row>
    <row r="1557" spans="4:4" ht="17.649999999999999" x14ac:dyDescent="0.5">
      <c r="D1557" s="3" t="s">
        <v>48</v>
      </c>
    </row>
    <row r="1558" spans="4:4" ht="17.649999999999999" x14ac:dyDescent="0.5">
      <c r="D1558" s="3" t="s">
        <v>131</v>
      </c>
    </row>
    <row r="1559" spans="4:4" ht="17.649999999999999" x14ac:dyDescent="0.5">
      <c r="D1559" s="3" t="s">
        <v>103</v>
      </c>
    </row>
    <row r="1560" spans="4:4" ht="17.649999999999999" x14ac:dyDescent="0.5">
      <c r="D1560" s="3" t="s">
        <v>43</v>
      </c>
    </row>
    <row r="1561" spans="4:4" ht="17.649999999999999" x14ac:dyDescent="0.5">
      <c r="D1561" s="3" t="s">
        <v>50</v>
      </c>
    </row>
    <row r="1562" spans="4:4" ht="17.649999999999999" x14ac:dyDescent="0.5">
      <c r="D1562" s="3" t="s">
        <v>73</v>
      </c>
    </row>
    <row r="1563" spans="4:4" ht="17.649999999999999" x14ac:dyDescent="0.5">
      <c r="D1563" s="3" t="s">
        <v>94</v>
      </c>
    </row>
    <row r="1564" spans="4:4" ht="17.649999999999999" x14ac:dyDescent="0.5">
      <c r="D1564" s="3" t="s">
        <v>43</v>
      </c>
    </row>
    <row r="1565" spans="4:4" ht="17.649999999999999" x14ac:dyDescent="0.5">
      <c r="D1565" s="3" t="s">
        <v>54</v>
      </c>
    </row>
    <row r="1566" spans="4:4" ht="17.649999999999999" x14ac:dyDescent="0.5">
      <c r="D1566" s="3" t="s">
        <v>57</v>
      </c>
    </row>
    <row r="1567" spans="4:4" ht="17.649999999999999" x14ac:dyDescent="0.5">
      <c r="D1567" s="3" t="s">
        <v>80</v>
      </c>
    </row>
    <row r="1568" spans="4:4" ht="17.649999999999999" x14ac:dyDescent="0.5">
      <c r="D1568" s="3" t="s">
        <v>68</v>
      </c>
    </row>
    <row r="1569" spans="4:4" ht="17.649999999999999" x14ac:dyDescent="0.5">
      <c r="D1569" s="3" t="s">
        <v>82</v>
      </c>
    </row>
    <row r="1570" spans="4:4" ht="17.649999999999999" x14ac:dyDescent="0.5">
      <c r="D1570" s="3" t="s">
        <v>64</v>
      </c>
    </row>
    <row r="1571" spans="4:4" ht="17.649999999999999" x14ac:dyDescent="0.5">
      <c r="D1571" s="3" t="s">
        <v>109</v>
      </c>
    </row>
    <row r="1572" spans="4:4" ht="17.649999999999999" x14ac:dyDescent="0.5">
      <c r="D1572" s="3" t="s">
        <v>55</v>
      </c>
    </row>
    <row r="1573" spans="4:4" ht="17.649999999999999" x14ac:dyDescent="0.5">
      <c r="D1573" s="3" t="s">
        <v>43</v>
      </c>
    </row>
    <row r="1574" spans="4:4" ht="17.649999999999999" x14ac:dyDescent="0.5">
      <c r="D1574" s="3" t="s">
        <v>117</v>
      </c>
    </row>
    <row r="1575" spans="4:4" ht="17.649999999999999" x14ac:dyDescent="0.5">
      <c r="D1575" s="3" t="s">
        <v>84</v>
      </c>
    </row>
    <row r="1576" spans="4:4" ht="17.649999999999999" x14ac:dyDescent="0.5">
      <c r="D1576" s="3" t="s">
        <v>85</v>
      </c>
    </row>
    <row r="1577" spans="4:4" ht="17.649999999999999" x14ac:dyDescent="0.5">
      <c r="D1577" s="3" t="s">
        <v>68</v>
      </c>
    </row>
    <row r="1578" spans="4:4" ht="17.649999999999999" x14ac:dyDescent="0.5">
      <c r="D1578" s="3" t="s">
        <v>105</v>
      </c>
    </row>
    <row r="1579" spans="4:4" ht="17.649999999999999" x14ac:dyDescent="0.5">
      <c r="D1579" s="3" t="s">
        <v>77</v>
      </c>
    </row>
    <row r="1580" spans="4:4" ht="17.649999999999999" x14ac:dyDescent="0.5">
      <c r="D1580" s="3" t="s">
        <v>60</v>
      </c>
    </row>
    <row r="1581" spans="4:4" ht="17.649999999999999" x14ac:dyDescent="0.5">
      <c r="D1581" s="3" t="s">
        <v>83</v>
      </c>
    </row>
    <row r="1582" spans="4:4" ht="17.649999999999999" x14ac:dyDescent="0.5">
      <c r="D1582" s="3" t="s">
        <v>78</v>
      </c>
    </row>
    <row r="1583" spans="4:4" ht="17.649999999999999" x14ac:dyDescent="0.5">
      <c r="D1583" s="3" t="s">
        <v>47</v>
      </c>
    </row>
    <row r="1584" spans="4:4" ht="17.649999999999999" x14ac:dyDescent="0.5">
      <c r="D1584" s="3" t="s">
        <v>53</v>
      </c>
    </row>
    <row r="1585" spans="4:4" ht="17.649999999999999" x14ac:dyDescent="0.5">
      <c r="D1585" s="3" t="s">
        <v>85</v>
      </c>
    </row>
    <row r="1586" spans="4:4" ht="17.649999999999999" x14ac:dyDescent="0.5">
      <c r="D1586" s="3" t="s">
        <v>81</v>
      </c>
    </row>
    <row r="1587" spans="4:4" ht="17.649999999999999" x14ac:dyDescent="0.5">
      <c r="D1587" s="3" t="s">
        <v>94</v>
      </c>
    </row>
    <row r="1588" spans="4:4" ht="17.649999999999999" x14ac:dyDescent="0.5">
      <c r="D1588" s="3" t="s">
        <v>132</v>
      </c>
    </row>
    <row r="1589" spans="4:4" ht="17.649999999999999" x14ac:dyDescent="0.5">
      <c r="D1589" s="3" t="s">
        <v>41</v>
      </c>
    </row>
    <row r="1590" spans="4:4" ht="17.649999999999999" x14ac:dyDescent="0.5">
      <c r="D1590" s="3" t="s">
        <v>42</v>
      </c>
    </row>
    <row r="1591" spans="4:4" ht="17.649999999999999" x14ac:dyDescent="0.5">
      <c r="D1591" s="3" t="s">
        <v>125</v>
      </c>
    </row>
    <row r="1592" spans="4:4" ht="17.649999999999999" x14ac:dyDescent="0.5">
      <c r="D1592" s="3" t="s">
        <v>64</v>
      </c>
    </row>
    <row r="1593" spans="4:4" ht="17.649999999999999" x14ac:dyDescent="0.5">
      <c r="D1593" s="3" t="s">
        <v>130</v>
      </c>
    </row>
    <row r="1594" spans="4:4" ht="17.649999999999999" x14ac:dyDescent="0.5">
      <c r="D1594" s="3" t="s">
        <v>90</v>
      </c>
    </row>
    <row r="1595" spans="4:4" ht="17.649999999999999" x14ac:dyDescent="0.5">
      <c r="D1595" s="3" t="s">
        <v>59</v>
      </c>
    </row>
    <row r="1596" spans="4:4" ht="17.649999999999999" x14ac:dyDescent="0.5">
      <c r="D1596" s="3" t="s">
        <v>44</v>
      </c>
    </row>
    <row r="1597" spans="4:4" ht="17.649999999999999" x14ac:dyDescent="0.5">
      <c r="D1597" s="3" t="s">
        <v>81</v>
      </c>
    </row>
    <row r="1598" spans="4:4" ht="17.649999999999999" x14ac:dyDescent="0.5">
      <c r="D1598" s="3" t="s">
        <v>98</v>
      </c>
    </row>
    <row r="1599" spans="4:4" ht="17.649999999999999" x14ac:dyDescent="0.5">
      <c r="D1599" s="3" t="s">
        <v>61</v>
      </c>
    </row>
    <row r="1600" spans="4:4" ht="17.649999999999999" x14ac:dyDescent="0.5">
      <c r="D1600" s="3" t="s">
        <v>66</v>
      </c>
    </row>
    <row r="1601" spans="4:4" ht="17.649999999999999" x14ac:dyDescent="0.5">
      <c r="D1601" s="3" t="s">
        <v>107</v>
      </c>
    </row>
    <row r="1602" spans="4:4" ht="17.649999999999999" x14ac:dyDescent="0.5">
      <c r="D1602" s="3" t="s">
        <v>53</v>
      </c>
    </row>
    <row r="1603" spans="4:4" ht="17.649999999999999" x14ac:dyDescent="0.5">
      <c r="D1603" s="3" t="s">
        <v>49</v>
      </c>
    </row>
    <row r="1604" spans="4:4" ht="17.649999999999999" x14ac:dyDescent="0.5">
      <c r="D1604" s="3" t="s">
        <v>117</v>
      </c>
    </row>
    <row r="1605" spans="4:4" ht="17.649999999999999" x14ac:dyDescent="0.5">
      <c r="D1605" s="3" t="s">
        <v>67</v>
      </c>
    </row>
    <row r="1606" spans="4:4" ht="17.649999999999999" x14ac:dyDescent="0.5">
      <c r="D1606" s="3" t="s">
        <v>90</v>
      </c>
    </row>
    <row r="1607" spans="4:4" ht="17.649999999999999" x14ac:dyDescent="0.5">
      <c r="D1607" s="3" t="s">
        <v>51</v>
      </c>
    </row>
    <row r="1608" spans="4:4" ht="17.649999999999999" x14ac:dyDescent="0.5">
      <c r="D1608" s="3" t="s">
        <v>85</v>
      </c>
    </row>
    <row r="1609" spans="4:4" ht="17.649999999999999" x14ac:dyDescent="0.5">
      <c r="D1609" s="3" t="s">
        <v>47</v>
      </c>
    </row>
    <row r="1610" spans="4:4" ht="17.649999999999999" x14ac:dyDescent="0.5">
      <c r="D1610" s="3" t="s">
        <v>134</v>
      </c>
    </row>
    <row r="1611" spans="4:4" ht="17.649999999999999" x14ac:dyDescent="0.5">
      <c r="D1611" s="3" t="s">
        <v>54</v>
      </c>
    </row>
    <row r="1612" spans="4:4" ht="17.649999999999999" x14ac:dyDescent="0.5">
      <c r="D1612" s="3" t="s">
        <v>44</v>
      </c>
    </row>
    <row r="1613" spans="4:4" ht="17.649999999999999" x14ac:dyDescent="0.5">
      <c r="D1613" s="3" t="s">
        <v>59</v>
      </c>
    </row>
    <row r="1614" spans="4:4" ht="17.649999999999999" x14ac:dyDescent="0.5">
      <c r="D1614" s="3" t="s">
        <v>81</v>
      </c>
    </row>
    <row r="1615" spans="4:4" ht="17.649999999999999" x14ac:dyDescent="0.5">
      <c r="D1615" s="3" t="s">
        <v>112</v>
      </c>
    </row>
    <row r="1616" spans="4:4" ht="17.649999999999999" x14ac:dyDescent="0.5">
      <c r="D1616" s="3" t="s">
        <v>103</v>
      </c>
    </row>
    <row r="1617" spans="4:4" ht="17.649999999999999" x14ac:dyDescent="0.5">
      <c r="D1617" s="3" t="s">
        <v>101</v>
      </c>
    </row>
    <row r="1618" spans="4:4" ht="17.649999999999999" x14ac:dyDescent="0.5">
      <c r="D1618" s="3" t="s">
        <v>117</v>
      </c>
    </row>
    <row r="1619" spans="4:4" ht="17.649999999999999" x14ac:dyDescent="0.5">
      <c r="D1619" s="3" t="s">
        <v>62</v>
      </c>
    </row>
    <row r="1620" spans="4:4" ht="17.649999999999999" x14ac:dyDescent="0.5">
      <c r="D1620" s="3" t="s">
        <v>44</v>
      </c>
    </row>
    <row r="1621" spans="4:4" ht="17.649999999999999" x14ac:dyDescent="0.5">
      <c r="D1621" s="3" t="s">
        <v>53</v>
      </c>
    </row>
    <row r="1622" spans="4:4" ht="17.649999999999999" x14ac:dyDescent="0.5">
      <c r="D1622" s="3" t="s">
        <v>81</v>
      </c>
    </row>
    <row r="1623" spans="4:4" ht="17.649999999999999" x14ac:dyDescent="0.5">
      <c r="D1623" s="3" t="s">
        <v>131</v>
      </c>
    </row>
    <row r="1624" spans="4:4" ht="17.649999999999999" x14ac:dyDescent="0.5">
      <c r="D1624" s="3" t="s">
        <v>78</v>
      </c>
    </row>
    <row r="1625" spans="4:4" ht="17.649999999999999" x14ac:dyDescent="0.5">
      <c r="D1625" s="3" t="s">
        <v>46</v>
      </c>
    </row>
    <row r="1626" spans="4:4" ht="17.649999999999999" x14ac:dyDescent="0.5">
      <c r="D1626" s="3" t="s">
        <v>66</v>
      </c>
    </row>
    <row r="1627" spans="4:4" ht="17.649999999999999" x14ac:dyDescent="0.5">
      <c r="D1627" s="3" t="s">
        <v>68</v>
      </c>
    </row>
    <row r="1628" spans="4:4" ht="17.649999999999999" x14ac:dyDescent="0.5">
      <c r="D1628" s="3" t="s">
        <v>56</v>
      </c>
    </row>
    <row r="1629" spans="4:4" ht="17.649999999999999" x14ac:dyDescent="0.5">
      <c r="D1629" s="3" t="s">
        <v>41</v>
      </c>
    </row>
    <row r="1630" spans="4:4" ht="17.649999999999999" x14ac:dyDescent="0.5">
      <c r="D1630" s="3" t="s">
        <v>111</v>
      </c>
    </row>
    <row r="1631" spans="4:4" ht="17.649999999999999" x14ac:dyDescent="0.5">
      <c r="D1631" s="3" t="s">
        <v>129</v>
      </c>
    </row>
    <row r="1632" spans="4:4" ht="17.649999999999999" x14ac:dyDescent="0.5">
      <c r="D1632" s="3" t="s">
        <v>47</v>
      </c>
    </row>
    <row r="1633" spans="4:4" ht="17.649999999999999" x14ac:dyDescent="0.5">
      <c r="D1633" s="3" t="s">
        <v>50</v>
      </c>
    </row>
    <row r="1634" spans="4:4" ht="17.649999999999999" x14ac:dyDescent="0.5">
      <c r="D1634" s="3" t="s">
        <v>108</v>
      </c>
    </row>
    <row r="1635" spans="4:4" ht="17.649999999999999" x14ac:dyDescent="0.5">
      <c r="D1635" s="3" t="s">
        <v>69</v>
      </c>
    </row>
    <row r="1636" spans="4:4" ht="17.649999999999999" x14ac:dyDescent="0.5">
      <c r="D1636" s="3" t="s">
        <v>96</v>
      </c>
    </row>
    <row r="1637" spans="4:4" ht="17.649999999999999" x14ac:dyDescent="0.5">
      <c r="D1637" s="3" t="s">
        <v>92</v>
      </c>
    </row>
    <row r="1638" spans="4:4" ht="17.649999999999999" x14ac:dyDescent="0.5">
      <c r="D1638" s="3" t="s">
        <v>52</v>
      </c>
    </row>
    <row r="1639" spans="4:4" ht="17.649999999999999" x14ac:dyDescent="0.5">
      <c r="D1639" s="3" t="s">
        <v>119</v>
      </c>
    </row>
    <row r="1640" spans="4:4" ht="17.649999999999999" x14ac:dyDescent="0.5">
      <c r="D1640" s="3" t="s">
        <v>57</v>
      </c>
    </row>
    <row r="1641" spans="4:4" ht="17.649999999999999" x14ac:dyDescent="0.5">
      <c r="D1641" s="3" t="s">
        <v>65</v>
      </c>
    </row>
    <row r="1642" spans="4:4" ht="17.649999999999999" x14ac:dyDescent="0.5">
      <c r="D1642" s="3" t="s">
        <v>83</v>
      </c>
    </row>
    <row r="1643" spans="4:4" ht="17.649999999999999" x14ac:dyDescent="0.5">
      <c r="D1643" s="3" t="s">
        <v>87</v>
      </c>
    </row>
    <row r="1644" spans="4:4" ht="17.649999999999999" x14ac:dyDescent="0.5">
      <c r="D1644" s="3" t="s">
        <v>50</v>
      </c>
    </row>
    <row r="1645" spans="4:4" ht="17.649999999999999" x14ac:dyDescent="0.5">
      <c r="D1645" s="3" t="s">
        <v>126</v>
      </c>
    </row>
    <row r="1646" spans="4:4" ht="17.649999999999999" x14ac:dyDescent="0.5">
      <c r="D1646" s="3" t="s">
        <v>67</v>
      </c>
    </row>
    <row r="1647" spans="4:4" ht="17.649999999999999" x14ac:dyDescent="0.5">
      <c r="D1647" s="3" t="s">
        <v>98</v>
      </c>
    </row>
    <row r="1648" spans="4:4" ht="17.649999999999999" x14ac:dyDescent="0.5">
      <c r="D1648" s="3" t="s">
        <v>54</v>
      </c>
    </row>
    <row r="1649" spans="4:4" ht="17.649999999999999" x14ac:dyDescent="0.5">
      <c r="D1649" s="3" t="s">
        <v>46</v>
      </c>
    </row>
    <row r="1650" spans="4:4" ht="17.649999999999999" x14ac:dyDescent="0.5">
      <c r="D1650" s="3" t="s">
        <v>96</v>
      </c>
    </row>
    <row r="1651" spans="4:4" ht="17.649999999999999" x14ac:dyDescent="0.5">
      <c r="D1651" s="3" t="s">
        <v>63</v>
      </c>
    </row>
    <row r="1652" spans="4:4" ht="17.649999999999999" x14ac:dyDescent="0.5">
      <c r="D1652" s="3" t="s">
        <v>123</v>
      </c>
    </row>
    <row r="1653" spans="4:4" ht="17.649999999999999" x14ac:dyDescent="0.5">
      <c r="D1653" s="3" t="s">
        <v>91</v>
      </c>
    </row>
    <row r="1654" spans="4:4" ht="17.649999999999999" x14ac:dyDescent="0.5">
      <c r="D1654" s="3" t="s">
        <v>84</v>
      </c>
    </row>
    <row r="1655" spans="4:4" ht="17.649999999999999" x14ac:dyDescent="0.5">
      <c r="D1655" s="3" t="s">
        <v>59</v>
      </c>
    </row>
    <row r="1656" spans="4:4" ht="17.649999999999999" x14ac:dyDescent="0.5">
      <c r="D1656" s="3" t="s">
        <v>94</v>
      </c>
    </row>
    <row r="1657" spans="4:4" ht="17.649999999999999" x14ac:dyDescent="0.5">
      <c r="D1657" s="3" t="s">
        <v>117</v>
      </c>
    </row>
    <row r="1658" spans="4:4" ht="17.649999999999999" x14ac:dyDescent="0.5">
      <c r="D1658" s="3" t="s">
        <v>99</v>
      </c>
    </row>
    <row r="1659" spans="4:4" ht="17.649999999999999" x14ac:dyDescent="0.5">
      <c r="D1659" s="3" t="s">
        <v>49</v>
      </c>
    </row>
    <row r="1660" spans="4:4" ht="17.649999999999999" x14ac:dyDescent="0.5">
      <c r="D1660" s="3" t="s">
        <v>72</v>
      </c>
    </row>
    <row r="1661" spans="4:4" ht="17.649999999999999" x14ac:dyDescent="0.5">
      <c r="D1661" s="3" t="s">
        <v>41</v>
      </c>
    </row>
    <row r="1662" spans="4:4" ht="17.649999999999999" x14ac:dyDescent="0.5">
      <c r="D1662" s="3" t="s">
        <v>67</v>
      </c>
    </row>
    <row r="1663" spans="4:4" ht="17.649999999999999" x14ac:dyDescent="0.5">
      <c r="D1663" s="3" t="s">
        <v>78</v>
      </c>
    </row>
    <row r="1664" spans="4:4" ht="17.649999999999999" x14ac:dyDescent="0.5">
      <c r="D1664" s="3" t="s">
        <v>57</v>
      </c>
    </row>
    <row r="1665" spans="4:4" ht="17.649999999999999" x14ac:dyDescent="0.5">
      <c r="D1665" s="3" t="s">
        <v>52</v>
      </c>
    </row>
    <row r="1666" spans="4:4" ht="17.649999999999999" x14ac:dyDescent="0.5">
      <c r="D1666" s="3" t="s">
        <v>92</v>
      </c>
    </row>
    <row r="1667" spans="4:4" ht="17.649999999999999" x14ac:dyDescent="0.5">
      <c r="D1667" s="3" t="s">
        <v>96</v>
      </c>
    </row>
    <row r="1668" spans="4:4" ht="17.649999999999999" x14ac:dyDescent="0.5">
      <c r="D1668" s="3" t="s">
        <v>84</v>
      </c>
    </row>
    <row r="1669" spans="4:4" ht="17.649999999999999" x14ac:dyDescent="0.5">
      <c r="D1669" s="3" t="s">
        <v>93</v>
      </c>
    </row>
    <row r="1670" spans="4:4" ht="17.649999999999999" x14ac:dyDescent="0.5">
      <c r="D1670" s="3" t="s">
        <v>92</v>
      </c>
    </row>
    <row r="1671" spans="4:4" ht="17.649999999999999" x14ac:dyDescent="0.5">
      <c r="D1671" s="3" t="s">
        <v>126</v>
      </c>
    </row>
    <row r="1672" spans="4:4" ht="17.649999999999999" x14ac:dyDescent="0.5">
      <c r="D1672" s="3" t="s">
        <v>57</v>
      </c>
    </row>
    <row r="1673" spans="4:4" ht="17.649999999999999" x14ac:dyDescent="0.5">
      <c r="D1673" s="3" t="s">
        <v>63</v>
      </c>
    </row>
    <row r="1674" spans="4:4" ht="17.649999999999999" x14ac:dyDescent="0.5">
      <c r="D1674" s="3" t="s">
        <v>103</v>
      </c>
    </row>
    <row r="1675" spans="4:4" ht="17.649999999999999" x14ac:dyDescent="0.5">
      <c r="D1675" s="3" t="s">
        <v>43</v>
      </c>
    </row>
    <row r="1676" spans="4:4" ht="17.649999999999999" x14ac:dyDescent="0.5">
      <c r="D1676" s="3" t="s">
        <v>63</v>
      </c>
    </row>
    <row r="1677" spans="4:4" ht="17.649999999999999" x14ac:dyDescent="0.5">
      <c r="D1677" s="3" t="s">
        <v>78</v>
      </c>
    </row>
    <row r="1678" spans="4:4" ht="17.649999999999999" x14ac:dyDescent="0.5">
      <c r="D1678" s="3" t="s">
        <v>118</v>
      </c>
    </row>
    <row r="1679" spans="4:4" ht="17.649999999999999" x14ac:dyDescent="0.5">
      <c r="D1679" s="3" t="s">
        <v>121</v>
      </c>
    </row>
    <row r="1680" spans="4:4" ht="17.649999999999999" x14ac:dyDescent="0.5">
      <c r="D1680" s="3" t="s">
        <v>68</v>
      </c>
    </row>
    <row r="1681" spans="4:4" ht="17.649999999999999" x14ac:dyDescent="0.5">
      <c r="D1681" s="3" t="s">
        <v>73</v>
      </c>
    </row>
    <row r="1682" spans="4:4" ht="17.649999999999999" x14ac:dyDescent="0.5">
      <c r="D1682" s="3" t="s">
        <v>129</v>
      </c>
    </row>
    <row r="1683" spans="4:4" ht="17.649999999999999" x14ac:dyDescent="0.5">
      <c r="D1683" s="3" t="s">
        <v>44</v>
      </c>
    </row>
    <row r="1684" spans="4:4" ht="17.649999999999999" x14ac:dyDescent="0.5">
      <c r="D1684" s="3" t="s">
        <v>124</v>
      </c>
    </row>
    <row r="1685" spans="4:4" ht="17.649999999999999" x14ac:dyDescent="0.5">
      <c r="D1685" s="3" t="s">
        <v>105</v>
      </c>
    </row>
    <row r="1686" spans="4:4" ht="17.649999999999999" x14ac:dyDescent="0.5">
      <c r="D1686" s="3" t="s">
        <v>47</v>
      </c>
    </row>
    <row r="1687" spans="4:4" ht="17.649999999999999" x14ac:dyDescent="0.5">
      <c r="D1687" s="3" t="s">
        <v>115</v>
      </c>
    </row>
    <row r="1688" spans="4:4" ht="17.649999999999999" x14ac:dyDescent="0.5">
      <c r="D1688" s="3" t="s">
        <v>47</v>
      </c>
    </row>
    <row r="1689" spans="4:4" ht="17.649999999999999" x14ac:dyDescent="0.5">
      <c r="D1689" s="3" t="s">
        <v>52</v>
      </c>
    </row>
    <row r="1690" spans="4:4" ht="17.649999999999999" x14ac:dyDescent="0.5">
      <c r="D1690" s="3" t="s">
        <v>46</v>
      </c>
    </row>
    <row r="1691" spans="4:4" ht="17.649999999999999" x14ac:dyDescent="0.5">
      <c r="D1691" s="3" t="s">
        <v>65</v>
      </c>
    </row>
    <row r="1692" spans="4:4" ht="17.649999999999999" x14ac:dyDescent="0.5">
      <c r="D1692" s="3" t="s">
        <v>134</v>
      </c>
    </row>
    <row r="1693" spans="4:4" ht="17.649999999999999" x14ac:dyDescent="0.5">
      <c r="D1693" s="3" t="s">
        <v>107</v>
      </c>
    </row>
    <row r="1694" spans="4:4" ht="17.649999999999999" x14ac:dyDescent="0.5">
      <c r="D1694" s="3" t="s">
        <v>98</v>
      </c>
    </row>
    <row r="1695" spans="4:4" ht="17.649999999999999" x14ac:dyDescent="0.5">
      <c r="D1695" s="3" t="s">
        <v>132</v>
      </c>
    </row>
    <row r="1696" spans="4:4" ht="17.649999999999999" x14ac:dyDescent="0.5">
      <c r="D1696" s="3" t="s">
        <v>49</v>
      </c>
    </row>
    <row r="1697" spans="4:4" ht="17.649999999999999" x14ac:dyDescent="0.5">
      <c r="D1697" s="3" t="s">
        <v>61</v>
      </c>
    </row>
    <row r="1698" spans="4:4" ht="17.649999999999999" x14ac:dyDescent="0.5">
      <c r="D1698" s="3" t="s">
        <v>81</v>
      </c>
    </row>
    <row r="1699" spans="4:4" ht="17.649999999999999" x14ac:dyDescent="0.5">
      <c r="D1699" s="3" t="s">
        <v>115</v>
      </c>
    </row>
    <row r="1700" spans="4:4" ht="17.649999999999999" x14ac:dyDescent="0.5">
      <c r="D1700" s="3" t="s">
        <v>75</v>
      </c>
    </row>
    <row r="1701" spans="4:4" ht="17.649999999999999" x14ac:dyDescent="0.5">
      <c r="D1701" s="3" t="s">
        <v>103</v>
      </c>
    </row>
    <row r="1702" spans="4:4" ht="17.649999999999999" x14ac:dyDescent="0.5">
      <c r="D1702" s="3" t="s">
        <v>63</v>
      </c>
    </row>
    <row r="1703" spans="4:4" ht="17.649999999999999" x14ac:dyDescent="0.5">
      <c r="D1703" s="3" t="s">
        <v>67</v>
      </c>
    </row>
    <row r="1704" spans="4:4" ht="17.649999999999999" x14ac:dyDescent="0.5">
      <c r="D1704" s="3" t="s">
        <v>49</v>
      </c>
    </row>
    <row r="1705" spans="4:4" ht="17.649999999999999" x14ac:dyDescent="0.5">
      <c r="D1705" s="3" t="s">
        <v>135</v>
      </c>
    </row>
    <row r="1706" spans="4:4" ht="17.649999999999999" x14ac:dyDescent="0.5">
      <c r="D1706" s="3" t="s">
        <v>47</v>
      </c>
    </row>
    <row r="1707" spans="4:4" ht="17.649999999999999" x14ac:dyDescent="0.5">
      <c r="D1707" s="3" t="s">
        <v>94</v>
      </c>
    </row>
    <row r="1708" spans="4:4" ht="17.649999999999999" x14ac:dyDescent="0.5">
      <c r="D1708" s="3" t="s">
        <v>49</v>
      </c>
    </row>
    <row r="1709" spans="4:4" ht="17.649999999999999" x14ac:dyDescent="0.5">
      <c r="D1709" s="3" t="s">
        <v>83</v>
      </c>
    </row>
    <row r="1710" spans="4:4" ht="17.649999999999999" x14ac:dyDescent="0.5">
      <c r="D1710" s="3" t="s">
        <v>123</v>
      </c>
    </row>
    <row r="1711" spans="4:4" ht="17.649999999999999" x14ac:dyDescent="0.5">
      <c r="D1711" s="3" t="s">
        <v>63</v>
      </c>
    </row>
    <row r="1712" spans="4:4" ht="17.649999999999999" x14ac:dyDescent="0.5">
      <c r="D1712" s="3" t="s">
        <v>57</v>
      </c>
    </row>
    <row r="1713" spans="4:4" ht="17.649999999999999" x14ac:dyDescent="0.5">
      <c r="D1713" s="3" t="s">
        <v>47</v>
      </c>
    </row>
    <row r="1714" spans="4:4" ht="17.649999999999999" x14ac:dyDescent="0.5">
      <c r="D1714" s="3" t="s">
        <v>58</v>
      </c>
    </row>
    <row r="1715" spans="4:4" ht="17.649999999999999" x14ac:dyDescent="0.5">
      <c r="D1715" s="3" t="s">
        <v>104</v>
      </c>
    </row>
    <row r="1716" spans="4:4" ht="17.649999999999999" x14ac:dyDescent="0.5">
      <c r="D1716" s="3" t="s">
        <v>77</v>
      </c>
    </row>
    <row r="1717" spans="4:4" ht="17.649999999999999" x14ac:dyDescent="0.5">
      <c r="D1717" s="3" t="s">
        <v>53</v>
      </c>
    </row>
    <row r="1718" spans="4:4" ht="17.649999999999999" x14ac:dyDescent="0.5">
      <c r="D1718" s="3" t="s">
        <v>61</v>
      </c>
    </row>
    <row r="1719" spans="4:4" ht="17.649999999999999" x14ac:dyDescent="0.5">
      <c r="D1719" s="3" t="s">
        <v>75</v>
      </c>
    </row>
    <row r="1720" spans="4:4" ht="17.649999999999999" x14ac:dyDescent="0.5">
      <c r="D1720" s="3" t="s">
        <v>57</v>
      </c>
    </row>
    <row r="1721" spans="4:4" ht="17.649999999999999" x14ac:dyDescent="0.5">
      <c r="D1721" s="3" t="s">
        <v>46</v>
      </c>
    </row>
    <row r="1722" spans="4:4" ht="17.649999999999999" x14ac:dyDescent="0.5">
      <c r="D1722" s="3" t="s">
        <v>87</v>
      </c>
    </row>
    <row r="1723" spans="4:4" ht="17.649999999999999" x14ac:dyDescent="0.5">
      <c r="D1723" s="3" t="s">
        <v>117</v>
      </c>
    </row>
    <row r="1724" spans="4:4" ht="17.649999999999999" x14ac:dyDescent="0.5">
      <c r="D1724" s="3" t="s">
        <v>59</v>
      </c>
    </row>
    <row r="1725" spans="4:4" ht="17.649999999999999" x14ac:dyDescent="0.5">
      <c r="D1725" s="3" t="s">
        <v>51</v>
      </c>
    </row>
    <row r="1726" spans="4:4" ht="17.649999999999999" x14ac:dyDescent="0.5">
      <c r="D1726" s="3" t="s">
        <v>85</v>
      </c>
    </row>
    <row r="1727" spans="4:4" ht="17.649999999999999" x14ac:dyDescent="0.5">
      <c r="D1727" s="3" t="s">
        <v>83</v>
      </c>
    </row>
    <row r="1728" spans="4:4" ht="17.649999999999999" x14ac:dyDescent="0.5">
      <c r="D1728" s="3" t="s">
        <v>64</v>
      </c>
    </row>
    <row r="1729" spans="4:4" ht="17.649999999999999" x14ac:dyDescent="0.5">
      <c r="D1729" s="3" t="s">
        <v>55</v>
      </c>
    </row>
    <row r="1730" spans="4:4" ht="17.649999999999999" x14ac:dyDescent="0.5">
      <c r="D1730" s="3" t="s">
        <v>69</v>
      </c>
    </row>
    <row r="1731" spans="4:4" ht="17.649999999999999" x14ac:dyDescent="0.5">
      <c r="D1731" s="3" t="s">
        <v>90</v>
      </c>
    </row>
    <row r="1732" spans="4:4" ht="17.649999999999999" x14ac:dyDescent="0.5">
      <c r="D1732" s="3" t="s">
        <v>81</v>
      </c>
    </row>
    <row r="1733" spans="4:4" ht="17.649999999999999" x14ac:dyDescent="0.5">
      <c r="D1733" s="3" t="s">
        <v>51</v>
      </c>
    </row>
    <row r="1734" spans="4:4" ht="17.649999999999999" x14ac:dyDescent="0.5">
      <c r="D1734" s="3" t="s">
        <v>114</v>
      </c>
    </row>
    <row r="1735" spans="4:4" ht="17.649999999999999" x14ac:dyDescent="0.5">
      <c r="D1735" s="3" t="s">
        <v>67</v>
      </c>
    </row>
    <row r="1736" spans="4:4" ht="17.649999999999999" x14ac:dyDescent="0.5">
      <c r="D1736" s="3" t="s">
        <v>127</v>
      </c>
    </row>
    <row r="1737" spans="4:4" ht="17.649999999999999" x14ac:dyDescent="0.5">
      <c r="D1737" s="3" t="s">
        <v>97</v>
      </c>
    </row>
    <row r="1738" spans="4:4" ht="17.649999999999999" x14ac:dyDescent="0.5">
      <c r="D1738" s="3" t="s">
        <v>59</v>
      </c>
    </row>
    <row r="1739" spans="4:4" ht="17.649999999999999" x14ac:dyDescent="0.5">
      <c r="D1739" s="3" t="s">
        <v>44</v>
      </c>
    </row>
    <row r="1740" spans="4:4" ht="17.649999999999999" x14ac:dyDescent="0.5">
      <c r="D1740" s="3" t="s">
        <v>115</v>
      </c>
    </row>
    <row r="1741" spans="4:4" ht="17.649999999999999" x14ac:dyDescent="0.5">
      <c r="D1741" s="3" t="s">
        <v>133</v>
      </c>
    </row>
    <row r="1742" spans="4:4" ht="17.649999999999999" x14ac:dyDescent="0.5">
      <c r="D1742" s="3" t="s">
        <v>46</v>
      </c>
    </row>
    <row r="1743" spans="4:4" ht="17.649999999999999" x14ac:dyDescent="0.5">
      <c r="D1743" s="3" t="s">
        <v>91</v>
      </c>
    </row>
    <row r="1744" spans="4:4" ht="17.649999999999999" x14ac:dyDescent="0.5">
      <c r="D1744" s="3" t="s">
        <v>51</v>
      </c>
    </row>
    <row r="1745" spans="4:4" ht="17.649999999999999" x14ac:dyDescent="0.5">
      <c r="D1745" s="3" t="s">
        <v>56</v>
      </c>
    </row>
    <row r="1746" spans="4:4" ht="17.649999999999999" x14ac:dyDescent="0.5">
      <c r="D1746" s="3" t="s">
        <v>85</v>
      </c>
    </row>
    <row r="1747" spans="4:4" ht="17.649999999999999" x14ac:dyDescent="0.5">
      <c r="D1747" s="3" t="s">
        <v>47</v>
      </c>
    </row>
    <row r="1748" spans="4:4" ht="17.649999999999999" x14ac:dyDescent="0.5">
      <c r="D1748" s="3" t="s">
        <v>90</v>
      </c>
    </row>
    <row r="1749" spans="4:4" ht="17.649999999999999" x14ac:dyDescent="0.5">
      <c r="D1749" s="3" t="s">
        <v>78</v>
      </c>
    </row>
    <row r="1750" spans="4:4" ht="17.649999999999999" x14ac:dyDescent="0.5">
      <c r="D1750" s="3" t="s">
        <v>111</v>
      </c>
    </row>
    <row r="1751" spans="4:4" ht="17.649999999999999" x14ac:dyDescent="0.5">
      <c r="D1751" s="3" t="s">
        <v>134</v>
      </c>
    </row>
    <row r="1752" spans="4:4" ht="17.649999999999999" x14ac:dyDescent="0.5">
      <c r="D1752" s="3" t="s">
        <v>81</v>
      </c>
    </row>
    <row r="1753" spans="4:4" ht="17.649999999999999" x14ac:dyDescent="0.5">
      <c r="D1753" s="3" t="s">
        <v>107</v>
      </c>
    </row>
    <row r="1754" spans="4:4" ht="17.649999999999999" x14ac:dyDescent="0.5">
      <c r="D1754" s="3" t="s">
        <v>94</v>
      </c>
    </row>
    <row r="1755" spans="4:4" ht="17.649999999999999" x14ac:dyDescent="0.5">
      <c r="D1755" s="3" t="s">
        <v>63</v>
      </c>
    </row>
    <row r="1756" spans="4:4" ht="17.649999999999999" x14ac:dyDescent="0.5">
      <c r="D1756" s="3" t="s">
        <v>74</v>
      </c>
    </row>
    <row r="1757" spans="4:4" ht="17.649999999999999" x14ac:dyDescent="0.5">
      <c r="D1757" s="3" t="s">
        <v>64</v>
      </c>
    </row>
    <row r="1758" spans="4:4" ht="17.649999999999999" x14ac:dyDescent="0.5">
      <c r="D1758" s="3" t="s">
        <v>50</v>
      </c>
    </row>
    <row r="1759" spans="4:4" ht="17.649999999999999" x14ac:dyDescent="0.5">
      <c r="D1759" s="3" t="s">
        <v>61</v>
      </c>
    </row>
    <row r="1760" spans="4:4" ht="17.649999999999999" x14ac:dyDescent="0.5">
      <c r="D1760" s="3" t="s">
        <v>122</v>
      </c>
    </row>
    <row r="1761" spans="4:4" ht="17.649999999999999" x14ac:dyDescent="0.5">
      <c r="D1761" s="3" t="s">
        <v>51</v>
      </c>
    </row>
    <row r="1762" spans="4:4" ht="17.649999999999999" x14ac:dyDescent="0.5">
      <c r="D1762" s="3" t="s">
        <v>119</v>
      </c>
    </row>
    <row r="1763" spans="4:4" ht="17.649999999999999" x14ac:dyDescent="0.5">
      <c r="D1763" s="3" t="s">
        <v>107</v>
      </c>
    </row>
    <row r="1764" spans="4:4" ht="17.649999999999999" x14ac:dyDescent="0.5">
      <c r="D1764" s="3" t="s">
        <v>46</v>
      </c>
    </row>
    <row r="1765" spans="4:4" ht="17.649999999999999" x14ac:dyDescent="0.5">
      <c r="D1765" s="3" t="s">
        <v>47</v>
      </c>
    </row>
    <row r="1766" spans="4:4" ht="17.649999999999999" x14ac:dyDescent="0.5">
      <c r="D1766" s="3" t="s">
        <v>115</v>
      </c>
    </row>
    <row r="1767" spans="4:4" ht="17.649999999999999" x14ac:dyDescent="0.5">
      <c r="D1767" s="3" t="s">
        <v>67</v>
      </c>
    </row>
    <row r="1768" spans="4:4" ht="17.649999999999999" x14ac:dyDescent="0.5">
      <c r="D1768" s="3" t="s">
        <v>68</v>
      </c>
    </row>
    <row r="1769" spans="4:4" ht="17.649999999999999" x14ac:dyDescent="0.5">
      <c r="D1769" s="3" t="s">
        <v>124</v>
      </c>
    </row>
    <row r="1770" spans="4:4" ht="17.649999999999999" x14ac:dyDescent="0.5">
      <c r="D1770" s="3" t="s">
        <v>47</v>
      </c>
    </row>
    <row r="1771" spans="4:4" ht="17.649999999999999" x14ac:dyDescent="0.5">
      <c r="D1771" s="3" t="s">
        <v>64</v>
      </c>
    </row>
    <row r="1772" spans="4:4" ht="17.649999999999999" x14ac:dyDescent="0.5">
      <c r="D1772" s="3" t="s">
        <v>58</v>
      </c>
    </row>
    <row r="1773" spans="4:4" ht="17.649999999999999" x14ac:dyDescent="0.5">
      <c r="D1773" s="3" t="s">
        <v>67</v>
      </c>
    </row>
    <row r="1774" spans="4:4" ht="17.649999999999999" x14ac:dyDescent="0.5">
      <c r="D1774" s="3" t="s">
        <v>127</v>
      </c>
    </row>
    <row r="1775" spans="4:4" ht="17.649999999999999" x14ac:dyDescent="0.5">
      <c r="D1775" s="3" t="s">
        <v>123</v>
      </c>
    </row>
    <row r="1776" spans="4:4" ht="17.649999999999999" x14ac:dyDescent="0.5">
      <c r="D1776" s="3" t="s">
        <v>91</v>
      </c>
    </row>
    <row r="1777" spans="4:4" ht="17.649999999999999" x14ac:dyDescent="0.5">
      <c r="D1777" s="3" t="s">
        <v>104</v>
      </c>
    </row>
    <row r="1778" spans="4:4" ht="17.649999999999999" x14ac:dyDescent="0.5">
      <c r="D1778" s="3" t="s">
        <v>41</v>
      </c>
    </row>
    <row r="1779" spans="4:4" ht="17.649999999999999" x14ac:dyDescent="0.5">
      <c r="D1779" s="3" t="s">
        <v>90</v>
      </c>
    </row>
    <row r="1780" spans="4:4" ht="17.649999999999999" x14ac:dyDescent="0.5">
      <c r="D1780" s="3" t="s">
        <v>77</v>
      </c>
    </row>
    <row r="1781" spans="4:4" ht="17.649999999999999" x14ac:dyDescent="0.5">
      <c r="D1781" s="3" t="s">
        <v>94</v>
      </c>
    </row>
    <row r="1782" spans="4:4" ht="17.649999999999999" x14ac:dyDescent="0.5">
      <c r="D1782" s="3" t="s">
        <v>84</v>
      </c>
    </row>
    <row r="1783" spans="4:4" ht="17.649999999999999" x14ac:dyDescent="0.5">
      <c r="D1783" s="3" t="s">
        <v>66</v>
      </c>
    </row>
    <row r="1784" spans="4:4" ht="17.649999999999999" x14ac:dyDescent="0.5">
      <c r="D1784" s="3" t="s">
        <v>43</v>
      </c>
    </row>
    <row r="1785" spans="4:4" ht="17.649999999999999" x14ac:dyDescent="0.5">
      <c r="D1785" s="3" t="s">
        <v>108</v>
      </c>
    </row>
    <row r="1786" spans="4:4" ht="17.649999999999999" x14ac:dyDescent="0.5">
      <c r="D1786" s="3" t="s">
        <v>78</v>
      </c>
    </row>
    <row r="1787" spans="4:4" ht="17.649999999999999" x14ac:dyDescent="0.5">
      <c r="D1787" s="3" t="s">
        <v>45</v>
      </c>
    </row>
    <row r="1788" spans="4:4" ht="17.649999999999999" x14ac:dyDescent="0.5">
      <c r="D1788" s="3" t="s">
        <v>80</v>
      </c>
    </row>
    <row r="1789" spans="4:4" ht="17.649999999999999" x14ac:dyDescent="0.5">
      <c r="D1789" s="3" t="s">
        <v>74</v>
      </c>
    </row>
    <row r="1790" spans="4:4" ht="17.649999999999999" x14ac:dyDescent="0.5">
      <c r="D1790" s="3" t="s">
        <v>72</v>
      </c>
    </row>
    <row r="1791" spans="4:4" ht="17.649999999999999" x14ac:dyDescent="0.5">
      <c r="D1791" s="3" t="s">
        <v>50</v>
      </c>
    </row>
    <row r="1792" spans="4:4" ht="17.649999999999999" x14ac:dyDescent="0.5">
      <c r="D1792" s="3" t="s">
        <v>105</v>
      </c>
    </row>
    <row r="1793" spans="4:4" ht="17.649999999999999" x14ac:dyDescent="0.5">
      <c r="D1793" s="3" t="s">
        <v>91</v>
      </c>
    </row>
    <row r="1794" spans="4:4" ht="17.649999999999999" x14ac:dyDescent="0.5">
      <c r="D1794" s="3" t="s">
        <v>106</v>
      </c>
    </row>
    <row r="1795" spans="4:4" ht="17.649999999999999" x14ac:dyDescent="0.5">
      <c r="D1795" s="3" t="s">
        <v>96</v>
      </c>
    </row>
    <row r="1796" spans="4:4" ht="17.649999999999999" x14ac:dyDescent="0.5">
      <c r="D1796" s="3" t="s">
        <v>43</v>
      </c>
    </row>
    <row r="1797" spans="4:4" ht="17.649999999999999" x14ac:dyDescent="0.5">
      <c r="D1797" s="3" t="s">
        <v>74</v>
      </c>
    </row>
    <row r="1798" spans="4:4" ht="17.649999999999999" x14ac:dyDescent="0.5">
      <c r="D1798" s="3" t="s">
        <v>41</v>
      </c>
    </row>
    <row r="1799" spans="4:4" ht="17.649999999999999" x14ac:dyDescent="0.5">
      <c r="D1799" s="3" t="s">
        <v>112</v>
      </c>
    </row>
    <row r="1800" spans="4:4" ht="17.649999999999999" x14ac:dyDescent="0.5">
      <c r="D1800" s="3" t="s">
        <v>82</v>
      </c>
    </row>
    <row r="1801" spans="4:4" ht="17.649999999999999" x14ac:dyDescent="0.5">
      <c r="D1801" s="3" t="s">
        <v>103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50</v>
      </c>
    </row>
    <row r="1804" spans="4:4" ht="17.649999999999999" x14ac:dyDescent="0.5">
      <c r="D1804" s="3" t="s">
        <v>115</v>
      </c>
    </row>
    <row r="1805" spans="4:4" ht="17.649999999999999" x14ac:dyDescent="0.5">
      <c r="D1805" s="3" t="s">
        <v>52</v>
      </c>
    </row>
    <row r="1806" spans="4:4" ht="17.649999999999999" x14ac:dyDescent="0.5">
      <c r="D1806" s="3" t="s">
        <v>107</v>
      </c>
    </row>
    <row r="1807" spans="4:4" ht="17.649999999999999" x14ac:dyDescent="0.5">
      <c r="D1807" s="3" t="s">
        <v>106</v>
      </c>
    </row>
    <row r="1808" spans="4:4" ht="17.649999999999999" x14ac:dyDescent="0.5">
      <c r="D1808" s="3" t="s">
        <v>103</v>
      </c>
    </row>
    <row r="1809" spans="4:4" ht="17.649999999999999" x14ac:dyDescent="0.5">
      <c r="D1809" s="3" t="s">
        <v>54</v>
      </c>
    </row>
    <row r="1810" spans="4:4" ht="17.649999999999999" x14ac:dyDescent="0.5">
      <c r="D1810" s="3" t="s">
        <v>122</v>
      </c>
    </row>
    <row r="1811" spans="4:4" ht="17.649999999999999" x14ac:dyDescent="0.5">
      <c r="D1811" s="3" t="s">
        <v>48</v>
      </c>
    </row>
    <row r="1812" spans="4:4" ht="17.649999999999999" x14ac:dyDescent="0.5">
      <c r="D1812" s="3" t="s">
        <v>67</v>
      </c>
    </row>
    <row r="1813" spans="4:4" ht="17.649999999999999" x14ac:dyDescent="0.5">
      <c r="D1813" s="3" t="s">
        <v>119</v>
      </c>
    </row>
    <row r="1814" spans="4:4" ht="17.649999999999999" x14ac:dyDescent="0.5">
      <c r="D1814" s="3" t="s">
        <v>94</v>
      </c>
    </row>
    <row r="1815" spans="4:4" ht="17.649999999999999" x14ac:dyDescent="0.5">
      <c r="D1815" s="3" t="s">
        <v>124</v>
      </c>
    </row>
    <row r="1816" spans="4:4" ht="17.649999999999999" x14ac:dyDescent="0.5">
      <c r="D1816" s="3" t="s">
        <v>55</v>
      </c>
    </row>
    <row r="1817" spans="4:4" ht="17.649999999999999" x14ac:dyDescent="0.5">
      <c r="D1817" s="3" t="s">
        <v>80</v>
      </c>
    </row>
    <row r="1818" spans="4:4" ht="17.649999999999999" x14ac:dyDescent="0.5">
      <c r="D1818" s="3" t="s">
        <v>52</v>
      </c>
    </row>
    <row r="1819" spans="4:4" ht="17.649999999999999" x14ac:dyDescent="0.5">
      <c r="D1819" s="3" t="s">
        <v>61</v>
      </c>
    </row>
    <row r="1820" spans="4:4" ht="17.649999999999999" x14ac:dyDescent="0.5">
      <c r="D1820" s="3" t="s">
        <v>103</v>
      </c>
    </row>
    <row r="1821" spans="4:4" ht="17.649999999999999" x14ac:dyDescent="0.5">
      <c r="D1821" s="3" t="s">
        <v>48</v>
      </c>
    </row>
    <row r="1822" spans="4:4" ht="17.649999999999999" x14ac:dyDescent="0.5">
      <c r="D1822" s="3" t="s">
        <v>117</v>
      </c>
    </row>
    <row r="1823" spans="4:4" ht="17.649999999999999" x14ac:dyDescent="0.5">
      <c r="D1823" s="3" t="s">
        <v>92</v>
      </c>
    </row>
    <row r="1824" spans="4:4" ht="17.649999999999999" x14ac:dyDescent="0.5">
      <c r="D1824" s="3" t="s">
        <v>47</v>
      </c>
    </row>
    <row r="1825" spans="4:4" ht="17.649999999999999" x14ac:dyDescent="0.5">
      <c r="D1825" s="3" t="s">
        <v>73</v>
      </c>
    </row>
    <row r="1826" spans="4:4" ht="17.649999999999999" x14ac:dyDescent="0.5">
      <c r="D1826" s="3" t="s">
        <v>124</v>
      </c>
    </row>
    <row r="1827" spans="4:4" ht="17.649999999999999" x14ac:dyDescent="0.5">
      <c r="D1827" s="3" t="s">
        <v>48</v>
      </c>
    </row>
    <row r="1828" spans="4:4" ht="17.649999999999999" x14ac:dyDescent="0.5">
      <c r="D1828" s="3" t="s">
        <v>97</v>
      </c>
    </row>
    <row r="1829" spans="4:4" ht="17.649999999999999" x14ac:dyDescent="0.5">
      <c r="D1829" s="3" t="s">
        <v>115</v>
      </c>
    </row>
    <row r="1830" spans="4:4" ht="17.649999999999999" x14ac:dyDescent="0.5">
      <c r="D1830" s="3" t="s">
        <v>126</v>
      </c>
    </row>
    <row r="1831" spans="4:4" ht="17.649999999999999" x14ac:dyDescent="0.5">
      <c r="D1831" s="3" t="s">
        <v>59</v>
      </c>
    </row>
    <row r="1832" spans="4:4" ht="17.649999999999999" x14ac:dyDescent="0.5">
      <c r="D1832" s="3" t="s">
        <v>78</v>
      </c>
    </row>
    <row r="1833" spans="4:4" ht="17.649999999999999" x14ac:dyDescent="0.5">
      <c r="D1833" s="3" t="s">
        <v>133</v>
      </c>
    </row>
    <row r="1834" spans="4:4" ht="17.649999999999999" x14ac:dyDescent="0.5">
      <c r="D1834" s="3" t="s">
        <v>115</v>
      </c>
    </row>
    <row r="1835" spans="4:4" ht="17.649999999999999" x14ac:dyDescent="0.5">
      <c r="D1835" s="3" t="s">
        <v>103</v>
      </c>
    </row>
    <row r="1836" spans="4:4" ht="17.649999999999999" x14ac:dyDescent="0.5">
      <c r="D1836" s="3" t="s">
        <v>134</v>
      </c>
    </row>
    <row r="1837" spans="4:4" ht="17.649999999999999" x14ac:dyDescent="0.5">
      <c r="D1837" s="3" t="s">
        <v>123</v>
      </c>
    </row>
    <row r="1838" spans="4:4" ht="17.649999999999999" x14ac:dyDescent="0.5">
      <c r="D1838" s="3" t="s">
        <v>43</v>
      </c>
    </row>
    <row r="1839" spans="4:4" ht="17.649999999999999" x14ac:dyDescent="0.5">
      <c r="D1839" s="3" t="s">
        <v>60</v>
      </c>
    </row>
    <row r="1840" spans="4:4" ht="17.649999999999999" x14ac:dyDescent="0.5">
      <c r="D1840" s="3" t="s">
        <v>53</v>
      </c>
    </row>
    <row r="1841" spans="4:4" ht="17.649999999999999" x14ac:dyDescent="0.5">
      <c r="D1841" s="3" t="s">
        <v>119</v>
      </c>
    </row>
    <row r="1842" spans="4:4" ht="17.649999999999999" x14ac:dyDescent="0.5">
      <c r="D1842" s="3" t="s">
        <v>49</v>
      </c>
    </row>
    <row r="1843" spans="4:4" ht="17.649999999999999" x14ac:dyDescent="0.5">
      <c r="D1843" s="3" t="s">
        <v>65</v>
      </c>
    </row>
    <row r="1844" spans="4:4" ht="17.649999999999999" x14ac:dyDescent="0.5">
      <c r="D1844" s="3" t="s">
        <v>50</v>
      </c>
    </row>
    <row r="1845" spans="4:4" ht="17.649999999999999" x14ac:dyDescent="0.5">
      <c r="D1845" s="3" t="s">
        <v>105</v>
      </c>
    </row>
    <row r="1846" spans="4:4" ht="17.649999999999999" x14ac:dyDescent="0.5">
      <c r="D1846" s="3" t="s">
        <v>50</v>
      </c>
    </row>
    <row r="1847" spans="4:4" ht="17.649999999999999" x14ac:dyDescent="0.5">
      <c r="D1847" s="3" t="s">
        <v>41</v>
      </c>
    </row>
    <row r="1848" spans="4:4" ht="17.649999999999999" x14ac:dyDescent="0.5">
      <c r="D1848" s="3" t="s">
        <v>80</v>
      </c>
    </row>
    <row r="1849" spans="4:4" ht="17.649999999999999" x14ac:dyDescent="0.5">
      <c r="D1849" s="3" t="s">
        <v>87</v>
      </c>
    </row>
    <row r="1850" spans="4:4" ht="17.649999999999999" x14ac:dyDescent="0.5">
      <c r="D1850" s="3" t="s">
        <v>52</v>
      </c>
    </row>
    <row r="1851" spans="4:4" ht="17.649999999999999" x14ac:dyDescent="0.5">
      <c r="D1851" s="3" t="s">
        <v>55</v>
      </c>
    </row>
    <row r="1852" spans="4:4" ht="17.649999999999999" x14ac:dyDescent="0.5">
      <c r="D1852" s="3" t="s">
        <v>50</v>
      </c>
    </row>
    <row r="1853" spans="4:4" ht="17.649999999999999" x14ac:dyDescent="0.5">
      <c r="D1853" s="3" t="s">
        <v>43</v>
      </c>
    </row>
    <row r="1854" spans="4:4" ht="17.649999999999999" x14ac:dyDescent="0.5">
      <c r="D1854" s="3" t="s">
        <v>74</v>
      </c>
    </row>
    <row r="1855" spans="4:4" ht="17.649999999999999" x14ac:dyDescent="0.5">
      <c r="D1855" s="3" t="s">
        <v>90</v>
      </c>
    </row>
    <row r="1856" spans="4:4" ht="17.649999999999999" x14ac:dyDescent="0.5">
      <c r="D1856" s="3" t="s">
        <v>52</v>
      </c>
    </row>
    <row r="1857" spans="4:4" ht="17.649999999999999" x14ac:dyDescent="0.5">
      <c r="D1857" s="3" t="s">
        <v>116</v>
      </c>
    </row>
    <row r="1858" spans="4:4" ht="17.649999999999999" x14ac:dyDescent="0.5">
      <c r="D1858" s="3" t="s">
        <v>99</v>
      </c>
    </row>
    <row r="1859" spans="4:4" ht="17.649999999999999" x14ac:dyDescent="0.5">
      <c r="D1859" s="3" t="s">
        <v>80</v>
      </c>
    </row>
    <row r="1860" spans="4:4" ht="17.649999999999999" x14ac:dyDescent="0.5">
      <c r="D1860" s="3" t="s">
        <v>135</v>
      </c>
    </row>
    <row r="1861" spans="4:4" ht="17.649999999999999" x14ac:dyDescent="0.5">
      <c r="D1861" s="3" t="s">
        <v>55</v>
      </c>
    </row>
    <row r="1862" spans="4:4" ht="17.649999999999999" x14ac:dyDescent="0.5">
      <c r="D1862" s="3" t="s">
        <v>103</v>
      </c>
    </row>
    <row r="1863" spans="4:4" ht="17.649999999999999" x14ac:dyDescent="0.5">
      <c r="D1863" s="3" t="s">
        <v>116</v>
      </c>
    </row>
    <row r="1864" spans="4:4" ht="17.649999999999999" x14ac:dyDescent="0.5">
      <c r="D1864" s="3" t="s">
        <v>107</v>
      </c>
    </row>
    <row r="1865" spans="4:4" ht="17.649999999999999" x14ac:dyDescent="0.5">
      <c r="D1865" s="3" t="s">
        <v>48</v>
      </c>
    </row>
    <row r="1866" spans="4:4" ht="17.649999999999999" x14ac:dyDescent="0.5">
      <c r="D1866" s="3" t="s">
        <v>49</v>
      </c>
    </row>
    <row r="1867" spans="4:4" ht="17.649999999999999" x14ac:dyDescent="0.5">
      <c r="D1867" s="3" t="s">
        <v>94</v>
      </c>
    </row>
    <row r="1868" spans="4:4" ht="17.649999999999999" x14ac:dyDescent="0.5">
      <c r="D1868" s="3" t="s">
        <v>51</v>
      </c>
    </row>
    <row r="1869" spans="4:4" ht="17.649999999999999" x14ac:dyDescent="0.5">
      <c r="D1869" s="3" t="s">
        <v>53</v>
      </c>
    </row>
    <row r="1870" spans="4:4" ht="17.649999999999999" x14ac:dyDescent="0.5">
      <c r="D1870" s="3" t="s">
        <v>47</v>
      </c>
    </row>
    <row r="1871" spans="4:4" ht="17.649999999999999" x14ac:dyDescent="0.5">
      <c r="D1871" s="3" t="s">
        <v>98</v>
      </c>
    </row>
    <row r="1872" spans="4:4" ht="17.649999999999999" x14ac:dyDescent="0.5">
      <c r="D1872" s="3" t="s">
        <v>50</v>
      </c>
    </row>
    <row r="1873" spans="4:4" ht="17.649999999999999" x14ac:dyDescent="0.5">
      <c r="D1873" s="3" t="s">
        <v>125</v>
      </c>
    </row>
    <row r="1874" spans="4:4" ht="17.649999999999999" x14ac:dyDescent="0.5">
      <c r="D1874" s="3" t="s">
        <v>48</v>
      </c>
    </row>
    <row r="1875" spans="4:4" ht="17.649999999999999" x14ac:dyDescent="0.5">
      <c r="D1875" s="3" t="s">
        <v>98</v>
      </c>
    </row>
    <row r="1876" spans="4:4" ht="17.649999999999999" x14ac:dyDescent="0.5">
      <c r="D1876" s="3" t="s">
        <v>61</v>
      </c>
    </row>
    <row r="1877" spans="4:4" ht="17.649999999999999" x14ac:dyDescent="0.5">
      <c r="D1877" s="3" t="s">
        <v>126</v>
      </c>
    </row>
    <row r="1878" spans="4:4" ht="17.649999999999999" x14ac:dyDescent="0.5">
      <c r="D1878" s="3" t="s">
        <v>78</v>
      </c>
    </row>
    <row r="1879" spans="4:4" ht="17.649999999999999" x14ac:dyDescent="0.5">
      <c r="D1879" s="3" t="s">
        <v>45</v>
      </c>
    </row>
    <row r="1880" spans="4:4" ht="17.649999999999999" x14ac:dyDescent="0.5">
      <c r="D1880" s="3" t="s">
        <v>81</v>
      </c>
    </row>
    <row r="1881" spans="4:4" ht="17.649999999999999" x14ac:dyDescent="0.5">
      <c r="D1881" s="3" t="s">
        <v>51</v>
      </c>
    </row>
    <row r="1882" spans="4:4" ht="17.649999999999999" x14ac:dyDescent="0.5">
      <c r="D1882" s="3" t="s">
        <v>67</v>
      </c>
    </row>
    <row r="1883" spans="4:4" ht="17.649999999999999" x14ac:dyDescent="0.5">
      <c r="D1883" s="3" t="s">
        <v>80</v>
      </c>
    </row>
    <row r="1884" spans="4:4" ht="17.649999999999999" x14ac:dyDescent="0.5">
      <c r="D1884" s="3" t="s">
        <v>98</v>
      </c>
    </row>
    <row r="1885" spans="4:4" ht="17.649999999999999" x14ac:dyDescent="0.5">
      <c r="D1885" s="3" t="s">
        <v>67</v>
      </c>
    </row>
    <row r="1886" spans="4:4" ht="17.649999999999999" x14ac:dyDescent="0.5">
      <c r="D1886" s="3" t="s">
        <v>101</v>
      </c>
    </row>
    <row r="1887" spans="4:4" ht="17.649999999999999" x14ac:dyDescent="0.5">
      <c r="D1887" s="3" t="s">
        <v>81</v>
      </c>
    </row>
    <row r="1888" spans="4:4" ht="17.649999999999999" x14ac:dyDescent="0.5">
      <c r="D1888" s="3" t="s">
        <v>57</v>
      </c>
    </row>
    <row r="1889" spans="4:4" ht="17.649999999999999" x14ac:dyDescent="0.5">
      <c r="D1889" s="3" t="s">
        <v>53</v>
      </c>
    </row>
    <row r="1890" spans="4:4" ht="17.649999999999999" x14ac:dyDescent="0.5">
      <c r="D1890" s="3" t="s">
        <v>78</v>
      </c>
    </row>
    <row r="1891" spans="4:4" ht="17.649999999999999" x14ac:dyDescent="0.5">
      <c r="D1891" s="3" t="s">
        <v>55</v>
      </c>
    </row>
    <row r="1892" spans="4:4" ht="17.649999999999999" x14ac:dyDescent="0.5">
      <c r="D1892" s="3" t="s">
        <v>64</v>
      </c>
    </row>
    <row r="1893" spans="4:4" ht="17.649999999999999" x14ac:dyDescent="0.5">
      <c r="D1893" s="3" t="s">
        <v>105</v>
      </c>
    </row>
    <row r="1894" spans="4:4" ht="17.649999999999999" x14ac:dyDescent="0.5">
      <c r="D1894" s="3" t="s">
        <v>74</v>
      </c>
    </row>
    <row r="1895" spans="4:4" ht="17.649999999999999" x14ac:dyDescent="0.5">
      <c r="D1895" s="3" t="s">
        <v>113</v>
      </c>
    </row>
    <row r="1896" spans="4:4" ht="17.649999999999999" x14ac:dyDescent="0.5">
      <c r="D1896" s="3" t="s">
        <v>112</v>
      </c>
    </row>
    <row r="1897" spans="4:4" ht="17.649999999999999" x14ac:dyDescent="0.5">
      <c r="D1897" s="3" t="s">
        <v>69</v>
      </c>
    </row>
    <row r="1898" spans="4:4" ht="17.649999999999999" x14ac:dyDescent="0.5">
      <c r="D1898" s="3" t="s">
        <v>84</v>
      </c>
    </row>
    <row r="1899" spans="4:4" ht="17.649999999999999" x14ac:dyDescent="0.5">
      <c r="D1899" s="3" t="s">
        <v>116</v>
      </c>
    </row>
    <row r="1900" spans="4:4" ht="17.649999999999999" x14ac:dyDescent="0.5">
      <c r="D1900" s="3" t="s">
        <v>85</v>
      </c>
    </row>
    <row r="1901" spans="4:4" ht="17.649999999999999" x14ac:dyDescent="0.5">
      <c r="D1901" s="3" t="s">
        <v>96</v>
      </c>
    </row>
    <row r="1902" spans="4:4" ht="17.649999999999999" x14ac:dyDescent="0.5">
      <c r="D1902" s="3" t="s">
        <v>87</v>
      </c>
    </row>
    <row r="1903" spans="4:4" ht="17.649999999999999" x14ac:dyDescent="0.5">
      <c r="D1903" s="3" t="s">
        <v>73</v>
      </c>
    </row>
    <row r="1904" spans="4:4" ht="17.649999999999999" x14ac:dyDescent="0.5">
      <c r="D1904" s="3" t="s">
        <v>89</v>
      </c>
    </row>
    <row r="1905" spans="4:4" ht="17.649999999999999" x14ac:dyDescent="0.5">
      <c r="D1905" s="3" t="s">
        <v>46</v>
      </c>
    </row>
    <row r="1906" spans="4:4" ht="17.649999999999999" x14ac:dyDescent="0.5">
      <c r="D1906" s="3" t="s">
        <v>55</v>
      </c>
    </row>
    <row r="1907" spans="4:4" ht="17.649999999999999" x14ac:dyDescent="0.5">
      <c r="D1907" s="3" t="s">
        <v>80</v>
      </c>
    </row>
    <row r="1908" spans="4:4" ht="17.649999999999999" x14ac:dyDescent="0.5">
      <c r="D1908" s="3" t="s">
        <v>66</v>
      </c>
    </row>
    <row r="1909" spans="4:4" ht="17.649999999999999" x14ac:dyDescent="0.5">
      <c r="D1909" s="3" t="s">
        <v>83</v>
      </c>
    </row>
    <row r="1910" spans="4:4" ht="17.649999999999999" x14ac:dyDescent="0.5">
      <c r="D1910" s="3" t="s">
        <v>89</v>
      </c>
    </row>
    <row r="1911" spans="4:4" ht="17.649999999999999" x14ac:dyDescent="0.5">
      <c r="D1911" s="3" t="s">
        <v>41</v>
      </c>
    </row>
    <row r="1912" spans="4:4" ht="17.649999999999999" x14ac:dyDescent="0.5">
      <c r="D1912" s="3" t="s">
        <v>91</v>
      </c>
    </row>
    <row r="1913" spans="4:4" ht="17.649999999999999" x14ac:dyDescent="0.5">
      <c r="D1913" s="3" t="s">
        <v>86</v>
      </c>
    </row>
    <row r="1914" spans="4:4" ht="17.649999999999999" x14ac:dyDescent="0.5">
      <c r="D1914" s="3" t="s">
        <v>55</v>
      </c>
    </row>
    <row r="1915" spans="4:4" ht="17.649999999999999" x14ac:dyDescent="0.5">
      <c r="D1915" s="3" t="s">
        <v>46</v>
      </c>
    </row>
    <row r="1916" spans="4:4" ht="17.649999999999999" x14ac:dyDescent="0.5">
      <c r="D1916" s="3" t="s">
        <v>129</v>
      </c>
    </row>
    <row r="1917" spans="4:4" ht="17.649999999999999" x14ac:dyDescent="0.5">
      <c r="D1917" s="3" t="s">
        <v>54</v>
      </c>
    </row>
    <row r="1918" spans="4:4" ht="17.649999999999999" x14ac:dyDescent="0.5">
      <c r="D1918" s="3" t="s">
        <v>103</v>
      </c>
    </row>
    <row r="1919" spans="4:4" ht="17.649999999999999" x14ac:dyDescent="0.5">
      <c r="D1919" s="3" t="s">
        <v>52</v>
      </c>
    </row>
    <row r="1920" spans="4:4" ht="17.649999999999999" x14ac:dyDescent="0.5">
      <c r="D1920" s="3" t="s">
        <v>92</v>
      </c>
    </row>
    <row r="1921" spans="4:4" ht="17.649999999999999" x14ac:dyDescent="0.5">
      <c r="D1921" s="3" t="s">
        <v>104</v>
      </c>
    </row>
    <row r="1922" spans="4:4" ht="17.649999999999999" x14ac:dyDescent="0.5">
      <c r="D1922" s="3" t="s">
        <v>69</v>
      </c>
    </row>
    <row r="1923" spans="4:4" ht="17.649999999999999" x14ac:dyDescent="0.5">
      <c r="D1923" s="3" t="s">
        <v>51</v>
      </c>
    </row>
    <row r="1924" spans="4:4" ht="17.649999999999999" x14ac:dyDescent="0.5">
      <c r="D1924" s="3" t="s">
        <v>73</v>
      </c>
    </row>
    <row r="1925" spans="4:4" ht="17.649999999999999" x14ac:dyDescent="0.5">
      <c r="D1925" s="3" t="s">
        <v>93</v>
      </c>
    </row>
    <row r="1926" spans="4:4" ht="17.649999999999999" x14ac:dyDescent="0.5">
      <c r="D1926" s="3" t="s">
        <v>64</v>
      </c>
    </row>
    <row r="1927" spans="4:4" ht="17.649999999999999" x14ac:dyDescent="0.5">
      <c r="D1927" s="3" t="s">
        <v>41</v>
      </c>
    </row>
    <row r="1928" spans="4:4" ht="17.649999999999999" x14ac:dyDescent="0.5">
      <c r="D1928" s="3" t="s">
        <v>98</v>
      </c>
    </row>
    <row r="1929" spans="4:4" ht="17.649999999999999" x14ac:dyDescent="0.5">
      <c r="D1929" s="3" t="s">
        <v>114</v>
      </c>
    </row>
    <row r="1930" spans="4:4" ht="17.649999999999999" x14ac:dyDescent="0.5">
      <c r="D1930" s="3" t="s">
        <v>81</v>
      </c>
    </row>
    <row r="1931" spans="4:4" ht="17.649999999999999" x14ac:dyDescent="0.5">
      <c r="D1931" s="3" t="s">
        <v>101</v>
      </c>
    </row>
    <row r="1932" spans="4:4" ht="17.649999999999999" x14ac:dyDescent="0.5">
      <c r="D1932" s="3" t="s">
        <v>67</v>
      </c>
    </row>
    <row r="1933" spans="4:4" ht="17.649999999999999" x14ac:dyDescent="0.5">
      <c r="D1933" s="3" t="s">
        <v>85</v>
      </c>
    </row>
    <row r="1934" spans="4:4" ht="17.649999999999999" x14ac:dyDescent="0.5">
      <c r="D1934" s="3" t="s">
        <v>87</v>
      </c>
    </row>
    <row r="1935" spans="4:4" ht="17.649999999999999" x14ac:dyDescent="0.5">
      <c r="D1935" s="3" t="s">
        <v>44</v>
      </c>
    </row>
    <row r="1936" spans="4:4" ht="17.649999999999999" x14ac:dyDescent="0.5">
      <c r="D1936" s="3" t="s">
        <v>50</v>
      </c>
    </row>
    <row r="1937" spans="4:4" ht="17.649999999999999" x14ac:dyDescent="0.5">
      <c r="D1937" s="3" t="s">
        <v>61</v>
      </c>
    </row>
    <row r="1938" spans="4:4" ht="17.649999999999999" x14ac:dyDescent="0.5">
      <c r="D1938" s="3" t="s">
        <v>99</v>
      </c>
    </row>
    <row r="1939" spans="4:4" ht="17.649999999999999" x14ac:dyDescent="0.5">
      <c r="D1939" s="3" t="s">
        <v>57</v>
      </c>
    </row>
    <row r="1940" spans="4:4" ht="17.649999999999999" x14ac:dyDescent="0.5">
      <c r="D1940" s="3" t="s">
        <v>109</v>
      </c>
    </row>
    <row r="1941" spans="4:4" ht="17.649999999999999" x14ac:dyDescent="0.5">
      <c r="D1941" s="3" t="s">
        <v>53</v>
      </c>
    </row>
    <row r="1942" spans="4:4" ht="17.649999999999999" x14ac:dyDescent="0.5">
      <c r="D1942" s="3" t="s">
        <v>95</v>
      </c>
    </row>
    <row r="1943" spans="4:4" ht="17.649999999999999" x14ac:dyDescent="0.5">
      <c r="D1943" s="3" t="s">
        <v>85</v>
      </c>
    </row>
    <row r="1944" spans="4:4" ht="17.649999999999999" x14ac:dyDescent="0.5">
      <c r="D1944" s="3" t="s">
        <v>58</v>
      </c>
    </row>
    <row r="1945" spans="4:4" ht="17.649999999999999" x14ac:dyDescent="0.5">
      <c r="D1945" s="3" t="s">
        <v>126</v>
      </c>
    </row>
    <row r="1946" spans="4:4" ht="17.649999999999999" x14ac:dyDescent="0.5">
      <c r="D1946" s="3" t="s">
        <v>92</v>
      </c>
    </row>
    <row r="1947" spans="4:4" ht="17.649999999999999" x14ac:dyDescent="0.5">
      <c r="D1947" s="3" t="s">
        <v>48</v>
      </c>
    </row>
    <row r="1948" spans="4:4" ht="17.649999999999999" x14ac:dyDescent="0.5">
      <c r="D1948" s="3" t="s">
        <v>45</v>
      </c>
    </row>
    <row r="1949" spans="4:4" ht="17.649999999999999" x14ac:dyDescent="0.5">
      <c r="D1949" s="3" t="s">
        <v>47</v>
      </c>
    </row>
    <row r="1950" spans="4:4" ht="17.649999999999999" x14ac:dyDescent="0.5">
      <c r="D1950" s="3" t="s">
        <v>50</v>
      </c>
    </row>
    <row r="1951" spans="4:4" ht="17.649999999999999" x14ac:dyDescent="0.5">
      <c r="D1951" s="3" t="s">
        <v>84</v>
      </c>
    </row>
    <row r="1952" spans="4:4" ht="17.649999999999999" x14ac:dyDescent="0.5">
      <c r="D1952" s="3" t="s">
        <v>92</v>
      </c>
    </row>
    <row r="1953" spans="4:4" ht="17.649999999999999" x14ac:dyDescent="0.5">
      <c r="D1953" s="3" t="s">
        <v>84</v>
      </c>
    </row>
    <row r="1954" spans="4:4" ht="17.649999999999999" x14ac:dyDescent="0.5">
      <c r="D1954" s="3" t="s">
        <v>57</v>
      </c>
    </row>
    <row r="1955" spans="4:4" ht="17.649999999999999" x14ac:dyDescent="0.5">
      <c r="D1955" s="3" t="s">
        <v>75</v>
      </c>
    </row>
    <row r="1956" spans="4:4" ht="17.649999999999999" x14ac:dyDescent="0.5">
      <c r="D1956" s="3" t="s">
        <v>50</v>
      </c>
    </row>
    <row r="1957" spans="4:4" ht="17.649999999999999" x14ac:dyDescent="0.5">
      <c r="D1957" s="3" t="s">
        <v>105</v>
      </c>
    </row>
    <row r="1958" spans="4:4" ht="17.649999999999999" x14ac:dyDescent="0.5">
      <c r="D1958" s="3" t="s">
        <v>46</v>
      </c>
    </row>
    <row r="1959" spans="4:4" ht="17.649999999999999" x14ac:dyDescent="0.5">
      <c r="D1959" s="3" t="s">
        <v>55</v>
      </c>
    </row>
    <row r="1960" spans="4:4" ht="17.649999999999999" x14ac:dyDescent="0.5">
      <c r="D1960" s="3" t="s">
        <v>81</v>
      </c>
    </row>
    <row r="1961" spans="4:4" ht="17.649999999999999" x14ac:dyDescent="0.5">
      <c r="D1961" s="3" t="s">
        <v>116</v>
      </c>
    </row>
    <row r="1962" spans="4:4" ht="17.649999999999999" x14ac:dyDescent="0.5">
      <c r="D1962" s="3" t="s">
        <v>80</v>
      </c>
    </row>
    <row r="1963" spans="4:4" ht="17.649999999999999" x14ac:dyDescent="0.5">
      <c r="D1963" s="3" t="s">
        <v>74</v>
      </c>
    </row>
    <row r="1964" spans="4:4" ht="17.649999999999999" x14ac:dyDescent="0.5">
      <c r="D1964" s="3" t="s">
        <v>88</v>
      </c>
    </row>
    <row r="1965" spans="4:4" ht="17.649999999999999" x14ac:dyDescent="0.5">
      <c r="D1965" s="3" t="s">
        <v>76</v>
      </c>
    </row>
    <row r="1966" spans="4:4" ht="17.649999999999999" x14ac:dyDescent="0.5">
      <c r="D1966" s="3" t="s">
        <v>65</v>
      </c>
    </row>
    <row r="1967" spans="4:4" ht="17.649999999999999" x14ac:dyDescent="0.5">
      <c r="D1967" s="3" t="s">
        <v>63</v>
      </c>
    </row>
    <row r="1968" spans="4:4" ht="17.649999999999999" x14ac:dyDescent="0.5">
      <c r="D1968" s="3" t="s">
        <v>131</v>
      </c>
    </row>
    <row r="1969" spans="4:4" ht="17.649999999999999" x14ac:dyDescent="0.5">
      <c r="D1969" s="3" t="s">
        <v>83</v>
      </c>
    </row>
    <row r="1970" spans="4:4" ht="17.649999999999999" x14ac:dyDescent="0.5">
      <c r="D1970" s="3" t="s">
        <v>127</v>
      </c>
    </row>
    <row r="1971" spans="4:4" ht="17.649999999999999" x14ac:dyDescent="0.5">
      <c r="D1971" s="3" t="s">
        <v>84</v>
      </c>
    </row>
    <row r="1972" spans="4:4" ht="17.649999999999999" x14ac:dyDescent="0.5">
      <c r="D1972" s="3" t="s">
        <v>73</v>
      </c>
    </row>
    <row r="1973" spans="4:4" ht="17.649999999999999" x14ac:dyDescent="0.5">
      <c r="D1973" s="3" t="s">
        <v>129</v>
      </c>
    </row>
    <row r="1974" spans="4:4" ht="17.649999999999999" x14ac:dyDescent="0.5">
      <c r="D1974" s="3" t="s">
        <v>74</v>
      </c>
    </row>
    <row r="1975" spans="4:4" ht="17.649999999999999" x14ac:dyDescent="0.5">
      <c r="D1975" s="3" t="s">
        <v>86</v>
      </c>
    </row>
    <row r="1976" spans="4:4" ht="17.649999999999999" x14ac:dyDescent="0.5">
      <c r="D1976" s="3" t="s">
        <v>90</v>
      </c>
    </row>
    <row r="1977" spans="4:4" ht="17.649999999999999" x14ac:dyDescent="0.5">
      <c r="D1977" s="3" t="s">
        <v>49</v>
      </c>
    </row>
    <row r="1978" spans="4:4" ht="17.649999999999999" x14ac:dyDescent="0.5">
      <c r="D1978" s="3" t="s">
        <v>48</v>
      </c>
    </row>
    <row r="1979" spans="4:4" ht="17.649999999999999" x14ac:dyDescent="0.5">
      <c r="D1979" s="3" t="s">
        <v>43</v>
      </c>
    </row>
    <row r="1980" spans="4:4" ht="17.649999999999999" x14ac:dyDescent="0.5">
      <c r="D1980" s="3" t="s">
        <v>80</v>
      </c>
    </row>
    <row r="1981" spans="4:4" ht="17.649999999999999" x14ac:dyDescent="0.5">
      <c r="D1981" s="3" t="s">
        <v>115</v>
      </c>
    </row>
    <row r="1982" spans="4:4" ht="17.649999999999999" x14ac:dyDescent="0.5">
      <c r="D1982" s="3" t="s">
        <v>85</v>
      </c>
    </row>
    <row r="1983" spans="4:4" ht="17.649999999999999" x14ac:dyDescent="0.5">
      <c r="D1983" s="3" t="s">
        <v>108</v>
      </c>
    </row>
    <row r="1984" spans="4:4" ht="17.649999999999999" x14ac:dyDescent="0.5">
      <c r="D1984" s="3" t="s">
        <v>117</v>
      </c>
    </row>
    <row r="1985" spans="4:4" ht="17.649999999999999" x14ac:dyDescent="0.5">
      <c r="D1985" s="3" t="s">
        <v>54</v>
      </c>
    </row>
    <row r="1986" spans="4:4" ht="17.649999999999999" x14ac:dyDescent="0.5">
      <c r="D1986" s="3" t="s">
        <v>92</v>
      </c>
    </row>
    <row r="1987" spans="4:4" ht="17.649999999999999" x14ac:dyDescent="0.5">
      <c r="D1987" s="3" t="s">
        <v>81</v>
      </c>
    </row>
    <row r="1988" spans="4:4" ht="17.649999999999999" x14ac:dyDescent="0.5">
      <c r="D1988" s="3" t="s">
        <v>117</v>
      </c>
    </row>
    <row r="1989" spans="4:4" ht="17.649999999999999" x14ac:dyDescent="0.5">
      <c r="D1989" s="3" t="s">
        <v>101</v>
      </c>
    </row>
    <row r="1990" spans="4:4" ht="17.649999999999999" x14ac:dyDescent="0.5">
      <c r="D1990" s="3" t="s">
        <v>57</v>
      </c>
    </row>
    <row r="1991" spans="4:4" ht="17.649999999999999" x14ac:dyDescent="0.5">
      <c r="D1991" s="3" t="s">
        <v>92</v>
      </c>
    </row>
    <row r="1992" spans="4:4" ht="17.649999999999999" x14ac:dyDescent="0.5">
      <c r="D1992" s="3" t="s">
        <v>95</v>
      </c>
    </row>
    <row r="1993" spans="4:4" ht="17.649999999999999" x14ac:dyDescent="0.5">
      <c r="D1993" s="3" t="s">
        <v>91</v>
      </c>
    </row>
    <row r="1994" spans="4:4" ht="17.649999999999999" x14ac:dyDescent="0.5">
      <c r="D1994" s="3" t="s">
        <v>98</v>
      </c>
    </row>
    <row r="1995" spans="4:4" ht="17.649999999999999" x14ac:dyDescent="0.5">
      <c r="D1995" s="3" t="s">
        <v>46</v>
      </c>
    </row>
    <row r="1996" spans="4:4" ht="17.649999999999999" x14ac:dyDescent="0.5">
      <c r="D1996" s="3" t="s">
        <v>85</v>
      </c>
    </row>
    <row r="1997" spans="4:4" ht="17.649999999999999" x14ac:dyDescent="0.5">
      <c r="D1997" s="3" t="s">
        <v>58</v>
      </c>
    </row>
    <row r="1998" spans="4:4" ht="17.649999999999999" x14ac:dyDescent="0.5">
      <c r="D1998" s="3" t="s">
        <v>96</v>
      </c>
    </row>
    <row r="1999" spans="4:4" ht="17.649999999999999" x14ac:dyDescent="0.5">
      <c r="D1999" s="3" t="s">
        <v>55</v>
      </c>
    </row>
    <row r="2000" spans="4:4" ht="17.649999999999999" x14ac:dyDescent="0.5">
      <c r="D2000" s="3" t="s">
        <v>81</v>
      </c>
    </row>
    <row r="2001" spans="4:4" ht="17.649999999999999" x14ac:dyDescent="0.5">
      <c r="D2001" s="3" t="s">
        <v>85</v>
      </c>
    </row>
    <row r="2002" spans="4:4" ht="17.649999999999999" x14ac:dyDescent="0.5">
      <c r="D2002" s="3" t="s">
        <v>73</v>
      </c>
    </row>
    <row r="2003" spans="4:4" ht="17.649999999999999" x14ac:dyDescent="0.5">
      <c r="D2003" s="3" t="s">
        <v>87</v>
      </c>
    </row>
    <row r="2004" spans="4:4" ht="17.649999999999999" x14ac:dyDescent="0.5">
      <c r="D2004" s="3" t="s">
        <v>47</v>
      </c>
    </row>
    <row r="2005" spans="4:4" ht="17.649999999999999" x14ac:dyDescent="0.5">
      <c r="D2005" s="3" t="s">
        <v>50</v>
      </c>
    </row>
    <row r="2006" spans="4:4" ht="17.649999999999999" x14ac:dyDescent="0.5">
      <c r="D2006" s="3" t="s">
        <v>41</v>
      </c>
    </row>
    <row r="2007" spans="4:4" ht="17.649999999999999" x14ac:dyDescent="0.5">
      <c r="D2007" s="3" t="s">
        <v>105</v>
      </c>
    </row>
    <row r="2008" spans="4:4" ht="17.649999999999999" x14ac:dyDescent="0.5">
      <c r="D2008" s="3" t="s">
        <v>53</v>
      </c>
    </row>
    <row r="2009" spans="4:4" ht="17.649999999999999" x14ac:dyDescent="0.5">
      <c r="D2009" s="3" t="s">
        <v>42</v>
      </c>
    </row>
    <row r="2010" spans="4:4" ht="17.649999999999999" x14ac:dyDescent="0.5">
      <c r="D2010" s="3" t="s">
        <v>83</v>
      </c>
    </row>
    <row r="2011" spans="4:4" ht="17.649999999999999" x14ac:dyDescent="0.5">
      <c r="D2011" s="3" t="s">
        <v>98</v>
      </c>
    </row>
    <row r="2012" spans="4:4" ht="17.649999999999999" x14ac:dyDescent="0.5">
      <c r="D2012" s="3" t="s">
        <v>117</v>
      </c>
    </row>
    <row r="2013" spans="4:4" ht="17.649999999999999" x14ac:dyDescent="0.5">
      <c r="D2013" s="3" t="s">
        <v>107</v>
      </c>
    </row>
    <row r="2014" spans="4:4" ht="17.649999999999999" x14ac:dyDescent="0.5">
      <c r="D2014" s="3" t="s">
        <v>83</v>
      </c>
    </row>
    <row r="2015" spans="4:4" ht="17.649999999999999" x14ac:dyDescent="0.5">
      <c r="D2015" s="3" t="s">
        <v>79</v>
      </c>
    </row>
    <row r="2016" spans="4:4" ht="17.649999999999999" x14ac:dyDescent="0.5">
      <c r="D2016" s="3" t="s">
        <v>56</v>
      </c>
    </row>
    <row r="2017" spans="4:4" ht="17.649999999999999" x14ac:dyDescent="0.5">
      <c r="D2017" s="3" t="s">
        <v>101</v>
      </c>
    </row>
    <row r="2018" spans="4:4" ht="17.649999999999999" x14ac:dyDescent="0.5">
      <c r="D2018" s="3" t="s">
        <v>103</v>
      </c>
    </row>
    <row r="2019" spans="4:4" ht="17.649999999999999" x14ac:dyDescent="0.5">
      <c r="D2019" s="3" t="s">
        <v>132</v>
      </c>
    </row>
    <row r="2020" spans="4:4" ht="17.649999999999999" x14ac:dyDescent="0.5">
      <c r="D2020" s="3" t="s">
        <v>43</v>
      </c>
    </row>
    <row r="2021" spans="4:4" ht="17.649999999999999" x14ac:dyDescent="0.5">
      <c r="D2021" s="3" t="s">
        <v>48</v>
      </c>
    </row>
    <row r="2022" spans="4:4" ht="17.649999999999999" x14ac:dyDescent="0.5">
      <c r="D2022" s="3" t="s">
        <v>67</v>
      </c>
    </row>
    <row r="2023" spans="4:4" ht="17.649999999999999" x14ac:dyDescent="0.5">
      <c r="D2023" s="3" t="s">
        <v>133</v>
      </c>
    </row>
    <row r="2024" spans="4:4" ht="17.649999999999999" x14ac:dyDescent="0.5">
      <c r="D2024" s="3" t="s">
        <v>83</v>
      </c>
    </row>
    <row r="2025" spans="4:4" ht="17.649999999999999" x14ac:dyDescent="0.5">
      <c r="D2025" s="3" t="s">
        <v>56</v>
      </c>
    </row>
    <row r="2026" spans="4:4" ht="17.649999999999999" x14ac:dyDescent="0.5">
      <c r="D2026" s="3" t="s">
        <v>94</v>
      </c>
    </row>
    <row r="2027" spans="4:4" ht="17.649999999999999" x14ac:dyDescent="0.5">
      <c r="D2027" s="3" t="s">
        <v>83</v>
      </c>
    </row>
    <row r="2028" spans="4:4" ht="17.649999999999999" x14ac:dyDescent="0.5">
      <c r="D2028" s="3" t="s">
        <v>87</v>
      </c>
    </row>
    <row r="2029" spans="4:4" ht="17.649999999999999" x14ac:dyDescent="0.5">
      <c r="D2029" s="3" t="s">
        <v>73</v>
      </c>
    </row>
    <row r="2030" spans="4:4" ht="17.649999999999999" x14ac:dyDescent="0.5">
      <c r="D2030" s="3" t="s">
        <v>47</v>
      </c>
    </row>
    <row r="2031" spans="4:4" ht="17.649999999999999" x14ac:dyDescent="0.5">
      <c r="D2031" s="3" t="s">
        <v>126</v>
      </c>
    </row>
    <row r="2032" spans="4:4" ht="17.649999999999999" x14ac:dyDescent="0.5">
      <c r="D2032" s="3" t="s">
        <v>75</v>
      </c>
    </row>
    <row r="2033" spans="4:4" ht="17.649999999999999" x14ac:dyDescent="0.5">
      <c r="D2033" s="3" t="s">
        <v>73</v>
      </c>
    </row>
    <row r="2034" spans="4:4" ht="17.649999999999999" x14ac:dyDescent="0.5">
      <c r="D2034" s="3" t="s">
        <v>94</v>
      </c>
    </row>
    <row r="2035" spans="4:4" ht="17.649999999999999" x14ac:dyDescent="0.5">
      <c r="D2035" s="3" t="s">
        <v>64</v>
      </c>
    </row>
    <row r="2036" spans="4:4" ht="17.649999999999999" x14ac:dyDescent="0.5">
      <c r="D2036" s="3" t="s">
        <v>69</v>
      </c>
    </row>
    <row r="2037" spans="4:4" ht="17.649999999999999" x14ac:dyDescent="0.5">
      <c r="D2037" s="3" t="s">
        <v>50</v>
      </c>
    </row>
    <row r="2038" spans="4:4" ht="17.649999999999999" x14ac:dyDescent="0.5">
      <c r="D2038" s="3" t="s">
        <v>44</v>
      </c>
    </row>
    <row r="2039" spans="4:4" ht="17.649999999999999" x14ac:dyDescent="0.5">
      <c r="D2039" s="3" t="s">
        <v>48</v>
      </c>
    </row>
    <row r="2040" spans="4:4" ht="17.649999999999999" x14ac:dyDescent="0.5">
      <c r="D2040" s="3" t="s">
        <v>77</v>
      </c>
    </row>
    <row r="2041" spans="4:4" ht="17.649999999999999" x14ac:dyDescent="0.5">
      <c r="D2041" s="3" t="s">
        <v>98</v>
      </c>
    </row>
    <row r="2042" spans="4:4" ht="17.649999999999999" x14ac:dyDescent="0.5">
      <c r="D2042" s="3" t="s">
        <v>130</v>
      </c>
    </row>
    <row r="2043" spans="4:4" ht="17.649999999999999" x14ac:dyDescent="0.5">
      <c r="D2043" s="3" t="s">
        <v>51</v>
      </c>
    </row>
    <row r="2044" spans="4:4" ht="17.649999999999999" x14ac:dyDescent="0.5">
      <c r="D2044" s="3" t="s">
        <v>80</v>
      </c>
    </row>
    <row r="2045" spans="4:4" ht="17.649999999999999" x14ac:dyDescent="0.5">
      <c r="D2045" s="3" t="s">
        <v>118</v>
      </c>
    </row>
    <row r="2046" spans="4:4" ht="17.649999999999999" x14ac:dyDescent="0.5">
      <c r="D2046" s="3" t="s">
        <v>92</v>
      </c>
    </row>
    <row r="2047" spans="4:4" ht="17.649999999999999" x14ac:dyDescent="0.5">
      <c r="D2047" s="3" t="s">
        <v>85</v>
      </c>
    </row>
    <row r="2048" spans="4:4" ht="17.649999999999999" x14ac:dyDescent="0.5">
      <c r="D2048" s="3" t="s">
        <v>67</v>
      </c>
    </row>
    <row r="2049" spans="4:4" ht="17.649999999999999" x14ac:dyDescent="0.5">
      <c r="D2049" s="3" t="s">
        <v>54</v>
      </c>
    </row>
    <row r="2050" spans="4:4" ht="17.649999999999999" x14ac:dyDescent="0.5">
      <c r="D2050" s="3" t="s">
        <v>43</v>
      </c>
    </row>
    <row r="2051" spans="4:4" ht="17.649999999999999" x14ac:dyDescent="0.5">
      <c r="D2051" s="3" t="s">
        <v>44</v>
      </c>
    </row>
    <row r="2052" spans="4:4" ht="17.649999999999999" x14ac:dyDescent="0.5">
      <c r="D2052" s="3" t="s">
        <v>65</v>
      </c>
    </row>
    <row r="2053" spans="4:4" ht="17.649999999999999" x14ac:dyDescent="0.5">
      <c r="D2053" s="3" t="s">
        <v>59</v>
      </c>
    </row>
    <row r="2054" spans="4:4" ht="17.649999999999999" x14ac:dyDescent="0.5">
      <c r="D2054" s="3" t="s">
        <v>94</v>
      </c>
    </row>
    <row r="2055" spans="4:4" ht="17.649999999999999" x14ac:dyDescent="0.5">
      <c r="D2055" s="3" t="s">
        <v>98</v>
      </c>
    </row>
    <row r="2056" spans="4:4" ht="17.649999999999999" x14ac:dyDescent="0.5">
      <c r="D2056" s="3" t="s">
        <v>83</v>
      </c>
    </row>
    <row r="2057" spans="4:4" ht="17.649999999999999" x14ac:dyDescent="0.5">
      <c r="D2057" s="3" t="s">
        <v>66</v>
      </c>
    </row>
    <row r="2058" spans="4:4" ht="17.649999999999999" x14ac:dyDescent="0.5">
      <c r="D2058" s="3" t="s">
        <v>105</v>
      </c>
    </row>
    <row r="2059" spans="4:4" ht="17.649999999999999" x14ac:dyDescent="0.5">
      <c r="D2059" s="3" t="s">
        <v>61</v>
      </c>
    </row>
    <row r="2060" spans="4:4" ht="17.649999999999999" x14ac:dyDescent="0.5">
      <c r="D2060" s="3" t="s">
        <v>135</v>
      </c>
    </row>
    <row r="2061" spans="4:4" ht="17.649999999999999" x14ac:dyDescent="0.5">
      <c r="D2061" s="3" t="s">
        <v>123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159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1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44</v>
      </c>
      <c r="F31" s="2">
        <v>45</v>
      </c>
      <c r="G31" s="2">
        <v>45</v>
      </c>
      <c r="H31" s="2">
        <v>43</v>
      </c>
      <c r="I31" s="2">
        <v>41</v>
      </c>
      <c r="J31" s="2">
        <v>41</v>
      </c>
      <c r="K31" s="2">
        <v>43</v>
      </c>
      <c r="L31" s="2">
        <v>43</v>
      </c>
      <c r="M31" s="2">
        <v>41</v>
      </c>
      <c r="N31" s="2">
        <v>44</v>
      </c>
      <c r="O31" s="2">
        <v>47</v>
      </c>
      <c r="P31" s="2">
        <v>38</v>
      </c>
    </row>
    <row r="32" spans="4:16" x14ac:dyDescent="0.5">
      <c r="D32" s="2">
        <v>2</v>
      </c>
      <c r="E32" s="2">
        <v>31</v>
      </c>
      <c r="F32" s="2">
        <v>41</v>
      </c>
      <c r="G32" s="2">
        <v>37</v>
      </c>
      <c r="H32" s="2">
        <v>44</v>
      </c>
      <c r="I32" s="2">
        <v>44</v>
      </c>
      <c r="J32" s="2">
        <v>44</v>
      </c>
      <c r="K32" s="2">
        <v>45</v>
      </c>
      <c r="L32" s="2">
        <v>40</v>
      </c>
      <c r="M32" s="2">
        <v>40</v>
      </c>
      <c r="N32" s="2">
        <v>40</v>
      </c>
      <c r="O32" s="2">
        <v>42</v>
      </c>
      <c r="P32" s="2">
        <v>37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39</v>
      </c>
      <c r="F37" s="2">
        <v>38</v>
      </c>
      <c r="G37" s="2">
        <v>39</v>
      </c>
      <c r="H37" s="2">
        <v>40</v>
      </c>
      <c r="I37" s="2">
        <v>43</v>
      </c>
      <c r="J37" s="2">
        <v>42</v>
      </c>
      <c r="K37" s="2">
        <v>40</v>
      </c>
      <c r="L37" s="2">
        <v>40</v>
      </c>
      <c r="M37" s="2">
        <v>43</v>
      </c>
      <c r="N37" s="2">
        <v>39</v>
      </c>
      <c r="O37" s="2">
        <v>36</v>
      </c>
      <c r="P37" s="2">
        <v>46</v>
      </c>
    </row>
    <row r="38" spans="4:16" x14ac:dyDescent="0.5">
      <c r="D38" s="2">
        <v>2</v>
      </c>
      <c r="E38" s="2">
        <v>52</v>
      </c>
      <c r="F38" s="2">
        <v>42</v>
      </c>
      <c r="G38" s="2">
        <v>47</v>
      </c>
      <c r="H38" s="2">
        <v>39</v>
      </c>
      <c r="I38" s="2">
        <v>40</v>
      </c>
      <c r="J38" s="2">
        <v>39</v>
      </c>
      <c r="K38" s="2">
        <v>38</v>
      </c>
      <c r="L38" s="2">
        <v>43</v>
      </c>
      <c r="M38" s="2">
        <v>44</v>
      </c>
      <c r="N38" s="2">
        <v>43</v>
      </c>
      <c r="O38" s="2">
        <v>41</v>
      </c>
      <c r="P38" s="2">
        <v>47</v>
      </c>
    </row>
    <row r="39" spans="4:16" ht="17.649999999999999" x14ac:dyDescent="0.5">
      <c r="D39" s="3" t="s">
        <v>137</v>
      </c>
      <c r="E39">
        <f t="shared" ref="E39:P39" si="0">E31-E37</f>
        <v>5</v>
      </c>
      <c r="F39">
        <f t="shared" si="0"/>
        <v>7</v>
      </c>
      <c r="G39">
        <f t="shared" si="0"/>
        <v>6</v>
      </c>
      <c r="H39">
        <f t="shared" si="0"/>
        <v>3</v>
      </c>
      <c r="I39">
        <f t="shared" si="0"/>
        <v>-2</v>
      </c>
      <c r="J39">
        <f t="shared" si="0"/>
        <v>-1</v>
      </c>
      <c r="K39">
        <f t="shared" si="0"/>
        <v>3</v>
      </c>
      <c r="L39">
        <f t="shared" si="0"/>
        <v>3</v>
      </c>
      <c r="M39">
        <f t="shared" si="0"/>
        <v>-2</v>
      </c>
      <c r="N39">
        <f t="shared" si="0"/>
        <v>5</v>
      </c>
      <c r="O39">
        <f t="shared" si="0"/>
        <v>11</v>
      </c>
      <c r="P39">
        <f t="shared" si="0"/>
        <v>-8</v>
      </c>
    </row>
    <row r="40" spans="4:16" ht="17.649999999999999" x14ac:dyDescent="0.5">
      <c r="D40" s="3" t="s">
        <v>138</v>
      </c>
      <c r="E40">
        <f t="shared" ref="E40:P40" si="1">E32-E38</f>
        <v>-21</v>
      </c>
      <c r="F40">
        <f t="shared" si="1"/>
        <v>-1</v>
      </c>
      <c r="G40">
        <f t="shared" si="1"/>
        <v>-10</v>
      </c>
      <c r="H40">
        <f t="shared" si="1"/>
        <v>5</v>
      </c>
      <c r="I40">
        <f t="shared" si="1"/>
        <v>4</v>
      </c>
      <c r="J40">
        <f t="shared" si="1"/>
        <v>5</v>
      </c>
      <c r="K40">
        <f t="shared" si="1"/>
        <v>7</v>
      </c>
      <c r="L40">
        <f t="shared" si="1"/>
        <v>-3</v>
      </c>
      <c r="M40">
        <f t="shared" si="1"/>
        <v>-4</v>
      </c>
      <c r="N40">
        <f t="shared" si="1"/>
        <v>-3</v>
      </c>
      <c r="O40">
        <f t="shared" si="1"/>
        <v>1</v>
      </c>
      <c r="P40">
        <f t="shared" si="1"/>
        <v>-10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75</v>
      </c>
      <c r="F44" s="2">
        <v>86</v>
      </c>
      <c r="G44" s="2">
        <v>82</v>
      </c>
      <c r="H44" s="2">
        <v>87</v>
      </c>
      <c r="I44" s="2">
        <v>85</v>
      </c>
      <c r="J44" s="2">
        <v>85</v>
      </c>
      <c r="K44" s="2">
        <v>88</v>
      </c>
      <c r="L44" s="2">
        <v>83</v>
      </c>
      <c r="M44" s="2">
        <v>81</v>
      </c>
      <c r="N44" s="2">
        <v>84</v>
      </c>
      <c r="O44" s="2">
        <v>89</v>
      </c>
      <c r="P44" s="2">
        <v>75</v>
      </c>
    </row>
    <row r="45" spans="4:16" x14ac:dyDescent="0.5">
      <c r="D45" s="2" t="s">
        <v>28</v>
      </c>
      <c r="E45" s="2">
        <v>91</v>
      </c>
      <c r="F45" s="2">
        <v>80</v>
      </c>
      <c r="G45" s="2">
        <v>86</v>
      </c>
      <c r="H45" s="2">
        <v>79</v>
      </c>
      <c r="I45" s="2">
        <v>83</v>
      </c>
      <c r="J45" s="2">
        <v>81</v>
      </c>
      <c r="K45" s="2">
        <v>78</v>
      </c>
      <c r="L45" s="2">
        <v>83</v>
      </c>
      <c r="M45" s="2">
        <v>87</v>
      </c>
      <c r="N45" s="2">
        <v>82</v>
      </c>
      <c r="O45" s="2">
        <v>77</v>
      </c>
      <c r="P45" s="2">
        <v>93</v>
      </c>
    </row>
    <row r="46" spans="4:16" x14ac:dyDescent="0.5">
      <c r="D46" s="2" t="s">
        <v>30</v>
      </c>
      <c r="E46" s="2">
        <v>-16</v>
      </c>
      <c r="F46" s="2">
        <v>6</v>
      </c>
      <c r="G46" s="2">
        <v>-4</v>
      </c>
      <c r="H46" s="2">
        <v>8</v>
      </c>
      <c r="I46" s="2">
        <v>2</v>
      </c>
      <c r="J46" s="2">
        <v>4</v>
      </c>
      <c r="K46" s="2">
        <v>10</v>
      </c>
      <c r="L46" s="2">
        <v>0</v>
      </c>
      <c r="M46" s="2">
        <v>-6</v>
      </c>
      <c r="N46" s="2">
        <v>2</v>
      </c>
      <c r="O46" s="2">
        <v>12</v>
      </c>
      <c r="P46" s="2">
        <v>-18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95</v>
      </c>
      <c r="G56" s="2">
        <v>532</v>
      </c>
      <c r="H56" s="2">
        <v>809</v>
      </c>
      <c r="I56" s="2">
        <v>464</v>
      </c>
      <c r="J56" s="2">
        <v>96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160</v>
      </c>
    </row>
    <row r="61" spans="4:11" ht="17.649999999999999" x14ac:dyDescent="0.5">
      <c r="D61" s="3" t="s">
        <v>161</v>
      </c>
    </row>
    <row r="62" spans="4:11" ht="17.649999999999999" x14ac:dyDescent="0.5">
      <c r="D62" s="3" t="s">
        <v>49</v>
      </c>
    </row>
    <row r="63" spans="4:11" ht="17.649999999999999" x14ac:dyDescent="0.5">
      <c r="D63" s="3" t="s">
        <v>94</v>
      </c>
    </row>
    <row r="64" spans="4:11" ht="17.649999999999999" x14ac:dyDescent="0.5">
      <c r="D64" s="3" t="s">
        <v>103</v>
      </c>
    </row>
    <row r="65" spans="4:4" ht="17.649999999999999" x14ac:dyDescent="0.5">
      <c r="D65" s="3" t="s">
        <v>100</v>
      </c>
    </row>
    <row r="66" spans="4:4" ht="17.649999999999999" x14ac:dyDescent="0.5">
      <c r="D66" s="3" t="s">
        <v>41</v>
      </c>
    </row>
    <row r="67" spans="4:4" ht="17.649999999999999" x14ac:dyDescent="0.5">
      <c r="D67" s="3" t="s">
        <v>80</v>
      </c>
    </row>
    <row r="68" spans="4:4" ht="17.649999999999999" x14ac:dyDescent="0.5">
      <c r="D68" s="3" t="s">
        <v>68</v>
      </c>
    </row>
    <row r="69" spans="4:4" ht="17.649999999999999" x14ac:dyDescent="0.5">
      <c r="D69" s="3" t="s">
        <v>61</v>
      </c>
    </row>
    <row r="70" spans="4:4" ht="17.649999999999999" x14ac:dyDescent="0.5">
      <c r="D70" s="3" t="s">
        <v>70</v>
      </c>
    </row>
    <row r="71" spans="4:4" ht="17.649999999999999" x14ac:dyDescent="0.5">
      <c r="D71" s="3" t="s">
        <v>66</v>
      </c>
    </row>
    <row r="72" spans="4:4" ht="17.649999999999999" x14ac:dyDescent="0.5">
      <c r="D72" s="3" t="s">
        <v>74</v>
      </c>
    </row>
    <row r="73" spans="4:4" ht="17.649999999999999" x14ac:dyDescent="0.5">
      <c r="D73" s="3" t="s">
        <v>68</v>
      </c>
    </row>
    <row r="74" spans="4:4" ht="17.649999999999999" x14ac:dyDescent="0.5">
      <c r="D74" s="3" t="s">
        <v>114</v>
      </c>
    </row>
    <row r="75" spans="4:4" ht="17.649999999999999" x14ac:dyDescent="0.5">
      <c r="D75" s="3" t="s">
        <v>107</v>
      </c>
    </row>
    <row r="76" spans="4:4" ht="17.649999999999999" x14ac:dyDescent="0.5">
      <c r="D76" s="3" t="s">
        <v>57</v>
      </c>
    </row>
    <row r="77" spans="4:4" ht="17.649999999999999" x14ac:dyDescent="0.5">
      <c r="D77" s="3" t="s">
        <v>132</v>
      </c>
    </row>
    <row r="78" spans="4:4" ht="17.649999999999999" x14ac:dyDescent="0.5">
      <c r="D78" s="3" t="s">
        <v>53</v>
      </c>
    </row>
    <row r="79" spans="4:4" ht="17.649999999999999" x14ac:dyDescent="0.5">
      <c r="D79" s="3" t="s">
        <v>44</v>
      </c>
    </row>
    <row r="80" spans="4:4" ht="17.649999999999999" x14ac:dyDescent="0.5">
      <c r="D80" s="3" t="s">
        <v>119</v>
      </c>
    </row>
    <row r="81" spans="4:4" ht="17.649999999999999" x14ac:dyDescent="0.5">
      <c r="D81" s="3" t="s">
        <v>105</v>
      </c>
    </row>
    <row r="82" spans="4:4" ht="17.649999999999999" x14ac:dyDescent="0.5">
      <c r="D82" s="3" t="s">
        <v>56</v>
      </c>
    </row>
    <row r="83" spans="4:4" ht="17.649999999999999" x14ac:dyDescent="0.5">
      <c r="D83" s="3" t="s">
        <v>54</v>
      </c>
    </row>
    <row r="84" spans="4:4" ht="17.649999999999999" x14ac:dyDescent="0.5">
      <c r="D84" s="3" t="s">
        <v>112</v>
      </c>
    </row>
    <row r="85" spans="4:4" ht="17.649999999999999" x14ac:dyDescent="0.5">
      <c r="D85" s="3" t="s">
        <v>52</v>
      </c>
    </row>
    <row r="86" spans="4:4" ht="17.649999999999999" x14ac:dyDescent="0.5">
      <c r="D86" s="3" t="s">
        <v>117</v>
      </c>
    </row>
    <row r="87" spans="4:4" ht="17.649999999999999" x14ac:dyDescent="0.5">
      <c r="D87" s="3" t="s">
        <v>41</v>
      </c>
    </row>
    <row r="88" spans="4:4" ht="17.649999999999999" x14ac:dyDescent="0.5">
      <c r="D88" s="3" t="s">
        <v>45</v>
      </c>
    </row>
    <row r="89" spans="4:4" ht="17.649999999999999" x14ac:dyDescent="0.5">
      <c r="D89" s="3" t="s">
        <v>88</v>
      </c>
    </row>
    <row r="90" spans="4:4" ht="17.649999999999999" x14ac:dyDescent="0.5">
      <c r="D90" s="3" t="s">
        <v>63</v>
      </c>
    </row>
    <row r="91" spans="4:4" ht="17.649999999999999" x14ac:dyDescent="0.5">
      <c r="D91" s="3" t="s">
        <v>93</v>
      </c>
    </row>
    <row r="92" spans="4:4" ht="17.649999999999999" x14ac:dyDescent="0.5">
      <c r="D92" s="3" t="s">
        <v>48</v>
      </c>
    </row>
    <row r="93" spans="4:4" ht="17.649999999999999" x14ac:dyDescent="0.5">
      <c r="D93" s="3" t="s">
        <v>74</v>
      </c>
    </row>
    <row r="94" spans="4:4" ht="17.649999999999999" x14ac:dyDescent="0.5">
      <c r="D94" s="3" t="s">
        <v>52</v>
      </c>
    </row>
    <row r="95" spans="4:4" ht="17.649999999999999" x14ac:dyDescent="0.5">
      <c r="D95" s="3" t="s">
        <v>58</v>
      </c>
    </row>
    <row r="96" spans="4:4" ht="17.649999999999999" x14ac:dyDescent="0.5">
      <c r="D96" s="3" t="s">
        <v>94</v>
      </c>
    </row>
    <row r="97" spans="4:4" ht="17.649999999999999" x14ac:dyDescent="0.5">
      <c r="D97" s="3" t="s">
        <v>64</v>
      </c>
    </row>
    <row r="98" spans="4:4" ht="17.649999999999999" x14ac:dyDescent="0.5">
      <c r="D98" s="3" t="s">
        <v>112</v>
      </c>
    </row>
    <row r="99" spans="4:4" ht="17.649999999999999" x14ac:dyDescent="0.5">
      <c r="D99" s="3" t="s">
        <v>49</v>
      </c>
    </row>
    <row r="100" spans="4:4" ht="17.649999999999999" x14ac:dyDescent="0.5">
      <c r="D100" s="3" t="s">
        <v>83</v>
      </c>
    </row>
    <row r="101" spans="4:4" ht="17.649999999999999" x14ac:dyDescent="0.5">
      <c r="D101" s="3" t="s">
        <v>90</v>
      </c>
    </row>
    <row r="102" spans="4:4" ht="17.649999999999999" x14ac:dyDescent="0.5">
      <c r="D102" s="3" t="s">
        <v>42</v>
      </c>
    </row>
    <row r="103" spans="4:4" ht="17.649999999999999" x14ac:dyDescent="0.5">
      <c r="D103" s="3" t="s">
        <v>84</v>
      </c>
    </row>
    <row r="104" spans="4:4" ht="17.649999999999999" x14ac:dyDescent="0.5">
      <c r="D104" s="3" t="s">
        <v>71</v>
      </c>
    </row>
    <row r="105" spans="4:4" ht="17.649999999999999" x14ac:dyDescent="0.5">
      <c r="D105" s="3" t="s">
        <v>46</v>
      </c>
    </row>
    <row r="106" spans="4:4" ht="17.649999999999999" x14ac:dyDescent="0.5">
      <c r="D106" s="3" t="s">
        <v>47</v>
      </c>
    </row>
    <row r="107" spans="4:4" ht="17.649999999999999" x14ac:dyDescent="0.5">
      <c r="D107" s="3" t="s">
        <v>44</v>
      </c>
    </row>
    <row r="108" spans="4:4" ht="17.649999999999999" x14ac:dyDescent="0.5">
      <c r="D108" s="3" t="s">
        <v>78</v>
      </c>
    </row>
    <row r="109" spans="4:4" ht="17.649999999999999" x14ac:dyDescent="0.5">
      <c r="D109" s="3" t="s">
        <v>47</v>
      </c>
    </row>
    <row r="110" spans="4:4" ht="17.649999999999999" x14ac:dyDescent="0.5">
      <c r="D110" s="3" t="s">
        <v>73</v>
      </c>
    </row>
    <row r="111" spans="4:4" ht="17.649999999999999" x14ac:dyDescent="0.5">
      <c r="D111" s="3" t="s">
        <v>68</v>
      </c>
    </row>
    <row r="112" spans="4:4" ht="17.649999999999999" x14ac:dyDescent="0.5">
      <c r="D112" s="3" t="s">
        <v>118</v>
      </c>
    </row>
    <row r="113" spans="4:4" ht="17.649999999999999" x14ac:dyDescent="0.5">
      <c r="D113" s="3" t="s">
        <v>107</v>
      </c>
    </row>
    <row r="114" spans="4:4" ht="17.649999999999999" x14ac:dyDescent="0.5">
      <c r="D114" s="3" t="s">
        <v>53</v>
      </c>
    </row>
    <row r="115" spans="4:4" ht="17.649999999999999" x14ac:dyDescent="0.5">
      <c r="D115" s="3" t="s">
        <v>87</v>
      </c>
    </row>
    <row r="116" spans="4:4" ht="17.649999999999999" x14ac:dyDescent="0.5">
      <c r="D116" s="3" t="s">
        <v>64</v>
      </c>
    </row>
    <row r="117" spans="4:4" ht="17.649999999999999" x14ac:dyDescent="0.5">
      <c r="D117" s="3" t="s">
        <v>53</v>
      </c>
    </row>
    <row r="118" spans="4:4" ht="17.649999999999999" x14ac:dyDescent="0.5">
      <c r="D118" s="3" t="s">
        <v>103</v>
      </c>
    </row>
    <row r="119" spans="4:4" ht="17.649999999999999" x14ac:dyDescent="0.5">
      <c r="D119" s="3" t="s">
        <v>102</v>
      </c>
    </row>
    <row r="120" spans="4:4" ht="17.649999999999999" x14ac:dyDescent="0.5">
      <c r="D120" s="3" t="s">
        <v>68</v>
      </c>
    </row>
    <row r="121" spans="4:4" ht="17.649999999999999" x14ac:dyDescent="0.5">
      <c r="D121" s="3" t="s">
        <v>95</v>
      </c>
    </row>
    <row r="122" spans="4:4" ht="17.649999999999999" x14ac:dyDescent="0.5">
      <c r="D122" s="3" t="s">
        <v>103</v>
      </c>
    </row>
    <row r="123" spans="4:4" ht="17.649999999999999" x14ac:dyDescent="0.5">
      <c r="D123" s="3" t="s">
        <v>87</v>
      </c>
    </row>
    <row r="124" spans="4:4" ht="17.649999999999999" x14ac:dyDescent="0.5">
      <c r="D124" s="3" t="s">
        <v>78</v>
      </c>
    </row>
    <row r="125" spans="4:4" ht="17.649999999999999" x14ac:dyDescent="0.5">
      <c r="D125" s="3" t="s">
        <v>104</v>
      </c>
    </row>
    <row r="126" spans="4:4" ht="17.649999999999999" x14ac:dyDescent="0.5">
      <c r="D126" s="3" t="s">
        <v>63</v>
      </c>
    </row>
    <row r="127" spans="4:4" ht="17.649999999999999" x14ac:dyDescent="0.5">
      <c r="D127" s="3" t="s">
        <v>124</v>
      </c>
    </row>
    <row r="128" spans="4:4" ht="17.649999999999999" x14ac:dyDescent="0.5">
      <c r="D128" s="3" t="s">
        <v>49</v>
      </c>
    </row>
    <row r="129" spans="4:4" ht="17.649999999999999" x14ac:dyDescent="0.5">
      <c r="D129" s="3" t="s">
        <v>115</v>
      </c>
    </row>
    <row r="130" spans="4:4" ht="17.649999999999999" x14ac:dyDescent="0.5">
      <c r="D130" s="3" t="s">
        <v>44</v>
      </c>
    </row>
    <row r="131" spans="4:4" ht="17.649999999999999" x14ac:dyDescent="0.5">
      <c r="D131" s="3" t="s">
        <v>55</v>
      </c>
    </row>
    <row r="132" spans="4:4" ht="17.649999999999999" x14ac:dyDescent="0.5">
      <c r="D132" s="3" t="s">
        <v>54</v>
      </c>
    </row>
    <row r="133" spans="4:4" ht="17.649999999999999" x14ac:dyDescent="0.5">
      <c r="D133" s="3" t="s">
        <v>124</v>
      </c>
    </row>
    <row r="134" spans="4:4" ht="17.649999999999999" x14ac:dyDescent="0.5">
      <c r="D134" s="3" t="s">
        <v>46</v>
      </c>
    </row>
    <row r="135" spans="4:4" ht="17.649999999999999" x14ac:dyDescent="0.5">
      <c r="D135" s="3" t="s">
        <v>67</v>
      </c>
    </row>
    <row r="136" spans="4:4" ht="17.649999999999999" x14ac:dyDescent="0.5">
      <c r="D136" s="3" t="s">
        <v>89</v>
      </c>
    </row>
    <row r="137" spans="4:4" ht="17.649999999999999" x14ac:dyDescent="0.5">
      <c r="D137" s="3" t="s">
        <v>64</v>
      </c>
    </row>
    <row r="138" spans="4:4" ht="17.649999999999999" x14ac:dyDescent="0.5">
      <c r="D138" s="3" t="s">
        <v>65</v>
      </c>
    </row>
    <row r="139" spans="4:4" ht="17.649999999999999" x14ac:dyDescent="0.5">
      <c r="D139" s="3" t="s">
        <v>81</v>
      </c>
    </row>
    <row r="140" spans="4:4" ht="17.649999999999999" x14ac:dyDescent="0.5">
      <c r="D140" s="3" t="s">
        <v>84</v>
      </c>
    </row>
    <row r="141" spans="4:4" ht="17.649999999999999" x14ac:dyDescent="0.5">
      <c r="D141" s="3" t="s">
        <v>73</v>
      </c>
    </row>
    <row r="142" spans="4:4" ht="17.649999999999999" x14ac:dyDescent="0.5">
      <c r="D142" s="3" t="s">
        <v>65</v>
      </c>
    </row>
    <row r="143" spans="4:4" ht="17.649999999999999" x14ac:dyDescent="0.5">
      <c r="D143" s="3" t="s">
        <v>98</v>
      </c>
    </row>
    <row r="144" spans="4:4" ht="17.649999999999999" x14ac:dyDescent="0.5">
      <c r="D144" s="3" t="s">
        <v>51</v>
      </c>
    </row>
    <row r="145" spans="4:4" ht="17.649999999999999" x14ac:dyDescent="0.5">
      <c r="D145" s="3" t="s">
        <v>90</v>
      </c>
    </row>
    <row r="146" spans="4:4" ht="17.649999999999999" x14ac:dyDescent="0.5">
      <c r="D146" s="3" t="s">
        <v>62</v>
      </c>
    </row>
    <row r="147" spans="4:4" ht="17.649999999999999" x14ac:dyDescent="0.5">
      <c r="D147" s="3" t="s">
        <v>85</v>
      </c>
    </row>
    <row r="148" spans="4:4" ht="17.649999999999999" x14ac:dyDescent="0.5">
      <c r="D148" s="3" t="s">
        <v>44</v>
      </c>
    </row>
    <row r="149" spans="4:4" ht="17.649999999999999" x14ac:dyDescent="0.5">
      <c r="D149" s="3" t="s">
        <v>105</v>
      </c>
    </row>
    <row r="150" spans="4:4" ht="17.649999999999999" x14ac:dyDescent="0.5">
      <c r="D150" s="3" t="s">
        <v>59</v>
      </c>
    </row>
    <row r="151" spans="4:4" ht="17.649999999999999" x14ac:dyDescent="0.5">
      <c r="D151" s="3" t="s">
        <v>78</v>
      </c>
    </row>
    <row r="152" spans="4:4" ht="17.649999999999999" x14ac:dyDescent="0.5">
      <c r="D152" s="3" t="s">
        <v>80</v>
      </c>
    </row>
    <row r="153" spans="4:4" ht="17.649999999999999" x14ac:dyDescent="0.5">
      <c r="D153" s="3" t="s">
        <v>94</v>
      </c>
    </row>
    <row r="154" spans="4:4" ht="17.649999999999999" x14ac:dyDescent="0.5">
      <c r="D154" s="3" t="s">
        <v>112</v>
      </c>
    </row>
    <row r="155" spans="4:4" ht="17.649999999999999" x14ac:dyDescent="0.5">
      <c r="D155" s="3" t="s">
        <v>61</v>
      </c>
    </row>
    <row r="156" spans="4:4" ht="17.649999999999999" x14ac:dyDescent="0.5">
      <c r="D156" s="3" t="s">
        <v>79</v>
      </c>
    </row>
    <row r="157" spans="4:4" ht="17.649999999999999" x14ac:dyDescent="0.5">
      <c r="D157" s="3" t="s">
        <v>52</v>
      </c>
    </row>
    <row r="158" spans="4:4" ht="17.649999999999999" x14ac:dyDescent="0.5">
      <c r="D158" s="3" t="s">
        <v>49</v>
      </c>
    </row>
    <row r="159" spans="4:4" ht="17.649999999999999" x14ac:dyDescent="0.5">
      <c r="D159" s="3" t="s">
        <v>44</v>
      </c>
    </row>
    <row r="160" spans="4:4" ht="17.649999999999999" x14ac:dyDescent="0.5">
      <c r="D160" s="3" t="s">
        <v>63</v>
      </c>
    </row>
    <row r="161" spans="4:4" ht="17.649999999999999" x14ac:dyDescent="0.5">
      <c r="D161" s="3" t="s">
        <v>131</v>
      </c>
    </row>
    <row r="162" spans="4:4" ht="17.649999999999999" x14ac:dyDescent="0.5">
      <c r="D162" s="3" t="s">
        <v>87</v>
      </c>
    </row>
    <row r="163" spans="4:4" ht="17.649999999999999" x14ac:dyDescent="0.5">
      <c r="D163" s="3" t="s">
        <v>41</v>
      </c>
    </row>
    <row r="164" spans="4:4" ht="17.649999999999999" x14ac:dyDescent="0.5">
      <c r="D164" s="3" t="s">
        <v>93</v>
      </c>
    </row>
    <row r="165" spans="4:4" ht="17.649999999999999" x14ac:dyDescent="0.5">
      <c r="D165" s="3" t="s">
        <v>83</v>
      </c>
    </row>
    <row r="166" spans="4:4" ht="17.649999999999999" x14ac:dyDescent="0.5">
      <c r="D166" s="3" t="s">
        <v>52</v>
      </c>
    </row>
    <row r="167" spans="4:4" ht="17.649999999999999" x14ac:dyDescent="0.5">
      <c r="D167" s="3" t="s">
        <v>91</v>
      </c>
    </row>
    <row r="168" spans="4:4" ht="17.649999999999999" x14ac:dyDescent="0.5">
      <c r="D168" s="3" t="s">
        <v>114</v>
      </c>
    </row>
    <row r="169" spans="4:4" ht="17.649999999999999" x14ac:dyDescent="0.5">
      <c r="D169" s="3" t="s">
        <v>94</v>
      </c>
    </row>
    <row r="170" spans="4:4" ht="17.649999999999999" x14ac:dyDescent="0.5">
      <c r="D170" s="3" t="s">
        <v>80</v>
      </c>
    </row>
    <row r="171" spans="4:4" ht="17.649999999999999" x14ac:dyDescent="0.5">
      <c r="D171" s="3" t="s">
        <v>65</v>
      </c>
    </row>
    <row r="172" spans="4:4" ht="17.649999999999999" x14ac:dyDescent="0.5">
      <c r="D172" s="3" t="s">
        <v>96</v>
      </c>
    </row>
    <row r="173" spans="4:4" ht="17.649999999999999" x14ac:dyDescent="0.5">
      <c r="D173" s="3" t="s">
        <v>44</v>
      </c>
    </row>
    <row r="174" spans="4:4" ht="17.649999999999999" x14ac:dyDescent="0.5">
      <c r="D174" s="3" t="s">
        <v>95</v>
      </c>
    </row>
    <row r="175" spans="4:4" ht="17.649999999999999" x14ac:dyDescent="0.5">
      <c r="D175" s="3" t="s">
        <v>80</v>
      </c>
    </row>
    <row r="176" spans="4:4" ht="17.649999999999999" x14ac:dyDescent="0.5">
      <c r="D176" s="3" t="s">
        <v>49</v>
      </c>
    </row>
    <row r="177" spans="4:4" ht="17.649999999999999" x14ac:dyDescent="0.5">
      <c r="D177" s="3" t="s">
        <v>65</v>
      </c>
    </row>
    <row r="178" spans="4:4" ht="17.649999999999999" x14ac:dyDescent="0.5">
      <c r="D178" s="3" t="s">
        <v>52</v>
      </c>
    </row>
    <row r="179" spans="4:4" ht="17.649999999999999" x14ac:dyDescent="0.5">
      <c r="D179" s="3" t="s">
        <v>63</v>
      </c>
    </row>
    <row r="180" spans="4:4" ht="17.649999999999999" x14ac:dyDescent="0.5">
      <c r="D180" s="3" t="s">
        <v>105</v>
      </c>
    </row>
    <row r="181" spans="4:4" ht="17.649999999999999" x14ac:dyDescent="0.5">
      <c r="D181" s="3" t="s">
        <v>92</v>
      </c>
    </row>
    <row r="182" spans="4:4" ht="17.649999999999999" x14ac:dyDescent="0.5">
      <c r="D182" s="3" t="s">
        <v>41</v>
      </c>
    </row>
    <row r="183" spans="4:4" ht="17.649999999999999" x14ac:dyDescent="0.5">
      <c r="D183" s="3" t="s">
        <v>49</v>
      </c>
    </row>
    <row r="184" spans="4:4" ht="17.649999999999999" x14ac:dyDescent="0.5">
      <c r="D184" s="3" t="s">
        <v>75</v>
      </c>
    </row>
    <row r="185" spans="4:4" ht="17.649999999999999" x14ac:dyDescent="0.5">
      <c r="D185" s="3" t="s">
        <v>65</v>
      </c>
    </row>
    <row r="186" spans="4:4" ht="17.649999999999999" x14ac:dyDescent="0.5">
      <c r="D186" s="3" t="s">
        <v>80</v>
      </c>
    </row>
    <row r="187" spans="4:4" ht="17.649999999999999" x14ac:dyDescent="0.5">
      <c r="D187" s="3" t="s">
        <v>84</v>
      </c>
    </row>
    <row r="188" spans="4:4" ht="17.649999999999999" x14ac:dyDescent="0.5">
      <c r="D188" s="3" t="s">
        <v>68</v>
      </c>
    </row>
    <row r="189" spans="4:4" ht="17.649999999999999" x14ac:dyDescent="0.5">
      <c r="D189" s="3" t="s">
        <v>64</v>
      </c>
    </row>
    <row r="190" spans="4:4" ht="17.649999999999999" x14ac:dyDescent="0.5">
      <c r="D190" s="3" t="s">
        <v>51</v>
      </c>
    </row>
    <row r="191" spans="4:4" ht="17.649999999999999" x14ac:dyDescent="0.5">
      <c r="D191" s="3" t="s">
        <v>44</v>
      </c>
    </row>
    <row r="192" spans="4:4" ht="17.649999999999999" x14ac:dyDescent="0.5">
      <c r="D192" s="3" t="s">
        <v>61</v>
      </c>
    </row>
    <row r="193" spans="4:4" ht="17.649999999999999" x14ac:dyDescent="0.5">
      <c r="D193" s="3" t="s">
        <v>97</v>
      </c>
    </row>
    <row r="194" spans="4:4" ht="17.649999999999999" x14ac:dyDescent="0.5">
      <c r="D194" s="3" t="s">
        <v>65</v>
      </c>
    </row>
    <row r="195" spans="4:4" ht="17.649999999999999" x14ac:dyDescent="0.5">
      <c r="D195" s="3" t="s">
        <v>133</v>
      </c>
    </row>
    <row r="196" spans="4:4" ht="17.649999999999999" x14ac:dyDescent="0.5">
      <c r="D196" s="3" t="s">
        <v>50</v>
      </c>
    </row>
    <row r="197" spans="4:4" ht="17.649999999999999" x14ac:dyDescent="0.5">
      <c r="D197" s="3" t="s">
        <v>111</v>
      </c>
    </row>
    <row r="198" spans="4:4" ht="17.649999999999999" x14ac:dyDescent="0.5">
      <c r="D198" s="3" t="s">
        <v>47</v>
      </c>
    </row>
    <row r="199" spans="4:4" ht="17.649999999999999" x14ac:dyDescent="0.5">
      <c r="D199" s="3" t="s">
        <v>41</v>
      </c>
    </row>
    <row r="200" spans="4:4" ht="17.649999999999999" x14ac:dyDescent="0.5">
      <c r="D200" s="3" t="s">
        <v>61</v>
      </c>
    </row>
    <row r="201" spans="4:4" ht="17.649999999999999" x14ac:dyDescent="0.5">
      <c r="D201" s="3" t="s">
        <v>75</v>
      </c>
    </row>
    <row r="202" spans="4:4" ht="17.649999999999999" x14ac:dyDescent="0.5">
      <c r="D202" s="3" t="s">
        <v>84</v>
      </c>
    </row>
    <row r="203" spans="4:4" ht="17.649999999999999" x14ac:dyDescent="0.5">
      <c r="D203" s="3" t="s">
        <v>115</v>
      </c>
    </row>
    <row r="204" spans="4:4" ht="17.649999999999999" x14ac:dyDescent="0.5">
      <c r="D204" s="3" t="s">
        <v>45</v>
      </c>
    </row>
    <row r="205" spans="4:4" ht="17.649999999999999" x14ac:dyDescent="0.5">
      <c r="D205" s="3" t="s">
        <v>100</v>
      </c>
    </row>
    <row r="206" spans="4:4" ht="17.649999999999999" x14ac:dyDescent="0.5">
      <c r="D206" s="3" t="s">
        <v>112</v>
      </c>
    </row>
    <row r="207" spans="4:4" ht="17.649999999999999" x14ac:dyDescent="0.5">
      <c r="D207" s="3" t="s">
        <v>42</v>
      </c>
    </row>
    <row r="208" spans="4:4" ht="17.649999999999999" x14ac:dyDescent="0.5">
      <c r="D208" s="3" t="s">
        <v>48</v>
      </c>
    </row>
    <row r="209" spans="4:4" ht="17.649999999999999" x14ac:dyDescent="0.5">
      <c r="D209" s="3" t="s">
        <v>74</v>
      </c>
    </row>
    <row r="210" spans="4:4" ht="17.649999999999999" x14ac:dyDescent="0.5">
      <c r="D210" s="3" t="s">
        <v>90</v>
      </c>
    </row>
    <row r="211" spans="4:4" ht="17.649999999999999" x14ac:dyDescent="0.5">
      <c r="D211" s="3" t="s">
        <v>78</v>
      </c>
    </row>
    <row r="212" spans="4:4" ht="17.649999999999999" x14ac:dyDescent="0.5">
      <c r="D212" s="3" t="s">
        <v>136</v>
      </c>
    </row>
    <row r="213" spans="4:4" ht="17.649999999999999" x14ac:dyDescent="0.5">
      <c r="D213" s="3" t="s">
        <v>127</v>
      </c>
    </row>
    <row r="214" spans="4:4" ht="17.649999999999999" x14ac:dyDescent="0.5">
      <c r="D214" s="3" t="s">
        <v>96</v>
      </c>
    </row>
    <row r="215" spans="4:4" ht="17.649999999999999" x14ac:dyDescent="0.5">
      <c r="D215" s="3" t="s">
        <v>126</v>
      </c>
    </row>
    <row r="216" spans="4:4" ht="17.649999999999999" x14ac:dyDescent="0.5">
      <c r="D216" s="3" t="s">
        <v>90</v>
      </c>
    </row>
    <row r="217" spans="4:4" ht="17.649999999999999" x14ac:dyDescent="0.5">
      <c r="D217" s="3" t="s">
        <v>63</v>
      </c>
    </row>
    <row r="218" spans="4:4" ht="17.649999999999999" x14ac:dyDescent="0.5">
      <c r="D218" s="3" t="s">
        <v>79</v>
      </c>
    </row>
    <row r="219" spans="4:4" ht="17.649999999999999" x14ac:dyDescent="0.5">
      <c r="D219" s="3" t="s">
        <v>107</v>
      </c>
    </row>
    <row r="220" spans="4:4" ht="17.649999999999999" x14ac:dyDescent="0.5">
      <c r="D220" s="3" t="s">
        <v>83</v>
      </c>
    </row>
    <row r="221" spans="4:4" ht="17.649999999999999" x14ac:dyDescent="0.5">
      <c r="D221" s="3" t="s">
        <v>71</v>
      </c>
    </row>
    <row r="222" spans="4:4" ht="17.649999999999999" x14ac:dyDescent="0.5">
      <c r="D222" s="3" t="s">
        <v>69</v>
      </c>
    </row>
    <row r="223" spans="4:4" ht="17.649999999999999" x14ac:dyDescent="0.5">
      <c r="D223" s="3" t="s">
        <v>78</v>
      </c>
    </row>
    <row r="224" spans="4:4" ht="17.649999999999999" x14ac:dyDescent="0.5">
      <c r="D224" s="3" t="s">
        <v>43</v>
      </c>
    </row>
    <row r="225" spans="4:4" ht="17.649999999999999" x14ac:dyDescent="0.5">
      <c r="D225" s="3" t="s">
        <v>114</v>
      </c>
    </row>
    <row r="226" spans="4:4" ht="17.649999999999999" x14ac:dyDescent="0.5">
      <c r="D226" s="3" t="s">
        <v>107</v>
      </c>
    </row>
    <row r="227" spans="4:4" ht="17.649999999999999" x14ac:dyDescent="0.5">
      <c r="D227" s="3" t="s">
        <v>41</v>
      </c>
    </row>
    <row r="228" spans="4:4" ht="17.649999999999999" x14ac:dyDescent="0.5">
      <c r="D228" s="3" t="s">
        <v>44</v>
      </c>
    </row>
    <row r="229" spans="4:4" ht="17.649999999999999" x14ac:dyDescent="0.5">
      <c r="D229" s="3" t="s">
        <v>107</v>
      </c>
    </row>
    <row r="230" spans="4:4" ht="17.649999999999999" x14ac:dyDescent="0.5">
      <c r="D230" s="3" t="s">
        <v>75</v>
      </c>
    </row>
    <row r="231" spans="4:4" ht="17.649999999999999" x14ac:dyDescent="0.5">
      <c r="D231" s="3" t="s">
        <v>57</v>
      </c>
    </row>
    <row r="232" spans="4:4" ht="17.649999999999999" x14ac:dyDescent="0.5">
      <c r="D232" s="3" t="s">
        <v>96</v>
      </c>
    </row>
    <row r="233" spans="4:4" ht="17.649999999999999" x14ac:dyDescent="0.5">
      <c r="D233" s="3" t="s">
        <v>86</v>
      </c>
    </row>
    <row r="234" spans="4:4" ht="17.649999999999999" x14ac:dyDescent="0.5">
      <c r="D234" s="3" t="s">
        <v>65</v>
      </c>
    </row>
    <row r="235" spans="4:4" ht="17.649999999999999" x14ac:dyDescent="0.5">
      <c r="D235" s="3" t="s">
        <v>59</v>
      </c>
    </row>
    <row r="236" spans="4:4" ht="17.649999999999999" x14ac:dyDescent="0.5">
      <c r="D236" s="3" t="s">
        <v>91</v>
      </c>
    </row>
    <row r="237" spans="4:4" ht="17.649999999999999" x14ac:dyDescent="0.5">
      <c r="D237" s="3" t="s">
        <v>67</v>
      </c>
    </row>
    <row r="238" spans="4:4" ht="17.649999999999999" x14ac:dyDescent="0.5">
      <c r="D238" s="3" t="s">
        <v>64</v>
      </c>
    </row>
    <row r="239" spans="4:4" ht="17.649999999999999" x14ac:dyDescent="0.5">
      <c r="D239" s="3" t="s">
        <v>67</v>
      </c>
    </row>
    <row r="240" spans="4:4" ht="17.649999999999999" x14ac:dyDescent="0.5">
      <c r="D240" s="3" t="s">
        <v>68</v>
      </c>
    </row>
    <row r="241" spans="4:4" ht="17.649999999999999" x14ac:dyDescent="0.5">
      <c r="D241" s="3" t="s">
        <v>77</v>
      </c>
    </row>
    <row r="242" spans="4:4" ht="17.649999999999999" x14ac:dyDescent="0.5">
      <c r="D242" s="3" t="s">
        <v>63</v>
      </c>
    </row>
    <row r="243" spans="4:4" ht="17.649999999999999" x14ac:dyDescent="0.5">
      <c r="D243" s="3" t="s">
        <v>69</v>
      </c>
    </row>
    <row r="244" spans="4:4" ht="17.649999999999999" x14ac:dyDescent="0.5">
      <c r="D244" s="3" t="s">
        <v>101</v>
      </c>
    </row>
    <row r="245" spans="4:4" ht="17.649999999999999" x14ac:dyDescent="0.5">
      <c r="D245" s="3" t="s">
        <v>107</v>
      </c>
    </row>
    <row r="246" spans="4:4" ht="17.649999999999999" x14ac:dyDescent="0.5">
      <c r="D246" s="3" t="s">
        <v>55</v>
      </c>
    </row>
    <row r="247" spans="4:4" ht="17.649999999999999" x14ac:dyDescent="0.5">
      <c r="D247" s="3" t="s">
        <v>74</v>
      </c>
    </row>
    <row r="248" spans="4:4" ht="17.649999999999999" x14ac:dyDescent="0.5">
      <c r="D248" s="3" t="s">
        <v>78</v>
      </c>
    </row>
    <row r="249" spans="4:4" ht="17.649999999999999" x14ac:dyDescent="0.5">
      <c r="D249" s="3" t="s">
        <v>103</v>
      </c>
    </row>
    <row r="250" spans="4:4" ht="17.649999999999999" x14ac:dyDescent="0.5">
      <c r="D250" s="3" t="s">
        <v>86</v>
      </c>
    </row>
    <row r="251" spans="4:4" ht="17.649999999999999" x14ac:dyDescent="0.5">
      <c r="D251" s="3" t="s">
        <v>119</v>
      </c>
    </row>
    <row r="252" spans="4:4" ht="17.649999999999999" x14ac:dyDescent="0.5">
      <c r="D252" s="3" t="s">
        <v>73</v>
      </c>
    </row>
    <row r="253" spans="4:4" ht="17.649999999999999" x14ac:dyDescent="0.5">
      <c r="D253" s="3" t="s">
        <v>95</v>
      </c>
    </row>
    <row r="254" spans="4:4" ht="17.649999999999999" x14ac:dyDescent="0.5">
      <c r="D254" s="3" t="s">
        <v>73</v>
      </c>
    </row>
    <row r="255" spans="4:4" ht="17.649999999999999" x14ac:dyDescent="0.5">
      <c r="D255" s="3" t="s">
        <v>107</v>
      </c>
    </row>
    <row r="256" spans="4:4" ht="17.649999999999999" x14ac:dyDescent="0.5">
      <c r="D256" s="3" t="s">
        <v>95</v>
      </c>
    </row>
    <row r="257" spans="4:4" ht="17.649999999999999" x14ac:dyDescent="0.5">
      <c r="D257" s="3" t="s">
        <v>61</v>
      </c>
    </row>
    <row r="258" spans="4:4" ht="17.649999999999999" x14ac:dyDescent="0.5">
      <c r="D258" s="3" t="s">
        <v>52</v>
      </c>
    </row>
    <row r="259" spans="4:4" ht="17.649999999999999" x14ac:dyDescent="0.5">
      <c r="D259" s="3" t="s">
        <v>96</v>
      </c>
    </row>
    <row r="260" spans="4:4" ht="17.649999999999999" x14ac:dyDescent="0.5">
      <c r="D260" s="3" t="s">
        <v>43</v>
      </c>
    </row>
    <row r="261" spans="4:4" ht="17.649999999999999" x14ac:dyDescent="0.5">
      <c r="D261" s="3" t="s">
        <v>67</v>
      </c>
    </row>
    <row r="262" spans="4:4" ht="17.649999999999999" x14ac:dyDescent="0.5">
      <c r="D262" s="3" t="s">
        <v>105</v>
      </c>
    </row>
    <row r="263" spans="4:4" ht="17.649999999999999" x14ac:dyDescent="0.5">
      <c r="D263" s="3" t="s">
        <v>81</v>
      </c>
    </row>
    <row r="264" spans="4:4" ht="17.649999999999999" x14ac:dyDescent="0.5">
      <c r="D264" s="3" t="s">
        <v>135</v>
      </c>
    </row>
    <row r="265" spans="4:4" ht="17.649999999999999" x14ac:dyDescent="0.5">
      <c r="D265" s="3" t="s">
        <v>48</v>
      </c>
    </row>
    <row r="266" spans="4:4" ht="17.649999999999999" x14ac:dyDescent="0.5">
      <c r="D266" s="3" t="s">
        <v>116</v>
      </c>
    </row>
    <row r="267" spans="4:4" ht="17.649999999999999" x14ac:dyDescent="0.5">
      <c r="D267" s="3" t="s">
        <v>81</v>
      </c>
    </row>
    <row r="268" spans="4:4" ht="17.649999999999999" x14ac:dyDescent="0.5">
      <c r="D268" s="3" t="s">
        <v>66</v>
      </c>
    </row>
    <row r="269" spans="4:4" ht="17.649999999999999" x14ac:dyDescent="0.5">
      <c r="D269" s="3" t="s">
        <v>53</v>
      </c>
    </row>
    <row r="270" spans="4:4" ht="17.649999999999999" x14ac:dyDescent="0.5">
      <c r="D270" s="3" t="s">
        <v>77</v>
      </c>
    </row>
    <row r="271" spans="4:4" ht="17.649999999999999" x14ac:dyDescent="0.5">
      <c r="D271" s="3" t="s">
        <v>58</v>
      </c>
    </row>
    <row r="272" spans="4:4" ht="17.649999999999999" x14ac:dyDescent="0.5">
      <c r="D272" s="3" t="s">
        <v>98</v>
      </c>
    </row>
    <row r="273" spans="4:4" ht="17.649999999999999" x14ac:dyDescent="0.5">
      <c r="D273" s="3" t="s">
        <v>110</v>
      </c>
    </row>
    <row r="274" spans="4:4" ht="17.649999999999999" x14ac:dyDescent="0.5">
      <c r="D274" s="3" t="s">
        <v>67</v>
      </c>
    </row>
    <row r="275" spans="4:4" ht="17.649999999999999" x14ac:dyDescent="0.5">
      <c r="D275" s="3" t="s">
        <v>49</v>
      </c>
    </row>
    <row r="276" spans="4:4" ht="17.649999999999999" x14ac:dyDescent="0.5">
      <c r="D276" s="3" t="s">
        <v>77</v>
      </c>
    </row>
    <row r="277" spans="4:4" ht="17.649999999999999" x14ac:dyDescent="0.5">
      <c r="D277" s="3" t="s">
        <v>101</v>
      </c>
    </row>
    <row r="278" spans="4:4" ht="17.649999999999999" x14ac:dyDescent="0.5">
      <c r="D278" s="3" t="s">
        <v>89</v>
      </c>
    </row>
    <row r="279" spans="4:4" ht="17.649999999999999" x14ac:dyDescent="0.5">
      <c r="D279" s="3" t="s">
        <v>98</v>
      </c>
    </row>
    <row r="280" spans="4:4" ht="17.649999999999999" x14ac:dyDescent="0.5">
      <c r="D280" s="3" t="s">
        <v>72</v>
      </c>
    </row>
    <row r="281" spans="4:4" ht="17.649999999999999" x14ac:dyDescent="0.5">
      <c r="D281" s="3" t="s">
        <v>110</v>
      </c>
    </row>
    <row r="282" spans="4:4" ht="17.649999999999999" x14ac:dyDescent="0.5">
      <c r="D282" s="3" t="s">
        <v>87</v>
      </c>
    </row>
    <row r="283" spans="4:4" ht="17.649999999999999" x14ac:dyDescent="0.5">
      <c r="D283" s="3" t="s">
        <v>101</v>
      </c>
    </row>
    <row r="284" spans="4:4" ht="17.649999999999999" x14ac:dyDescent="0.5">
      <c r="D284" s="3" t="s">
        <v>67</v>
      </c>
    </row>
    <row r="285" spans="4:4" ht="17.649999999999999" x14ac:dyDescent="0.5">
      <c r="D285" s="3" t="s">
        <v>90</v>
      </c>
    </row>
    <row r="286" spans="4:4" ht="17.649999999999999" x14ac:dyDescent="0.5">
      <c r="D286" s="3" t="s">
        <v>57</v>
      </c>
    </row>
    <row r="287" spans="4:4" ht="17.649999999999999" x14ac:dyDescent="0.5">
      <c r="D287" s="3" t="s">
        <v>98</v>
      </c>
    </row>
    <row r="288" spans="4:4" ht="17.649999999999999" x14ac:dyDescent="0.5">
      <c r="D288" s="3" t="s">
        <v>59</v>
      </c>
    </row>
    <row r="289" spans="4:4" ht="17.649999999999999" x14ac:dyDescent="0.5">
      <c r="D289" s="3" t="s">
        <v>101</v>
      </c>
    </row>
    <row r="290" spans="4:4" ht="17.649999999999999" x14ac:dyDescent="0.5">
      <c r="D290" s="3" t="s">
        <v>83</v>
      </c>
    </row>
    <row r="291" spans="4:4" ht="17.649999999999999" x14ac:dyDescent="0.5">
      <c r="D291" s="3" t="s">
        <v>136</v>
      </c>
    </row>
    <row r="292" spans="4:4" ht="17.649999999999999" x14ac:dyDescent="0.5">
      <c r="D292" s="3" t="s">
        <v>90</v>
      </c>
    </row>
    <row r="293" spans="4:4" ht="17.649999999999999" x14ac:dyDescent="0.5">
      <c r="D293" s="3" t="s">
        <v>80</v>
      </c>
    </row>
    <row r="294" spans="4:4" ht="17.649999999999999" x14ac:dyDescent="0.5">
      <c r="D294" s="3" t="s">
        <v>53</v>
      </c>
    </row>
    <row r="295" spans="4:4" ht="17.649999999999999" x14ac:dyDescent="0.5">
      <c r="D295" s="3" t="s">
        <v>54</v>
      </c>
    </row>
    <row r="296" spans="4:4" ht="17.649999999999999" x14ac:dyDescent="0.5">
      <c r="D296" s="3" t="s">
        <v>91</v>
      </c>
    </row>
    <row r="297" spans="4:4" ht="17.649999999999999" x14ac:dyDescent="0.5">
      <c r="D297" s="3" t="s">
        <v>112</v>
      </c>
    </row>
    <row r="298" spans="4:4" ht="17.649999999999999" x14ac:dyDescent="0.5">
      <c r="D298" s="3" t="s">
        <v>52</v>
      </c>
    </row>
    <row r="299" spans="4:4" ht="17.649999999999999" x14ac:dyDescent="0.5">
      <c r="D299" s="3" t="s">
        <v>48</v>
      </c>
    </row>
    <row r="300" spans="4:4" ht="17.649999999999999" x14ac:dyDescent="0.5">
      <c r="D300" s="3" t="s">
        <v>65</v>
      </c>
    </row>
    <row r="301" spans="4:4" ht="17.649999999999999" x14ac:dyDescent="0.5">
      <c r="D301" s="3" t="s">
        <v>93</v>
      </c>
    </row>
    <row r="302" spans="4:4" ht="17.649999999999999" x14ac:dyDescent="0.5">
      <c r="D302" s="3" t="s">
        <v>44</v>
      </c>
    </row>
    <row r="303" spans="4:4" ht="17.649999999999999" x14ac:dyDescent="0.5">
      <c r="D303" s="3" t="s">
        <v>83</v>
      </c>
    </row>
    <row r="304" spans="4:4" ht="17.649999999999999" x14ac:dyDescent="0.5">
      <c r="D304" s="3" t="s">
        <v>107</v>
      </c>
    </row>
    <row r="305" spans="4:4" ht="17.649999999999999" x14ac:dyDescent="0.5">
      <c r="D305" s="3" t="s">
        <v>92</v>
      </c>
    </row>
    <row r="306" spans="4:4" ht="17.649999999999999" x14ac:dyDescent="0.5">
      <c r="D306" s="3" t="s">
        <v>87</v>
      </c>
    </row>
    <row r="307" spans="4:4" ht="17.649999999999999" x14ac:dyDescent="0.5">
      <c r="D307" s="3" t="s">
        <v>131</v>
      </c>
    </row>
    <row r="308" spans="4:4" ht="17.649999999999999" x14ac:dyDescent="0.5">
      <c r="D308" s="3" t="s">
        <v>103</v>
      </c>
    </row>
    <row r="309" spans="4:4" ht="17.649999999999999" x14ac:dyDescent="0.5">
      <c r="D309" s="3" t="s">
        <v>86</v>
      </c>
    </row>
    <row r="310" spans="4:4" ht="17.649999999999999" x14ac:dyDescent="0.5">
      <c r="D310" s="3" t="s">
        <v>117</v>
      </c>
    </row>
    <row r="311" spans="4:4" ht="17.649999999999999" x14ac:dyDescent="0.5">
      <c r="D311" s="3" t="s">
        <v>81</v>
      </c>
    </row>
    <row r="312" spans="4:4" ht="17.649999999999999" x14ac:dyDescent="0.5">
      <c r="D312" s="3" t="s">
        <v>50</v>
      </c>
    </row>
    <row r="313" spans="4:4" ht="17.649999999999999" x14ac:dyDescent="0.5">
      <c r="D313" s="3" t="s">
        <v>77</v>
      </c>
    </row>
    <row r="314" spans="4:4" ht="17.649999999999999" x14ac:dyDescent="0.5">
      <c r="D314" s="3" t="s">
        <v>74</v>
      </c>
    </row>
    <row r="315" spans="4:4" ht="17.649999999999999" x14ac:dyDescent="0.5">
      <c r="D315" s="3" t="s">
        <v>92</v>
      </c>
    </row>
    <row r="316" spans="4:4" ht="17.649999999999999" x14ac:dyDescent="0.5">
      <c r="D316" s="3" t="s">
        <v>55</v>
      </c>
    </row>
    <row r="317" spans="4:4" ht="17.649999999999999" x14ac:dyDescent="0.5">
      <c r="D317" s="3" t="s">
        <v>101</v>
      </c>
    </row>
    <row r="318" spans="4:4" ht="17.649999999999999" x14ac:dyDescent="0.5">
      <c r="D318" s="3" t="s">
        <v>84</v>
      </c>
    </row>
    <row r="319" spans="4:4" ht="17.649999999999999" x14ac:dyDescent="0.5">
      <c r="D319" s="3" t="s">
        <v>52</v>
      </c>
    </row>
    <row r="320" spans="4:4" ht="17.649999999999999" x14ac:dyDescent="0.5">
      <c r="D320" s="3" t="s">
        <v>122</v>
      </c>
    </row>
    <row r="321" spans="4:4" ht="17.649999999999999" x14ac:dyDescent="0.5">
      <c r="D321" s="3" t="s">
        <v>94</v>
      </c>
    </row>
    <row r="322" spans="4:4" ht="17.649999999999999" x14ac:dyDescent="0.5">
      <c r="D322" s="3" t="s">
        <v>89</v>
      </c>
    </row>
    <row r="323" spans="4:4" ht="17.649999999999999" x14ac:dyDescent="0.5">
      <c r="D323" s="3" t="s">
        <v>64</v>
      </c>
    </row>
    <row r="324" spans="4:4" ht="17.649999999999999" x14ac:dyDescent="0.5">
      <c r="D324" s="3" t="s">
        <v>110</v>
      </c>
    </row>
    <row r="325" spans="4:4" ht="17.649999999999999" x14ac:dyDescent="0.5">
      <c r="D325" s="3" t="s">
        <v>51</v>
      </c>
    </row>
    <row r="326" spans="4:4" ht="17.649999999999999" x14ac:dyDescent="0.5">
      <c r="D326" s="3" t="s">
        <v>74</v>
      </c>
    </row>
    <row r="327" spans="4:4" ht="17.649999999999999" x14ac:dyDescent="0.5">
      <c r="D327" s="3" t="s">
        <v>57</v>
      </c>
    </row>
    <row r="328" spans="4:4" ht="17.649999999999999" x14ac:dyDescent="0.5">
      <c r="D328" s="3" t="s">
        <v>47</v>
      </c>
    </row>
    <row r="329" spans="4:4" ht="17.649999999999999" x14ac:dyDescent="0.5">
      <c r="D329" s="3" t="s">
        <v>135</v>
      </c>
    </row>
    <row r="330" spans="4:4" ht="17.649999999999999" x14ac:dyDescent="0.5">
      <c r="D330" s="3" t="s">
        <v>126</v>
      </c>
    </row>
    <row r="331" spans="4:4" ht="17.649999999999999" x14ac:dyDescent="0.5">
      <c r="D331" s="3" t="s">
        <v>85</v>
      </c>
    </row>
    <row r="332" spans="4:4" ht="17.649999999999999" x14ac:dyDescent="0.5">
      <c r="D332" s="3" t="s">
        <v>44</v>
      </c>
    </row>
    <row r="333" spans="4:4" ht="17.649999999999999" x14ac:dyDescent="0.5">
      <c r="D333" s="3" t="s">
        <v>110</v>
      </c>
    </row>
    <row r="334" spans="4:4" ht="17.649999999999999" x14ac:dyDescent="0.5">
      <c r="D334" s="3" t="s">
        <v>75</v>
      </c>
    </row>
    <row r="335" spans="4:4" ht="17.649999999999999" x14ac:dyDescent="0.5">
      <c r="D335" s="3" t="s">
        <v>112</v>
      </c>
    </row>
    <row r="336" spans="4:4" ht="17.649999999999999" x14ac:dyDescent="0.5">
      <c r="D336" s="3" t="s">
        <v>106</v>
      </c>
    </row>
    <row r="337" spans="4:4" ht="17.649999999999999" x14ac:dyDescent="0.5">
      <c r="D337" s="3" t="s">
        <v>129</v>
      </c>
    </row>
    <row r="338" spans="4:4" ht="17.649999999999999" x14ac:dyDescent="0.5">
      <c r="D338" s="3" t="s">
        <v>90</v>
      </c>
    </row>
    <row r="339" spans="4:4" ht="17.649999999999999" x14ac:dyDescent="0.5">
      <c r="D339" s="3" t="s">
        <v>94</v>
      </c>
    </row>
    <row r="340" spans="4:4" ht="17.649999999999999" x14ac:dyDescent="0.5">
      <c r="D340" s="3" t="s">
        <v>57</v>
      </c>
    </row>
    <row r="341" spans="4:4" ht="17.649999999999999" x14ac:dyDescent="0.5">
      <c r="D341" s="3" t="s">
        <v>44</v>
      </c>
    </row>
    <row r="342" spans="4:4" ht="17.649999999999999" x14ac:dyDescent="0.5">
      <c r="D342" s="3" t="s">
        <v>49</v>
      </c>
    </row>
    <row r="343" spans="4:4" ht="17.649999999999999" x14ac:dyDescent="0.5">
      <c r="D343" s="3" t="s">
        <v>97</v>
      </c>
    </row>
    <row r="344" spans="4:4" ht="17.649999999999999" x14ac:dyDescent="0.5">
      <c r="D344" s="3" t="s">
        <v>46</v>
      </c>
    </row>
    <row r="345" spans="4:4" ht="17.649999999999999" x14ac:dyDescent="0.5">
      <c r="D345" s="3" t="s">
        <v>93</v>
      </c>
    </row>
    <row r="346" spans="4:4" ht="17.649999999999999" x14ac:dyDescent="0.5">
      <c r="D346" s="3" t="s">
        <v>59</v>
      </c>
    </row>
    <row r="347" spans="4:4" ht="17.649999999999999" x14ac:dyDescent="0.5">
      <c r="D347" s="3" t="s">
        <v>90</v>
      </c>
    </row>
    <row r="348" spans="4:4" ht="17.649999999999999" x14ac:dyDescent="0.5">
      <c r="D348" s="3" t="s">
        <v>51</v>
      </c>
    </row>
    <row r="349" spans="4:4" ht="17.649999999999999" x14ac:dyDescent="0.5">
      <c r="D349" s="3" t="s">
        <v>131</v>
      </c>
    </row>
    <row r="350" spans="4:4" ht="17.649999999999999" x14ac:dyDescent="0.5">
      <c r="D350" s="3" t="s">
        <v>75</v>
      </c>
    </row>
    <row r="351" spans="4:4" ht="17.649999999999999" x14ac:dyDescent="0.5">
      <c r="D351" s="3" t="s">
        <v>77</v>
      </c>
    </row>
    <row r="352" spans="4:4" ht="17.649999999999999" x14ac:dyDescent="0.5">
      <c r="D352" s="3" t="s">
        <v>128</v>
      </c>
    </row>
    <row r="353" spans="4:4" ht="17.649999999999999" x14ac:dyDescent="0.5">
      <c r="D353" s="3" t="s">
        <v>90</v>
      </c>
    </row>
    <row r="354" spans="4:4" ht="17.649999999999999" x14ac:dyDescent="0.5">
      <c r="D354" s="3" t="s">
        <v>59</v>
      </c>
    </row>
    <row r="355" spans="4:4" ht="17.649999999999999" x14ac:dyDescent="0.5">
      <c r="D355" s="3" t="s">
        <v>98</v>
      </c>
    </row>
    <row r="356" spans="4:4" ht="17.649999999999999" x14ac:dyDescent="0.5">
      <c r="D356" s="3" t="s">
        <v>58</v>
      </c>
    </row>
    <row r="357" spans="4:4" ht="17.649999999999999" x14ac:dyDescent="0.5">
      <c r="D357" s="3" t="s">
        <v>94</v>
      </c>
    </row>
    <row r="358" spans="4:4" ht="17.649999999999999" x14ac:dyDescent="0.5">
      <c r="D358" s="3" t="s">
        <v>56</v>
      </c>
    </row>
    <row r="359" spans="4:4" ht="17.649999999999999" x14ac:dyDescent="0.5">
      <c r="D359" s="3" t="s">
        <v>77</v>
      </c>
    </row>
    <row r="360" spans="4:4" ht="17.649999999999999" x14ac:dyDescent="0.5">
      <c r="D360" s="3" t="s">
        <v>106</v>
      </c>
    </row>
    <row r="361" spans="4:4" ht="17.649999999999999" x14ac:dyDescent="0.5">
      <c r="D361" s="3" t="s">
        <v>117</v>
      </c>
    </row>
    <row r="362" spans="4:4" ht="17.649999999999999" x14ac:dyDescent="0.5">
      <c r="D362" s="3" t="s">
        <v>73</v>
      </c>
    </row>
    <row r="363" spans="4:4" ht="17.649999999999999" x14ac:dyDescent="0.5">
      <c r="D363" s="3" t="s">
        <v>51</v>
      </c>
    </row>
    <row r="364" spans="4:4" ht="17.649999999999999" x14ac:dyDescent="0.5">
      <c r="D364" s="3" t="s">
        <v>124</v>
      </c>
    </row>
    <row r="365" spans="4:4" ht="17.649999999999999" x14ac:dyDescent="0.5">
      <c r="D365" s="3" t="s">
        <v>84</v>
      </c>
    </row>
    <row r="366" spans="4:4" ht="17.649999999999999" x14ac:dyDescent="0.5">
      <c r="D366" s="3" t="s">
        <v>91</v>
      </c>
    </row>
    <row r="367" spans="4:4" ht="17.649999999999999" x14ac:dyDescent="0.5">
      <c r="D367" s="3" t="s">
        <v>58</v>
      </c>
    </row>
    <row r="368" spans="4:4" ht="17.649999999999999" x14ac:dyDescent="0.5">
      <c r="D368" s="3" t="s">
        <v>41</v>
      </c>
    </row>
    <row r="369" spans="4:4" ht="17.649999999999999" x14ac:dyDescent="0.5">
      <c r="D369" s="3" t="s">
        <v>47</v>
      </c>
    </row>
    <row r="370" spans="4:4" ht="17.649999999999999" x14ac:dyDescent="0.5">
      <c r="D370" s="3" t="s">
        <v>64</v>
      </c>
    </row>
    <row r="371" spans="4:4" ht="17.649999999999999" x14ac:dyDescent="0.5">
      <c r="D371" s="3" t="s">
        <v>53</v>
      </c>
    </row>
    <row r="372" spans="4:4" ht="17.649999999999999" x14ac:dyDescent="0.5">
      <c r="D372" s="3" t="s">
        <v>65</v>
      </c>
    </row>
    <row r="373" spans="4:4" ht="17.649999999999999" x14ac:dyDescent="0.5">
      <c r="D373" s="3" t="s">
        <v>87</v>
      </c>
    </row>
    <row r="374" spans="4:4" ht="17.649999999999999" x14ac:dyDescent="0.5">
      <c r="D374" s="3" t="s">
        <v>107</v>
      </c>
    </row>
    <row r="375" spans="4:4" ht="17.649999999999999" x14ac:dyDescent="0.5">
      <c r="D375" s="3" t="s">
        <v>53</v>
      </c>
    </row>
    <row r="376" spans="4:4" ht="17.649999999999999" x14ac:dyDescent="0.5">
      <c r="D376" s="3" t="s">
        <v>49</v>
      </c>
    </row>
    <row r="377" spans="4:4" ht="17.649999999999999" x14ac:dyDescent="0.5">
      <c r="D377" s="3" t="s">
        <v>78</v>
      </c>
    </row>
    <row r="378" spans="4:4" ht="17.649999999999999" x14ac:dyDescent="0.5">
      <c r="D378" s="3" t="s">
        <v>43</v>
      </c>
    </row>
    <row r="379" spans="4:4" ht="17.649999999999999" x14ac:dyDescent="0.5">
      <c r="D379" s="3" t="s">
        <v>68</v>
      </c>
    </row>
    <row r="380" spans="4:4" ht="17.649999999999999" x14ac:dyDescent="0.5">
      <c r="D380" s="3" t="s">
        <v>125</v>
      </c>
    </row>
    <row r="381" spans="4:4" ht="17.649999999999999" x14ac:dyDescent="0.5">
      <c r="D381" s="3" t="s">
        <v>86</v>
      </c>
    </row>
    <row r="382" spans="4:4" ht="17.649999999999999" x14ac:dyDescent="0.5">
      <c r="D382" s="3" t="s">
        <v>96</v>
      </c>
    </row>
    <row r="383" spans="4:4" ht="17.649999999999999" x14ac:dyDescent="0.5">
      <c r="D383" s="3" t="s">
        <v>87</v>
      </c>
    </row>
    <row r="384" spans="4:4" ht="17.649999999999999" x14ac:dyDescent="0.5">
      <c r="D384" s="3" t="s">
        <v>124</v>
      </c>
    </row>
    <row r="385" spans="4:4" ht="17.649999999999999" x14ac:dyDescent="0.5">
      <c r="D385" s="3" t="s">
        <v>112</v>
      </c>
    </row>
    <row r="386" spans="4:4" ht="17.649999999999999" x14ac:dyDescent="0.5">
      <c r="D386" s="3" t="s">
        <v>50</v>
      </c>
    </row>
    <row r="387" spans="4:4" ht="17.649999999999999" x14ac:dyDescent="0.5">
      <c r="D387" s="3" t="s">
        <v>91</v>
      </c>
    </row>
    <row r="388" spans="4:4" ht="17.649999999999999" x14ac:dyDescent="0.5">
      <c r="D388" s="3" t="s">
        <v>46</v>
      </c>
    </row>
    <row r="389" spans="4:4" ht="17.649999999999999" x14ac:dyDescent="0.5">
      <c r="D389" s="3" t="s">
        <v>107</v>
      </c>
    </row>
    <row r="390" spans="4:4" ht="17.649999999999999" x14ac:dyDescent="0.5">
      <c r="D390" s="3" t="s">
        <v>61</v>
      </c>
    </row>
    <row r="391" spans="4:4" ht="17.649999999999999" x14ac:dyDescent="0.5">
      <c r="D391" s="3" t="s">
        <v>66</v>
      </c>
    </row>
    <row r="392" spans="4:4" ht="17.649999999999999" x14ac:dyDescent="0.5">
      <c r="D392" s="3" t="s">
        <v>105</v>
      </c>
    </row>
    <row r="393" spans="4:4" ht="17.649999999999999" x14ac:dyDescent="0.5">
      <c r="D393" s="3" t="s">
        <v>115</v>
      </c>
    </row>
    <row r="394" spans="4:4" ht="17.649999999999999" x14ac:dyDescent="0.5">
      <c r="D394" s="3" t="s">
        <v>59</v>
      </c>
    </row>
    <row r="395" spans="4:4" ht="17.649999999999999" x14ac:dyDescent="0.5">
      <c r="D395" s="3" t="s">
        <v>73</v>
      </c>
    </row>
    <row r="396" spans="4:4" ht="17.649999999999999" x14ac:dyDescent="0.5">
      <c r="D396" s="3" t="s">
        <v>95</v>
      </c>
    </row>
    <row r="397" spans="4:4" ht="17.649999999999999" x14ac:dyDescent="0.5">
      <c r="D397" s="3" t="s">
        <v>134</v>
      </c>
    </row>
    <row r="398" spans="4:4" ht="17.649999999999999" x14ac:dyDescent="0.5">
      <c r="D398" s="3" t="s">
        <v>80</v>
      </c>
    </row>
    <row r="399" spans="4:4" ht="17.649999999999999" x14ac:dyDescent="0.5">
      <c r="D399" s="3" t="s">
        <v>63</v>
      </c>
    </row>
    <row r="400" spans="4:4" ht="17.649999999999999" x14ac:dyDescent="0.5">
      <c r="D400" s="3" t="s">
        <v>56</v>
      </c>
    </row>
    <row r="401" spans="4:4" ht="17.649999999999999" x14ac:dyDescent="0.5">
      <c r="D401" s="3" t="s">
        <v>110</v>
      </c>
    </row>
    <row r="402" spans="4:4" ht="17.649999999999999" x14ac:dyDescent="0.5">
      <c r="D402" s="3" t="s">
        <v>54</v>
      </c>
    </row>
    <row r="403" spans="4:4" ht="17.649999999999999" x14ac:dyDescent="0.5">
      <c r="D403" s="3" t="s">
        <v>134</v>
      </c>
    </row>
    <row r="404" spans="4:4" ht="17.649999999999999" x14ac:dyDescent="0.5">
      <c r="D404" s="3" t="s">
        <v>66</v>
      </c>
    </row>
    <row r="405" spans="4:4" ht="17.649999999999999" x14ac:dyDescent="0.5">
      <c r="D405" s="3" t="s">
        <v>65</v>
      </c>
    </row>
    <row r="406" spans="4:4" ht="17.649999999999999" x14ac:dyDescent="0.5">
      <c r="D406" s="3" t="s">
        <v>67</v>
      </c>
    </row>
    <row r="407" spans="4:4" ht="17.649999999999999" x14ac:dyDescent="0.5">
      <c r="D407" s="3" t="s">
        <v>56</v>
      </c>
    </row>
    <row r="408" spans="4:4" ht="17.649999999999999" x14ac:dyDescent="0.5">
      <c r="D408" s="3" t="s">
        <v>54</v>
      </c>
    </row>
    <row r="409" spans="4:4" ht="17.649999999999999" x14ac:dyDescent="0.5">
      <c r="D409" s="3" t="s">
        <v>135</v>
      </c>
    </row>
    <row r="410" spans="4:4" ht="17.649999999999999" x14ac:dyDescent="0.5">
      <c r="D410" s="3" t="s">
        <v>46</v>
      </c>
    </row>
    <row r="411" spans="4:4" ht="17.649999999999999" x14ac:dyDescent="0.5">
      <c r="D411" s="3" t="s">
        <v>64</v>
      </c>
    </row>
    <row r="412" spans="4:4" ht="17.649999999999999" x14ac:dyDescent="0.5">
      <c r="D412" s="3" t="s">
        <v>43</v>
      </c>
    </row>
    <row r="413" spans="4:4" ht="17.649999999999999" x14ac:dyDescent="0.5">
      <c r="D413" s="3" t="s">
        <v>69</v>
      </c>
    </row>
    <row r="414" spans="4:4" ht="17.649999999999999" x14ac:dyDescent="0.5">
      <c r="D414" s="3" t="s">
        <v>58</v>
      </c>
    </row>
    <row r="415" spans="4:4" ht="17.649999999999999" x14ac:dyDescent="0.5">
      <c r="D415" s="3" t="s">
        <v>54</v>
      </c>
    </row>
    <row r="416" spans="4:4" ht="17.649999999999999" x14ac:dyDescent="0.5">
      <c r="D416" s="3" t="s">
        <v>104</v>
      </c>
    </row>
    <row r="417" spans="4:4" ht="17.649999999999999" x14ac:dyDescent="0.5">
      <c r="D417" s="3" t="s">
        <v>107</v>
      </c>
    </row>
    <row r="418" spans="4:4" ht="17.649999999999999" x14ac:dyDescent="0.5">
      <c r="D418" s="3" t="s">
        <v>130</v>
      </c>
    </row>
    <row r="419" spans="4:4" ht="17.649999999999999" x14ac:dyDescent="0.5">
      <c r="D419" s="3" t="s">
        <v>61</v>
      </c>
    </row>
    <row r="420" spans="4:4" ht="17.649999999999999" x14ac:dyDescent="0.5">
      <c r="D420" s="3" t="s">
        <v>116</v>
      </c>
    </row>
    <row r="421" spans="4:4" ht="17.649999999999999" x14ac:dyDescent="0.5">
      <c r="D421" s="3" t="s">
        <v>66</v>
      </c>
    </row>
    <row r="422" spans="4:4" ht="17.649999999999999" x14ac:dyDescent="0.5">
      <c r="D422" s="3" t="s">
        <v>61</v>
      </c>
    </row>
    <row r="423" spans="4:4" ht="17.649999999999999" x14ac:dyDescent="0.5">
      <c r="D423" s="3" t="s">
        <v>111</v>
      </c>
    </row>
    <row r="424" spans="4:4" ht="17.649999999999999" x14ac:dyDescent="0.5">
      <c r="D424" s="3" t="s">
        <v>101</v>
      </c>
    </row>
    <row r="425" spans="4:4" ht="17.649999999999999" x14ac:dyDescent="0.5">
      <c r="D425" s="3" t="s">
        <v>131</v>
      </c>
    </row>
    <row r="426" spans="4:4" ht="17.649999999999999" x14ac:dyDescent="0.5">
      <c r="D426" s="3" t="s">
        <v>67</v>
      </c>
    </row>
    <row r="427" spans="4:4" ht="17.649999999999999" x14ac:dyDescent="0.5">
      <c r="D427" s="3" t="s">
        <v>96</v>
      </c>
    </row>
    <row r="428" spans="4:4" ht="17.649999999999999" x14ac:dyDescent="0.5">
      <c r="D428" s="3" t="s">
        <v>79</v>
      </c>
    </row>
    <row r="429" spans="4:4" ht="17.649999999999999" x14ac:dyDescent="0.5">
      <c r="D429" s="3" t="s">
        <v>91</v>
      </c>
    </row>
    <row r="430" spans="4:4" ht="17.649999999999999" x14ac:dyDescent="0.5">
      <c r="D430" s="3" t="s">
        <v>44</v>
      </c>
    </row>
    <row r="431" spans="4:4" ht="17.649999999999999" x14ac:dyDescent="0.5">
      <c r="D431" s="3" t="s">
        <v>111</v>
      </c>
    </row>
    <row r="432" spans="4:4" ht="17.649999999999999" x14ac:dyDescent="0.5">
      <c r="D432" s="3" t="s">
        <v>66</v>
      </c>
    </row>
    <row r="433" spans="4:4" ht="17.649999999999999" x14ac:dyDescent="0.5">
      <c r="D433" s="3" t="s">
        <v>49</v>
      </c>
    </row>
    <row r="434" spans="4:4" ht="17.649999999999999" x14ac:dyDescent="0.5">
      <c r="D434" s="3" t="s">
        <v>90</v>
      </c>
    </row>
    <row r="435" spans="4:4" ht="17.649999999999999" x14ac:dyDescent="0.5">
      <c r="D435" s="3" t="s">
        <v>64</v>
      </c>
    </row>
    <row r="436" spans="4:4" ht="17.649999999999999" x14ac:dyDescent="0.5">
      <c r="D436" s="3" t="s">
        <v>121</v>
      </c>
    </row>
    <row r="437" spans="4:4" ht="17.649999999999999" x14ac:dyDescent="0.5">
      <c r="D437" s="3" t="s">
        <v>128</v>
      </c>
    </row>
    <row r="438" spans="4:4" ht="17.649999999999999" x14ac:dyDescent="0.5">
      <c r="D438" s="3" t="s">
        <v>53</v>
      </c>
    </row>
    <row r="439" spans="4:4" ht="17.649999999999999" x14ac:dyDescent="0.5">
      <c r="D439" s="3" t="s">
        <v>67</v>
      </c>
    </row>
    <row r="440" spans="4:4" ht="17.649999999999999" x14ac:dyDescent="0.5">
      <c r="D440" s="3" t="s">
        <v>56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41</v>
      </c>
    </row>
    <row r="443" spans="4:4" ht="17.649999999999999" x14ac:dyDescent="0.5">
      <c r="D443" s="3" t="s">
        <v>66</v>
      </c>
    </row>
    <row r="444" spans="4:4" ht="17.649999999999999" x14ac:dyDescent="0.5">
      <c r="D444" s="3" t="s">
        <v>55</v>
      </c>
    </row>
    <row r="445" spans="4:4" ht="17.649999999999999" x14ac:dyDescent="0.5">
      <c r="D445" s="3" t="s">
        <v>43</v>
      </c>
    </row>
    <row r="446" spans="4:4" ht="17.649999999999999" x14ac:dyDescent="0.5">
      <c r="D446" s="3" t="s">
        <v>111</v>
      </c>
    </row>
    <row r="447" spans="4:4" ht="17.649999999999999" x14ac:dyDescent="0.5">
      <c r="D447" s="3" t="s">
        <v>122</v>
      </c>
    </row>
    <row r="448" spans="4:4" ht="17.649999999999999" x14ac:dyDescent="0.5">
      <c r="D448" s="3" t="s">
        <v>96</v>
      </c>
    </row>
    <row r="449" spans="4:4" ht="17.649999999999999" x14ac:dyDescent="0.5">
      <c r="D449" s="3" t="s">
        <v>49</v>
      </c>
    </row>
    <row r="450" spans="4:4" ht="17.649999999999999" x14ac:dyDescent="0.5">
      <c r="D450" s="3" t="s">
        <v>130</v>
      </c>
    </row>
    <row r="451" spans="4:4" ht="17.649999999999999" x14ac:dyDescent="0.5">
      <c r="D451" s="3" t="s">
        <v>80</v>
      </c>
    </row>
    <row r="452" spans="4:4" ht="17.649999999999999" x14ac:dyDescent="0.5">
      <c r="D452" s="3" t="s">
        <v>50</v>
      </c>
    </row>
    <row r="453" spans="4:4" ht="17.649999999999999" x14ac:dyDescent="0.5">
      <c r="D453" s="3" t="s">
        <v>52</v>
      </c>
    </row>
    <row r="454" spans="4:4" ht="17.649999999999999" x14ac:dyDescent="0.5">
      <c r="D454" s="3" t="s">
        <v>92</v>
      </c>
    </row>
    <row r="455" spans="4:4" ht="17.649999999999999" x14ac:dyDescent="0.5">
      <c r="D455" s="3" t="s">
        <v>68</v>
      </c>
    </row>
    <row r="456" spans="4:4" ht="17.649999999999999" x14ac:dyDescent="0.5">
      <c r="D456" s="3" t="s">
        <v>126</v>
      </c>
    </row>
    <row r="457" spans="4:4" ht="17.649999999999999" x14ac:dyDescent="0.5">
      <c r="D457" s="3" t="s">
        <v>112</v>
      </c>
    </row>
    <row r="458" spans="4:4" ht="17.649999999999999" x14ac:dyDescent="0.5">
      <c r="D458" s="3" t="s">
        <v>98</v>
      </c>
    </row>
    <row r="459" spans="4:4" ht="17.649999999999999" x14ac:dyDescent="0.5">
      <c r="D459" s="3" t="s">
        <v>79</v>
      </c>
    </row>
    <row r="460" spans="4:4" ht="17.649999999999999" x14ac:dyDescent="0.5">
      <c r="D460" s="3" t="s">
        <v>78</v>
      </c>
    </row>
    <row r="461" spans="4:4" ht="17.649999999999999" x14ac:dyDescent="0.5">
      <c r="D461" s="3" t="s">
        <v>70</v>
      </c>
    </row>
    <row r="462" spans="4:4" ht="17.649999999999999" x14ac:dyDescent="0.5">
      <c r="D462" s="3" t="s">
        <v>73</v>
      </c>
    </row>
    <row r="463" spans="4:4" ht="17.649999999999999" x14ac:dyDescent="0.5">
      <c r="D463" s="3" t="s">
        <v>90</v>
      </c>
    </row>
    <row r="464" spans="4:4" ht="17.649999999999999" x14ac:dyDescent="0.5">
      <c r="D464" s="3" t="s">
        <v>91</v>
      </c>
    </row>
    <row r="465" spans="4:4" ht="17.649999999999999" x14ac:dyDescent="0.5">
      <c r="D465" s="3" t="s">
        <v>79</v>
      </c>
    </row>
    <row r="466" spans="4:4" ht="17.649999999999999" x14ac:dyDescent="0.5">
      <c r="D466" s="3" t="s">
        <v>90</v>
      </c>
    </row>
    <row r="467" spans="4:4" ht="17.649999999999999" x14ac:dyDescent="0.5">
      <c r="D467" s="3" t="s">
        <v>85</v>
      </c>
    </row>
    <row r="468" spans="4:4" ht="17.649999999999999" x14ac:dyDescent="0.5">
      <c r="D468" s="3" t="s">
        <v>115</v>
      </c>
    </row>
    <row r="469" spans="4:4" ht="17.649999999999999" x14ac:dyDescent="0.5">
      <c r="D469" s="3" t="s">
        <v>75</v>
      </c>
    </row>
    <row r="470" spans="4:4" ht="17.649999999999999" x14ac:dyDescent="0.5">
      <c r="D470" s="3" t="s">
        <v>101</v>
      </c>
    </row>
    <row r="471" spans="4:4" ht="17.649999999999999" x14ac:dyDescent="0.5">
      <c r="D471" s="3" t="s">
        <v>43</v>
      </c>
    </row>
    <row r="472" spans="4:4" ht="17.649999999999999" x14ac:dyDescent="0.5">
      <c r="D472" s="3" t="s">
        <v>87</v>
      </c>
    </row>
    <row r="473" spans="4:4" ht="17.649999999999999" x14ac:dyDescent="0.5">
      <c r="D473" s="3" t="s">
        <v>83</v>
      </c>
    </row>
    <row r="474" spans="4:4" ht="17.649999999999999" x14ac:dyDescent="0.5">
      <c r="D474" s="3" t="s">
        <v>77</v>
      </c>
    </row>
    <row r="475" spans="4:4" ht="17.649999999999999" x14ac:dyDescent="0.5">
      <c r="D475" s="3" t="s">
        <v>92</v>
      </c>
    </row>
    <row r="476" spans="4:4" ht="17.649999999999999" x14ac:dyDescent="0.5">
      <c r="D476" s="3" t="s">
        <v>91</v>
      </c>
    </row>
    <row r="477" spans="4:4" ht="17.649999999999999" x14ac:dyDescent="0.5">
      <c r="D477" s="3" t="s">
        <v>102</v>
      </c>
    </row>
    <row r="478" spans="4:4" ht="17.649999999999999" x14ac:dyDescent="0.5">
      <c r="D478" s="3" t="s">
        <v>123</v>
      </c>
    </row>
    <row r="479" spans="4:4" ht="17.649999999999999" x14ac:dyDescent="0.5">
      <c r="D479" s="3" t="s">
        <v>94</v>
      </c>
    </row>
    <row r="480" spans="4:4" ht="17.649999999999999" x14ac:dyDescent="0.5">
      <c r="D480" s="3" t="s">
        <v>94</v>
      </c>
    </row>
    <row r="481" spans="4:4" ht="17.649999999999999" x14ac:dyDescent="0.5">
      <c r="D481" s="3" t="s">
        <v>84</v>
      </c>
    </row>
    <row r="482" spans="4:4" ht="17.649999999999999" x14ac:dyDescent="0.5">
      <c r="D482" s="3" t="s">
        <v>120</v>
      </c>
    </row>
    <row r="483" spans="4:4" ht="17.649999999999999" x14ac:dyDescent="0.5">
      <c r="D483" s="3" t="s">
        <v>78</v>
      </c>
    </row>
    <row r="484" spans="4:4" ht="17.649999999999999" x14ac:dyDescent="0.5">
      <c r="D484" s="3" t="s">
        <v>101</v>
      </c>
    </row>
    <row r="485" spans="4:4" ht="17.649999999999999" x14ac:dyDescent="0.5">
      <c r="D485" s="3" t="s">
        <v>74</v>
      </c>
    </row>
    <row r="486" spans="4:4" ht="17.649999999999999" x14ac:dyDescent="0.5">
      <c r="D486" s="3" t="s">
        <v>69</v>
      </c>
    </row>
    <row r="487" spans="4:4" ht="17.649999999999999" x14ac:dyDescent="0.5">
      <c r="D487" s="3" t="s">
        <v>107</v>
      </c>
    </row>
    <row r="488" spans="4:4" ht="17.649999999999999" x14ac:dyDescent="0.5">
      <c r="D488" s="3" t="s">
        <v>117</v>
      </c>
    </row>
    <row r="489" spans="4:4" ht="17.649999999999999" x14ac:dyDescent="0.5">
      <c r="D489" s="3" t="s">
        <v>76</v>
      </c>
    </row>
    <row r="490" spans="4:4" ht="17.649999999999999" x14ac:dyDescent="0.5">
      <c r="D490" s="3" t="s">
        <v>59</v>
      </c>
    </row>
    <row r="491" spans="4:4" ht="17.649999999999999" x14ac:dyDescent="0.5">
      <c r="D491" s="3" t="s">
        <v>61</v>
      </c>
    </row>
    <row r="492" spans="4:4" ht="17.649999999999999" x14ac:dyDescent="0.5">
      <c r="D492" s="3" t="s">
        <v>65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73</v>
      </c>
    </row>
    <row r="495" spans="4:4" ht="17.649999999999999" x14ac:dyDescent="0.5">
      <c r="D495" s="3" t="s">
        <v>87</v>
      </c>
    </row>
    <row r="496" spans="4:4" ht="17.649999999999999" x14ac:dyDescent="0.5">
      <c r="D496" s="3" t="s">
        <v>73</v>
      </c>
    </row>
    <row r="497" spans="4:4" ht="17.649999999999999" x14ac:dyDescent="0.5">
      <c r="D497" s="3" t="s">
        <v>136</v>
      </c>
    </row>
    <row r="498" spans="4:4" ht="17.649999999999999" x14ac:dyDescent="0.5">
      <c r="D498" s="3" t="s">
        <v>75</v>
      </c>
    </row>
    <row r="499" spans="4:4" ht="17.649999999999999" x14ac:dyDescent="0.5">
      <c r="D499" s="3" t="s">
        <v>108</v>
      </c>
    </row>
    <row r="500" spans="4:4" ht="17.649999999999999" x14ac:dyDescent="0.5">
      <c r="D500" s="3" t="s">
        <v>107</v>
      </c>
    </row>
    <row r="501" spans="4:4" ht="17.649999999999999" x14ac:dyDescent="0.5">
      <c r="D501" s="3" t="s">
        <v>46</v>
      </c>
    </row>
    <row r="502" spans="4:4" ht="17.649999999999999" x14ac:dyDescent="0.5">
      <c r="D502" s="3" t="s">
        <v>112</v>
      </c>
    </row>
    <row r="503" spans="4:4" ht="17.649999999999999" x14ac:dyDescent="0.5">
      <c r="D503" s="3" t="s">
        <v>83</v>
      </c>
    </row>
    <row r="504" spans="4:4" ht="17.649999999999999" x14ac:dyDescent="0.5">
      <c r="D504" s="3" t="s">
        <v>50</v>
      </c>
    </row>
    <row r="505" spans="4:4" ht="17.649999999999999" x14ac:dyDescent="0.5">
      <c r="D505" s="3" t="s">
        <v>107</v>
      </c>
    </row>
    <row r="506" spans="4:4" ht="17.649999999999999" x14ac:dyDescent="0.5">
      <c r="D506" s="3" t="s">
        <v>84</v>
      </c>
    </row>
    <row r="507" spans="4:4" ht="17.649999999999999" x14ac:dyDescent="0.5">
      <c r="D507" s="3" t="s">
        <v>66</v>
      </c>
    </row>
    <row r="508" spans="4:4" ht="17.649999999999999" x14ac:dyDescent="0.5">
      <c r="D508" s="3" t="s">
        <v>70</v>
      </c>
    </row>
    <row r="509" spans="4:4" ht="17.649999999999999" x14ac:dyDescent="0.5">
      <c r="D509" s="3" t="s">
        <v>102</v>
      </c>
    </row>
    <row r="510" spans="4:4" ht="17.649999999999999" x14ac:dyDescent="0.5">
      <c r="D510" s="3" t="s">
        <v>88</v>
      </c>
    </row>
    <row r="511" spans="4:4" ht="17.649999999999999" x14ac:dyDescent="0.5">
      <c r="D511" s="3" t="s">
        <v>64</v>
      </c>
    </row>
    <row r="512" spans="4:4" ht="17.649999999999999" x14ac:dyDescent="0.5">
      <c r="D512" s="3" t="s">
        <v>41</v>
      </c>
    </row>
    <row r="513" spans="4:4" ht="17.649999999999999" x14ac:dyDescent="0.5">
      <c r="D513" s="3" t="s">
        <v>89</v>
      </c>
    </row>
    <row r="514" spans="4:4" ht="17.649999999999999" x14ac:dyDescent="0.5">
      <c r="D514" s="3" t="s">
        <v>110</v>
      </c>
    </row>
    <row r="515" spans="4:4" ht="17.649999999999999" x14ac:dyDescent="0.5">
      <c r="D515" s="3" t="s">
        <v>43</v>
      </c>
    </row>
    <row r="516" spans="4:4" ht="17.649999999999999" x14ac:dyDescent="0.5">
      <c r="D516" s="3" t="s">
        <v>44</v>
      </c>
    </row>
    <row r="517" spans="4:4" ht="17.649999999999999" x14ac:dyDescent="0.5">
      <c r="D517" s="3" t="s">
        <v>120</v>
      </c>
    </row>
    <row r="518" spans="4:4" ht="17.649999999999999" x14ac:dyDescent="0.5">
      <c r="D518" s="3" t="s">
        <v>48</v>
      </c>
    </row>
    <row r="519" spans="4:4" ht="17.649999999999999" x14ac:dyDescent="0.5">
      <c r="D519" s="3" t="s">
        <v>56</v>
      </c>
    </row>
    <row r="520" spans="4:4" ht="17.649999999999999" x14ac:dyDescent="0.5">
      <c r="D520" s="3" t="s">
        <v>53</v>
      </c>
    </row>
    <row r="521" spans="4:4" ht="17.649999999999999" x14ac:dyDescent="0.5">
      <c r="D521" s="3" t="s">
        <v>120</v>
      </c>
    </row>
    <row r="522" spans="4:4" ht="17.649999999999999" x14ac:dyDescent="0.5">
      <c r="D522" s="3" t="s">
        <v>85</v>
      </c>
    </row>
    <row r="523" spans="4:4" ht="17.649999999999999" x14ac:dyDescent="0.5">
      <c r="D523" s="3" t="s">
        <v>134</v>
      </c>
    </row>
    <row r="524" spans="4:4" ht="17.649999999999999" x14ac:dyDescent="0.5">
      <c r="D524" s="3" t="s">
        <v>90</v>
      </c>
    </row>
    <row r="525" spans="4:4" ht="17.649999999999999" x14ac:dyDescent="0.5">
      <c r="D525" s="3" t="s">
        <v>49</v>
      </c>
    </row>
    <row r="526" spans="4:4" ht="17.649999999999999" x14ac:dyDescent="0.5">
      <c r="D526" s="3" t="s">
        <v>66</v>
      </c>
    </row>
    <row r="527" spans="4:4" ht="17.649999999999999" x14ac:dyDescent="0.5">
      <c r="D527" s="3" t="s">
        <v>106</v>
      </c>
    </row>
    <row r="528" spans="4:4" ht="17.649999999999999" x14ac:dyDescent="0.5">
      <c r="D528" s="3" t="s">
        <v>67</v>
      </c>
    </row>
    <row r="529" spans="4:4" ht="17.649999999999999" x14ac:dyDescent="0.5">
      <c r="D529" s="3" t="s">
        <v>47</v>
      </c>
    </row>
    <row r="530" spans="4:4" ht="17.649999999999999" x14ac:dyDescent="0.5">
      <c r="D530" s="3" t="s">
        <v>112</v>
      </c>
    </row>
    <row r="531" spans="4:4" ht="17.649999999999999" x14ac:dyDescent="0.5">
      <c r="D531" s="3" t="s">
        <v>103</v>
      </c>
    </row>
    <row r="532" spans="4:4" ht="17.649999999999999" x14ac:dyDescent="0.5">
      <c r="D532" s="3" t="s">
        <v>84</v>
      </c>
    </row>
    <row r="533" spans="4:4" ht="17.649999999999999" x14ac:dyDescent="0.5">
      <c r="D533" s="3" t="s">
        <v>101</v>
      </c>
    </row>
    <row r="534" spans="4:4" ht="17.649999999999999" x14ac:dyDescent="0.5">
      <c r="D534" s="3" t="s">
        <v>51</v>
      </c>
    </row>
    <row r="535" spans="4:4" ht="17.649999999999999" x14ac:dyDescent="0.5">
      <c r="D535" s="3" t="s">
        <v>80</v>
      </c>
    </row>
    <row r="536" spans="4:4" ht="17.649999999999999" x14ac:dyDescent="0.5">
      <c r="D536" s="3" t="s">
        <v>83</v>
      </c>
    </row>
    <row r="537" spans="4:4" ht="17.649999999999999" x14ac:dyDescent="0.5">
      <c r="D537" s="3" t="s">
        <v>54</v>
      </c>
    </row>
    <row r="538" spans="4:4" ht="17.649999999999999" x14ac:dyDescent="0.5">
      <c r="D538" s="3" t="s">
        <v>109</v>
      </c>
    </row>
    <row r="539" spans="4:4" ht="17.649999999999999" x14ac:dyDescent="0.5">
      <c r="D539" s="3" t="s">
        <v>81</v>
      </c>
    </row>
    <row r="540" spans="4:4" ht="17.649999999999999" x14ac:dyDescent="0.5">
      <c r="D540" s="3" t="s">
        <v>56</v>
      </c>
    </row>
    <row r="541" spans="4:4" ht="17.649999999999999" x14ac:dyDescent="0.5">
      <c r="D541" s="3" t="s">
        <v>50</v>
      </c>
    </row>
    <row r="542" spans="4:4" ht="17.649999999999999" x14ac:dyDescent="0.5">
      <c r="D542" s="3" t="s">
        <v>70</v>
      </c>
    </row>
    <row r="543" spans="4:4" ht="17.649999999999999" x14ac:dyDescent="0.5">
      <c r="D543" s="3" t="s">
        <v>85</v>
      </c>
    </row>
    <row r="544" spans="4:4" ht="17.649999999999999" x14ac:dyDescent="0.5">
      <c r="D544" s="3" t="s">
        <v>96</v>
      </c>
    </row>
    <row r="545" spans="4:4" ht="17.649999999999999" x14ac:dyDescent="0.5">
      <c r="D545" s="3" t="s">
        <v>43</v>
      </c>
    </row>
    <row r="546" spans="4:4" ht="17.649999999999999" x14ac:dyDescent="0.5">
      <c r="D546" s="3" t="s">
        <v>117</v>
      </c>
    </row>
    <row r="547" spans="4:4" ht="17.649999999999999" x14ac:dyDescent="0.5">
      <c r="D547" s="3" t="s">
        <v>108</v>
      </c>
    </row>
    <row r="548" spans="4:4" ht="17.649999999999999" x14ac:dyDescent="0.5">
      <c r="D548" s="3" t="s">
        <v>107</v>
      </c>
    </row>
    <row r="549" spans="4:4" ht="17.649999999999999" x14ac:dyDescent="0.5">
      <c r="D549" s="3" t="s">
        <v>54</v>
      </c>
    </row>
    <row r="550" spans="4:4" ht="17.649999999999999" x14ac:dyDescent="0.5">
      <c r="D550" s="3" t="s">
        <v>41</v>
      </c>
    </row>
    <row r="551" spans="4:4" ht="17.649999999999999" x14ac:dyDescent="0.5">
      <c r="D551" s="3" t="s">
        <v>47</v>
      </c>
    </row>
    <row r="552" spans="4:4" ht="17.649999999999999" x14ac:dyDescent="0.5">
      <c r="D552" s="3" t="s">
        <v>115</v>
      </c>
    </row>
    <row r="553" spans="4:4" ht="17.649999999999999" x14ac:dyDescent="0.5">
      <c r="D553" s="3" t="s">
        <v>88</v>
      </c>
    </row>
    <row r="554" spans="4:4" ht="17.649999999999999" x14ac:dyDescent="0.5">
      <c r="D554" s="3" t="s">
        <v>85</v>
      </c>
    </row>
    <row r="555" spans="4:4" ht="17.649999999999999" x14ac:dyDescent="0.5">
      <c r="D555" s="3" t="s">
        <v>51</v>
      </c>
    </row>
    <row r="556" spans="4:4" ht="17.649999999999999" x14ac:dyDescent="0.5">
      <c r="D556" s="3" t="s">
        <v>78</v>
      </c>
    </row>
    <row r="557" spans="4:4" ht="17.649999999999999" x14ac:dyDescent="0.5">
      <c r="D557" s="3" t="s">
        <v>75</v>
      </c>
    </row>
    <row r="558" spans="4:4" ht="17.649999999999999" x14ac:dyDescent="0.5">
      <c r="D558" s="3" t="s">
        <v>85</v>
      </c>
    </row>
    <row r="559" spans="4:4" ht="17.649999999999999" x14ac:dyDescent="0.5">
      <c r="D559" s="3" t="s">
        <v>117</v>
      </c>
    </row>
    <row r="560" spans="4:4" ht="17.649999999999999" x14ac:dyDescent="0.5">
      <c r="D560" s="3" t="s">
        <v>44</v>
      </c>
    </row>
    <row r="561" spans="4:4" ht="17.649999999999999" x14ac:dyDescent="0.5">
      <c r="D561" s="3" t="s">
        <v>66</v>
      </c>
    </row>
    <row r="562" spans="4:4" ht="17.649999999999999" x14ac:dyDescent="0.5">
      <c r="D562" s="3" t="s">
        <v>108</v>
      </c>
    </row>
    <row r="563" spans="4:4" ht="17.649999999999999" x14ac:dyDescent="0.5">
      <c r="D563" s="3" t="s">
        <v>62</v>
      </c>
    </row>
    <row r="564" spans="4:4" ht="17.649999999999999" x14ac:dyDescent="0.5">
      <c r="D564" s="3" t="s">
        <v>106</v>
      </c>
    </row>
    <row r="565" spans="4:4" ht="17.649999999999999" x14ac:dyDescent="0.5">
      <c r="D565" s="3" t="s">
        <v>107</v>
      </c>
    </row>
    <row r="566" spans="4:4" ht="17.649999999999999" x14ac:dyDescent="0.5">
      <c r="D566" s="3" t="s">
        <v>43</v>
      </c>
    </row>
    <row r="567" spans="4:4" ht="17.649999999999999" x14ac:dyDescent="0.5">
      <c r="D567" s="3" t="s">
        <v>87</v>
      </c>
    </row>
    <row r="568" spans="4:4" ht="17.649999999999999" x14ac:dyDescent="0.5">
      <c r="D568" s="3" t="s">
        <v>100</v>
      </c>
    </row>
    <row r="569" spans="4:4" ht="17.649999999999999" x14ac:dyDescent="0.5">
      <c r="D569" s="3" t="s">
        <v>112</v>
      </c>
    </row>
    <row r="570" spans="4:4" ht="17.649999999999999" x14ac:dyDescent="0.5">
      <c r="D570" s="3" t="s">
        <v>101</v>
      </c>
    </row>
    <row r="571" spans="4:4" ht="17.649999999999999" x14ac:dyDescent="0.5">
      <c r="D571" s="3" t="s">
        <v>49</v>
      </c>
    </row>
    <row r="572" spans="4:4" ht="17.649999999999999" x14ac:dyDescent="0.5">
      <c r="D572" s="3" t="s">
        <v>67</v>
      </c>
    </row>
    <row r="573" spans="4:4" ht="17.649999999999999" x14ac:dyDescent="0.5">
      <c r="D573" s="3" t="s">
        <v>74</v>
      </c>
    </row>
    <row r="574" spans="4:4" ht="17.649999999999999" x14ac:dyDescent="0.5">
      <c r="D574" s="3" t="s">
        <v>63</v>
      </c>
    </row>
    <row r="575" spans="4:4" ht="17.649999999999999" x14ac:dyDescent="0.5">
      <c r="D575" s="3" t="s">
        <v>136</v>
      </c>
    </row>
    <row r="576" spans="4:4" ht="17.649999999999999" x14ac:dyDescent="0.5">
      <c r="D576" s="3" t="s">
        <v>75</v>
      </c>
    </row>
    <row r="577" spans="4:4" ht="17.649999999999999" x14ac:dyDescent="0.5">
      <c r="D577" s="3" t="s">
        <v>130</v>
      </c>
    </row>
    <row r="578" spans="4:4" ht="17.649999999999999" x14ac:dyDescent="0.5">
      <c r="D578" s="3" t="s">
        <v>68</v>
      </c>
    </row>
    <row r="579" spans="4:4" ht="17.649999999999999" x14ac:dyDescent="0.5">
      <c r="D579" s="3" t="s">
        <v>64</v>
      </c>
    </row>
    <row r="580" spans="4:4" ht="17.649999999999999" x14ac:dyDescent="0.5">
      <c r="D580" s="3" t="s">
        <v>59</v>
      </c>
    </row>
    <row r="581" spans="4:4" ht="17.649999999999999" x14ac:dyDescent="0.5">
      <c r="D581" s="3" t="s">
        <v>53</v>
      </c>
    </row>
    <row r="582" spans="4:4" ht="17.649999999999999" x14ac:dyDescent="0.5">
      <c r="D582" s="3" t="s">
        <v>103</v>
      </c>
    </row>
    <row r="583" spans="4:4" ht="17.649999999999999" x14ac:dyDescent="0.5">
      <c r="D583" s="3" t="s">
        <v>84</v>
      </c>
    </row>
    <row r="584" spans="4:4" ht="17.649999999999999" x14ac:dyDescent="0.5">
      <c r="D584" s="3" t="s">
        <v>106</v>
      </c>
    </row>
    <row r="585" spans="4:4" ht="17.649999999999999" x14ac:dyDescent="0.5">
      <c r="D585" s="3" t="s">
        <v>52</v>
      </c>
    </row>
    <row r="586" spans="4:4" ht="17.649999999999999" x14ac:dyDescent="0.5">
      <c r="D586" s="3" t="s">
        <v>110</v>
      </c>
    </row>
    <row r="587" spans="4:4" ht="17.649999999999999" x14ac:dyDescent="0.5">
      <c r="D587" s="3" t="s">
        <v>55</v>
      </c>
    </row>
    <row r="588" spans="4:4" ht="17.649999999999999" x14ac:dyDescent="0.5">
      <c r="D588" s="3" t="s">
        <v>117</v>
      </c>
    </row>
    <row r="589" spans="4:4" ht="17.649999999999999" x14ac:dyDescent="0.5">
      <c r="D589" s="3" t="s">
        <v>111</v>
      </c>
    </row>
    <row r="590" spans="4:4" ht="17.649999999999999" x14ac:dyDescent="0.5">
      <c r="D590" s="3" t="s">
        <v>59</v>
      </c>
    </row>
    <row r="591" spans="4:4" ht="17.649999999999999" x14ac:dyDescent="0.5">
      <c r="D591" s="3" t="s">
        <v>63</v>
      </c>
    </row>
    <row r="592" spans="4:4" ht="17.649999999999999" x14ac:dyDescent="0.5">
      <c r="D592" s="3" t="s">
        <v>112</v>
      </c>
    </row>
    <row r="593" spans="4:4" ht="17.649999999999999" x14ac:dyDescent="0.5">
      <c r="D593" s="3" t="s">
        <v>87</v>
      </c>
    </row>
    <row r="594" spans="4:4" ht="17.649999999999999" x14ac:dyDescent="0.5">
      <c r="D594" s="3" t="s">
        <v>92</v>
      </c>
    </row>
    <row r="595" spans="4:4" ht="17.649999999999999" x14ac:dyDescent="0.5">
      <c r="D595" s="3" t="s">
        <v>112</v>
      </c>
    </row>
    <row r="596" spans="4:4" ht="17.649999999999999" x14ac:dyDescent="0.5">
      <c r="D596" s="3" t="s">
        <v>80</v>
      </c>
    </row>
    <row r="597" spans="4:4" ht="17.649999999999999" x14ac:dyDescent="0.5">
      <c r="D597" s="3" t="s">
        <v>131</v>
      </c>
    </row>
    <row r="598" spans="4:4" ht="17.649999999999999" x14ac:dyDescent="0.5">
      <c r="D598" s="3" t="s">
        <v>84</v>
      </c>
    </row>
    <row r="599" spans="4:4" ht="17.649999999999999" x14ac:dyDescent="0.5">
      <c r="D599" s="3" t="s">
        <v>82</v>
      </c>
    </row>
    <row r="600" spans="4:4" ht="17.649999999999999" x14ac:dyDescent="0.5">
      <c r="D600" s="3" t="s">
        <v>103</v>
      </c>
    </row>
    <row r="601" spans="4:4" ht="17.649999999999999" x14ac:dyDescent="0.5">
      <c r="D601" s="3" t="s">
        <v>88</v>
      </c>
    </row>
    <row r="602" spans="4:4" ht="17.649999999999999" x14ac:dyDescent="0.5">
      <c r="D602" s="3" t="s">
        <v>41</v>
      </c>
    </row>
    <row r="603" spans="4:4" ht="17.649999999999999" x14ac:dyDescent="0.5">
      <c r="D603" s="3" t="s">
        <v>71</v>
      </c>
    </row>
    <row r="604" spans="4:4" ht="17.649999999999999" x14ac:dyDescent="0.5">
      <c r="D604" s="3" t="s">
        <v>98</v>
      </c>
    </row>
    <row r="605" spans="4:4" ht="17.649999999999999" x14ac:dyDescent="0.5">
      <c r="D605" s="3" t="s">
        <v>115</v>
      </c>
    </row>
    <row r="606" spans="4:4" ht="17.649999999999999" x14ac:dyDescent="0.5">
      <c r="D606" s="3" t="s">
        <v>68</v>
      </c>
    </row>
    <row r="607" spans="4:4" ht="17.649999999999999" x14ac:dyDescent="0.5">
      <c r="D607" s="3" t="s">
        <v>69</v>
      </c>
    </row>
    <row r="608" spans="4:4" ht="17.649999999999999" x14ac:dyDescent="0.5">
      <c r="D608" s="3" t="s">
        <v>64</v>
      </c>
    </row>
    <row r="609" spans="4:4" ht="17.649999999999999" x14ac:dyDescent="0.5">
      <c r="D609" s="3" t="s">
        <v>51</v>
      </c>
    </row>
    <row r="610" spans="4:4" ht="17.649999999999999" x14ac:dyDescent="0.5">
      <c r="D610" s="3" t="s">
        <v>52</v>
      </c>
    </row>
    <row r="611" spans="4:4" ht="17.649999999999999" x14ac:dyDescent="0.5">
      <c r="D611" s="3" t="s">
        <v>51</v>
      </c>
    </row>
    <row r="612" spans="4:4" ht="17.649999999999999" x14ac:dyDescent="0.5">
      <c r="D612" s="3" t="s">
        <v>117</v>
      </c>
    </row>
    <row r="613" spans="4:4" ht="17.649999999999999" x14ac:dyDescent="0.5">
      <c r="D613" s="3" t="s">
        <v>54</v>
      </c>
    </row>
    <row r="614" spans="4:4" ht="17.649999999999999" x14ac:dyDescent="0.5">
      <c r="D614" s="3" t="s">
        <v>85</v>
      </c>
    </row>
    <row r="615" spans="4:4" ht="17.649999999999999" x14ac:dyDescent="0.5">
      <c r="D615" s="3" t="s">
        <v>46</v>
      </c>
    </row>
    <row r="616" spans="4:4" ht="17.649999999999999" x14ac:dyDescent="0.5">
      <c r="D616" s="3" t="s">
        <v>54</v>
      </c>
    </row>
    <row r="617" spans="4:4" ht="17.649999999999999" x14ac:dyDescent="0.5">
      <c r="D617" s="3" t="s">
        <v>41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50</v>
      </c>
    </row>
    <row r="620" spans="4:4" ht="17.649999999999999" x14ac:dyDescent="0.5">
      <c r="D620" s="3" t="s">
        <v>65</v>
      </c>
    </row>
    <row r="621" spans="4:4" ht="17.649999999999999" x14ac:dyDescent="0.5">
      <c r="D621" s="3" t="s">
        <v>55</v>
      </c>
    </row>
    <row r="622" spans="4:4" ht="17.649999999999999" x14ac:dyDescent="0.5">
      <c r="D622" s="3" t="s">
        <v>87</v>
      </c>
    </row>
    <row r="623" spans="4:4" ht="17.649999999999999" x14ac:dyDescent="0.5">
      <c r="D623" s="3" t="s">
        <v>126</v>
      </c>
    </row>
    <row r="624" spans="4:4" ht="17.649999999999999" x14ac:dyDescent="0.5">
      <c r="D624" s="3" t="s">
        <v>85</v>
      </c>
    </row>
    <row r="625" spans="4:4" ht="17.649999999999999" x14ac:dyDescent="0.5">
      <c r="D625" s="3" t="s">
        <v>63</v>
      </c>
    </row>
    <row r="626" spans="4:4" ht="17.649999999999999" x14ac:dyDescent="0.5">
      <c r="D626" s="3" t="s">
        <v>78</v>
      </c>
    </row>
    <row r="627" spans="4:4" ht="17.649999999999999" x14ac:dyDescent="0.5">
      <c r="D627" s="3" t="s">
        <v>98</v>
      </c>
    </row>
    <row r="628" spans="4:4" ht="17.649999999999999" x14ac:dyDescent="0.5">
      <c r="D628" s="3" t="s">
        <v>79</v>
      </c>
    </row>
    <row r="629" spans="4:4" ht="17.649999999999999" x14ac:dyDescent="0.5">
      <c r="D629" s="3" t="s">
        <v>55</v>
      </c>
    </row>
    <row r="630" spans="4:4" ht="17.649999999999999" x14ac:dyDescent="0.5">
      <c r="D630" s="3" t="s">
        <v>112</v>
      </c>
    </row>
    <row r="631" spans="4:4" ht="17.649999999999999" x14ac:dyDescent="0.5">
      <c r="D631" s="3" t="s">
        <v>129</v>
      </c>
    </row>
    <row r="632" spans="4:4" ht="17.649999999999999" x14ac:dyDescent="0.5">
      <c r="D632" s="3" t="s">
        <v>90</v>
      </c>
    </row>
    <row r="633" spans="4:4" ht="17.649999999999999" x14ac:dyDescent="0.5">
      <c r="D633" s="3" t="s">
        <v>91</v>
      </c>
    </row>
    <row r="634" spans="4:4" ht="17.649999999999999" x14ac:dyDescent="0.5">
      <c r="D634" s="3" t="s">
        <v>56</v>
      </c>
    </row>
    <row r="635" spans="4:4" ht="17.649999999999999" x14ac:dyDescent="0.5">
      <c r="D635" s="3" t="s">
        <v>98</v>
      </c>
    </row>
    <row r="636" spans="4:4" ht="17.649999999999999" x14ac:dyDescent="0.5">
      <c r="D636" s="3" t="s">
        <v>135</v>
      </c>
    </row>
    <row r="637" spans="4:4" ht="17.649999999999999" x14ac:dyDescent="0.5">
      <c r="D637" s="3" t="s">
        <v>73</v>
      </c>
    </row>
    <row r="638" spans="4:4" ht="17.649999999999999" x14ac:dyDescent="0.5">
      <c r="D638" s="3" t="s">
        <v>92</v>
      </c>
    </row>
    <row r="639" spans="4:4" ht="17.649999999999999" x14ac:dyDescent="0.5">
      <c r="D639" s="3" t="s">
        <v>115</v>
      </c>
    </row>
    <row r="640" spans="4:4" ht="17.649999999999999" x14ac:dyDescent="0.5">
      <c r="D640" s="3" t="s">
        <v>94</v>
      </c>
    </row>
    <row r="641" spans="4:4" ht="17.649999999999999" x14ac:dyDescent="0.5">
      <c r="D641" s="3" t="s">
        <v>123</v>
      </c>
    </row>
    <row r="642" spans="4:4" ht="17.649999999999999" x14ac:dyDescent="0.5">
      <c r="D642" s="3" t="s">
        <v>89</v>
      </c>
    </row>
    <row r="643" spans="4:4" ht="17.649999999999999" x14ac:dyDescent="0.5">
      <c r="D643" s="3" t="s">
        <v>78</v>
      </c>
    </row>
    <row r="644" spans="4:4" ht="17.649999999999999" x14ac:dyDescent="0.5">
      <c r="D644" s="3" t="s">
        <v>77</v>
      </c>
    </row>
    <row r="645" spans="4:4" ht="17.649999999999999" x14ac:dyDescent="0.5">
      <c r="D645" s="3" t="s">
        <v>68</v>
      </c>
    </row>
    <row r="646" spans="4:4" ht="17.649999999999999" x14ac:dyDescent="0.5">
      <c r="D646" s="3" t="s">
        <v>42</v>
      </c>
    </row>
    <row r="647" spans="4:4" ht="17.649999999999999" x14ac:dyDescent="0.5">
      <c r="D647" s="3" t="s">
        <v>66</v>
      </c>
    </row>
    <row r="648" spans="4:4" ht="17.649999999999999" x14ac:dyDescent="0.5">
      <c r="D648" s="3" t="s">
        <v>107</v>
      </c>
    </row>
    <row r="649" spans="4:4" ht="17.649999999999999" x14ac:dyDescent="0.5">
      <c r="D649" s="3" t="s">
        <v>57</v>
      </c>
    </row>
    <row r="650" spans="4:4" ht="17.649999999999999" x14ac:dyDescent="0.5">
      <c r="D650" s="3" t="s">
        <v>108</v>
      </c>
    </row>
    <row r="651" spans="4:4" ht="17.649999999999999" x14ac:dyDescent="0.5">
      <c r="D651" s="3" t="s">
        <v>46</v>
      </c>
    </row>
    <row r="652" spans="4:4" ht="17.649999999999999" x14ac:dyDescent="0.5">
      <c r="D652" s="3" t="s">
        <v>47</v>
      </c>
    </row>
    <row r="653" spans="4:4" ht="17.649999999999999" x14ac:dyDescent="0.5">
      <c r="D653" s="3" t="s">
        <v>100</v>
      </c>
    </row>
    <row r="654" spans="4:4" ht="17.649999999999999" x14ac:dyDescent="0.5">
      <c r="D654" s="3" t="s">
        <v>54</v>
      </c>
    </row>
    <row r="655" spans="4:4" ht="17.649999999999999" x14ac:dyDescent="0.5">
      <c r="D655" s="3" t="s">
        <v>43</v>
      </c>
    </row>
    <row r="656" spans="4:4" ht="17.649999999999999" x14ac:dyDescent="0.5">
      <c r="D656" s="3" t="s">
        <v>135</v>
      </c>
    </row>
    <row r="657" spans="4:4" ht="17.649999999999999" x14ac:dyDescent="0.5">
      <c r="D657" s="3" t="s">
        <v>109</v>
      </c>
    </row>
    <row r="658" spans="4:4" ht="17.649999999999999" x14ac:dyDescent="0.5">
      <c r="D658" s="3" t="s">
        <v>92</v>
      </c>
    </row>
    <row r="659" spans="4:4" ht="17.649999999999999" x14ac:dyDescent="0.5">
      <c r="D659" s="3" t="s">
        <v>126</v>
      </c>
    </row>
    <row r="660" spans="4:4" ht="17.649999999999999" x14ac:dyDescent="0.5">
      <c r="D660" s="3" t="s">
        <v>94</v>
      </c>
    </row>
    <row r="661" spans="4:4" ht="17.649999999999999" x14ac:dyDescent="0.5">
      <c r="D661" s="3" t="s">
        <v>66</v>
      </c>
    </row>
    <row r="662" spans="4:4" ht="17.649999999999999" x14ac:dyDescent="0.5">
      <c r="D662" s="3" t="s">
        <v>101</v>
      </c>
    </row>
    <row r="663" spans="4:4" ht="17.649999999999999" x14ac:dyDescent="0.5">
      <c r="D663" s="3" t="s">
        <v>89</v>
      </c>
    </row>
    <row r="664" spans="4:4" ht="17.649999999999999" x14ac:dyDescent="0.5">
      <c r="D664" s="3" t="s">
        <v>57</v>
      </c>
    </row>
    <row r="665" spans="4:4" ht="17.649999999999999" x14ac:dyDescent="0.5">
      <c r="D665" s="3" t="s">
        <v>48</v>
      </c>
    </row>
    <row r="666" spans="4:4" ht="17.649999999999999" x14ac:dyDescent="0.5">
      <c r="D666" s="3" t="s">
        <v>50</v>
      </c>
    </row>
    <row r="667" spans="4:4" ht="17.649999999999999" x14ac:dyDescent="0.5">
      <c r="D667" s="3" t="s">
        <v>66</v>
      </c>
    </row>
    <row r="668" spans="4:4" ht="17.649999999999999" x14ac:dyDescent="0.5">
      <c r="D668" s="3" t="s">
        <v>75</v>
      </c>
    </row>
    <row r="669" spans="4:4" ht="17.649999999999999" x14ac:dyDescent="0.5">
      <c r="D669" s="3" t="s">
        <v>110</v>
      </c>
    </row>
    <row r="670" spans="4:4" ht="17.649999999999999" x14ac:dyDescent="0.5">
      <c r="D670" s="3" t="s">
        <v>118</v>
      </c>
    </row>
    <row r="671" spans="4:4" ht="17.649999999999999" x14ac:dyDescent="0.5">
      <c r="D671" s="3" t="s">
        <v>92</v>
      </c>
    </row>
    <row r="672" spans="4:4" ht="17.649999999999999" x14ac:dyDescent="0.5">
      <c r="D672" s="3" t="s">
        <v>84</v>
      </c>
    </row>
    <row r="673" spans="4:4" ht="17.649999999999999" x14ac:dyDescent="0.5">
      <c r="D673" s="3" t="s">
        <v>78</v>
      </c>
    </row>
    <row r="674" spans="4:4" ht="17.649999999999999" x14ac:dyDescent="0.5">
      <c r="D674" s="3" t="s">
        <v>51</v>
      </c>
    </row>
    <row r="675" spans="4:4" ht="17.649999999999999" x14ac:dyDescent="0.5">
      <c r="D675" s="3" t="s">
        <v>112</v>
      </c>
    </row>
    <row r="676" spans="4:4" ht="17.649999999999999" x14ac:dyDescent="0.5">
      <c r="D676" s="3" t="s">
        <v>111</v>
      </c>
    </row>
    <row r="677" spans="4:4" ht="17.649999999999999" x14ac:dyDescent="0.5">
      <c r="D677" s="3" t="s">
        <v>77</v>
      </c>
    </row>
    <row r="678" spans="4:4" ht="17.649999999999999" x14ac:dyDescent="0.5">
      <c r="D678" s="3" t="s">
        <v>68</v>
      </c>
    </row>
    <row r="679" spans="4:4" ht="17.649999999999999" x14ac:dyDescent="0.5">
      <c r="D679" s="3" t="s">
        <v>52</v>
      </c>
    </row>
    <row r="680" spans="4:4" ht="17.649999999999999" x14ac:dyDescent="0.5">
      <c r="D680" s="3" t="s">
        <v>49</v>
      </c>
    </row>
    <row r="681" spans="4:4" ht="17.649999999999999" x14ac:dyDescent="0.5">
      <c r="D681" s="3" t="s">
        <v>73</v>
      </c>
    </row>
    <row r="682" spans="4:4" ht="17.649999999999999" x14ac:dyDescent="0.5">
      <c r="D682" s="3" t="s">
        <v>103</v>
      </c>
    </row>
    <row r="683" spans="4:4" ht="17.649999999999999" x14ac:dyDescent="0.5">
      <c r="D683" s="3" t="s">
        <v>90</v>
      </c>
    </row>
    <row r="684" spans="4:4" ht="17.649999999999999" x14ac:dyDescent="0.5">
      <c r="D684" s="3" t="s">
        <v>83</v>
      </c>
    </row>
    <row r="685" spans="4:4" ht="17.649999999999999" x14ac:dyDescent="0.5">
      <c r="D685" s="3" t="s">
        <v>91</v>
      </c>
    </row>
    <row r="686" spans="4:4" ht="17.649999999999999" x14ac:dyDescent="0.5">
      <c r="D686" s="3" t="s">
        <v>135</v>
      </c>
    </row>
    <row r="687" spans="4:4" ht="17.649999999999999" x14ac:dyDescent="0.5">
      <c r="D687" s="3" t="s">
        <v>47</v>
      </c>
    </row>
    <row r="688" spans="4:4" ht="17.649999999999999" x14ac:dyDescent="0.5">
      <c r="D688" s="3" t="s">
        <v>43</v>
      </c>
    </row>
    <row r="689" spans="4:4" ht="17.649999999999999" x14ac:dyDescent="0.5">
      <c r="D689" s="3" t="s">
        <v>84</v>
      </c>
    </row>
    <row r="690" spans="4:4" ht="17.649999999999999" x14ac:dyDescent="0.5">
      <c r="D690" s="3" t="s">
        <v>108</v>
      </c>
    </row>
    <row r="691" spans="4:4" ht="17.649999999999999" x14ac:dyDescent="0.5">
      <c r="D691" s="3" t="s">
        <v>101</v>
      </c>
    </row>
    <row r="692" spans="4:4" ht="17.649999999999999" x14ac:dyDescent="0.5">
      <c r="D692" s="3" t="s">
        <v>112</v>
      </c>
    </row>
    <row r="693" spans="4:4" ht="17.649999999999999" x14ac:dyDescent="0.5">
      <c r="D693" s="3" t="s">
        <v>131</v>
      </c>
    </row>
    <row r="694" spans="4:4" ht="17.649999999999999" x14ac:dyDescent="0.5">
      <c r="D694" s="3" t="s">
        <v>73</v>
      </c>
    </row>
    <row r="695" spans="4:4" ht="17.649999999999999" x14ac:dyDescent="0.5">
      <c r="D695" s="3" t="s">
        <v>91</v>
      </c>
    </row>
    <row r="696" spans="4:4" ht="17.649999999999999" x14ac:dyDescent="0.5">
      <c r="D696" s="3" t="s">
        <v>65</v>
      </c>
    </row>
    <row r="697" spans="4:4" ht="17.649999999999999" x14ac:dyDescent="0.5">
      <c r="D697" s="3" t="s">
        <v>77</v>
      </c>
    </row>
    <row r="698" spans="4:4" ht="17.649999999999999" x14ac:dyDescent="0.5">
      <c r="D698" s="3" t="s">
        <v>90</v>
      </c>
    </row>
    <row r="699" spans="4:4" ht="17.649999999999999" x14ac:dyDescent="0.5">
      <c r="D699" s="3" t="s">
        <v>57</v>
      </c>
    </row>
    <row r="700" spans="4:4" ht="17.649999999999999" x14ac:dyDescent="0.5">
      <c r="D700" s="3" t="s">
        <v>136</v>
      </c>
    </row>
    <row r="701" spans="4:4" ht="17.649999999999999" x14ac:dyDescent="0.5">
      <c r="D701" s="3" t="s">
        <v>91</v>
      </c>
    </row>
    <row r="702" spans="4:4" ht="17.649999999999999" x14ac:dyDescent="0.5">
      <c r="D702" s="3" t="s">
        <v>135</v>
      </c>
    </row>
    <row r="703" spans="4:4" ht="17.649999999999999" x14ac:dyDescent="0.5">
      <c r="D703" s="3" t="s">
        <v>78</v>
      </c>
    </row>
    <row r="704" spans="4:4" ht="17.649999999999999" x14ac:dyDescent="0.5">
      <c r="D704" s="3" t="s">
        <v>48</v>
      </c>
    </row>
    <row r="705" spans="4:4" ht="17.649999999999999" x14ac:dyDescent="0.5">
      <c r="D705" s="3" t="s">
        <v>64</v>
      </c>
    </row>
    <row r="706" spans="4:4" ht="17.649999999999999" x14ac:dyDescent="0.5">
      <c r="D706" s="3" t="s">
        <v>114</v>
      </c>
    </row>
    <row r="707" spans="4:4" ht="17.649999999999999" x14ac:dyDescent="0.5">
      <c r="D707" s="3" t="s">
        <v>117</v>
      </c>
    </row>
    <row r="708" spans="4:4" ht="17.649999999999999" x14ac:dyDescent="0.5">
      <c r="D708" s="3" t="s">
        <v>125</v>
      </c>
    </row>
    <row r="709" spans="4:4" ht="17.649999999999999" x14ac:dyDescent="0.5">
      <c r="D709" s="3" t="s">
        <v>74</v>
      </c>
    </row>
    <row r="710" spans="4:4" ht="17.649999999999999" x14ac:dyDescent="0.5">
      <c r="D710" s="3" t="s">
        <v>71</v>
      </c>
    </row>
    <row r="711" spans="4:4" ht="17.649999999999999" x14ac:dyDescent="0.5">
      <c r="D711" s="3" t="s">
        <v>105</v>
      </c>
    </row>
    <row r="712" spans="4:4" ht="17.649999999999999" x14ac:dyDescent="0.5">
      <c r="D712" s="3" t="s">
        <v>78</v>
      </c>
    </row>
    <row r="713" spans="4:4" ht="17.649999999999999" x14ac:dyDescent="0.5">
      <c r="D713" s="3" t="s">
        <v>63</v>
      </c>
    </row>
    <row r="714" spans="4:4" ht="17.649999999999999" x14ac:dyDescent="0.5">
      <c r="D714" s="3" t="s">
        <v>82</v>
      </c>
    </row>
    <row r="715" spans="4:4" ht="17.649999999999999" x14ac:dyDescent="0.5">
      <c r="D715" s="3" t="s">
        <v>66</v>
      </c>
    </row>
    <row r="716" spans="4:4" ht="17.649999999999999" x14ac:dyDescent="0.5">
      <c r="D716" s="3" t="s">
        <v>80</v>
      </c>
    </row>
    <row r="717" spans="4:4" ht="17.649999999999999" x14ac:dyDescent="0.5">
      <c r="D717" s="3" t="s">
        <v>121</v>
      </c>
    </row>
    <row r="718" spans="4:4" ht="17.649999999999999" x14ac:dyDescent="0.5">
      <c r="D718" s="3" t="s">
        <v>79</v>
      </c>
    </row>
    <row r="719" spans="4:4" ht="17.649999999999999" x14ac:dyDescent="0.5">
      <c r="D719" s="3" t="s">
        <v>78</v>
      </c>
    </row>
    <row r="720" spans="4:4" ht="17.649999999999999" x14ac:dyDescent="0.5">
      <c r="D720" s="3" t="s">
        <v>52</v>
      </c>
    </row>
    <row r="721" spans="4:4" ht="17.649999999999999" x14ac:dyDescent="0.5">
      <c r="D721" s="3" t="s">
        <v>90</v>
      </c>
    </row>
    <row r="722" spans="4:4" ht="17.649999999999999" x14ac:dyDescent="0.5">
      <c r="D722" s="3" t="s">
        <v>96</v>
      </c>
    </row>
    <row r="723" spans="4:4" ht="17.649999999999999" x14ac:dyDescent="0.5">
      <c r="D723" s="3" t="s">
        <v>77</v>
      </c>
    </row>
    <row r="724" spans="4:4" ht="17.649999999999999" x14ac:dyDescent="0.5">
      <c r="D724" s="3" t="s">
        <v>78</v>
      </c>
    </row>
    <row r="725" spans="4:4" ht="17.649999999999999" x14ac:dyDescent="0.5">
      <c r="D725" s="3" t="s">
        <v>129</v>
      </c>
    </row>
    <row r="726" spans="4:4" ht="17.649999999999999" x14ac:dyDescent="0.5">
      <c r="D726" s="3" t="s">
        <v>112</v>
      </c>
    </row>
    <row r="727" spans="4:4" ht="17.649999999999999" x14ac:dyDescent="0.5">
      <c r="D727" s="3" t="s">
        <v>80</v>
      </c>
    </row>
    <row r="728" spans="4:4" ht="17.649999999999999" x14ac:dyDescent="0.5">
      <c r="D728" s="3" t="s">
        <v>59</v>
      </c>
    </row>
    <row r="729" spans="4:4" ht="17.649999999999999" x14ac:dyDescent="0.5">
      <c r="D729" s="3" t="s">
        <v>134</v>
      </c>
    </row>
    <row r="730" spans="4:4" ht="17.649999999999999" x14ac:dyDescent="0.5">
      <c r="D730" s="3" t="s">
        <v>61</v>
      </c>
    </row>
    <row r="731" spans="4:4" ht="17.649999999999999" x14ac:dyDescent="0.5">
      <c r="D731" s="3" t="s">
        <v>66</v>
      </c>
    </row>
    <row r="732" spans="4:4" ht="17.649999999999999" x14ac:dyDescent="0.5">
      <c r="D732" s="3" t="s">
        <v>53</v>
      </c>
    </row>
    <row r="733" spans="4:4" ht="17.649999999999999" x14ac:dyDescent="0.5">
      <c r="D733" s="3" t="s">
        <v>80</v>
      </c>
    </row>
    <row r="734" spans="4:4" ht="17.649999999999999" x14ac:dyDescent="0.5">
      <c r="D734" s="3" t="s">
        <v>65</v>
      </c>
    </row>
    <row r="735" spans="4:4" ht="17.649999999999999" x14ac:dyDescent="0.5">
      <c r="D735" s="3" t="s">
        <v>115</v>
      </c>
    </row>
    <row r="736" spans="4:4" ht="17.649999999999999" x14ac:dyDescent="0.5">
      <c r="D736" s="3" t="s">
        <v>125</v>
      </c>
    </row>
    <row r="737" spans="4:4" ht="17.649999999999999" x14ac:dyDescent="0.5">
      <c r="D737" s="3" t="s">
        <v>120</v>
      </c>
    </row>
    <row r="738" spans="4:4" ht="17.649999999999999" x14ac:dyDescent="0.5">
      <c r="D738" s="3" t="s">
        <v>74</v>
      </c>
    </row>
    <row r="739" spans="4:4" ht="17.649999999999999" x14ac:dyDescent="0.5">
      <c r="D739" s="3" t="s">
        <v>102</v>
      </c>
    </row>
    <row r="740" spans="4:4" ht="17.649999999999999" x14ac:dyDescent="0.5">
      <c r="D740" s="3" t="s">
        <v>41</v>
      </c>
    </row>
    <row r="741" spans="4:4" ht="17.649999999999999" x14ac:dyDescent="0.5">
      <c r="D741" s="3" t="s">
        <v>47</v>
      </c>
    </row>
    <row r="742" spans="4:4" ht="17.649999999999999" x14ac:dyDescent="0.5">
      <c r="D742" s="3" t="s">
        <v>81</v>
      </c>
    </row>
    <row r="743" spans="4:4" ht="17.649999999999999" x14ac:dyDescent="0.5">
      <c r="D743" s="3" t="s">
        <v>46</v>
      </c>
    </row>
    <row r="744" spans="4:4" ht="17.649999999999999" x14ac:dyDescent="0.5">
      <c r="D744" s="3" t="s">
        <v>49</v>
      </c>
    </row>
    <row r="745" spans="4:4" ht="17.649999999999999" x14ac:dyDescent="0.5">
      <c r="D745" s="3" t="s">
        <v>88</v>
      </c>
    </row>
    <row r="746" spans="4:4" ht="17.649999999999999" x14ac:dyDescent="0.5">
      <c r="D746" s="3" t="s">
        <v>56</v>
      </c>
    </row>
    <row r="747" spans="4:4" ht="17.649999999999999" x14ac:dyDescent="0.5">
      <c r="D747" s="3" t="s">
        <v>101</v>
      </c>
    </row>
    <row r="748" spans="4:4" ht="17.649999999999999" x14ac:dyDescent="0.5">
      <c r="D748" s="3" t="s">
        <v>103</v>
      </c>
    </row>
    <row r="749" spans="4:4" ht="17.649999999999999" x14ac:dyDescent="0.5">
      <c r="D749" s="3" t="s">
        <v>48</v>
      </c>
    </row>
    <row r="750" spans="4:4" ht="17.649999999999999" x14ac:dyDescent="0.5">
      <c r="D750" s="3" t="s">
        <v>69</v>
      </c>
    </row>
    <row r="751" spans="4:4" ht="17.649999999999999" x14ac:dyDescent="0.5">
      <c r="D751" s="3" t="s">
        <v>53</v>
      </c>
    </row>
    <row r="752" spans="4:4" ht="17.649999999999999" x14ac:dyDescent="0.5">
      <c r="D752" s="3" t="s">
        <v>57</v>
      </c>
    </row>
    <row r="753" spans="4:4" ht="17.649999999999999" x14ac:dyDescent="0.5">
      <c r="D753" s="3" t="s">
        <v>117</v>
      </c>
    </row>
    <row r="754" spans="4:4" ht="17.649999999999999" x14ac:dyDescent="0.5">
      <c r="D754" s="3" t="s">
        <v>64</v>
      </c>
    </row>
    <row r="755" spans="4:4" ht="17.649999999999999" x14ac:dyDescent="0.5">
      <c r="D755" s="3" t="s">
        <v>101</v>
      </c>
    </row>
    <row r="756" spans="4:4" ht="17.649999999999999" x14ac:dyDescent="0.5">
      <c r="D756" s="3" t="s">
        <v>54</v>
      </c>
    </row>
    <row r="757" spans="4:4" ht="17.649999999999999" x14ac:dyDescent="0.5">
      <c r="D757" s="3" t="s">
        <v>110</v>
      </c>
    </row>
    <row r="758" spans="4:4" ht="17.649999999999999" x14ac:dyDescent="0.5">
      <c r="D758" s="3" t="s">
        <v>63</v>
      </c>
    </row>
    <row r="759" spans="4:4" ht="17.649999999999999" x14ac:dyDescent="0.5">
      <c r="D759" s="3" t="s">
        <v>59</v>
      </c>
    </row>
    <row r="760" spans="4:4" ht="17.649999999999999" x14ac:dyDescent="0.5">
      <c r="D760" s="3" t="s">
        <v>49</v>
      </c>
    </row>
    <row r="761" spans="4:4" ht="17.649999999999999" x14ac:dyDescent="0.5">
      <c r="D761" s="3" t="s">
        <v>65</v>
      </c>
    </row>
    <row r="762" spans="4:4" ht="17.649999999999999" x14ac:dyDescent="0.5">
      <c r="D762" s="3" t="s">
        <v>96</v>
      </c>
    </row>
    <row r="763" spans="4:4" ht="17.649999999999999" x14ac:dyDescent="0.5">
      <c r="D763" s="3" t="s">
        <v>105</v>
      </c>
    </row>
    <row r="764" spans="4:4" ht="17.649999999999999" x14ac:dyDescent="0.5">
      <c r="D764" s="3" t="s">
        <v>94</v>
      </c>
    </row>
    <row r="765" spans="4:4" ht="17.649999999999999" x14ac:dyDescent="0.5">
      <c r="D765" s="3" t="s">
        <v>85</v>
      </c>
    </row>
    <row r="766" spans="4:4" ht="17.649999999999999" x14ac:dyDescent="0.5">
      <c r="D766" s="3" t="s">
        <v>43</v>
      </c>
    </row>
    <row r="767" spans="4:4" ht="17.649999999999999" x14ac:dyDescent="0.5">
      <c r="D767" s="3" t="s">
        <v>75</v>
      </c>
    </row>
    <row r="768" spans="4:4" ht="17.649999999999999" x14ac:dyDescent="0.5">
      <c r="D768" s="3" t="s">
        <v>122</v>
      </c>
    </row>
    <row r="769" spans="4:4" ht="17.649999999999999" x14ac:dyDescent="0.5">
      <c r="D769" s="3" t="s">
        <v>101</v>
      </c>
    </row>
    <row r="770" spans="4:4" ht="17.649999999999999" x14ac:dyDescent="0.5">
      <c r="D770" s="3" t="s">
        <v>84</v>
      </c>
    </row>
    <row r="771" spans="4:4" ht="17.649999999999999" x14ac:dyDescent="0.5">
      <c r="D771" s="3" t="s">
        <v>108</v>
      </c>
    </row>
    <row r="772" spans="4:4" ht="17.649999999999999" x14ac:dyDescent="0.5">
      <c r="D772" s="3" t="s">
        <v>114</v>
      </c>
    </row>
    <row r="773" spans="4:4" ht="17.649999999999999" x14ac:dyDescent="0.5">
      <c r="D773" s="3" t="s">
        <v>89</v>
      </c>
    </row>
    <row r="774" spans="4:4" ht="17.649999999999999" x14ac:dyDescent="0.5">
      <c r="D774" s="3" t="s">
        <v>49</v>
      </c>
    </row>
    <row r="775" spans="4:4" ht="17.649999999999999" x14ac:dyDescent="0.5">
      <c r="D775" s="3" t="s">
        <v>68</v>
      </c>
    </row>
    <row r="776" spans="4:4" ht="17.649999999999999" x14ac:dyDescent="0.5">
      <c r="D776" s="3" t="s">
        <v>74</v>
      </c>
    </row>
    <row r="777" spans="4:4" ht="17.649999999999999" x14ac:dyDescent="0.5">
      <c r="D777" s="3" t="s">
        <v>82</v>
      </c>
    </row>
    <row r="778" spans="4:4" ht="17.649999999999999" x14ac:dyDescent="0.5">
      <c r="D778" s="3" t="s">
        <v>115</v>
      </c>
    </row>
    <row r="779" spans="4:4" ht="17.649999999999999" x14ac:dyDescent="0.5">
      <c r="D779" s="3" t="s">
        <v>85</v>
      </c>
    </row>
    <row r="780" spans="4:4" ht="17.649999999999999" x14ac:dyDescent="0.5">
      <c r="D780" s="3" t="s">
        <v>98</v>
      </c>
    </row>
    <row r="781" spans="4:4" ht="17.649999999999999" x14ac:dyDescent="0.5">
      <c r="D781" s="3" t="s">
        <v>83</v>
      </c>
    </row>
    <row r="782" spans="4:4" ht="17.649999999999999" x14ac:dyDescent="0.5">
      <c r="D782" s="3" t="s">
        <v>50</v>
      </c>
    </row>
    <row r="783" spans="4:4" ht="17.649999999999999" x14ac:dyDescent="0.5">
      <c r="D783" s="3" t="s">
        <v>55</v>
      </c>
    </row>
    <row r="784" spans="4:4" ht="17.649999999999999" x14ac:dyDescent="0.5">
      <c r="D784" s="3" t="s">
        <v>127</v>
      </c>
    </row>
    <row r="785" spans="4:4" ht="17.649999999999999" x14ac:dyDescent="0.5">
      <c r="D785" s="3" t="s">
        <v>80</v>
      </c>
    </row>
    <row r="786" spans="4:4" ht="17.649999999999999" x14ac:dyDescent="0.5">
      <c r="D786" s="3" t="s">
        <v>65</v>
      </c>
    </row>
    <row r="787" spans="4:4" ht="17.649999999999999" x14ac:dyDescent="0.5">
      <c r="D787" s="3" t="s">
        <v>89</v>
      </c>
    </row>
    <row r="788" spans="4:4" ht="17.649999999999999" x14ac:dyDescent="0.5">
      <c r="D788" s="3" t="s">
        <v>67</v>
      </c>
    </row>
    <row r="789" spans="4:4" ht="17.649999999999999" x14ac:dyDescent="0.5">
      <c r="D789" s="3" t="s">
        <v>91</v>
      </c>
    </row>
    <row r="790" spans="4:4" ht="17.649999999999999" x14ac:dyDescent="0.5">
      <c r="D790" s="3" t="s">
        <v>80</v>
      </c>
    </row>
    <row r="791" spans="4:4" ht="17.649999999999999" x14ac:dyDescent="0.5">
      <c r="D791" s="3" t="s">
        <v>53</v>
      </c>
    </row>
    <row r="792" spans="4:4" ht="17.649999999999999" x14ac:dyDescent="0.5">
      <c r="D792" s="3" t="s">
        <v>112</v>
      </c>
    </row>
    <row r="793" spans="4:4" ht="17.649999999999999" x14ac:dyDescent="0.5">
      <c r="D793" s="3" t="s">
        <v>79</v>
      </c>
    </row>
    <row r="794" spans="4:4" ht="17.649999999999999" x14ac:dyDescent="0.5">
      <c r="D794" s="3" t="s">
        <v>55</v>
      </c>
    </row>
    <row r="795" spans="4:4" ht="17.649999999999999" x14ac:dyDescent="0.5">
      <c r="D795" s="3" t="s">
        <v>75</v>
      </c>
    </row>
    <row r="796" spans="4:4" ht="17.649999999999999" x14ac:dyDescent="0.5">
      <c r="D796" s="3" t="s">
        <v>67</v>
      </c>
    </row>
    <row r="797" spans="4:4" ht="17.649999999999999" x14ac:dyDescent="0.5">
      <c r="D797" s="3" t="s">
        <v>84</v>
      </c>
    </row>
    <row r="798" spans="4:4" ht="17.649999999999999" x14ac:dyDescent="0.5">
      <c r="D798" s="3" t="s">
        <v>78</v>
      </c>
    </row>
    <row r="799" spans="4:4" ht="17.649999999999999" x14ac:dyDescent="0.5">
      <c r="D799" s="3" t="s">
        <v>93</v>
      </c>
    </row>
    <row r="800" spans="4:4" ht="17.649999999999999" x14ac:dyDescent="0.5">
      <c r="D800" s="3" t="s">
        <v>105</v>
      </c>
    </row>
    <row r="801" spans="4:4" ht="17.649999999999999" x14ac:dyDescent="0.5">
      <c r="D801" s="3" t="s">
        <v>96</v>
      </c>
    </row>
    <row r="802" spans="4:4" ht="17.649999999999999" x14ac:dyDescent="0.5">
      <c r="D802" s="3" t="s">
        <v>46</v>
      </c>
    </row>
    <row r="803" spans="4:4" ht="17.649999999999999" x14ac:dyDescent="0.5">
      <c r="D803" s="3" t="s">
        <v>67</v>
      </c>
    </row>
    <row r="804" spans="4:4" ht="17.649999999999999" x14ac:dyDescent="0.5">
      <c r="D804" s="3" t="s">
        <v>85</v>
      </c>
    </row>
    <row r="805" spans="4:4" ht="17.649999999999999" x14ac:dyDescent="0.5">
      <c r="D805" s="3" t="s">
        <v>44</v>
      </c>
    </row>
    <row r="806" spans="4:4" ht="17.649999999999999" x14ac:dyDescent="0.5">
      <c r="D806" s="3" t="s">
        <v>77</v>
      </c>
    </row>
    <row r="807" spans="4:4" ht="17.649999999999999" x14ac:dyDescent="0.5">
      <c r="D807" s="3" t="s">
        <v>81</v>
      </c>
    </row>
    <row r="808" spans="4:4" ht="17.649999999999999" x14ac:dyDescent="0.5">
      <c r="D808" s="3" t="s">
        <v>56</v>
      </c>
    </row>
    <row r="809" spans="4:4" ht="17.649999999999999" x14ac:dyDescent="0.5">
      <c r="D809" s="3" t="s">
        <v>134</v>
      </c>
    </row>
    <row r="810" spans="4:4" ht="17.649999999999999" x14ac:dyDescent="0.5">
      <c r="D810" s="3" t="s">
        <v>128</v>
      </c>
    </row>
    <row r="811" spans="4:4" ht="17.649999999999999" x14ac:dyDescent="0.5">
      <c r="D811" s="3" t="s">
        <v>69</v>
      </c>
    </row>
    <row r="812" spans="4:4" ht="17.649999999999999" x14ac:dyDescent="0.5">
      <c r="D812" s="3" t="s">
        <v>106</v>
      </c>
    </row>
    <row r="813" spans="4:4" ht="17.649999999999999" x14ac:dyDescent="0.5">
      <c r="D813" s="3" t="s">
        <v>126</v>
      </c>
    </row>
    <row r="814" spans="4:4" ht="17.649999999999999" x14ac:dyDescent="0.5">
      <c r="D814" s="3" t="s">
        <v>103</v>
      </c>
    </row>
    <row r="815" spans="4:4" ht="17.649999999999999" x14ac:dyDescent="0.5">
      <c r="D815" s="3" t="s">
        <v>92</v>
      </c>
    </row>
    <row r="816" spans="4:4" ht="17.649999999999999" x14ac:dyDescent="0.5">
      <c r="D816" s="3" t="s">
        <v>81</v>
      </c>
    </row>
    <row r="817" spans="4:4" ht="17.649999999999999" x14ac:dyDescent="0.5">
      <c r="D817" s="3" t="s">
        <v>115</v>
      </c>
    </row>
    <row r="818" spans="4:4" ht="17.649999999999999" x14ac:dyDescent="0.5">
      <c r="D818" s="3" t="s">
        <v>51</v>
      </c>
    </row>
    <row r="819" spans="4:4" ht="17.649999999999999" x14ac:dyDescent="0.5">
      <c r="D819" s="3" t="s">
        <v>80</v>
      </c>
    </row>
    <row r="820" spans="4:4" ht="17.649999999999999" x14ac:dyDescent="0.5">
      <c r="D820" s="3" t="s">
        <v>92</v>
      </c>
    </row>
    <row r="821" spans="4:4" ht="17.649999999999999" x14ac:dyDescent="0.5">
      <c r="D821" s="3" t="s">
        <v>75</v>
      </c>
    </row>
    <row r="822" spans="4:4" ht="17.649999999999999" x14ac:dyDescent="0.5">
      <c r="D822" s="3" t="s">
        <v>68</v>
      </c>
    </row>
    <row r="823" spans="4:4" ht="17.649999999999999" x14ac:dyDescent="0.5">
      <c r="D823" s="3" t="s">
        <v>87</v>
      </c>
    </row>
    <row r="824" spans="4:4" ht="17.649999999999999" x14ac:dyDescent="0.5">
      <c r="D824" s="3" t="s">
        <v>92</v>
      </c>
    </row>
    <row r="825" spans="4:4" ht="17.649999999999999" x14ac:dyDescent="0.5">
      <c r="D825" s="3" t="s">
        <v>97</v>
      </c>
    </row>
    <row r="826" spans="4:4" ht="17.649999999999999" x14ac:dyDescent="0.5">
      <c r="D826" s="3" t="s">
        <v>65</v>
      </c>
    </row>
    <row r="827" spans="4:4" ht="17.649999999999999" x14ac:dyDescent="0.5">
      <c r="D827" s="3" t="s">
        <v>91</v>
      </c>
    </row>
    <row r="828" spans="4:4" ht="17.649999999999999" x14ac:dyDescent="0.5">
      <c r="D828" s="3" t="s">
        <v>75</v>
      </c>
    </row>
    <row r="829" spans="4:4" ht="17.649999999999999" x14ac:dyDescent="0.5">
      <c r="D829" s="3" t="s">
        <v>83</v>
      </c>
    </row>
    <row r="830" spans="4:4" ht="17.649999999999999" x14ac:dyDescent="0.5">
      <c r="D830" s="3" t="s">
        <v>56</v>
      </c>
    </row>
    <row r="831" spans="4:4" ht="17.649999999999999" x14ac:dyDescent="0.5">
      <c r="D831" s="3" t="s">
        <v>54</v>
      </c>
    </row>
    <row r="832" spans="4:4" ht="17.649999999999999" x14ac:dyDescent="0.5">
      <c r="D832" s="3" t="s">
        <v>106</v>
      </c>
    </row>
    <row r="833" spans="4:4" ht="17.649999999999999" x14ac:dyDescent="0.5">
      <c r="D833" s="3" t="s">
        <v>61</v>
      </c>
    </row>
    <row r="834" spans="4:4" ht="17.649999999999999" x14ac:dyDescent="0.5">
      <c r="D834" s="3" t="s">
        <v>60</v>
      </c>
    </row>
    <row r="835" spans="4:4" ht="17.649999999999999" x14ac:dyDescent="0.5">
      <c r="D835" s="3" t="s">
        <v>126</v>
      </c>
    </row>
    <row r="836" spans="4:4" ht="17.649999999999999" x14ac:dyDescent="0.5">
      <c r="D836" s="3" t="s">
        <v>55</v>
      </c>
    </row>
    <row r="837" spans="4:4" ht="17.649999999999999" x14ac:dyDescent="0.5">
      <c r="D837" s="3" t="s">
        <v>53</v>
      </c>
    </row>
    <row r="838" spans="4:4" ht="17.649999999999999" x14ac:dyDescent="0.5">
      <c r="D838" s="3" t="s">
        <v>126</v>
      </c>
    </row>
    <row r="839" spans="4:4" ht="17.649999999999999" x14ac:dyDescent="0.5">
      <c r="D839" s="3" t="s">
        <v>89</v>
      </c>
    </row>
    <row r="840" spans="4:4" ht="17.649999999999999" x14ac:dyDescent="0.5">
      <c r="D840" s="3" t="s">
        <v>101</v>
      </c>
    </row>
    <row r="841" spans="4:4" ht="17.649999999999999" x14ac:dyDescent="0.5">
      <c r="D841" s="3" t="s">
        <v>64</v>
      </c>
    </row>
    <row r="842" spans="4:4" ht="17.649999999999999" x14ac:dyDescent="0.5">
      <c r="D842" s="3" t="s">
        <v>55</v>
      </c>
    </row>
    <row r="843" spans="4:4" ht="17.649999999999999" x14ac:dyDescent="0.5">
      <c r="D843" s="3" t="s">
        <v>103</v>
      </c>
    </row>
    <row r="844" spans="4:4" ht="17.649999999999999" x14ac:dyDescent="0.5">
      <c r="D844" s="3" t="s">
        <v>80</v>
      </c>
    </row>
    <row r="845" spans="4:4" ht="17.649999999999999" x14ac:dyDescent="0.5">
      <c r="D845" s="3" t="s">
        <v>75</v>
      </c>
    </row>
    <row r="846" spans="4:4" ht="17.649999999999999" x14ac:dyDescent="0.5">
      <c r="D846" s="3" t="s">
        <v>128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51</v>
      </c>
    </row>
    <row r="849" spans="4:4" ht="17.649999999999999" x14ac:dyDescent="0.5">
      <c r="D849" s="3" t="s">
        <v>89</v>
      </c>
    </row>
    <row r="850" spans="4:4" ht="17.649999999999999" x14ac:dyDescent="0.5">
      <c r="D850" s="3" t="s">
        <v>102</v>
      </c>
    </row>
    <row r="851" spans="4:4" ht="17.649999999999999" x14ac:dyDescent="0.5">
      <c r="D851" s="3" t="s">
        <v>44</v>
      </c>
    </row>
    <row r="852" spans="4:4" ht="17.649999999999999" x14ac:dyDescent="0.5">
      <c r="D852" s="3" t="s">
        <v>85</v>
      </c>
    </row>
    <row r="853" spans="4:4" ht="17.649999999999999" x14ac:dyDescent="0.5">
      <c r="D853" s="3" t="s">
        <v>96</v>
      </c>
    </row>
    <row r="854" spans="4:4" ht="17.649999999999999" x14ac:dyDescent="0.5">
      <c r="D854" s="3" t="s">
        <v>75</v>
      </c>
    </row>
    <row r="855" spans="4:4" ht="17.649999999999999" x14ac:dyDescent="0.5">
      <c r="D855" s="3" t="s">
        <v>55</v>
      </c>
    </row>
    <row r="856" spans="4:4" ht="17.649999999999999" x14ac:dyDescent="0.5">
      <c r="D856" s="3" t="s">
        <v>123</v>
      </c>
    </row>
    <row r="857" spans="4:4" ht="17.649999999999999" x14ac:dyDescent="0.5">
      <c r="D857" s="3" t="s">
        <v>130</v>
      </c>
    </row>
    <row r="858" spans="4:4" ht="17.649999999999999" x14ac:dyDescent="0.5">
      <c r="D858" s="3" t="s">
        <v>99</v>
      </c>
    </row>
    <row r="859" spans="4:4" ht="17.649999999999999" x14ac:dyDescent="0.5">
      <c r="D859" s="3" t="s">
        <v>47</v>
      </c>
    </row>
    <row r="860" spans="4:4" ht="17.649999999999999" x14ac:dyDescent="0.5">
      <c r="D860" s="3" t="s">
        <v>115</v>
      </c>
    </row>
    <row r="861" spans="4:4" ht="17.649999999999999" x14ac:dyDescent="0.5">
      <c r="D861" s="3" t="s">
        <v>66</v>
      </c>
    </row>
    <row r="862" spans="4:4" ht="17.649999999999999" x14ac:dyDescent="0.5">
      <c r="D862" s="3" t="s">
        <v>68</v>
      </c>
    </row>
    <row r="863" spans="4:4" ht="17.649999999999999" x14ac:dyDescent="0.5">
      <c r="D863" s="3" t="s">
        <v>59</v>
      </c>
    </row>
    <row r="864" spans="4:4" ht="17.649999999999999" x14ac:dyDescent="0.5">
      <c r="D864" s="3" t="s">
        <v>132</v>
      </c>
    </row>
    <row r="865" spans="4:4" ht="17.649999999999999" x14ac:dyDescent="0.5">
      <c r="D865" s="3" t="s">
        <v>75</v>
      </c>
    </row>
    <row r="866" spans="4:4" ht="17.649999999999999" x14ac:dyDescent="0.5">
      <c r="D866" s="3" t="s">
        <v>43</v>
      </c>
    </row>
    <row r="867" spans="4:4" ht="17.649999999999999" x14ac:dyDescent="0.5">
      <c r="D867" s="3" t="s">
        <v>83</v>
      </c>
    </row>
    <row r="868" spans="4:4" ht="17.649999999999999" x14ac:dyDescent="0.5">
      <c r="D868" s="3" t="s">
        <v>101</v>
      </c>
    </row>
    <row r="869" spans="4:4" ht="17.649999999999999" x14ac:dyDescent="0.5">
      <c r="D869" s="3" t="s">
        <v>98</v>
      </c>
    </row>
    <row r="870" spans="4:4" ht="17.649999999999999" x14ac:dyDescent="0.5">
      <c r="D870" s="3" t="s">
        <v>44</v>
      </c>
    </row>
    <row r="871" spans="4:4" ht="17.649999999999999" x14ac:dyDescent="0.5">
      <c r="D871" s="3" t="s">
        <v>61</v>
      </c>
    </row>
    <row r="872" spans="4:4" ht="17.649999999999999" x14ac:dyDescent="0.5">
      <c r="D872" s="3" t="s">
        <v>103</v>
      </c>
    </row>
    <row r="873" spans="4:4" ht="17.649999999999999" x14ac:dyDescent="0.5">
      <c r="D873" s="3" t="s">
        <v>97</v>
      </c>
    </row>
    <row r="874" spans="4:4" ht="17.649999999999999" x14ac:dyDescent="0.5">
      <c r="D874" s="3" t="s">
        <v>112</v>
      </c>
    </row>
    <row r="875" spans="4:4" ht="17.649999999999999" x14ac:dyDescent="0.5">
      <c r="D875" s="3" t="s">
        <v>56</v>
      </c>
    </row>
    <row r="876" spans="4:4" ht="17.649999999999999" x14ac:dyDescent="0.5">
      <c r="D876" s="3" t="s">
        <v>106</v>
      </c>
    </row>
    <row r="877" spans="4:4" ht="17.649999999999999" x14ac:dyDescent="0.5">
      <c r="D877" s="3" t="s">
        <v>79</v>
      </c>
    </row>
    <row r="878" spans="4:4" ht="17.649999999999999" x14ac:dyDescent="0.5">
      <c r="D878" s="3" t="s">
        <v>115</v>
      </c>
    </row>
    <row r="879" spans="4:4" ht="17.649999999999999" x14ac:dyDescent="0.5">
      <c r="D879" s="3" t="s">
        <v>56</v>
      </c>
    </row>
    <row r="880" spans="4:4" ht="17.649999999999999" x14ac:dyDescent="0.5">
      <c r="D880" s="3" t="s">
        <v>78</v>
      </c>
    </row>
    <row r="881" spans="4:4" ht="17.649999999999999" x14ac:dyDescent="0.5">
      <c r="D881" s="3" t="s">
        <v>91</v>
      </c>
    </row>
    <row r="882" spans="4:4" ht="17.649999999999999" x14ac:dyDescent="0.5">
      <c r="D882" s="3" t="s">
        <v>77</v>
      </c>
    </row>
    <row r="883" spans="4:4" ht="17.649999999999999" x14ac:dyDescent="0.5">
      <c r="D883" s="3" t="s">
        <v>59</v>
      </c>
    </row>
    <row r="884" spans="4:4" ht="17.649999999999999" x14ac:dyDescent="0.5">
      <c r="D884" s="3" t="s">
        <v>121</v>
      </c>
    </row>
    <row r="885" spans="4:4" ht="17.649999999999999" x14ac:dyDescent="0.5">
      <c r="D885" s="3" t="s">
        <v>48</v>
      </c>
    </row>
    <row r="886" spans="4:4" ht="17.649999999999999" x14ac:dyDescent="0.5">
      <c r="D886" s="3" t="s">
        <v>117</v>
      </c>
    </row>
    <row r="887" spans="4:4" ht="17.649999999999999" x14ac:dyDescent="0.5">
      <c r="D887" s="3" t="s">
        <v>91</v>
      </c>
    </row>
    <row r="888" spans="4:4" ht="17.649999999999999" x14ac:dyDescent="0.5">
      <c r="D888" s="3" t="s">
        <v>48</v>
      </c>
    </row>
    <row r="889" spans="4:4" ht="17.649999999999999" x14ac:dyDescent="0.5">
      <c r="D889" s="3" t="s">
        <v>74</v>
      </c>
    </row>
    <row r="890" spans="4:4" ht="17.649999999999999" x14ac:dyDescent="0.5">
      <c r="D890" s="3" t="s">
        <v>96</v>
      </c>
    </row>
    <row r="891" spans="4:4" ht="17.649999999999999" x14ac:dyDescent="0.5">
      <c r="D891" s="3" t="s">
        <v>47</v>
      </c>
    </row>
    <row r="892" spans="4:4" ht="17.649999999999999" x14ac:dyDescent="0.5">
      <c r="D892" s="3" t="s">
        <v>47</v>
      </c>
    </row>
    <row r="893" spans="4:4" ht="17.649999999999999" x14ac:dyDescent="0.5">
      <c r="D893" s="3" t="s">
        <v>102</v>
      </c>
    </row>
    <row r="894" spans="4:4" ht="17.649999999999999" x14ac:dyDescent="0.5">
      <c r="D894" s="3" t="s">
        <v>125</v>
      </c>
    </row>
    <row r="895" spans="4:4" ht="17.649999999999999" x14ac:dyDescent="0.5">
      <c r="D895" s="3" t="s">
        <v>117</v>
      </c>
    </row>
    <row r="896" spans="4:4" ht="17.649999999999999" x14ac:dyDescent="0.5">
      <c r="D896" s="3" t="s">
        <v>44</v>
      </c>
    </row>
    <row r="897" spans="4:4" ht="17.649999999999999" x14ac:dyDescent="0.5">
      <c r="D897" s="3" t="s">
        <v>87</v>
      </c>
    </row>
    <row r="898" spans="4:4" ht="17.649999999999999" x14ac:dyDescent="0.5">
      <c r="D898" s="3" t="s">
        <v>68</v>
      </c>
    </row>
    <row r="899" spans="4:4" ht="17.649999999999999" x14ac:dyDescent="0.5">
      <c r="D899" s="3" t="s">
        <v>105</v>
      </c>
    </row>
    <row r="900" spans="4:4" ht="17.649999999999999" x14ac:dyDescent="0.5">
      <c r="D900" s="3" t="s">
        <v>109</v>
      </c>
    </row>
    <row r="901" spans="4:4" ht="17.649999999999999" x14ac:dyDescent="0.5">
      <c r="D901" s="3" t="s">
        <v>43</v>
      </c>
    </row>
    <row r="902" spans="4:4" ht="17.649999999999999" x14ac:dyDescent="0.5">
      <c r="D902" s="3" t="s">
        <v>73</v>
      </c>
    </row>
    <row r="903" spans="4:4" ht="17.649999999999999" x14ac:dyDescent="0.5">
      <c r="D903" s="3" t="s">
        <v>52</v>
      </c>
    </row>
    <row r="904" spans="4:4" ht="17.649999999999999" x14ac:dyDescent="0.5">
      <c r="D904" s="3" t="s">
        <v>92</v>
      </c>
    </row>
    <row r="905" spans="4:4" ht="17.649999999999999" x14ac:dyDescent="0.5">
      <c r="D905" s="3" t="s">
        <v>101</v>
      </c>
    </row>
    <row r="906" spans="4:4" ht="17.649999999999999" x14ac:dyDescent="0.5">
      <c r="D906" s="3" t="s">
        <v>45</v>
      </c>
    </row>
    <row r="907" spans="4:4" ht="17.649999999999999" x14ac:dyDescent="0.5">
      <c r="D907" s="3" t="s">
        <v>64</v>
      </c>
    </row>
    <row r="908" spans="4:4" ht="17.649999999999999" x14ac:dyDescent="0.5">
      <c r="D908" s="3" t="s">
        <v>53</v>
      </c>
    </row>
    <row r="909" spans="4:4" ht="17.649999999999999" x14ac:dyDescent="0.5">
      <c r="D909" s="3" t="s">
        <v>105</v>
      </c>
    </row>
    <row r="910" spans="4:4" ht="17.649999999999999" x14ac:dyDescent="0.5">
      <c r="D910" s="3" t="s">
        <v>56</v>
      </c>
    </row>
    <row r="911" spans="4:4" ht="17.649999999999999" x14ac:dyDescent="0.5">
      <c r="D911" s="3" t="s">
        <v>65</v>
      </c>
    </row>
    <row r="912" spans="4:4" ht="17.649999999999999" x14ac:dyDescent="0.5">
      <c r="D912" s="3" t="s">
        <v>87</v>
      </c>
    </row>
    <row r="913" spans="4:4" ht="17.649999999999999" x14ac:dyDescent="0.5">
      <c r="D913" s="3" t="s">
        <v>52</v>
      </c>
    </row>
    <row r="914" spans="4:4" ht="17.649999999999999" x14ac:dyDescent="0.5">
      <c r="D914" s="3" t="s">
        <v>77</v>
      </c>
    </row>
    <row r="915" spans="4:4" ht="17.649999999999999" x14ac:dyDescent="0.5">
      <c r="D915" s="3" t="s">
        <v>135</v>
      </c>
    </row>
    <row r="916" spans="4:4" ht="17.649999999999999" x14ac:dyDescent="0.5">
      <c r="D916" s="3" t="s">
        <v>46</v>
      </c>
    </row>
    <row r="917" spans="4:4" ht="17.649999999999999" x14ac:dyDescent="0.5">
      <c r="D917" s="3" t="s">
        <v>54</v>
      </c>
    </row>
    <row r="918" spans="4:4" ht="17.649999999999999" x14ac:dyDescent="0.5">
      <c r="D918" s="3" t="s">
        <v>41</v>
      </c>
    </row>
    <row r="919" spans="4:4" ht="17.649999999999999" x14ac:dyDescent="0.5">
      <c r="D919" s="3" t="s">
        <v>50</v>
      </c>
    </row>
    <row r="920" spans="4:4" ht="17.649999999999999" x14ac:dyDescent="0.5">
      <c r="D920" s="3" t="s">
        <v>116</v>
      </c>
    </row>
    <row r="921" spans="4:4" ht="17.649999999999999" x14ac:dyDescent="0.5">
      <c r="D921" s="3" t="s">
        <v>71</v>
      </c>
    </row>
    <row r="922" spans="4:4" ht="17.649999999999999" x14ac:dyDescent="0.5">
      <c r="D922" s="3" t="s">
        <v>69</v>
      </c>
    </row>
    <row r="923" spans="4:4" ht="17.649999999999999" x14ac:dyDescent="0.5">
      <c r="D923" s="3" t="s">
        <v>106</v>
      </c>
    </row>
    <row r="924" spans="4:4" ht="17.649999999999999" x14ac:dyDescent="0.5">
      <c r="D924" s="3" t="s">
        <v>100</v>
      </c>
    </row>
    <row r="925" spans="4:4" ht="17.649999999999999" x14ac:dyDescent="0.5">
      <c r="D925" s="3" t="s">
        <v>52</v>
      </c>
    </row>
    <row r="926" spans="4:4" ht="17.649999999999999" x14ac:dyDescent="0.5">
      <c r="D926" s="3" t="s">
        <v>110</v>
      </c>
    </row>
    <row r="927" spans="4:4" ht="17.649999999999999" x14ac:dyDescent="0.5">
      <c r="D927" s="3" t="s">
        <v>78</v>
      </c>
    </row>
    <row r="928" spans="4:4" ht="17.649999999999999" x14ac:dyDescent="0.5">
      <c r="D928" s="3" t="s">
        <v>103</v>
      </c>
    </row>
    <row r="929" spans="4:4" ht="17.649999999999999" x14ac:dyDescent="0.5">
      <c r="D929" s="3" t="s">
        <v>59</v>
      </c>
    </row>
    <row r="930" spans="4:4" ht="17.649999999999999" x14ac:dyDescent="0.5">
      <c r="D930" s="3" t="s">
        <v>67</v>
      </c>
    </row>
    <row r="931" spans="4:4" ht="17.649999999999999" x14ac:dyDescent="0.5">
      <c r="D931" s="3" t="s">
        <v>57</v>
      </c>
    </row>
    <row r="932" spans="4:4" ht="17.649999999999999" x14ac:dyDescent="0.5">
      <c r="D932" s="3" t="s">
        <v>109</v>
      </c>
    </row>
    <row r="933" spans="4:4" ht="17.649999999999999" x14ac:dyDescent="0.5">
      <c r="D933" s="3" t="s">
        <v>96</v>
      </c>
    </row>
    <row r="934" spans="4:4" ht="17.649999999999999" x14ac:dyDescent="0.5">
      <c r="D934" s="3" t="s">
        <v>69</v>
      </c>
    </row>
    <row r="935" spans="4:4" ht="17.649999999999999" x14ac:dyDescent="0.5">
      <c r="D935" s="3" t="s">
        <v>87</v>
      </c>
    </row>
    <row r="936" spans="4:4" ht="17.649999999999999" x14ac:dyDescent="0.5">
      <c r="D936" s="3" t="s">
        <v>116</v>
      </c>
    </row>
    <row r="937" spans="4:4" ht="17.649999999999999" x14ac:dyDescent="0.5">
      <c r="D937" s="3" t="s">
        <v>99</v>
      </c>
    </row>
    <row r="938" spans="4:4" ht="17.649999999999999" x14ac:dyDescent="0.5">
      <c r="D938" s="3" t="s">
        <v>57</v>
      </c>
    </row>
    <row r="939" spans="4:4" ht="17.649999999999999" x14ac:dyDescent="0.5">
      <c r="D939" s="3" t="s">
        <v>77</v>
      </c>
    </row>
    <row r="940" spans="4:4" ht="17.649999999999999" x14ac:dyDescent="0.5">
      <c r="D940" s="3" t="s">
        <v>51</v>
      </c>
    </row>
    <row r="941" spans="4:4" ht="17.649999999999999" x14ac:dyDescent="0.5">
      <c r="D941" s="3" t="s">
        <v>81</v>
      </c>
    </row>
    <row r="942" spans="4:4" ht="17.649999999999999" x14ac:dyDescent="0.5">
      <c r="D942" s="3" t="s">
        <v>61</v>
      </c>
    </row>
    <row r="943" spans="4:4" ht="17.649999999999999" x14ac:dyDescent="0.5">
      <c r="D943" s="3" t="s">
        <v>90</v>
      </c>
    </row>
    <row r="944" spans="4:4" ht="17.649999999999999" x14ac:dyDescent="0.5">
      <c r="D944" s="3" t="s">
        <v>52</v>
      </c>
    </row>
    <row r="945" spans="4:4" ht="17.649999999999999" x14ac:dyDescent="0.5">
      <c r="D945" s="3" t="s">
        <v>94</v>
      </c>
    </row>
    <row r="946" spans="4:4" ht="17.649999999999999" x14ac:dyDescent="0.5">
      <c r="D946" s="3" t="s">
        <v>71</v>
      </c>
    </row>
    <row r="947" spans="4:4" ht="17.649999999999999" x14ac:dyDescent="0.5">
      <c r="D947" s="3" t="s">
        <v>49</v>
      </c>
    </row>
    <row r="948" spans="4:4" ht="17.649999999999999" x14ac:dyDescent="0.5">
      <c r="D948" s="3" t="s">
        <v>68</v>
      </c>
    </row>
    <row r="949" spans="4:4" ht="17.649999999999999" x14ac:dyDescent="0.5">
      <c r="D949" s="3" t="s">
        <v>124</v>
      </c>
    </row>
    <row r="950" spans="4:4" ht="17.649999999999999" x14ac:dyDescent="0.5">
      <c r="D950" s="3" t="s">
        <v>46</v>
      </c>
    </row>
    <row r="951" spans="4:4" ht="17.649999999999999" x14ac:dyDescent="0.5">
      <c r="D951" s="3" t="s">
        <v>127</v>
      </c>
    </row>
    <row r="952" spans="4:4" ht="17.649999999999999" x14ac:dyDescent="0.5">
      <c r="D952" s="3" t="s">
        <v>50</v>
      </c>
    </row>
    <row r="953" spans="4:4" ht="17.649999999999999" x14ac:dyDescent="0.5">
      <c r="D953" s="3" t="s">
        <v>64</v>
      </c>
    </row>
    <row r="954" spans="4:4" ht="17.649999999999999" x14ac:dyDescent="0.5">
      <c r="D954" s="3" t="s">
        <v>116</v>
      </c>
    </row>
    <row r="955" spans="4:4" ht="17.649999999999999" x14ac:dyDescent="0.5">
      <c r="D955" s="3" t="s">
        <v>72</v>
      </c>
    </row>
    <row r="956" spans="4:4" ht="17.649999999999999" x14ac:dyDescent="0.5">
      <c r="D956" s="3" t="s">
        <v>129</v>
      </c>
    </row>
    <row r="957" spans="4:4" ht="17.649999999999999" x14ac:dyDescent="0.5">
      <c r="D957" s="3" t="s">
        <v>41</v>
      </c>
    </row>
    <row r="958" spans="4:4" ht="17.649999999999999" x14ac:dyDescent="0.5">
      <c r="D958" s="3" t="s">
        <v>78</v>
      </c>
    </row>
    <row r="959" spans="4:4" ht="17.649999999999999" x14ac:dyDescent="0.5">
      <c r="D959" s="3" t="s">
        <v>84</v>
      </c>
    </row>
    <row r="960" spans="4:4" ht="17.649999999999999" x14ac:dyDescent="0.5">
      <c r="D960" s="3" t="s">
        <v>92</v>
      </c>
    </row>
    <row r="961" spans="4:4" ht="17.649999999999999" x14ac:dyDescent="0.5">
      <c r="D961" s="3" t="s">
        <v>66</v>
      </c>
    </row>
    <row r="962" spans="4:4" ht="17.649999999999999" x14ac:dyDescent="0.5">
      <c r="D962" s="3" t="s">
        <v>105</v>
      </c>
    </row>
    <row r="963" spans="4:4" ht="17.649999999999999" x14ac:dyDescent="0.5">
      <c r="D963" s="3" t="s">
        <v>77</v>
      </c>
    </row>
    <row r="964" spans="4:4" ht="17.649999999999999" x14ac:dyDescent="0.5">
      <c r="D964" s="3" t="s">
        <v>73</v>
      </c>
    </row>
    <row r="965" spans="4:4" ht="17.649999999999999" x14ac:dyDescent="0.5">
      <c r="D965" s="3" t="s">
        <v>41</v>
      </c>
    </row>
    <row r="966" spans="4:4" ht="17.649999999999999" x14ac:dyDescent="0.5">
      <c r="D966" s="3" t="s">
        <v>52</v>
      </c>
    </row>
    <row r="967" spans="4:4" ht="17.649999999999999" x14ac:dyDescent="0.5">
      <c r="D967" s="3" t="s">
        <v>55</v>
      </c>
    </row>
    <row r="968" spans="4:4" ht="17.649999999999999" x14ac:dyDescent="0.5">
      <c r="D968" s="3" t="s">
        <v>103</v>
      </c>
    </row>
    <row r="969" spans="4:4" ht="17.649999999999999" x14ac:dyDescent="0.5">
      <c r="D969" s="3" t="s">
        <v>92</v>
      </c>
    </row>
    <row r="970" spans="4:4" ht="17.649999999999999" x14ac:dyDescent="0.5">
      <c r="D970" s="3" t="s">
        <v>68</v>
      </c>
    </row>
    <row r="971" spans="4:4" ht="17.649999999999999" x14ac:dyDescent="0.5">
      <c r="D971" s="3" t="s">
        <v>133</v>
      </c>
    </row>
    <row r="972" spans="4:4" ht="17.649999999999999" x14ac:dyDescent="0.5">
      <c r="D972" s="3" t="s">
        <v>56</v>
      </c>
    </row>
    <row r="973" spans="4:4" ht="17.649999999999999" x14ac:dyDescent="0.5">
      <c r="D973" s="3" t="s">
        <v>65</v>
      </c>
    </row>
    <row r="974" spans="4:4" ht="17.649999999999999" x14ac:dyDescent="0.5">
      <c r="D974" s="3" t="s">
        <v>101</v>
      </c>
    </row>
    <row r="975" spans="4:4" ht="17.649999999999999" x14ac:dyDescent="0.5">
      <c r="D975" s="3" t="s">
        <v>54</v>
      </c>
    </row>
    <row r="976" spans="4:4" ht="17.649999999999999" x14ac:dyDescent="0.5">
      <c r="D976" s="3" t="s">
        <v>66</v>
      </c>
    </row>
    <row r="977" spans="4:4" ht="17.649999999999999" x14ac:dyDescent="0.5">
      <c r="D977" s="3" t="s">
        <v>67</v>
      </c>
    </row>
    <row r="978" spans="4:4" ht="17.649999999999999" x14ac:dyDescent="0.5">
      <c r="D978" s="3" t="s">
        <v>81</v>
      </c>
    </row>
    <row r="979" spans="4:4" ht="17.649999999999999" x14ac:dyDescent="0.5">
      <c r="D979" s="3" t="s">
        <v>101</v>
      </c>
    </row>
    <row r="980" spans="4:4" ht="17.649999999999999" x14ac:dyDescent="0.5">
      <c r="D980" s="3" t="s">
        <v>47</v>
      </c>
    </row>
    <row r="981" spans="4:4" ht="17.649999999999999" x14ac:dyDescent="0.5">
      <c r="D981" s="3" t="s">
        <v>135</v>
      </c>
    </row>
    <row r="982" spans="4:4" ht="17.649999999999999" x14ac:dyDescent="0.5">
      <c r="D982" s="3" t="s">
        <v>92</v>
      </c>
    </row>
    <row r="983" spans="4:4" ht="17.649999999999999" x14ac:dyDescent="0.5">
      <c r="D983" s="3" t="s">
        <v>96</v>
      </c>
    </row>
    <row r="984" spans="4:4" ht="17.649999999999999" x14ac:dyDescent="0.5">
      <c r="D984" s="3" t="s">
        <v>105</v>
      </c>
    </row>
    <row r="985" spans="4:4" ht="17.649999999999999" x14ac:dyDescent="0.5">
      <c r="D985" s="3" t="s">
        <v>61</v>
      </c>
    </row>
    <row r="986" spans="4:4" ht="17.649999999999999" x14ac:dyDescent="0.5">
      <c r="D986" s="3" t="s">
        <v>57</v>
      </c>
    </row>
    <row r="987" spans="4:4" ht="17.649999999999999" x14ac:dyDescent="0.5">
      <c r="D987" s="3" t="s">
        <v>80</v>
      </c>
    </row>
    <row r="988" spans="4:4" ht="17.649999999999999" x14ac:dyDescent="0.5">
      <c r="D988" s="3" t="s">
        <v>64</v>
      </c>
    </row>
    <row r="989" spans="4:4" ht="17.649999999999999" x14ac:dyDescent="0.5">
      <c r="D989" s="3" t="s">
        <v>86</v>
      </c>
    </row>
    <row r="990" spans="4:4" ht="17.649999999999999" x14ac:dyDescent="0.5">
      <c r="D990" s="3" t="s">
        <v>117</v>
      </c>
    </row>
    <row r="991" spans="4:4" ht="17.649999999999999" x14ac:dyDescent="0.5">
      <c r="D991" s="3" t="s">
        <v>49</v>
      </c>
    </row>
    <row r="992" spans="4:4" ht="17.649999999999999" x14ac:dyDescent="0.5">
      <c r="D992" s="3" t="s">
        <v>59</v>
      </c>
    </row>
    <row r="993" spans="4:4" ht="17.649999999999999" x14ac:dyDescent="0.5">
      <c r="D993" s="3" t="s">
        <v>73</v>
      </c>
    </row>
    <row r="994" spans="4:4" ht="17.649999999999999" x14ac:dyDescent="0.5">
      <c r="D994" s="3" t="s">
        <v>89</v>
      </c>
    </row>
    <row r="995" spans="4:4" ht="17.649999999999999" x14ac:dyDescent="0.5">
      <c r="D995" s="3" t="s">
        <v>109</v>
      </c>
    </row>
    <row r="996" spans="4:4" ht="17.649999999999999" x14ac:dyDescent="0.5">
      <c r="D996" s="3" t="s">
        <v>53</v>
      </c>
    </row>
    <row r="997" spans="4:4" ht="17.649999999999999" x14ac:dyDescent="0.5">
      <c r="D997" s="3" t="s">
        <v>84</v>
      </c>
    </row>
    <row r="998" spans="4:4" ht="17.649999999999999" x14ac:dyDescent="0.5">
      <c r="D998" s="3" t="s">
        <v>91</v>
      </c>
    </row>
    <row r="999" spans="4:4" ht="17.649999999999999" x14ac:dyDescent="0.5">
      <c r="D999" s="3" t="s">
        <v>112</v>
      </c>
    </row>
    <row r="1000" spans="4:4" ht="17.649999999999999" x14ac:dyDescent="0.5">
      <c r="D1000" s="3" t="s">
        <v>75</v>
      </c>
    </row>
    <row r="1001" spans="4:4" ht="17.649999999999999" x14ac:dyDescent="0.5">
      <c r="D1001" s="3" t="s">
        <v>128</v>
      </c>
    </row>
    <row r="1002" spans="4:4" ht="17.649999999999999" x14ac:dyDescent="0.5">
      <c r="D1002" s="3" t="s">
        <v>89</v>
      </c>
    </row>
    <row r="1003" spans="4:4" ht="17.649999999999999" x14ac:dyDescent="0.5">
      <c r="D1003" s="3" t="s">
        <v>104</v>
      </c>
    </row>
    <row r="1004" spans="4:4" ht="17.649999999999999" x14ac:dyDescent="0.5">
      <c r="D1004" s="3" t="s">
        <v>69</v>
      </c>
    </row>
    <row r="1005" spans="4:4" ht="17.649999999999999" x14ac:dyDescent="0.5">
      <c r="D1005" s="3" t="s">
        <v>103</v>
      </c>
    </row>
    <row r="1006" spans="4:4" ht="17.649999999999999" x14ac:dyDescent="0.5">
      <c r="D1006" s="3" t="s">
        <v>100</v>
      </c>
    </row>
    <row r="1007" spans="4:4" ht="17.649999999999999" x14ac:dyDescent="0.5">
      <c r="D1007" s="3" t="s">
        <v>96</v>
      </c>
    </row>
    <row r="1008" spans="4:4" ht="17.649999999999999" x14ac:dyDescent="0.5">
      <c r="D1008" s="3" t="s">
        <v>43</v>
      </c>
    </row>
    <row r="1009" spans="4:4" ht="17.649999999999999" x14ac:dyDescent="0.5">
      <c r="D1009" s="3" t="s">
        <v>81</v>
      </c>
    </row>
    <row r="1010" spans="4:4" ht="17.649999999999999" x14ac:dyDescent="0.5">
      <c r="D1010" s="3" t="s">
        <v>63</v>
      </c>
    </row>
    <row r="1011" spans="4:4" ht="17.649999999999999" x14ac:dyDescent="0.5">
      <c r="D1011" s="3" t="s">
        <v>50</v>
      </c>
    </row>
    <row r="1012" spans="4:4" ht="17.649999999999999" x14ac:dyDescent="0.5">
      <c r="D1012" s="3" t="s">
        <v>118</v>
      </c>
    </row>
    <row r="1013" spans="4:4" ht="17.649999999999999" x14ac:dyDescent="0.5">
      <c r="D1013" s="3" t="s">
        <v>55</v>
      </c>
    </row>
    <row r="1014" spans="4:4" ht="17.649999999999999" x14ac:dyDescent="0.5">
      <c r="D1014" s="3" t="s">
        <v>68</v>
      </c>
    </row>
    <row r="1015" spans="4:4" ht="17.649999999999999" x14ac:dyDescent="0.5">
      <c r="D1015" s="3" t="s">
        <v>93</v>
      </c>
    </row>
    <row r="1016" spans="4:4" ht="17.649999999999999" x14ac:dyDescent="0.5">
      <c r="D1016" s="3" t="s">
        <v>96</v>
      </c>
    </row>
    <row r="1017" spans="4:4" ht="17.649999999999999" x14ac:dyDescent="0.5">
      <c r="D1017" s="3" t="s">
        <v>103</v>
      </c>
    </row>
    <row r="1018" spans="4:4" ht="17.649999999999999" x14ac:dyDescent="0.5">
      <c r="D1018" s="3" t="s">
        <v>98</v>
      </c>
    </row>
    <row r="1019" spans="4:4" ht="17.649999999999999" x14ac:dyDescent="0.5">
      <c r="D1019" s="3" t="s">
        <v>61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79</v>
      </c>
    </row>
    <row r="1022" spans="4:4" ht="17.649999999999999" x14ac:dyDescent="0.5">
      <c r="D1022" s="3" t="s">
        <v>73</v>
      </c>
    </row>
    <row r="1023" spans="4:4" ht="17.649999999999999" x14ac:dyDescent="0.5">
      <c r="D1023" s="3" t="s">
        <v>115</v>
      </c>
    </row>
    <row r="1024" spans="4:4" ht="17.649999999999999" x14ac:dyDescent="0.5">
      <c r="D1024" s="3" t="s">
        <v>131</v>
      </c>
    </row>
    <row r="1025" spans="4:4" ht="17.649999999999999" x14ac:dyDescent="0.5">
      <c r="D1025" s="3" t="s">
        <v>90</v>
      </c>
    </row>
    <row r="1026" spans="4:4" ht="17.649999999999999" x14ac:dyDescent="0.5">
      <c r="D1026" s="3" t="s">
        <v>133</v>
      </c>
    </row>
    <row r="1027" spans="4:4" ht="17.649999999999999" x14ac:dyDescent="0.5">
      <c r="D1027" s="3" t="s">
        <v>119</v>
      </c>
    </row>
    <row r="1028" spans="4:4" ht="17.649999999999999" x14ac:dyDescent="0.5">
      <c r="D1028" s="3" t="s">
        <v>85</v>
      </c>
    </row>
    <row r="1029" spans="4:4" ht="17.649999999999999" x14ac:dyDescent="0.5">
      <c r="D1029" s="3" t="s">
        <v>65</v>
      </c>
    </row>
    <row r="1030" spans="4:4" ht="17.649999999999999" x14ac:dyDescent="0.5">
      <c r="D1030" s="3" t="s">
        <v>108</v>
      </c>
    </row>
    <row r="1031" spans="4:4" ht="17.649999999999999" x14ac:dyDescent="0.5">
      <c r="D1031" s="3" t="s">
        <v>54</v>
      </c>
    </row>
    <row r="1032" spans="4:4" ht="17.649999999999999" x14ac:dyDescent="0.5">
      <c r="D1032" s="3" t="s">
        <v>112</v>
      </c>
    </row>
    <row r="1033" spans="4:4" ht="17.649999999999999" x14ac:dyDescent="0.5">
      <c r="D1033" s="3" t="s">
        <v>57</v>
      </c>
    </row>
    <row r="1034" spans="4:4" ht="17.649999999999999" x14ac:dyDescent="0.5">
      <c r="D1034" s="3" t="s">
        <v>73</v>
      </c>
    </row>
    <row r="1035" spans="4:4" ht="17.649999999999999" x14ac:dyDescent="0.5">
      <c r="D1035" s="3" t="s">
        <v>107</v>
      </c>
    </row>
    <row r="1036" spans="4:4" ht="17.649999999999999" x14ac:dyDescent="0.5">
      <c r="D1036" s="3" t="s">
        <v>65</v>
      </c>
    </row>
    <row r="1037" spans="4:4" ht="17.649999999999999" x14ac:dyDescent="0.5">
      <c r="D1037" s="3" t="s">
        <v>94</v>
      </c>
    </row>
    <row r="1038" spans="4:4" ht="17.649999999999999" x14ac:dyDescent="0.5">
      <c r="D1038" s="3" t="s">
        <v>85</v>
      </c>
    </row>
    <row r="1039" spans="4:4" ht="17.649999999999999" x14ac:dyDescent="0.5">
      <c r="D1039" s="3" t="s">
        <v>74</v>
      </c>
    </row>
    <row r="1040" spans="4:4" ht="17.649999999999999" x14ac:dyDescent="0.5">
      <c r="D1040" s="3" t="s">
        <v>84</v>
      </c>
    </row>
    <row r="1041" spans="4:4" ht="17.649999999999999" x14ac:dyDescent="0.5">
      <c r="D1041" s="3" t="s">
        <v>67</v>
      </c>
    </row>
    <row r="1042" spans="4:4" ht="17.649999999999999" x14ac:dyDescent="0.5">
      <c r="D1042" s="3" t="s">
        <v>117</v>
      </c>
    </row>
    <row r="1043" spans="4:4" ht="17.649999999999999" x14ac:dyDescent="0.5">
      <c r="D1043" s="3" t="s">
        <v>111</v>
      </c>
    </row>
    <row r="1044" spans="4:4" ht="17.649999999999999" x14ac:dyDescent="0.5">
      <c r="D1044" s="3" t="s">
        <v>59</v>
      </c>
    </row>
    <row r="1045" spans="4:4" ht="17.649999999999999" x14ac:dyDescent="0.5">
      <c r="D1045" s="3" t="s">
        <v>73</v>
      </c>
    </row>
    <row r="1046" spans="4:4" ht="17.649999999999999" x14ac:dyDescent="0.5">
      <c r="D1046" s="3" t="s">
        <v>57</v>
      </c>
    </row>
    <row r="1047" spans="4:4" ht="17.649999999999999" x14ac:dyDescent="0.5">
      <c r="D1047" s="3" t="s">
        <v>132</v>
      </c>
    </row>
    <row r="1048" spans="4:4" ht="17.649999999999999" x14ac:dyDescent="0.5">
      <c r="D1048" s="3" t="s">
        <v>92</v>
      </c>
    </row>
    <row r="1049" spans="4:4" ht="17.649999999999999" x14ac:dyDescent="0.5">
      <c r="D1049" s="3" t="s">
        <v>56</v>
      </c>
    </row>
    <row r="1050" spans="4:4" ht="17.649999999999999" x14ac:dyDescent="0.5">
      <c r="D1050" s="3" t="s">
        <v>43</v>
      </c>
    </row>
    <row r="1051" spans="4:4" ht="17.649999999999999" x14ac:dyDescent="0.5">
      <c r="D1051" s="3" t="s">
        <v>100</v>
      </c>
    </row>
    <row r="1052" spans="4:4" ht="17.649999999999999" x14ac:dyDescent="0.5">
      <c r="D1052" s="3" t="s">
        <v>44</v>
      </c>
    </row>
    <row r="1053" spans="4:4" ht="17.649999999999999" x14ac:dyDescent="0.5">
      <c r="D1053" s="3" t="s">
        <v>59</v>
      </c>
    </row>
    <row r="1054" spans="4:4" ht="17.649999999999999" x14ac:dyDescent="0.5">
      <c r="D1054" s="3" t="s">
        <v>64</v>
      </c>
    </row>
    <row r="1055" spans="4:4" ht="17.649999999999999" x14ac:dyDescent="0.5">
      <c r="D1055" s="3" t="s">
        <v>78</v>
      </c>
    </row>
    <row r="1056" spans="4:4" ht="17.649999999999999" x14ac:dyDescent="0.5">
      <c r="D1056" s="3" t="s">
        <v>98</v>
      </c>
    </row>
    <row r="1057" spans="4:4" ht="17.649999999999999" x14ac:dyDescent="0.5">
      <c r="D1057" s="3" t="s">
        <v>50</v>
      </c>
    </row>
    <row r="1058" spans="4:4" ht="17.649999999999999" x14ac:dyDescent="0.5">
      <c r="D1058" s="3" t="s">
        <v>72</v>
      </c>
    </row>
    <row r="1059" spans="4:4" ht="17.649999999999999" x14ac:dyDescent="0.5">
      <c r="D1059" s="3" t="s">
        <v>41</v>
      </c>
    </row>
    <row r="1060" spans="4:4" ht="17.649999999999999" x14ac:dyDescent="0.5">
      <c r="D1060" s="3" t="s">
        <v>118</v>
      </c>
    </row>
    <row r="1061" spans="4:4" ht="17.649999999999999" x14ac:dyDescent="0.5">
      <c r="D1061" s="3" t="s">
        <v>105</v>
      </c>
    </row>
    <row r="1062" spans="4:4" ht="17.649999999999999" x14ac:dyDescent="0.5">
      <c r="D1062" s="3" t="s">
        <v>84</v>
      </c>
    </row>
    <row r="1063" spans="4:4" ht="17.649999999999999" x14ac:dyDescent="0.5">
      <c r="D1063" s="3" t="s">
        <v>98</v>
      </c>
    </row>
    <row r="1064" spans="4:4" ht="17.649999999999999" x14ac:dyDescent="0.5">
      <c r="D1064" s="3" t="s">
        <v>72</v>
      </c>
    </row>
    <row r="1065" spans="4:4" ht="17.649999999999999" x14ac:dyDescent="0.5">
      <c r="D1065" s="3" t="s">
        <v>86</v>
      </c>
    </row>
    <row r="1066" spans="4:4" ht="17.649999999999999" x14ac:dyDescent="0.5">
      <c r="D1066" s="3" t="s">
        <v>65</v>
      </c>
    </row>
    <row r="1067" spans="4:4" ht="17.649999999999999" x14ac:dyDescent="0.5">
      <c r="D1067" s="3" t="s">
        <v>78</v>
      </c>
    </row>
    <row r="1068" spans="4:4" ht="17.649999999999999" x14ac:dyDescent="0.5">
      <c r="D1068" s="3" t="s">
        <v>119</v>
      </c>
    </row>
    <row r="1069" spans="4:4" ht="17.649999999999999" x14ac:dyDescent="0.5">
      <c r="D1069" s="3" t="s">
        <v>98</v>
      </c>
    </row>
    <row r="1070" spans="4:4" ht="17.649999999999999" x14ac:dyDescent="0.5">
      <c r="D1070" s="3" t="s">
        <v>94</v>
      </c>
    </row>
    <row r="1071" spans="4:4" ht="17.649999999999999" x14ac:dyDescent="0.5">
      <c r="D1071" s="3" t="s">
        <v>77</v>
      </c>
    </row>
    <row r="1072" spans="4:4" ht="17.649999999999999" x14ac:dyDescent="0.5">
      <c r="D1072" s="3" t="s">
        <v>69</v>
      </c>
    </row>
    <row r="1073" spans="4:4" ht="17.649999999999999" x14ac:dyDescent="0.5">
      <c r="D1073" s="3" t="s">
        <v>108</v>
      </c>
    </row>
    <row r="1074" spans="4:4" ht="17.649999999999999" x14ac:dyDescent="0.5">
      <c r="D1074" s="3" t="s">
        <v>78</v>
      </c>
    </row>
    <row r="1075" spans="4:4" ht="17.649999999999999" x14ac:dyDescent="0.5">
      <c r="D1075" s="3" t="s">
        <v>57</v>
      </c>
    </row>
    <row r="1076" spans="4:4" ht="17.649999999999999" x14ac:dyDescent="0.5">
      <c r="D1076" s="3" t="s">
        <v>105</v>
      </c>
    </row>
    <row r="1077" spans="4:4" ht="17.649999999999999" x14ac:dyDescent="0.5">
      <c r="D1077" s="3" t="s">
        <v>92</v>
      </c>
    </row>
    <row r="1078" spans="4:4" ht="17.649999999999999" x14ac:dyDescent="0.5">
      <c r="D1078" s="3" t="s">
        <v>41</v>
      </c>
    </row>
    <row r="1079" spans="4:4" ht="17.649999999999999" x14ac:dyDescent="0.5">
      <c r="D1079" s="3" t="s">
        <v>70</v>
      </c>
    </row>
    <row r="1080" spans="4:4" ht="17.649999999999999" x14ac:dyDescent="0.5">
      <c r="D1080" s="3" t="s">
        <v>82</v>
      </c>
    </row>
    <row r="1081" spans="4:4" ht="17.649999999999999" x14ac:dyDescent="0.5">
      <c r="D1081" s="3" t="s">
        <v>87</v>
      </c>
    </row>
    <row r="1082" spans="4:4" ht="17.649999999999999" x14ac:dyDescent="0.5">
      <c r="D1082" s="3" t="s">
        <v>46</v>
      </c>
    </row>
    <row r="1083" spans="4:4" ht="17.649999999999999" x14ac:dyDescent="0.5">
      <c r="D1083" s="3" t="s">
        <v>124</v>
      </c>
    </row>
    <row r="1084" spans="4:4" ht="17.649999999999999" x14ac:dyDescent="0.5">
      <c r="D1084" s="3" t="s">
        <v>76</v>
      </c>
    </row>
    <row r="1085" spans="4:4" ht="17.649999999999999" x14ac:dyDescent="0.5">
      <c r="D1085" s="3" t="s">
        <v>105</v>
      </c>
    </row>
    <row r="1086" spans="4:4" ht="17.649999999999999" x14ac:dyDescent="0.5">
      <c r="D1086" s="3" t="s">
        <v>56</v>
      </c>
    </row>
    <row r="1087" spans="4:4" ht="17.649999999999999" x14ac:dyDescent="0.5">
      <c r="D1087" s="3" t="s">
        <v>101</v>
      </c>
    </row>
    <row r="1088" spans="4:4" ht="17.649999999999999" x14ac:dyDescent="0.5">
      <c r="D1088" s="3" t="s">
        <v>96</v>
      </c>
    </row>
    <row r="1089" spans="4:4" ht="17.649999999999999" x14ac:dyDescent="0.5">
      <c r="D1089" s="3" t="s">
        <v>83</v>
      </c>
    </row>
    <row r="1090" spans="4:4" ht="17.649999999999999" x14ac:dyDescent="0.5">
      <c r="D1090" s="3" t="s">
        <v>54</v>
      </c>
    </row>
    <row r="1091" spans="4:4" ht="17.649999999999999" x14ac:dyDescent="0.5">
      <c r="D1091" s="3" t="s">
        <v>47</v>
      </c>
    </row>
    <row r="1092" spans="4:4" ht="17.649999999999999" x14ac:dyDescent="0.5">
      <c r="D1092" s="3" t="s">
        <v>136</v>
      </c>
    </row>
    <row r="1093" spans="4:4" ht="17.649999999999999" x14ac:dyDescent="0.5">
      <c r="D1093" s="3" t="s">
        <v>56</v>
      </c>
    </row>
    <row r="1094" spans="4:4" ht="17.649999999999999" x14ac:dyDescent="0.5">
      <c r="D1094" s="3" t="s">
        <v>100</v>
      </c>
    </row>
    <row r="1095" spans="4:4" ht="17.649999999999999" x14ac:dyDescent="0.5">
      <c r="D1095" s="3" t="s">
        <v>112</v>
      </c>
    </row>
    <row r="1096" spans="4:4" ht="17.649999999999999" x14ac:dyDescent="0.5">
      <c r="D1096" s="3" t="s">
        <v>67</v>
      </c>
    </row>
    <row r="1097" spans="4:4" ht="17.649999999999999" x14ac:dyDescent="0.5">
      <c r="D1097" s="3" t="s">
        <v>61</v>
      </c>
    </row>
    <row r="1098" spans="4:4" ht="17.649999999999999" x14ac:dyDescent="0.5">
      <c r="D1098" s="3" t="s">
        <v>127</v>
      </c>
    </row>
    <row r="1099" spans="4:4" ht="17.649999999999999" x14ac:dyDescent="0.5">
      <c r="D1099" s="3" t="s">
        <v>57</v>
      </c>
    </row>
    <row r="1100" spans="4:4" ht="17.649999999999999" x14ac:dyDescent="0.5">
      <c r="D1100" s="3" t="s">
        <v>78</v>
      </c>
    </row>
    <row r="1101" spans="4:4" ht="17.649999999999999" x14ac:dyDescent="0.5">
      <c r="D1101" s="3" t="s">
        <v>97</v>
      </c>
    </row>
    <row r="1102" spans="4:4" ht="17.649999999999999" x14ac:dyDescent="0.5">
      <c r="D1102" s="3" t="s">
        <v>51</v>
      </c>
    </row>
    <row r="1103" spans="4:4" ht="17.649999999999999" x14ac:dyDescent="0.5">
      <c r="D1103" s="3" t="s">
        <v>81</v>
      </c>
    </row>
    <row r="1104" spans="4:4" ht="17.649999999999999" x14ac:dyDescent="0.5">
      <c r="D1104" s="3" t="s">
        <v>109</v>
      </c>
    </row>
    <row r="1105" spans="4:4" ht="17.649999999999999" x14ac:dyDescent="0.5">
      <c r="D1105" s="3" t="s">
        <v>126</v>
      </c>
    </row>
    <row r="1106" spans="4:4" ht="17.649999999999999" x14ac:dyDescent="0.5">
      <c r="D1106" s="3" t="s">
        <v>69</v>
      </c>
    </row>
    <row r="1107" spans="4:4" ht="17.649999999999999" x14ac:dyDescent="0.5">
      <c r="D1107" s="3" t="s">
        <v>68</v>
      </c>
    </row>
    <row r="1108" spans="4:4" ht="17.649999999999999" x14ac:dyDescent="0.5">
      <c r="D1108" s="3" t="s">
        <v>73</v>
      </c>
    </row>
    <row r="1109" spans="4:4" ht="17.649999999999999" x14ac:dyDescent="0.5">
      <c r="D1109" s="3" t="s">
        <v>136</v>
      </c>
    </row>
    <row r="1110" spans="4:4" ht="17.649999999999999" x14ac:dyDescent="0.5">
      <c r="D1110" s="3" t="s">
        <v>50</v>
      </c>
    </row>
    <row r="1111" spans="4:4" ht="17.649999999999999" x14ac:dyDescent="0.5">
      <c r="D1111" s="3" t="s">
        <v>129</v>
      </c>
    </row>
    <row r="1112" spans="4:4" ht="17.649999999999999" x14ac:dyDescent="0.5">
      <c r="D1112" s="3" t="s">
        <v>63</v>
      </c>
    </row>
    <row r="1113" spans="4:4" ht="17.649999999999999" x14ac:dyDescent="0.5">
      <c r="D1113" s="3" t="s">
        <v>105</v>
      </c>
    </row>
    <row r="1114" spans="4:4" ht="17.649999999999999" x14ac:dyDescent="0.5">
      <c r="D1114" s="3" t="s">
        <v>98</v>
      </c>
    </row>
    <row r="1115" spans="4:4" ht="17.649999999999999" x14ac:dyDescent="0.5">
      <c r="D1115" s="3" t="s">
        <v>61</v>
      </c>
    </row>
    <row r="1116" spans="4:4" ht="17.649999999999999" x14ac:dyDescent="0.5">
      <c r="D1116" s="3" t="s">
        <v>48</v>
      </c>
    </row>
    <row r="1117" spans="4:4" ht="17.649999999999999" x14ac:dyDescent="0.5">
      <c r="D1117" s="3" t="s">
        <v>91</v>
      </c>
    </row>
    <row r="1118" spans="4:4" ht="17.649999999999999" x14ac:dyDescent="0.5">
      <c r="D1118" s="3" t="s">
        <v>80</v>
      </c>
    </row>
    <row r="1119" spans="4:4" ht="17.649999999999999" x14ac:dyDescent="0.5">
      <c r="D1119" s="3" t="s">
        <v>103</v>
      </c>
    </row>
    <row r="1120" spans="4:4" ht="17.649999999999999" x14ac:dyDescent="0.5">
      <c r="D1120" s="3" t="s">
        <v>48</v>
      </c>
    </row>
    <row r="1121" spans="4:4" ht="17.649999999999999" x14ac:dyDescent="0.5">
      <c r="D1121" s="3" t="s">
        <v>73</v>
      </c>
    </row>
    <row r="1122" spans="4:4" ht="17.649999999999999" x14ac:dyDescent="0.5">
      <c r="D1122" s="3" t="s">
        <v>66</v>
      </c>
    </row>
    <row r="1123" spans="4:4" ht="17.649999999999999" x14ac:dyDescent="0.5">
      <c r="D1123" s="3" t="s">
        <v>101</v>
      </c>
    </row>
    <row r="1124" spans="4:4" ht="17.649999999999999" x14ac:dyDescent="0.5">
      <c r="D1124" s="3" t="s">
        <v>112</v>
      </c>
    </row>
    <row r="1125" spans="4:4" ht="17.649999999999999" x14ac:dyDescent="0.5">
      <c r="D1125" s="3" t="s">
        <v>50</v>
      </c>
    </row>
    <row r="1126" spans="4:4" ht="17.649999999999999" x14ac:dyDescent="0.5">
      <c r="D1126" s="3" t="s">
        <v>79</v>
      </c>
    </row>
    <row r="1127" spans="4:4" ht="17.649999999999999" x14ac:dyDescent="0.5">
      <c r="D1127" s="3" t="s">
        <v>62</v>
      </c>
    </row>
    <row r="1128" spans="4:4" ht="17.649999999999999" x14ac:dyDescent="0.5">
      <c r="D1128" s="3" t="s">
        <v>55</v>
      </c>
    </row>
    <row r="1129" spans="4:4" ht="17.649999999999999" x14ac:dyDescent="0.5">
      <c r="D1129" s="3" t="s">
        <v>94</v>
      </c>
    </row>
    <row r="1130" spans="4:4" ht="17.649999999999999" x14ac:dyDescent="0.5">
      <c r="D1130" s="3" t="s">
        <v>57</v>
      </c>
    </row>
    <row r="1131" spans="4:4" ht="17.649999999999999" x14ac:dyDescent="0.5">
      <c r="D1131" s="3" t="s">
        <v>54</v>
      </c>
    </row>
    <row r="1132" spans="4:4" ht="17.649999999999999" x14ac:dyDescent="0.5">
      <c r="D1132" s="3" t="s">
        <v>51</v>
      </c>
    </row>
    <row r="1133" spans="4:4" ht="17.649999999999999" x14ac:dyDescent="0.5">
      <c r="D1133" s="3" t="s">
        <v>116</v>
      </c>
    </row>
    <row r="1134" spans="4:4" ht="17.649999999999999" x14ac:dyDescent="0.5">
      <c r="D1134" s="3" t="s">
        <v>89</v>
      </c>
    </row>
    <row r="1135" spans="4:4" ht="17.649999999999999" x14ac:dyDescent="0.5">
      <c r="D1135" s="3" t="s">
        <v>50</v>
      </c>
    </row>
    <row r="1136" spans="4:4" ht="17.649999999999999" x14ac:dyDescent="0.5">
      <c r="D1136" s="3" t="s">
        <v>119</v>
      </c>
    </row>
    <row r="1137" spans="4:4" ht="17.649999999999999" x14ac:dyDescent="0.5">
      <c r="D1137" s="3" t="s">
        <v>62</v>
      </c>
    </row>
    <row r="1138" spans="4:4" ht="17.649999999999999" x14ac:dyDescent="0.5">
      <c r="D1138" s="3" t="s">
        <v>98</v>
      </c>
    </row>
    <row r="1139" spans="4:4" ht="17.649999999999999" x14ac:dyDescent="0.5">
      <c r="D1139" s="3" t="s">
        <v>51</v>
      </c>
    </row>
    <row r="1140" spans="4:4" ht="17.649999999999999" x14ac:dyDescent="0.5">
      <c r="D1140" s="3" t="s">
        <v>86</v>
      </c>
    </row>
    <row r="1141" spans="4:4" ht="17.649999999999999" x14ac:dyDescent="0.5">
      <c r="D1141" s="3" t="s">
        <v>77</v>
      </c>
    </row>
    <row r="1142" spans="4:4" ht="17.649999999999999" x14ac:dyDescent="0.5">
      <c r="D1142" s="3" t="s">
        <v>107</v>
      </c>
    </row>
    <row r="1143" spans="4:4" ht="17.649999999999999" x14ac:dyDescent="0.5">
      <c r="D1143" s="3" t="s">
        <v>82</v>
      </c>
    </row>
    <row r="1144" spans="4:4" ht="17.649999999999999" x14ac:dyDescent="0.5">
      <c r="D1144" s="3" t="s">
        <v>117</v>
      </c>
    </row>
    <row r="1145" spans="4:4" ht="17.649999999999999" x14ac:dyDescent="0.5">
      <c r="D1145" s="3" t="s">
        <v>42</v>
      </c>
    </row>
    <row r="1146" spans="4:4" ht="17.649999999999999" x14ac:dyDescent="0.5">
      <c r="D1146" s="3" t="s">
        <v>61</v>
      </c>
    </row>
    <row r="1147" spans="4:4" ht="17.649999999999999" x14ac:dyDescent="0.5">
      <c r="D1147" s="3" t="s">
        <v>81</v>
      </c>
    </row>
    <row r="1148" spans="4:4" ht="17.649999999999999" x14ac:dyDescent="0.5">
      <c r="D1148" s="3" t="s">
        <v>115</v>
      </c>
    </row>
    <row r="1149" spans="4:4" ht="17.649999999999999" x14ac:dyDescent="0.5">
      <c r="D1149" s="3" t="s">
        <v>90</v>
      </c>
    </row>
    <row r="1150" spans="4:4" ht="17.649999999999999" x14ac:dyDescent="0.5">
      <c r="D1150" s="3" t="s">
        <v>52</v>
      </c>
    </row>
    <row r="1151" spans="4:4" ht="17.649999999999999" x14ac:dyDescent="0.5">
      <c r="D1151" s="3" t="s">
        <v>42</v>
      </c>
    </row>
    <row r="1152" spans="4:4" ht="17.649999999999999" x14ac:dyDescent="0.5">
      <c r="D1152" s="3" t="s">
        <v>101</v>
      </c>
    </row>
    <row r="1153" spans="4:4" ht="17.649999999999999" x14ac:dyDescent="0.5">
      <c r="D1153" s="3" t="s">
        <v>42</v>
      </c>
    </row>
    <row r="1154" spans="4:4" ht="17.649999999999999" x14ac:dyDescent="0.5">
      <c r="D1154" s="3" t="s">
        <v>77</v>
      </c>
    </row>
    <row r="1155" spans="4:4" ht="17.649999999999999" x14ac:dyDescent="0.5">
      <c r="D1155" s="3" t="s">
        <v>73</v>
      </c>
    </row>
    <row r="1156" spans="4:4" ht="17.649999999999999" x14ac:dyDescent="0.5">
      <c r="D1156" s="3" t="s">
        <v>94</v>
      </c>
    </row>
    <row r="1157" spans="4:4" ht="17.649999999999999" x14ac:dyDescent="0.5">
      <c r="D1157" s="3" t="s">
        <v>79</v>
      </c>
    </row>
    <row r="1158" spans="4:4" ht="17.649999999999999" x14ac:dyDescent="0.5">
      <c r="D1158" s="3" t="s">
        <v>48</v>
      </c>
    </row>
    <row r="1159" spans="4:4" ht="17.649999999999999" x14ac:dyDescent="0.5">
      <c r="D1159" s="3" t="s">
        <v>45</v>
      </c>
    </row>
    <row r="1160" spans="4:4" ht="17.649999999999999" x14ac:dyDescent="0.5">
      <c r="D1160" s="3" t="s">
        <v>49</v>
      </c>
    </row>
    <row r="1161" spans="4:4" ht="17.649999999999999" x14ac:dyDescent="0.5">
      <c r="D1161" s="3" t="s">
        <v>83</v>
      </c>
    </row>
    <row r="1162" spans="4:4" ht="17.649999999999999" x14ac:dyDescent="0.5">
      <c r="D1162" s="3" t="s">
        <v>103</v>
      </c>
    </row>
    <row r="1163" spans="4:4" ht="17.649999999999999" x14ac:dyDescent="0.5">
      <c r="D1163" s="3" t="s">
        <v>74</v>
      </c>
    </row>
    <row r="1164" spans="4:4" ht="17.649999999999999" x14ac:dyDescent="0.5">
      <c r="D1164" s="3" t="s">
        <v>88</v>
      </c>
    </row>
    <row r="1165" spans="4:4" ht="17.649999999999999" x14ac:dyDescent="0.5">
      <c r="D1165" s="3" t="s">
        <v>112</v>
      </c>
    </row>
    <row r="1166" spans="4:4" ht="17.649999999999999" x14ac:dyDescent="0.5">
      <c r="D1166" s="3" t="s">
        <v>56</v>
      </c>
    </row>
    <row r="1167" spans="4:4" ht="17.649999999999999" x14ac:dyDescent="0.5">
      <c r="D1167" s="3" t="s">
        <v>101</v>
      </c>
    </row>
    <row r="1168" spans="4:4" ht="17.649999999999999" x14ac:dyDescent="0.5">
      <c r="D1168" s="3" t="s">
        <v>78</v>
      </c>
    </row>
    <row r="1169" spans="4:4" ht="17.649999999999999" x14ac:dyDescent="0.5">
      <c r="D1169" s="3" t="s">
        <v>49</v>
      </c>
    </row>
    <row r="1170" spans="4:4" ht="17.649999999999999" x14ac:dyDescent="0.5">
      <c r="D1170" s="3" t="s">
        <v>75</v>
      </c>
    </row>
    <row r="1171" spans="4:4" ht="17.649999999999999" x14ac:dyDescent="0.5">
      <c r="D1171" s="3" t="s">
        <v>72</v>
      </c>
    </row>
    <row r="1172" spans="4:4" ht="17.649999999999999" x14ac:dyDescent="0.5">
      <c r="D1172" s="3" t="s">
        <v>66</v>
      </c>
    </row>
    <row r="1173" spans="4:4" ht="17.649999999999999" x14ac:dyDescent="0.5">
      <c r="D1173" s="3" t="s">
        <v>55</v>
      </c>
    </row>
    <row r="1174" spans="4:4" ht="17.649999999999999" x14ac:dyDescent="0.5">
      <c r="D1174" s="3" t="s">
        <v>75</v>
      </c>
    </row>
    <row r="1175" spans="4:4" ht="17.649999999999999" x14ac:dyDescent="0.5">
      <c r="D1175" s="3" t="s">
        <v>86</v>
      </c>
    </row>
    <row r="1176" spans="4:4" ht="17.649999999999999" x14ac:dyDescent="0.5">
      <c r="D1176" s="3" t="s">
        <v>68</v>
      </c>
    </row>
    <row r="1177" spans="4:4" ht="17.649999999999999" x14ac:dyDescent="0.5">
      <c r="D1177" s="3" t="s">
        <v>77</v>
      </c>
    </row>
    <row r="1178" spans="4:4" ht="17.649999999999999" x14ac:dyDescent="0.5">
      <c r="D1178" s="3" t="s">
        <v>61</v>
      </c>
    </row>
    <row r="1179" spans="4:4" ht="17.649999999999999" x14ac:dyDescent="0.5">
      <c r="D1179" s="3" t="s">
        <v>92</v>
      </c>
    </row>
    <row r="1180" spans="4:4" ht="17.649999999999999" x14ac:dyDescent="0.5">
      <c r="D1180" s="3" t="s">
        <v>125</v>
      </c>
    </row>
    <row r="1181" spans="4:4" ht="17.649999999999999" x14ac:dyDescent="0.5">
      <c r="D1181" s="3" t="s">
        <v>49</v>
      </c>
    </row>
    <row r="1182" spans="4:4" ht="17.649999999999999" x14ac:dyDescent="0.5">
      <c r="D1182" s="3" t="s">
        <v>62</v>
      </c>
    </row>
    <row r="1183" spans="4:4" ht="17.649999999999999" x14ac:dyDescent="0.5">
      <c r="D1183" s="3" t="s">
        <v>104</v>
      </c>
    </row>
    <row r="1184" spans="4:4" ht="17.649999999999999" x14ac:dyDescent="0.5">
      <c r="D1184" s="3" t="s">
        <v>91</v>
      </c>
    </row>
    <row r="1185" spans="4:4" ht="17.649999999999999" x14ac:dyDescent="0.5">
      <c r="D1185" s="3" t="s">
        <v>107</v>
      </c>
    </row>
    <row r="1186" spans="4:4" ht="17.649999999999999" x14ac:dyDescent="0.5">
      <c r="D1186" s="3" t="s">
        <v>109</v>
      </c>
    </row>
    <row r="1187" spans="4:4" ht="17.649999999999999" x14ac:dyDescent="0.5">
      <c r="D1187" s="3" t="s">
        <v>86</v>
      </c>
    </row>
    <row r="1188" spans="4:4" ht="17.649999999999999" x14ac:dyDescent="0.5">
      <c r="D1188" s="3" t="s">
        <v>65</v>
      </c>
    </row>
    <row r="1189" spans="4:4" ht="17.649999999999999" x14ac:dyDescent="0.5">
      <c r="D1189" s="3" t="s">
        <v>118</v>
      </c>
    </row>
    <row r="1190" spans="4:4" ht="17.649999999999999" x14ac:dyDescent="0.5">
      <c r="D1190" s="3" t="s">
        <v>56</v>
      </c>
    </row>
    <row r="1191" spans="4:4" ht="17.649999999999999" x14ac:dyDescent="0.5">
      <c r="D1191" s="3" t="s">
        <v>49</v>
      </c>
    </row>
    <row r="1192" spans="4:4" ht="17.649999999999999" x14ac:dyDescent="0.5">
      <c r="D1192" s="3" t="s">
        <v>128</v>
      </c>
    </row>
    <row r="1193" spans="4:4" ht="17.649999999999999" x14ac:dyDescent="0.5">
      <c r="D1193" s="3" t="s">
        <v>53</v>
      </c>
    </row>
    <row r="1194" spans="4:4" ht="17.649999999999999" x14ac:dyDescent="0.5">
      <c r="D1194" s="3" t="s">
        <v>115</v>
      </c>
    </row>
    <row r="1195" spans="4:4" ht="17.649999999999999" x14ac:dyDescent="0.5">
      <c r="D1195" s="3" t="s">
        <v>59</v>
      </c>
    </row>
    <row r="1196" spans="4:4" ht="17.649999999999999" x14ac:dyDescent="0.5">
      <c r="D1196" s="3" t="s">
        <v>83</v>
      </c>
    </row>
    <row r="1197" spans="4:4" ht="17.649999999999999" x14ac:dyDescent="0.5">
      <c r="D1197" s="3" t="s">
        <v>50</v>
      </c>
    </row>
    <row r="1198" spans="4:4" ht="17.649999999999999" x14ac:dyDescent="0.5">
      <c r="D1198" s="3" t="s">
        <v>64</v>
      </c>
    </row>
    <row r="1199" spans="4:4" ht="17.649999999999999" x14ac:dyDescent="0.5">
      <c r="D1199" s="3" t="s">
        <v>47</v>
      </c>
    </row>
    <row r="1200" spans="4:4" ht="17.649999999999999" x14ac:dyDescent="0.5">
      <c r="D1200" s="3" t="s">
        <v>101</v>
      </c>
    </row>
    <row r="1201" spans="4:4" ht="17.649999999999999" x14ac:dyDescent="0.5">
      <c r="D1201" s="3" t="s">
        <v>61</v>
      </c>
    </row>
    <row r="1202" spans="4:4" ht="17.649999999999999" x14ac:dyDescent="0.5">
      <c r="D1202" s="3" t="s">
        <v>105</v>
      </c>
    </row>
    <row r="1203" spans="4:4" ht="17.649999999999999" x14ac:dyDescent="0.5">
      <c r="D1203" s="3" t="s">
        <v>59</v>
      </c>
    </row>
    <row r="1204" spans="4:4" ht="17.649999999999999" x14ac:dyDescent="0.5">
      <c r="D1204" s="3" t="s">
        <v>85</v>
      </c>
    </row>
    <row r="1205" spans="4:4" ht="17.649999999999999" x14ac:dyDescent="0.5">
      <c r="D1205" s="3" t="s">
        <v>81</v>
      </c>
    </row>
    <row r="1206" spans="4:4" ht="17.649999999999999" x14ac:dyDescent="0.5">
      <c r="D1206" s="3" t="s">
        <v>108</v>
      </c>
    </row>
    <row r="1207" spans="4:4" ht="17.649999999999999" x14ac:dyDescent="0.5">
      <c r="D1207" s="3" t="s">
        <v>65</v>
      </c>
    </row>
    <row r="1208" spans="4:4" ht="17.649999999999999" x14ac:dyDescent="0.5">
      <c r="D1208" s="3" t="s">
        <v>136</v>
      </c>
    </row>
    <row r="1209" spans="4:4" ht="17.649999999999999" x14ac:dyDescent="0.5">
      <c r="D1209" s="3" t="s">
        <v>88</v>
      </c>
    </row>
    <row r="1210" spans="4:4" ht="17.649999999999999" x14ac:dyDescent="0.5">
      <c r="D1210" s="3" t="s">
        <v>112</v>
      </c>
    </row>
    <row r="1211" spans="4:4" ht="17.649999999999999" x14ac:dyDescent="0.5">
      <c r="D1211" s="3" t="s">
        <v>52</v>
      </c>
    </row>
    <row r="1212" spans="4:4" ht="17.649999999999999" x14ac:dyDescent="0.5">
      <c r="D1212" s="3" t="s">
        <v>83</v>
      </c>
    </row>
    <row r="1213" spans="4:4" ht="17.649999999999999" x14ac:dyDescent="0.5">
      <c r="D1213" s="3" t="s">
        <v>124</v>
      </c>
    </row>
    <row r="1214" spans="4:4" ht="17.649999999999999" x14ac:dyDescent="0.5">
      <c r="D1214" s="3" t="s">
        <v>41</v>
      </c>
    </row>
    <row r="1215" spans="4:4" ht="17.649999999999999" x14ac:dyDescent="0.5">
      <c r="D1215" s="3" t="s">
        <v>56</v>
      </c>
    </row>
    <row r="1216" spans="4:4" ht="17.649999999999999" x14ac:dyDescent="0.5">
      <c r="D1216" s="3" t="s">
        <v>66</v>
      </c>
    </row>
    <row r="1217" spans="4:4" ht="17.649999999999999" x14ac:dyDescent="0.5">
      <c r="D1217" s="3" t="s">
        <v>67</v>
      </c>
    </row>
    <row r="1218" spans="4:4" ht="17.649999999999999" x14ac:dyDescent="0.5">
      <c r="D1218" s="3" t="s">
        <v>112</v>
      </c>
    </row>
    <row r="1219" spans="4:4" ht="17.649999999999999" x14ac:dyDescent="0.5">
      <c r="D1219" s="3" t="s">
        <v>54</v>
      </c>
    </row>
    <row r="1220" spans="4:4" ht="17.649999999999999" x14ac:dyDescent="0.5">
      <c r="D1220" s="3" t="s">
        <v>80</v>
      </c>
    </row>
    <row r="1221" spans="4:4" ht="17.649999999999999" x14ac:dyDescent="0.5">
      <c r="D1221" s="3" t="s">
        <v>63</v>
      </c>
    </row>
    <row r="1222" spans="4:4" ht="17.649999999999999" x14ac:dyDescent="0.5">
      <c r="D1222" s="3" t="s">
        <v>103</v>
      </c>
    </row>
    <row r="1223" spans="4:4" ht="17.649999999999999" x14ac:dyDescent="0.5">
      <c r="D1223" s="3" t="s">
        <v>96</v>
      </c>
    </row>
    <row r="1224" spans="4:4" ht="17.649999999999999" x14ac:dyDescent="0.5">
      <c r="D1224" s="3" t="s">
        <v>80</v>
      </c>
    </row>
    <row r="1225" spans="4:4" ht="17.649999999999999" x14ac:dyDescent="0.5">
      <c r="D1225" s="3" t="s">
        <v>108</v>
      </c>
    </row>
    <row r="1226" spans="4:4" ht="17.649999999999999" x14ac:dyDescent="0.5">
      <c r="D1226" s="3" t="s">
        <v>91</v>
      </c>
    </row>
    <row r="1227" spans="4:4" ht="17.649999999999999" x14ac:dyDescent="0.5">
      <c r="D1227" s="3" t="s">
        <v>67</v>
      </c>
    </row>
    <row r="1228" spans="4:4" ht="17.649999999999999" x14ac:dyDescent="0.5">
      <c r="D1228" s="3" t="s">
        <v>103</v>
      </c>
    </row>
    <row r="1229" spans="4:4" ht="17.649999999999999" x14ac:dyDescent="0.5">
      <c r="D1229" s="3" t="s">
        <v>117</v>
      </c>
    </row>
    <row r="1230" spans="4:4" ht="17.649999999999999" x14ac:dyDescent="0.5">
      <c r="D1230" s="3" t="s">
        <v>56</v>
      </c>
    </row>
    <row r="1231" spans="4:4" ht="17.649999999999999" x14ac:dyDescent="0.5">
      <c r="D1231" s="3" t="s">
        <v>122</v>
      </c>
    </row>
    <row r="1232" spans="4:4" ht="17.649999999999999" x14ac:dyDescent="0.5">
      <c r="D1232" s="3" t="s">
        <v>58</v>
      </c>
    </row>
    <row r="1233" spans="4:4" ht="17.649999999999999" x14ac:dyDescent="0.5">
      <c r="D1233" s="3" t="s">
        <v>49</v>
      </c>
    </row>
    <row r="1234" spans="4:4" ht="17.649999999999999" x14ac:dyDescent="0.5">
      <c r="D1234" s="3" t="s">
        <v>48</v>
      </c>
    </row>
    <row r="1235" spans="4:4" ht="17.649999999999999" x14ac:dyDescent="0.5">
      <c r="D1235" s="3" t="s">
        <v>46</v>
      </c>
    </row>
    <row r="1236" spans="4:4" ht="17.649999999999999" x14ac:dyDescent="0.5">
      <c r="D1236" s="3" t="s">
        <v>57</v>
      </c>
    </row>
    <row r="1237" spans="4:4" ht="17.649999999999999" x14ac:dyDescent="0.5">
      <c r="D1237" s="3" t="s">
        <v>136</v>
      </c>
    </row>
    <row r="1238" spans="4:4" ht="17.649999999999999" x14ac:dyDescent="0.5">
      <c r="D1238" s="3" t="s">
        <v>73</v>
      </c>
    </row>
    <row r="1239" spans="4:4" ht="17.649999999999999" x14ac:dyDescent="0.5">
      <c r="D1239" s="3" t="s">
        <v>105</v>
      </c>
    </row>
    <row r="1240" spans="4:4" ht="17.649999999999999" x14ac:dyDescent="0.5">
      <c r="D1240" s="3" t="s">
        <v>66</v>
      </c>
    </row>
    <row r="1241" spans="4:4" ht="17.649999999999999" x14ac:dyDescent="0.5">
      <c r="D1241" s="3" t="s">
        <v>51</v>
      </c>
    </row>
    <row r="1242" spans="4:4" ht="17.649999999999999" x14ac:dyDescent="0.5">
      <c r="D1242" s="3" t="s">
        <v>102</v>
      </c>
    </row>
    <row r="1243" spans="4:4" ht="17.649999999999999" x14ac:dyDescent="0.5">
      <c r="D1243" s="3" t="s">
        <v>57</v>
      </c>
    </row>
    <row r="1244" spans="4:4" ht="17.649999999999999" x14ac:dyDescent="0.5">
      <c r="D1244" s="3" t="s">
        <v>53</v>
      </c>
    </row>
    <row r="1245" spans="4:4" ht="17.649999999999999" x14ac:dyDescent="0.5">
      <c r="D1245" s="3" t="s">
        <v>85</v>
      </c>
    </row>
    <row r="1246" spans="4:4" ht="17.649999999999999" x14ac:dyDescent="0.5">
      <c r="D1246" s="3" t="s">
        <v>117</v>
      </c>
    </row>
    <row r="1247" spans="4:4" ht="17.649999999999999" x14ac:dyDescent="0.5">
      <c r="D1247" s="3" t="s">
        <v>64</v>
      </c>
    </row>
    <row r="1248" spans="4:4" ht="17.649999999999999" x14ac:dyDescent="0.5">
      <c r="D1248" s="3" t="s">
        <v>48</v>
      </c>
    </row>
    <row r="1249" spans="4:4" ht="17.649999999999999" x14ac:dyDescent="0.5">
      <c r="D1249" s="3" t="s">
        <v>44</v>
      </c>
    </row>
    <row r="1250" spans="4:4" ht="17.649999999999999" x14ac:dyDescent="0.5">
      <c r="D1250" s="3" t="s">
        <v>93</v>
      </c>
    </row>
    <row r="1251" spans="4:4" ht="17.649999999999999" x14ac:dyDescent="0.5">
      <c r="D1251" s="3" t="s">
        <v>59</v>
      </c>
    </row>
    <row r="1252" spans="4:4" ht="17.649999999999999" x14ac:dyDescent="0.5">
      <c r="D1252" s="3" t="s">
        <v>65</v>
      </c>
    </row>
    <row r="1253" spans="4:4" ht="17.649999999999999" x14ac:dyDescent="0.5">
      <c r="D1253" s="3" t="s">
        <v>75</v>
      </c>
    </row>
    <row r="1254" spans="4:4" ht="17.649999999999999" x14ac:dyDescent="0.5">
      <c r="D1254" s="3" t="s">
        <v>69</v>
      </c>
    </row>
    <row r="1255" spans="4:4" ht="17.649999999999999" x14ac:dyDescent="0.5">
      <c r="D1255" s="3" t="s">
        <v>96</v>
      </c>
    </row>
    <row r="1256" spans="4:4" ht="17.649999999999999" x14ac:dyDescent="0.5">
      <c r="D1256" s="3" t="s">
        <v>52</v>
      </c>
    </row>
    <row r="1257" spans="4:4" ht="17.649999999999999" x14ac:dyDescent="0.5">
      <c r="D1257" s="3" t="s">
        <v>88</v>
      </c>
    </row>
    <row r="1258" spans="4:4" ht="17.649999999999999" x14ac:dyDescent="0.5">
      <c r="D1258" s="3" t="s">
        <v>55</v>
      </c>
    </row>
    <row r="1259" spans="4:4" ht="17.649999999999999" x14ac:dyDescent="0.5">
      <c r="D1259" s="3" t="s">
        <v>54</v>
      </c>
    </row>
    <row r="1260" spans="4:4" ht="17.649999999999999" x14ac:dyDescent="0.5">
      <c r="D1260" s="3" t="s">
        <v>46</v>
      </c>
    </row>
    <row r="1261" spans="4:4" ht="17.649999999999999" x14ac:dyDescent="0.5">
      <c r="D1261" s="3" t="s">
        <v>84</v>
      </c>
    </row>
    <row r="1262" spans="4:4" ht="17.649999999999999" x14ac:dyDescent="0.5">
      <c r="D1262" s="3" t="s">
        <v>78</v>
      </c>
    </row>
    <row r="1263" spans="4:4" ht="17.649999999999999" x14ac:dyDescent="0.5">
      <c r="D1263" s="3" t="s">
        <v>103</v>
      </c>
    </row>
    <row r="1264" spans="4:4" ht="17.649999999999999" x14ac:dyDescent="0.5">
      <c r="D1264" s="3" t="s">
        <v>49</v>
      </c>
    </row>
    <row r="1265" spans="4:4" ht="17.649999999999999" x14ac:dyDescent="0.5">
      <c r="D1265" s="3" t="s">
        <v>73</v>
      </c>
    </row>
    <row r="1266" spans="4:4" ht="17.649999999999999" x14ac:dyDescent="0.5">
      <c r="D1266" s="3" t="s">
        <v>53</v>
      </c>
    </row>
    <row r="1267" spans="4:4" ht="17.649999999999999" x14ac:dyDescent="0.5">
      <c r="D1267" s="3" t="s">
        <v>125</v>
      </c>
    </row>
    <row r="1268" spans="4:4" ht="17.649999999999999" x14ac:dyDescent="0.5">
      <c r="D1268" s="3" t="s">
        <v>112</v>
      </c>
    </row>
    <row r="1269" spans="4:4" ht="17.649999999999999" x14ac:dyDescent="0.5">
      <c r="D1269" s="3" t="s">
        <v>129</v>
      </c>
    </row>
    <row r="1270" spans="4:4" ht="17.649999999999999" x14ac:dyDescent="0.5">
      <c r="D1270" s="3" t="s">
        <v>53</v>
      </c>
    </row>
    <row r="1271" spans="4:4" ht="17.649999999999999" x14ac:dyDescent="0.5">
      <c r="D1271" s="3" t="s">
        <v>105</v>
      </c>
    </row>
    <row r="1272" spans="4:4" ht="17.649999999999999" x14ac:dyDescent="0.5">
      <c r="D1272" s="3" t="s">
        <v>92</v>
      </c>
    </row>
    <row r="1273" spans="4:4" ht="17.649999999999999" x14ac:dyDescent="0.5">
      <c r="D1273" s="3" t="s">
        <v>118</v>
      </c>
    </row>
    <row r="1274" spans="4:4" ht="17.649999999999999" x14ac:dyDescent="0.5">
      <c r="D1274" s="3" t="s">
        <v>101</v>
      </c>
    </row>
    <row r="1275" spans="4:4" ht="17.649999999999999" x14ac:dyDescent="0.5">
      <c r="D1275" s="3" t="s">
        <v>42</v>
      </c>
    </row>
    <row r="1276" spans="4:4" ht="17.649999999999999" x14ac:dyDescent="0.5">
      <c r="D1276" s="3" t="s">
        <v>117</v>
      </c>
    </row>
    <row r="1277" spans="4:4" ht="17.649999999999999" x14ac:dyDescent="0.5">
      <c r="D1277" s="3" t="s">
        <v>136</v>
      </c>
    </row>
    <row r="1278" spans="4:4" ht="17.649999999999999" x14ac:dyDescent="0.5">
      <c r="D1278" s="3" t="s">
        <v>87</v>
      </c>
    </row>
    <row r="1279" spans="4:4" ht="17.649999999999999" x14ac:dyDescent="0.5">
      <c r="D1279" s="3" t="s">
        <v>115</v>
      </c>
    </row>
    <row r="1280" spans="4:4" ht="17.649999999999999" x14ac:dyDescent="0.5">
      <c r="D1280" s="3" t="s">
        <v>43</v>
      </c>
    </row>
    <row r="1281" spans="4:4" ht="17.649999999999999" x14ac:dyDescent="0.5">
      <c r="D1281" s="3" t="s">
        <v>117</v>
      </c>
    </row>
    <row r="1282" spans="4:4" ht="17.649999999999999" x14ac:dyDescent="0.5">
      <c r="D1282" s="3" t="s">
        <v>87</v>
      </c>
    </row>
    <row r="1283" spans="4:4" ht="17.649999999999999" x14ac:dyDescent="0.5">
      <c r="D1283" s="3" t="s">
        <v>90</v>
      </c>
    </row>
    <row r="1284" spans="4:4" ht="17.649999999999999" x14ac:dyDescent="0.5">
      <c r="D1284" s="3" t="s">
        <v>117</v>
      </c>
    </row>
    <row r="1285" spans="4:4" ht="17.649999999999999" x14ac:dyDescent="0.5">
      <c r="D1285" s="3" t="s">
        <v>74</v>
      </c>
    </row>
    <row r="1286" spans="4:4" ht="17.649999999999999" x14ac:dyDescent="0.5">
      <c r="D1286" s="3" t="s">
        <v>60</v>
      </c>
    </row>
    <row r="1287" spans="4:4" ht="17.649999999999999" x14ac:dyDescent="0.5">
      <c r="D1287" s="3" t="s">
        <v>56</v>
      </c>
    </row>
    <row r="1288" spans="4:4" ht="17.649999999999999" x14ac:dyDescent="0.5">
      <c r="D1288" s="3" t="s">
        <v>55</v>
      </c>
    </row>
    <row r="1289" spans="4:4" ht="17.649999999999999" x14ac:dyDescent="0.5">
      <c r="D1289" s="3" t="s">
        <v>77</v>
      </c>
    </row>
    <row r="1290" spans="4:4" ht="17.649999999999999" x14ac:dyDescent="0.5">
      <c r="D1290" s="3" t="s">
        <v>48</v>
      </c>
    </row>
    <row r="1291" spans="4:4" ht="17.649999999999999" x14ac:dyDescent="0.5">
      <c r="D1291" s="3" t="s">
        <v>45</v>
      </c>
    </row>
    <row r="1292" spans="4:4" ht="17.649999999999999" x14ac:dyDescent="0.5">
      <c r="D1292" s="3" t="s">
        <v>93</v>
      </c>
    </row>
    <row r="1293" spans="4:4" ht="17.649999999999999" x14ac:dyDescent="0.5">
      <c r="D1293" s="3" t="s">
        <v>73</v>
      </c>
    </row>
    <row r="1294" spans="4:4" ht="17.649999999999999" x14ac:dyDescent="0.5">
      <c r="D1294" s="3" t="s">
        <v>105</v>
      </c>
    </row>
    <row r="1295" spans="4:4" ht="17.649999999999999" x14ac:dyDescent="0.5">
      <c r="D1295" s="3" t="s">
        <v>51</v>
      </c>
    </row>
    <row r="1296" spans="4:4" ht="17.649999999999999" x14ac:dyDescent="0.5">
      <c r="D1296" s="3" t="s">
        <v>85</v>
      </c>
    </row>
    <row r="1297" spans="4:4" ht="17.649999999999999" x14ac:dyDescent="0.5">
      <c r="D1297" s="3" t="s">
        <v>113</v>
      </c>
    </row>
    <row r="1298" spans="4:4" ht="17.649999999999999" x14ac:dyDescent="0.5">
      <c r="D1298" s="3" t="s">
        <v>91</v>
      </c>
    </row>
    <row r="1299" spans="4:4" ht="17.649999999999999" x14ac:dyDescent="0.5">
      <c r="D1299" s="3" t="s">
        <v>112</v>
      </c>
    </row>
    <row r="1300" spans="4:4" ht="17.649999999999999" x14ac:dyDescent="0.5">
      <c r="D1300" s="3" t="s">
        <v>78</v>
      </c>
    </row>
    <row r="1301" spans="4:4" ht="17.649999999999999" x14ac:dyDescent="0.5">
      <c r="D1301" s="3" t="s">
        <v>84</v>
      </c>
    </row>
    <row r="1302" spans="4:4" ht="17.649999999999999" x14ac:dyDescent="0.5">
      <c r="D1302" s="3" t="s">
        <v>47</v>
      </c>
    </row>
    <row r="1303" spans="4:4" ht="17.649999999999999" x14ac:dyDescent="0.5">
      <c r="D1303" s="3" t="s">
        <v>65</v>
      </c>
    </row>
    <row r="1304" spans="4:4" ht="17.649999999999999" x14ac:dyDescent="0.5">
      <c r="D1304" s="3" t="s">
        <v>64</v>
      </c>
    </row>
    <row r="1305" spans="4:4" ht="17.649999999999999" x14ac:dyDescent="0.5">
      <c r="D1305" s="3" t="s">
        <v>61</v>
      </c>
    </row>
    <row r="1306" spans="4:4" ht="17.649999999999999" x14ac:dyDescent="0.5">
      <c r="D1306" s="3" t="s">
        <v>44</v>
      </c>
    </row>
    <row r="1307" spans="4:4" ht="17.649999999999999" x14ac:dyDescent="0.5">
      <c r="D1307" s="3" t="s">
        <v>64</v>
      </c>
    </row>
    <row r="1308" spans="4:4" ht="17.649999999999999" x14ac:dyDescent="0.5">
      <c r="D1308" s="3" t="s">
        <v>85</v>
      </c>
    </row>
    <row r="1309" spans="4:4" ht="17.649999999999999" x14ac:dyDescent="0.5">
      <c r="D1309" s="3" t="s">
        <v>85</v>
      </c>
    </row>
    <row r="1310" spans="4:4" ht="17.649999999999999" x14ac:dyDescent="0.5">
      <c r="D1310" s="3" t="s">
        <v>50</v>
      </c>
    </row>
    <row r="1311" spans="4:4" ht="17.649999999999999" x14ac:dyDescent="0.5">
      <c r="D1311" s="3" t="s">
        <v>108</v>
      </c>
    </row>
    <row r="1312" spans="4:4" ht="17.649999999999999" x14ac:dyDescent="0.5">
      <c r="D1312" s="3" t="s">
        <v>54</v>
      </c>
    </row>
    <row r="1313" spans="4:4" ht="17.649999999999999" x14ac:dyDescent="0.5">
      <c r="D1313" s="3" t="s">
        <v>61</v>
      </c>
    </row>
    <row r="1314" spans="4:4" ht="17.649999999999999" x14ac:dyDescent="0.5">
      <c r="D1314" s="3" t="s">
        <v>63</v>
      </c>
    </row>
    <row r="1315" spans="4:4" ht="17.649999999999999" x14ac:dyDescent="0.5">
      <c r="D1315" s="3" t="s">
        <v>111</v>
      </c>
    </row>
    <row r="1316" spans="4:4" ht="17.649999999999999" x14ac:dyDescent="0.5">
      <c r="D1316" s="3" t="s">
        <v>94</v>
      </c>
    </row>
    <row r="1317" spans="4:4" ht="17.649999999999999" x14ac:dyDescent="0.5">
      <c r="D1317" s="3" t="s">
        <v>107</v>
      </c>
    </row>
    <row r="1318" spans="4:4" ht="17.649999999999999" x14ac:dyDescent="0.5">
      <c r="D1318" s="3" t="s">
        <v>54</v>
      </c>
    </row>
    <row r="1319" spans="4:4" ht="17.649999999999999" x14ac:dyDescent="0.5">
      <c r="D1319" s="3" t="s">
        <v>69</v>
      </c>
    </row>
    <row r="1320" spans="4:4" ht="17.649999999999999" x14ac:dyDescent="0.5">
      <c r="D1320" s="3" t="s">
        <v>132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108</v>
      </c>
    </row>
    <row r="1323" spans="4:4" ht="17.649999999999999" x14ac:dyDescent="0.5">
      <c r="D1323" s="3" t="s">
        <v>58</v>
      </c>
    </row>
    <row r="1324" spans="4:4" ht="17.649999999999999" x14ac:dyDescent="0.5">
      <c r="D1324" s="3" t="s">
        <v>70</v>
      </c>
    </row>
    <row r="1325" spans="4:4" ht="17.649999999999999" x14ac:dyDescent="0.5">
      <c r="D1325" s="3" t="s">
        <v>53</v>
      </c>
    </row>
    <row r="1326" spans="4:4" ht="17.649999999999999" x14ac:dyDescent="0.5">
      <c r="D1326" s="3" t="s">
        <v>49</v>
      </c>
    </row>
    <row r="1327" spans="4:4" ht="17.649999999999999" x14ac:dyDescent="0.5">
      <c r="D1327" s="3" t="s">
        <v>63</v>
      </c>
    </row>
    <row r="1328" spans="4:4" ht="17.649999999999999" x14ac:dyDescent="0.5">
      <c r="D1328" s="3" t="s">
        <v>68</v>
      </c>
    </row>
    <row r="1329" spans="4:4" ht="17.649999999999999" x14ac:dyDescent="0.5">
      <c r="D1329" s="3" t="s">
        <v>57</v>
      </c>
    </row>
    <row r="1330" spans="4:4" ht="17.649999999999999" x14ac:dyDescent="0.5">
      <c r="D1330" s="3" t="s">
        <v>75</v>
      </c>
    </row>
    <row r="1331" spans="4:4" ht="17.649999999999999" x14ac:dyDescent="0.5">
      <c r="D1331" s="3" t="s">
        <v>68</v>
      </c>
    </row>
    <row r="1332" spans="4:4" ht="17.649999999999999" x14ac:dyDescent="0.5">
      <c r="D1332" s="3" t="s">
        <v>93</v>
      </c>
    </row>
    <row r="1333" spans="4:4" ht="17.649999999999999" x14ac:dyDescent="0.5">
      <c r="D1333" s="3" t="s">
        <v>56</v>
      </c>
    </row>
    <row r="1334" spans="4:4" ht="17.649999999999999" x14ac:dyDescent="0.5">
      <c r="D1334" s="3" t="s">
        <v>63</v>
      </c>
    </row>
    <row r="1335" spans="4:4" ht="17.649999999999999" x14ac:dyDescent="0.5">
      <c r="D1335" s="3" t="s">
        <v>41</v>
      </c>
    </row>
    <row r="1336" spans="4:4" ht="17.649999999999999" x14ac:dyDescent="0.5">
      <c r="D1336" s="3" t="s">
        <v>90</v>
      </c>
    </row>
    <row r="1337" spans="4:4" ht="17.649999999999999" x14ac:dyDescent="0.5">
      <c r="D1337" s="3" t="s">
        <v>105</v>
      </c>
    </row>
    <row r="1338" spans="4:4" ht="17.649999999999999" x14ac:dyDescent="0.5">
      <c r="D1338" s="3" t="s">
        <v>94</v>
      </c>
    </row>
    <row r="1339" spans="4:4" ht="17.649999999999999" x14ac:dyDescent="0.5">
      <c r="D1339" s="3" t="s">
        <v>47</v>
      </c>
    </row>
    <row r="1340" spans="4:4" ht="17.649999999999999" x14ac:dyDescent="0.5">
      <c r="D1340" s="3" t="s">
        <v>64</v>
      </c>
    </row>
    <row r="1341" spans="4:4" ht="17.649999999999999" x14ac:dyDescent="0.5">
      <c r="D1341" s="3" t="s">
        <v>56</v>
      </c>
    </row>
    <row r="1342" spans="4:4" ht="17.649999999999999" x14ac:dyDescent="0.5">
      <c r="D1342" s="3" t="s">
        <v>100</v>
      </c>
    </row>
    <row r="1343" spans="4:4" ht="17.649999999999999" x14ac:dyDescent="0.5">
      <c r="D1343" s="3" t="s">
        <v>96</v>
      </c>
    </row>
    <row r="1344" spans="4:4" ht="17.649999999999999" x14ac:dyDescent="0.5">
      <c r="D1344" s="3" t="s">
        <v>68</v>
      </c>
    </row>
    <row r="1345" spans="4:4" ht="17.649999999999999" x14ac:dyDescent="0.5">
      <c r="D1345" s="3" t="s">
        <v>85</v>
      </c>
    </row>
    <row r="1346" spans="4:4" ht="17.649999999999999" x14ac:dyDescent="0.5">
      <c r="D1346" s="3" t="s">
        <v>77</v>
      </c>
    </row>
    <row r="1347" spans="4:4" ht="17.649999999999999" x14ac:dyDescent="0.5">
      <c r="D1347" s="3" t="s">
        <v>43</v>
      </c>
    </row>
    <row r="1348" spans="4:4" ht="17.649999999999999" x14ac:dyDescent="0.5">
      <c r="D1348" s="3" t="s">
        <v>113</v>
      </c>
    </row>
    <row r="1349" spans="4:4" ht="17.649999999999999" x14ac:dyDescent="0.5">
      <c r="D1349" s="3" t="s">
        <v>115</v>
      </c>
    </row>
    <row r="1350" spans="4:4" ht="17.649999999999999" x14ac:dyDescent="0.5">
      <c r="D1350" s="3" t="s">
        <v>112</v>
      </c>
    </row>
    <row r="1351" spans="4:4" ht="17.649999999999999" x14ac:dyDescent="0.5">
      <c r="D1351" s="3" t="s">
        <v>85</v>
      </c>
    </row>
    <row r="1352" spans="4:4" ht="17.649999999999999" x14ac:dyDescent="0.5">
      <c r="D1352" s="3" t="s">
        <v>132</v>
      </c>
    </row>
    <row r="1353" spans="4:4" ht="17.649999999999999" x14ac:dyDescent="0.5">
      <c r="D1353" s="3" t="s">
        <v>77</v>
      </c>
    </row>
    <row r="1354" spans="4:4" ht="17.649999999999999" x14ac:dyDescent="0.5">
      <c r="D1354" s="3" t="s">
        <v>61</v>
      </c>
    </row>
    <row r="1355" spans="4:4" ht="17.649999999999999" x14ac:dyDescent="0.5">
      <c r="D1355" s="3" t="s">
        <v>59</v>
      </c>
    </row>
    <row r="1356" spans="4:4" ht="17.649999999999999" x14ac:dyDescent="0.5">
      <c r="D1356" s="3" t="s">
        <v>96</v>
      </c>
    </row>
    <row r="1357" spans="4:4" ht="17.649999999999999" x14ac:dyDescent="0.5">
      <c r="D1357" s="3" t="s">
        <v>136</v>
      </c>
    </row>
    <row r="1358" spans="4:4" ht="17.649999999999999" x14ac:dyDescent="0.5">
      <c r="D1358" s="3" t="s">
        <v>91</v>
      </c>
    </row>
    <row r="1359" spans="4:4" ht="17.649999999999999" x14ac:dyDescent="0.5">
      <c r="D1359" s="3" t="s">
        <v>87</v>
      </c>
    </row>
    <row r="1360" spans="4:4" ht="17.649999999999999" x14ac:dyDescent="0.5">
      <c r="D1360" s="3" t="s">
        <v>84</v>
      </c>
    </row>
    <row r="1361" spans="4:4" ht="17.649999999999999" x14ac:dyDescent="0.5">
      <c r="D1361" s="3" t="s">
        <v>72</v>
      </c>
    </row>
    <row r="1362" spans="4:4" ht="17.649999999999999" x14ac:dyDescent="0.5">
      <c r="D1362" s="3" t="s">
        <v>109</v>
      </c>
    </row>
    <row r="1363" spans="4:4" ht="17.649999999999999" x14ac:dyDescent="0.5">
      <c r="D1363" s="3" t="s">
        <v>43</v>
      </c>
    </row>
    <row r="1364" spans="4:4" ht="17.649999999999999" x14ac:dyDescent="0.5">
      <c r="D1364" s="3" t="s">
        <v>58</v>
      </c>
    </row>
    <row r="1365" spans="4:4" ht="17.649999999999999" x14ac:dyDescent="0.5">
      <c r="D1365" s="3" t="s">
        <v>110</v>
      </c>
    </row>
    <row r="1366" spans="4:4" ht="17.649999999999999" x14ac:dyDescent="0.5">
      <c r="D1366" s="3" t="s">
        <v>64</v>
      </c>
    </row>
    <row r="1367" spans="4:4" ht="17.649999999999999" x14ac:dyDescent="0.5">
      <c r="D1367" s="3" t="s">
        <v>53</v>
      </c>
    </row>
    <row r="1368" spans="4:4" ht="17.649999999999999" x14ac:dyDescent="0.5">
      <c r="D1368" s="3" t="s">
        <v>84</v>
      </c>
    </row>
    <row r="1369" spans="4:4" ht="17.649999999999999" x14ac:dyDescent="0.5">
      <c r="D1369" s="3" t="s">
        <v>128</v>
      </c>
    </row>
    <row r="1370" spans="4:4" ht="17.649999999999999" x14ac:dyDescent="0.5">
      <c r="D1370" s="3" t="s">
        <v>59</v>
      </c>
    </row>
    <row r="1371" spans="4:4" ht="17.649999999999999" x14ac:dyDescent="0.5">
      <c r="D1371" s="3" t="s">
        <v>114</v>
      </c>
    </row>
    <row r="1372" spans="4:4" ht="17.649999999999999" x14ac:dyDescent="0.5">
      <c r="D1372" s="3" t="s">
        <v>43</v>
      </c>
    </row>
    <row r="1373" spans="4:4" ht="17.649999999999999" x14ac:dyDescent="0.5">
      <c r="D1373" s="3" t="s">
        <v>108</v>
      </c>
    </row>
    <row r="1374" spans="4:4" ht="17.649999999999999" x14ac:dyDescent="0.5">
      <c r="D1374" s="3" t="s">
        <v>91</v>
      </c>
    </row>
    <row r="1375" spans="4:4" ht="17.649999999999999" x14ac:dyDescent="0.5">
      <c r="D1375" s="3" t="s">
        <v>96</v>
      </c>
    </row>
    <row r="1376" spans="4:4" ht="17.649999999999999" x14ac:dyDescent="0.5">
      <c r="D1376" s="3" t="s">
        <v>52</v>
      </c>
    </row>
    <row r="1377" spans="4:4" ht="17.649999999999999" x14ac:dyDescent="0.5">
      <c r="D1377" s="3" t="s">
        <v>65</v>
      </c>
    </row>
    <row r="1378" spans="4:4" ht="17.649999999999999" x14ac:dyDescent="0.5">
      <c r="D1378" s="3" t="s">
        <v>81</v>
      </c>
    </row>
    <row r="1379" spans="4:4" ht="17.649999999999999" x14ac:dyDescent="0.5">
      <c r="D1379" s="3" t="s">
        <v>122</v>
      </c>
    </row>
    <row r="1380" spans="4:4" ht="17.649999999999999" x14ac:dyDescent="0.5">
      <c r="D1380" s="3" t="s">
        <v>63</v>
      </c>
    </row>
    <row r="1381" spans="4:4" ht="17.649999999999999" x14ac:dyDescent="0.5">
      <c r="D1381" s="3" t="s">
        <v>48</v>
      </c>
    </row>
    <row r="1382" spans="4:4" ht="17.649999999999999" x14ac:dyDescent="0.5">
      <c r="D1382" s="3" t="s">
        <v>131</v>
      </c>
    </row>
    <row r="1383" spans="4:4" ht="17.649999999999999" x14ac:dyDescent="0.5">
      <c r="D1383" s="3" t="s">
        <v>107</v>
      </c>
    </row>
    <row r="1384" spans="4:4" ht="17.649999999999999" x14ac:dyDescent="0.5">
      <c r="D1384" s="3" t="s">
        <v>44</v>
      </c>
    </row>
    <row r="1385" spans="4:4" ht="17.649999999999999" x14ac:dyDescent="0.5">
      <c r="D1385" s="3" t="s">
        <v>74</v>
      </c>
    </row>
    <row r="1386" spans="4:4" ht="17.649999999999999" x14ac:dyDescent="0.5">
      <c r="D1386" s="3" t="s">
        <v>67</v>
      </c>
    </row>
    <row r="1387" spans="4:4" ht="17.649999999999999" x14ac:dyDescent="0.5">
      <c r="D1387" s="3" t="s">
        <v>57</v>
      </c>
    </row>
    <row r="1388" spans="4:4" ht="17.649999999999999" x14ac:dyDescent="0.5">
      <c r="D1388" s="3" t="s">
        <v>107</v>
      </c>
    </row>
    <row r="1389" spans="4:4" ht="17.649999999999999" x14ac:dyDescent="0.5">
      <c r="D1389" s="3" t="s">
        <v>86</v>
      </c>
    </row>
    <row r="1390" spans="4:4" ht="17.649999999999999" x14ac:dyDescent="0.5">
      <c r="D1390" s="3" t="s">
        <v>68</v>
      </c>
    </row>
    <row r="1391" spans="4:4" ht="17.649999999999999" x14ac:dyDescent="0.5">
      <c r="D1391" s="3" t="s">
        <v>52</v>
      </c>
    </row>
    <row r="1392" spans="4:4" ht="17.649999999999999" x14ac:dyDescent="0.5">
      <c r="D1392" s="3" t="s">
        <v>47</v>
      </c>
    </row>
    <row r="1393" spans="4:4" ht="17.649999999999999" x14ac:dyDescent="0.5">
      <c r="D1393" s="3" t="s">
        <v>135</v>
      </c>
    </row>
    <row r="1394" spans="4:4" ht="17.649999999999999" x14ac:dyDescent="0.5">
      <c r="D1394" s="3" t="s">
        <v>54</v>
      </c>
    </row>
    <row r="1395" spans="4:4" ht="17.649999999999999" x14ac:dyDescent="0.5">
      <c r="D1395" s="3" t="s">
        <v>78</v>
      </c>
    </row>
    <row r="1396" spans="4:4" ht="17.649999999999999" x14ac:dyDescent="0.5">
      <c r="D1396" s="3" t="s">
        <v>91</v>
      </c>
    </row>
    <row r="1397" spans="4:4" ht="17.649999999999999" x14ac:dyDescent="0.5">
      <c r="D1397" s="3" t="s">
        <v>135</v>
      </c>
    </row>
    <row r="1398" spans="4:4" ht="17.649999999999999" x14ac:dyDescent="0.5">
      <c r="D1398" s="3" t="s">
        <v>75</v>
      </c>
    </row>
    <row r="1399" spans="4:4" ht="17.649999999999999" x14ac:dyDescent="0.5">
      <c r="D1399" s="3" t="s">
        <v>81</v>
      </c>
    </row>
    <row r="1400" spans="4:4" ht="17.649999999999999" x14ac:dyDescent="0.5">
      <c r="D1400" s="3" t="s">
        <v>109</v>
      </c>
    </row>
    <row r="1401" spans="4:4" ht="17.649999999999999" x14ac:dyDescent="0.5">
      <c r="D1401" s="3" t="s">
        <v>51</v>
      </c>
    </row>
    <row r="1402" spans="4:4" ht="17.649999999999999" x14ac:dyDescent="0.5">
      <c r="D1402" s="3" t="s">
        <v>68</v>
      </c>
    </row>
    <row r="1403" spans="4:4" ht="17.649999999999999" x14ac:dyDescent="0.5">
      <c r="D1403" s="3" t="s">
        <v>80</v>
      </c>
    </row>
    <row r="1404" spans="4:4" ht="17.649999999999999" x14ac:dyDescent="0.5">
      <c r="D1404" s="3" t="s">
        <v>46</v>
      </c>
    </row>
    <row r="1405" spans="4:4" ht="17.649999999999999" x14ac:dyDescent="0.5">
      <c r="D1405" s="3" t="s">
        <v>66</v>
      </c>
    </row>
    <row r="1406" spans="4:4" ht="17.649999999999999" x14ac:dyDescent="0.5">
      <c r="D1406" s="3" t="s">
        <v>90</v>
      </c>
    </row>
    <row r="1407" spans="4:4" ht="17.649999999999999" x14ac:dyDescent="0.5">
      <c r="D1407" s="3" t="s">
        <v>52</v>
      </c>
    </row>
    <row r="1408" spans="4:4" ht="17.649999999999999" x14ac:dyDescent="0.5">
      <c r="D1408" s="3" t="s">
        <v>108</v>
      </c>
    </row>
    <row r="1409" spans="4:4" ht="17.649999999999999" x14ac:dyDescent="0.5">
      <c r="D1409" s="3" t="s">
        <v>91</v>
      </c>
    </row>
    <row r="1410" spans="4:4" ht="17.649999999999999" x14ac:dyDescent="0.5">
      <c r="D1410" s="3" t="s">
        <v>61</v>
      </c>
    </row>
    <row r="1411" spans="4:4" ht="17.649999999999999" x14ac:dyDescent="0.5">
      <c r="D1411" s="3" t="s">
        <v>119</v>
      </c>
    </row>
    <row r="1412" spans="4:4" ht="17.649999999999999" x14ac:dyDescent="0.5">
      <c r="D1412" s="3" t="s">
        <v>115</v>
      </c>
    </row>
    <row r="1413" spans="4:4" ht="17.649999999999999" x14ac:dyDescent="0.5">
      <c r="D1413" s="3" t="s">
        <v>68</v>
      </c>
    </row>
    <row r="1414" spans="4:4" ht="17.649999999999999" x14ac:dyDescent="0.5">
      <c r="D1414" s="3" t="s">
        <v>99</v>
      </c>
    </row>
    <row r="1415" spans="4:4" ht="17.649999999999999" x14ac:dyDescent="0.5">
      <c r="D1415" s="3" t="s">
        <v>71</v>
      </c>
    </row>
    <row r="1416" spans="4:4" ht="17.649999999999999" x14ac:dyDescent="0.5">
      <c r="D1416" s="3" t="s">
        <v>77</v>
      </c>
    </row>
    <row r="1417" spans="4:4" ht="17.649999999999999" x14ac:dyDescent="0.5">
      <c r="D1417" s="3" t="s">
        <v>94</v>
      </c>
    </row>
    <row r="1418" spans="4:4" ht="17.649999999999999" x14ac:dyDescent="0.5">
      <c r="D1418" s="3" t="s">
        <v>48</v>
      </c>
    </row>
    <row r="1419" spans="4:4" ht="17.649999999999999" x14ac:dyDescent="0.5">
      <c r="D1419" s="3" t="s">
        <v>69</v>
      </c>
    </row>
    <row r="1420" spans="4:4" ht="17.649999999999999" x14ac:dyDescent="0.5">
      <c r="D1420" s="3" t="s">
        <v>64</v>
      </c>
    </row>
    <row r="1421" spans="4:4" ht="17.649999999999999" x14ac:dyDescent="0.5">
      <c r="D1421" s="3" t="s">
        <v>90</v>
      </c>
    </row>
    <row r="1422" spans="4:4" ht="17.649999999999999" x14ac:dyDescent="0.5">
      <c r="D1422" s="3" t="s">
        <v>51</v>
      </c>
    </row>
    <row r="1423" spans="4:4" ht="17.649999999999999" x14ac:dyDescent="0.5">
      <c r="D1423" s="3" t="s">
        <v>91</v>
      </c>
    </row>
    <row r="1424" spans="4:4" ht="17.649999999999999" x14ac:dyDescent="0.5">
      <c r="D1424" s="3" t="s">
        <v>74</v>
      </c>
    </row>
    <row r="1425" spans="4:4" ht="17.649999999999999" x14ac:dyDescent="0.5">
      <c r="D1425" s="3" t="s">
        <v>83</v>
      </c>
    </row>
    <row r="1426" spans="4:4" ht="17.649999999999999" x14ac:dyDescent="0.5">
      <c r="D1426" s="3" t="s">
        <v>125</v>
      </c>
    </row>
    <row r="1427" spans="4:4" ht="17.649999999999999" x14ac:dyDescent="0.5">
      <c r="D1427" s="3" t="s">
        <v>102</v>
      </c>
    </row>
    <row r="1428" spans="4:4" ht="17.649999999999999" x14ac:dyDescent="0.5">
      <c r="D1428" s="3" t="s">
        <v>117</v>
      </c>
    </row>
    <row r="1429" spans="4:4" ht="17.649999999999999" x14ac:dyDescent="0.5">
      <c r="D1429" s="3" t="s">
        <v>69</v>
      </c>
    </row>
    <row r="1430" spans="4:4" ht="17.649999999999999" x14ac:dyDescent="0.5">
      <c r="D1430" s="3" t="s">
        <v>90</v>
      </c>
    </row>
    <row r="1431" spans="4:4" ht="17.649999999999999" x14ac:dyDescent="0.5">
      <c r="D1431" s="3" t="s">
        <v>52</v>
      </c>
    </row>
    <row r="1432" spans="4:4" ht="17.649999999999999" x14ac:dyDescent="0.5">
      <c r="D1432" s="3" t="s">
        <v>123</v>
      </c>
    </row>
    <row r="1433" spans="4:4" ht="17.649999999999999" x14ac:dyDescent="0.5">
      <c r="D1433" s="3" t="s">
        <v>111</v>
      </c>
    </row>
    <row r="1434" spans="4:4" ht="17.649999999999999" x14ac:dyDescent="0.5">
      <c r="D1434" s="3" t="s">
        <v>121</v>
      </c>
    </row>
    <row r="1435" spans="4:4" ht="17.649999999999999" x14ac:dyDescent="0.5">
      <c r="D1435" s="3" t="s">
        <v>90</v>
      </c>
    </row>
    <row r="1436" spans="4:4" ht="17.649999999999999" x14ac:dyDescent="0.5">
      <c r="D1436" s="3" t="s">
        <v>54</v>
      </c>
    </row>
    <row r="1437" spans="4:4" ht="17.649999999999999" x14ac:dyDescent="0.5">
      <c r="D1437" s="3" t="s">
        <v>100</v>
      </c>
    </row>
    <row r="1438" spans="4:4" ht="17.649999999999999" x14ac:dyDescent="0.5">
      <c r="D1438" s="3" t="s">
        <v>94</v>
      </c>
    </row>
    <row r="1439" spans="4:4" ht="17.649999999999999" x14ac:dyDescent="0.5">
      <c r="D1439" s="3" t="s">
        <v>98</v>
      </c>
    </row>
    <row r="1440" spans="4:4" ht="17.649999999999999" x14ac:dyDescent="0.5">
      <c r="D1440" s="3" t="s">
        <v>111</v>
      </c>
    </row>
    <row r="1441" spans="4:4" ht="17.649999999999999" x14ac:dyDescent="0.5">
      <c r="D1441" s="3" t="s">
        <v>68</v>
      </c>
    </row>
    <row r="1442" spans="4:4" ht="17.649999999999999" x14ac:dyDescent="0.5">
      <c r="D1442" s="3" t="s">
        <v>90</v>
      </c>
    </row>
    <row r="1443" spans="4:4" ht="17.649999999999999" x14ac:dyDescent="0.5">
      <c r="D1443" s="3" t="s">
        <v>124</v>
      </c>
    </row>
    <row r="1444" spans="4:4" ht="17.649999999999999" x14ac:dyDescent="0.5">
      <c r="D1444" s="3" t="s">
        <v>54</v>
      </c>
    </row>
    <row r="1445" spans="4:4" ht="17.649999999999999" x14ac:dyDescent="0.5">
      <c r="D1445" s="3" t="s">
        <v>122</v>
      </c>
    </row>
    <row r="1446" spans="4:4" ht="17.649999999999999" x14ac:dyDescent="0.5">
      <c r="D1446" s="3" t="s">
        <v>115</v>
      </c>
    </row>
    <row r="1447" spans="4:4" ht="17.649999999999999" x14ac:dyDescent="0.5">
      <c r="D1447" s="3" t="s">
        <v>107</v>
      </c>
    </row>
    <row r="1448" spans="4:4" ht="17.649999999999999" x14ac:dyDescent="0.5">
      <c r="D1448" s="3" t="s">
        <v>75</v>
      </c>
    </row>
    <row r="1449" spans="4:4" ht="17.649999999999999" x14ac:dyDescent="0.5">
      <c r="D1449" s="3" t="s">
        <v>67</v>
      </c>
    </row>
    <row r="1450" spans="4:4" ht="17.649999999999999" x14ac:dyDescent="0.5">
      <c r="D1450" s="3" t="s">
        <v>115</v>
      </c>
    </row>
    <row r="1451" spans="4:4" ht="17.649999999999999" x14ac:dyDescent="0.5">
      <c r="D1451" s="3" t="s">
        <v>107</v>
      </c>
    </row>
    <row r="1452" spans="4:4" ht="17.649999999999999" x14ac:dyDescent="0.5">
      <c r="D1452" s="3" t="s">
        <v>46</v>
      </c>
    </row>
    <row r="1453" spans="4:4" ht="17.649999999999999" x14ac:dyDescent="0.5">
      <c r="D1453" s="3" t="s">
        <v>87</v>
      </c>
    </row>
    <row r="1454" spans="4:4" ht="17.649999999999999" x14ac:dyDescent="0.5">
      <c r="D1454" s="3" t="s">
        <v>67</v>
      </c>
    </row>
    <row r="1455" spans="4:4" ht="17.649999999999999" x14ac:dyDescent="0.5">
      <c r="D1455" s="3" t="s">
        <v>99</v>
      </c>
    </row>
    <row r="1456" spans="4:4" ht="17.649999999999999" x14ac:dyDescent="0.5">
      <c r="D1456" s="3" t="s">
        <v>54</v>
      </c>
    </row>
    <row r="1457" spans="4:4" ht="17.649999999999999" x14ac:dyDescent="0.5">
      <c r="D1457" s="3" t="s">
        <v>82</v>
      </c>
    </row>
    <row r="1458" spans="4:4" ht="17.649999999999999" x14ac:dyDescent="0.5">
      <c r="D1458" s="3" t="s">
        <v>85</v>
      </c>
    </row>
    <row r="1459" spans="4:4" ht="17.649999999999999" x14ac:dyDescent="0.5">
      <c r="D1459" s="3" t="s">
        <v>90</v>
      </c>
    </row>
    <row r="1460" spans="4:4" ht="17.649999999999999" x14ac:dyDescent="0.5">
      <c r="D1460" s="3" t="s">
        <v>63</v>
      </c>
    </row>
    <row r="1461" spans="4:4" ht="17.649999999999999" x14ac:dyDescent="0.5">
      <c r="D1461" s="3" t="s">
        <v>41</v>
      </c>
    </row>
    <row r="1462" spans="4:4" ht="17.649999999999999" x14ac:dyDescent="0.5">
      <c r="D1462" s="3" t="s">
        <v>52</v>
      </c>
    </row>
    <row r="1463" spans="4:4" ht="17.649999999999999" x14ac:dyDescent="0.5">
      <c r="D1463" s="3" t="s">
        <v>103</v>
      </c>
    </row>
    <row r="1464" spans="4:4" ht="17.649999999999999" x14ac:dyDescent="0.5">
      <c r="D1464" s="3" t="s">
        <v>76</v>
      </c>
    </row>
    <row r="1465" spans="4:4" ht="17.649999999999999" x14ac:dyDescent="0.5">
      <c r="D1465" s="3" t="s">
        <v>42</v>
      </c>
    </row>
    <row r="1466" spans="4:4" ht="17.649999999999999" x14ac:dyDescent="0.5">
      <c r="D1466" s="3" t="s">
        <v>98</v>
      </c>
    </row>
    <row r="1467" spans="4:4" ht="17.649999999999999" x14ac:dyDescent="0.5">
      <c r="D1467" s="3" t="s">
        <v>54</v>
      </c>
    </row>
    <row r="1468" spans="4:4" ht="17.649999999999999" x14ac:dyDescent="0.5">
      <c r="D1468" s="3" t="s">
        <v>46</v>
      </c>
    </row>
    <row r="1469" spans="4:4" ht="17.649999999999999" x14ac:dyDescent="0.5">
      <c r="D1469" s="3" t="s">
        <v>76</v>
      </c>
    </row>
    <row r="1470" spans="4:4" ht="17.649999999999999" x14ac:dyDescent="0.5">
      <c r="D1470" s="3" t="s">
        <v>54</v>
      </c>
    </row>
    <row r="1471" spans="4:4" ht="17.649999999999999" x14ac:dyDescent="0.5">
      <c r="D1471" s="3" t="s">
        <v>41</v>
      </c>
    </row>
    <row r="1472" spans="4:4" ht="17.649999999999999" x14ac:dyDescent="0.5">
      <c r="D1472" s="3" t="s">
        <v>48</v>
      </c>
    </row>
    <row r="1473" spans="4:4" ht="17.649999999999999" x14ac:dyDescent="0.5">
      <c r="D1473" s="3" t="s">
        <v>49</v>
      </c>
    </row>
    <row r="1474" spans="4:4" ht="17.649999999999999" x14ac:dyDescent="0.5">
      <c r="D1474" s="3" t="s">
        <v>68</v>
      </c>
    </row>
    <row r="1475" spans="4:4" ht="17.649999999999999" x14ac:dyDescent="0.5">
      <c r="D1475" s="3" t="s">
        <v>94</v>
      </c>
    </row>
    <row r="1476" spans="4:4" ht="17.649999999999999" x14ac:dyDescent="0.5">
      <c r="D1476" s="3" t="s">
        <v>70</v>
      </c>
    </row>
    <row r="1477" spans="4:4" ht="17.649999999999999" x14ac:dyDescent="0.5">
      <c r="D1477" s="3" t="s">
        <v>97</v>
      </c>
    </row>
    <row r="1478" spans="4:4" ht="17.649999999999999" x14ac:dyDescent="0.5">
      <c r="D1478" s="3" t="s">
        <v>46</v>
      </c>
    </row>
    <row r="1479" spans="4:4" ht="17.649999999999999" x14ac:dyDescent="0.5">
      <c r="D1479" s="3" t="s">
        <v>133</v>
      </c>
    </row>
    <row r="1480" spans="4:4" ht="17.649999999999999" x14ac:dyDescent="0.5">
      <c r="D1480" s="3" t="s">
        <v>73</v>
      </c>
    </row>
    <row r="1481" spans="4:4" ht="17.649999999999999" x14ac:dyDescent="0.5">
      <c r="D1481" s="3" t="s">
        <v>98</v>
      </c>
    </row>
    <row r="1482" spans="4:4" ht="17.649999999999999" x14ac:dyDescent="0.5">
      <c r="D1482" s="3" t="s">
        <v>65</v>
      </c>
    </row>
    <row r="1483" spans="4:4" ht="17.649999999999999" x14ac:dyDescent="0.5">
      <c r="D1483" s="3" t="s">
        <v>79</v>
      </c>
    </row>
    <row r="1484" spans="4:4" ht="17.649999999999999" x14ac:dyDescent="0.5">
      <c r="D1484" s="3" t="s">
        <v>44</v>
      </c>
    </row>
    <row r="1485" spans="4:4" ht="17.649999999999999" x14ac:dyDescent="0.5">
      <c r="D1485" s="3" t="s">
        <v>75</v>
      </c>
    </row>
    <row r="1486" spans="4:4" ht="17.649999999999999" x14ac:dyDescent="0.5">
      <c r="D1486" s="3" t="s">
        <v>41</v>
      </c>
    </row>
    <row r="1487" spans="4:4" ht="17.649999999999999" x14ac:dyDescent="0.5">
      <c r="D1487" s="3" t="s">
        <v>96</v>
      </c>
    </row>
    <row r="1488" spans="4:4" ht="17.649999999999999" x14ac:dyDescent="0.5">
      <c r="D1488" s="3" t="s">
        <v>111</v>
      </c>
    </row>
    <row r="1489" spans="4:4" ht="17.649999999999999" x14ac:dyDescent="0.5">
      <c r="D1489" s="3" t="s">
        <v>89</v>
      </c>
    </row>
    <row r="1490" spans="4:4" ht="17.649999999999999" x14ac:dyDescent="0.5">
      <c r="D1490" s="3" t="s">
        <v>90</v>
      </c>
    </row>
    <row r="1491" spans="4:4" ht="17.649999999999999" x14ac:dyDescent="0.5">
      <c r="D1491" s="3" t="s">
        <v>45</v>
      </c>
    </row>
    <row r="1492" spans="4:4" ht="17.649999999999999" x14ac:dyDescent="0.5">
      <c r="D1492" s="3" t="s">
        <v>73</v>
      </c>
    </row>
    <row r="1493" spans="4:4" ht="17.649999999999999" x14ac:dyDescent="0.5">
      <c r="D1493" s="3" t="s">
        <v>69</v>
      </c>
    </row>
    <row r="1494" spans="4:4" ht="17.649999999999999" x14ac:dyDescent="0.5">
      <c r="D1494" s="3" t="s">
        <v>55</v>
      </c>
    </row>
    <row r="1495" spans="4:4" ht="17.649999999999999" x14ac:dyDescent="0.5">
      <c r="D1495" s="3" t="s">
        <v>107</v>
      </c>
    </row>
    <row r="1496" spans="4:4" ht="17.649999999999999" x14ac:dyDescent="0.5">
      <c r="D1496" s="3" t="s">
        <v>61</v>
      </c>
    </row>
    <row r="1497" spans="4:4" ht="17.649999999999999" x14ac:dyDescent="0.5">
      <c r="D1497" s="3" t="s">
        <v>124</v>
      </c>
    </row>
    <row r="1498" spans="4:4" ht="17.649999999999999" x14ac:dyDescent="0.5">
      <c r="D1498" s="3" t="s">
        <v>59</v>
      </c>
    </row>
    <row r="1499" spans="4:4" ht="17.649999999999999" x14ac:dyDescent="0.5">
      <c r="D1499" s="3" t="s">
        <v>117</v>
      </c>
    </row>
    <row r="1500" spans="4:4" ht="17.649999999999999" x14ac:dyDescent="0.5">
      <c r="D1500" s="3" t="s">
        <v>115</v>
      </c>
    </row>
    <row r="1501" spans="4:4" ht="17.649999999999999" x14ac:dyDescent="0.5">
      <c r="D1501" s="3" t="s">
        <v>42</v>
      </c>
    </row>
    <row r="1502" spans="4:4" ht="17.649999999999999" x14ac:dyDescent="0.5">
      <c r="D1502" s="3" t="s">
        <v>48</v>
      </c>
    </row>
    <row r="1503" spans="4:4" ht="17.649999999999999" x14ac:dyDescent="0.5">
      <c r="D1503" s="3" t="s">
        <v>80</v>
      </c>
    </row>
    <row r="1504" spans="4:4" ht="17.649999999999999" x14ac:dyDescent="0.5">
      <c r="D1504" s="3" t="s">
        <v>63</v>
      </c>
    </row>
    <row r="1505" spans="4:4" ht="17.649999999999999" x14ac:dyDescent="0.5">
      <c r="D1505" s="3" t="s">
        <v>75</v>
      </c>
    </row>
    <row r="1506" spans="4:4" ht="17.649999999999999" x14ac:dyDescent="0.5">
      <c r="D1506" s="3" t="s">
        <v>47</v>
      </c>
    </row>
    <row r="1507" spans="4:4" ht="17.649999999999999" x14ac:dyDescent="0.5">
      <c r="D1507" s="3" t="s">
        <v>94</v>
      </c>
    </row>
    <row r="1508" spans="4:4" ht="17.649999999999999" x14ac:dyDescent="0.5">
      <c r="D1508" s="3" t="s">
        <v>59</v>
      </c>
    </row>
    <row r="1509" spans="4:4" ht="17.649999999999999" x14ac:dyDescent="0.5">
      <c r="D1509" s="3" t="s">
        <v>121</v>
      </c>
    </row>
    <row r="1510" spans="4:4" ht="17.649999999999999" x14ac:dyDescent="0.5">
      <c r="D1510" s="3" t="s">
        <v>74</v>
      </c>
    </row>
    <row r="1511" spans="4:4" ht="17.649999999999999" x14ac:dyDescent="0.5">
      <c r="D1511" s="3" t="s">
        <v>78</v>
      </c>
    </row>
    <row r="1512" spans="4:4" ht="17.649999999999999" x14ac:dyDescent="0.5">
      <c r="D1512" s="3" t="s">
        <v>96</v>
      </c>
    </row>
    <row r="1513" spans="4:4" ht="17.649999999999999" x14ac:dyDescent="0.5">
      <c r="D1513" s="3" t="s">
        <v>101</v>
      </c>
    </row>
    <row r="1514" spans="4:4" ht="17.649999999999999" x14ac:dyDescent="0.5">
      <c r="D1514" s="3" t="s">
        <v>77</v>
      </c>
    </row>
    <row r="1515" spans="4:4" ht="17.649999999999999" x14ac:dyDescent="0.5">
      <c r="D1515" s="3" t="s">
        <v>84</v>
      </c>
    </row>
    <row r="1516" spans="4:4" ht="17.649999999999999" x14ac:dyDescent="0.5">
      <c r="D1516" s="3" t="s">
        <v>62</v>
      </c>
    </row>
    <row r="1517" spans="4:4" ht="17.649999999999999" x14ac:dyDescent="0.5">
      <c r="D1517" s="3" t="s">
        <v>59</v>
      </c>
    </row>
    <row r="1518" spans="4:4" ht="17.649999999999999" x14ac:dyDescent="0.5">
      <c r="D1518" s="3" t="s">
        <v>94</v>
      </c>
    </row>
    <row r="1519" spans="4:4" ht="17.649999999999999" x14ac:dyDescent="0.5">
      <c r="D1519" s="3" t="s">
        <v>102</v>
      </c>
    </row>
    <row r="1520" spans="4:4" ht="17.649999999999999" x14ac:dyDescent="0.5">
      <c r="D1520" s="3" t="s">
        <v>75</v>
      </c>
    </row>
    <row r="1521" spans="4:4" ht="17.649999999999999" x14ac:dyDescent="0.5">
      <c r="D1521" s="3" t="s">
        <v>100</v>
      </c>
    </row>
    <row r="1522" spans="4:4" ht="17.649999999999999" x14ac:dyDescent="0.5">
      <c r="D1522" s="3" t="s">
        <v>48</v>
      </c>
    </row>
    <row r="1523" spans="4:4" ht="17.649999999999999" x14ac:dyDescent="0.5">
      <c r="D1523" s="3" t="s">
        <v>120</v>
      </c>
    </row>
    <row r="1524" spans="4:4" ht="17.649999999999999" x14ac:dyDescent="0.5">
      <c r="D1524" s="3" t="s">
        <v>98</v>
      </c>
    </row>
    <row r="1525" spans="4:4" ht="17.649999999999999" x14ac:dyDescent="0.5">
      <c r="D1525" s="3" t="s">
        <v>114</v>
      </c>
    </row>
    <row r="1526" spans="4:4" ht="17.649999999999999" x14ac:dyDescent="0.5">
      <c r="D1526" s="3" t="s">
        <v>47</v>
      </c>
    </row>
    <row r="1527" spans="4:4" ht="17.649999999999999" x14ac:dyDescent="0.5">
      <c r="D1527" s="3" t="s">
        <v>59</v>
      </c>
    </row>
    <row r="1528" spans="4:4" ht="17.649999999999999" x14ac:dyDescent="0.5">
      <c r="D1528" s="3" t="s">
        <v>110</v>
      </c>
    </row>
    <row r="1529" spans="4:4" ht="17.649999999999999" x14ac:dyDescent="0.5">
      <c r="D1529" s="3" t="s">
        <v>57</v>
      </c>
    </row>
    <row r="1530" spans="4:4" ht="17.649999999999999" x14ac:dyDescent="0.5">
      <c r="D1530" s="3" t="s">
        <v>72</v>
      </c>
    </row>
    <row r="1531" spans="4:4" ht="17.649999999999999" x14ac:dyDescent="0.5">
      <c r="D1531" s="3" t="s">
        <v>59</v>
      </c>
    </row>
    <row r="1532" spans="4:4" ht="17.649999999999999" x14ac:dyDescent="0.5">
      <c r="D1532" s="3" t="s">
        <v>116</v>
      </c>
    </row>
    <row r="1533" spans="4:4" ht="17.649999999999999" x14ac:dyDescent="0.5">
      <c r="D1533" s="3" t="s">
        <v>108</v>
      </c>
    </row>
    <row r="1534" spans="4:4" ht="17.649999999999999" x14ac:dyDescent="0.5">
      <c r="D1534" s="3" t="s">
        <v>83</v>
      </c>
    </row>
    <row r="1535" spans="4:4" ht="17.649999999999999" x14ac:dyDescent="0.5">
      <c r="D1535" s="3" t="s">
        <v>124</v>
      </c>
    </row>
    <row r="1536" spans="4:4" ht="17.649999999999999" x14ac:dyDescent="0.5">
      <c r="D1536" s="3" t="s">
        <v>65</v>
      </c>
    </row>
    <row r="1537" spans="4:4" ht="17.649999999999999" x14ac:dyDescent="0.5">
      <c r="D1537" s="3" t="s">
        <v>57</v>
      </c>
    </row>
    <row r="1538" spans="4:4" ht="17.649999999999999" x14ac:dyDescent="0.5">
      <c r="D1538" s="3" t="s">
        <v>95</v>
      </c>
    </row>
    <row r="1539" spans="4:4" ht="17.649999999999999" x14ac:dyDescent="0.5">
      <c r="D1539" s="3" t="s">
        <v>86</v>
      </c>
    </row>
    <row r="1540" spans="4:4" ht="17.649999999999999" x14ac:dyDescent="0.5">
      <c r="D1540" s="3" t="s">
        <v>125</v>
      </c>
    </row>
    <row r="1541" spans="4:4" ht="17.649999999999999" x14ac:dyDescent="0.5">
      <c r="D1541" s="3" t="s">
        <v>41</v>
      </c>
    </row>
    <row r="1542" spans="4:4" ht="17.649999999999999" x14ac:dyDescent="0.5">
      <c r="D1542" s="3" t="s">
        <v>94</v>
      </c>
    </row>
    <row r="1543" spans="4:4" ht="17.649999999999999" x14ac:dyDescent="0.5">
      <c r="D1543" s="3" t="s">
        <v>97</v>
      </c>
    </row>
    <row r="1544" spans="4:4" ht="17.649999999999999" x14ac:dyDescent="0.5">
      <c r="D1544" s="3" t="s">
        <v>49</v>
      </c>
    </row>
    <row r="1545" spans="4:4" ht="17.649999999999999" x14ac:dyDescent="0.5">
      <c r="D1545" s="3" t="s">
        <v>135</v>
      </c>
    </row>
    <row r="1546" spans="4:4" ht="17.649999999999999" x14ac:dyDescent="0.5">
      <c r="D1546" s="3" t="s">
        <v>49</v>
      </c>
    </row>
    <row r="1547" spans="4:4" ht="17.649999999999999" x14ac:dyDescent="0.5">
      <c r="D1547" s="3" t="s">
        <v>92</v>
      </c>
    </row>
    <row r="1548" spans="4:4" ht="17.649999999999999" x14ac:dyDescent="0.5">
      <c r="D1548" s="3" t="s">
        <v>75</v>
      </c>
    </row>
    <row r="1549" spans="4:4" ht="17.649999999999999" x14ac:dyDescent="0.5">
      <c r="D1549" s="3" t="s">
        <v>63</v>
      </c>
    </row>
    <row r="1550" spans="4:4" ht="17.649999999999999" x14ac:dyDescent="0.5">
      <c r="D1550" s="3" t="s">
        <v>117</v>
      </c>
    </row>
    <row r="1551" spans="4:4" ht="17.649999999999999" x14ac:dyDescent="0.5">
      <c r="D1551" s="3" t="s">
        <v>107</v>
      </c>
    </row>
    <row r="1552" spans="4:4" ht="17.649999999999999" x14ac:dyDescent="0.5">
      <c r="D1552" s="3" t="s">
        <v>65</v>
      </c>
    </row>
    <row r="1553" spans="4:4" ht="17.649999999999999" x14ac:dyDescent="0.5">
      <c r="D1553" s="3" t="s">
        <v>89</v>
      </c>
    </row>
    <row r="1554" spans="4:4" ht="17.649999999999999" x14ac:dyDescent="0.5">
      <c r="D1554" s="3" t="s">
        <v>50</v>
      </c>
    </row>
    <row r="1555" spans="4:4" ht="17.649999999999999" x14ac:dyDescent="0.5">
      <c r="D1555" s="3" t="s">
        <v>123</v>
      </c>
    </row>
    <row r="1556" spans="4:4" ht="17.649999999999999" x14ac:dyDescent="0.5">
      <c r="D1556" s="3" t="s">
        <v>112</v>
      </c>
    </row>
    <row r="1557" spans="4:4" ht="17.649999999999999" x14ac:dyDescent="0.5">
      <c r="D1557" s="3" t="s">
        <v>91</v>
      </c>
    </row>
    <row r="1558" spans="4:4" ht="17.649999999999999" x14ac:dyDescent="0.5">
      <c r="D1558" s="3" t="s">
        <v>103</v>
      </c>
    </row>
    <row r="1559" spans="4:4" ht="17.649999999999999" x14ac:dyDescent="0.5">
      <c r="D1559" s="3" t="s">
        <v>104</v>
      </c>
    </row>
    <row r="1560" spans="4:4" ht="17.649999999999999" x14ac:dyDescent="0.5">
      <c r="D1560" s="3" t="s">
        <v>80</v>
      </c>
    </row>
    <row r="1561" spans="4:4" ht="17.649999999999999" x14ac:dyDescent="0.5">
      <c r="D1561" s="3" t="s">
        <v>122</v>
      </c>
    </row>
    <row r="1562" spans="4:4" ht="17.649999999999999" x14ac:dyDescent="0.5">
      <c r="D1562" s="3" t="s">
        <v>43</v>
      </c>
    </row>
    <row r="1563" spans="4:4" ht="17.649999999999999" x14ac:dyDescent="0.5">
      <c r="D1563" s="3" t="s">
        <v>83</v>
      </c>
    </row>
    <row r="1564" spans="4:4" ht="17.649999999999999" x14ac:dyDescent="0.5">
      <c r="D1564" s="3" t="s">
        <v>43</v>
      </c>
    </row>
    <row r="1565" spans="4:4" ht="17.649999999999999" x14ac:dyDescent="0.5">
      <c r="D1565" s="3" t="s">
        <v>78</v>
      </c>
    </row>
    <row r="1566" spans="4:4" ht="17.649999999999999" x14ac:dyDescent="0.5">
      <c r="D1566" s="3" t="s">
        <v>64</v>
      </c>
    </row>
    <row r="1567" spans="4:4" ht="17.649999999999999" x14ac:dyDescent="0.5">
      <c r="D1567" s="3" t="s">
        <v>52</v>
      </c>
    </row>
    <row r="1568" spans="4:4" ht="17.649999999999999" x14ac:dyDescent="0.5">
      <c r="D1568" s="3" t="s">
        <v>100</v>
      </c>
    </row>
    <row r="1569" spans="4:4" ht="17.649999999999999" x14ac:dyDescent="0.5">
      <c r="D1569" s="3" t="s">
        <v>96</v>
      </c>
    </row>
    <row r="1570" spans="4:4" ht="17.649999999999999" x14ac:dyDescent="0.5">
      <c r="D1570" s="3" t="s">
        <v>84</v>
      </c>
    </row>
    <row r="1571" spans="4:4" ht="17.649999999999999" x14ac:dyDescent="0.5">
      <c r="D1571" s="3" t="s">
        <v>50</v>
      </c>
    </row>
    <row r="1572" spans="4:4" ht="17.649999999999999" x14ac:dyDescent="0.5">
      <c r="D1572" s="3" t="s">
        <v>55</v>
      </c>
    </row>
    <row r="1573" spans="4:4" ht="17.649999999999999" x14ac:dyDescent="0.5">
      <c r="D1573" s="3" t="s">
        <v>66</v>
      </c>
    </row>
    <row r="1574" spans="4:4" ht="17.649999999999999" x14ac:dyDescent="0.5">
      <c r="D1574" s="3" t="s">
        <v>65</v>
      </c>
    </row>
    <row r="1575" spans="4:4" ht="17.649999999999999" x14ac:dyDescent="0.5">
      <c r="D1575" s="3" t="s">
        <v>41</v>
      </c>
    </row>
    <row r="1576" spans="4:4" ht="17.649999999999999" x14ac:dyDescent="0.5">
      <c r="D1576" s="3" t="s">
        <v>79</v>
      </c>
    </row>
    <row r="1577" spans="4:4" ht="17.649999999999999" x14ac:dyDescent="0.5">
      <c r="D1577" s="3" t="s">
        <v>47</v>
      </c>
    </row>
    <row r="1578" spans="4:4" ht="17.649999999999999" x14ac:dyDescent="0.5">
      <c r="D1578" s="3" t="s">
        <v>68</v>
      </c>
    </row>
    <row r="1579" spans="4:4" ht="17.649999999999999" x14ac:dyDescent="0.5">
      <c r="D1579" s="3" t="s">
        <v>43</v>
      </c>
    </row>
    <row r="1580" spans="4:4" ht="17.649999999999999" x14ac:dyDescent="0.5">
      <c r="D1580" s="3" t="s">
        <v>119</v>
      </c>
    </row>
    <row r="1581" spans="4:4" ht="17.649999999999999" x14ac:dyDescent="0.5">
      <c r="D1581" s="3" t="s">
        <v>101</v>
      </c>
    </row>
    <row r="1582" spans="4:4" ht="17.649999999999999" x14ac:dyDescent="0.5">
      <c r="D1582" s="3" t="s">
        <v>91</v>
      </c>
    </row>
    <row r="1583" spans="4:4" ht="17.649999999999999" x14ac:dyDescent="0.5">
      <c r="D1583" s="3" t="s">
        <v>85</v>
      </c>
    </row>
    <row r="1584" spans="4:4" ht="17.649999999999999" x14ac:dyDescent="0.5">
      <c r="D1584" s="3" t="s">
        <v>51</v>
      </c>
    </row>
    <row r="1585" spans="4:4" ht="17.649999999999999" x14ac:dyDescent="0.5">
      <c r="D1585" s="3" t="s">
        <v>86</v>
      </c>
    </row>
    <row r="1586" spans="4:4" ht="17.649999999999999" x14ac:dyDescent="0.5">
      <c r="D1586" s="3" t="s">
        <v>81</v>
      </c>
    </row>
    <row r="1587" spans="4:4" ht="17.649999999999999" x14ac:dyDescent="0.5">
      <c r="D1587" s="3" t="s">
        <v>91</v>
      </c>
    </row>
    <row r="1588" spans="4:4" ht="17.649999999999999" x14ac:dyDescent="0.5">
      <c r="D1588" s="3" t="s">
        <v>68</v>
      </c>
    </row>
    <row r="1589" spans="4:4" ht="17.649999999999999" x14ac:dyDescent="0.5">
      <c r="D1589" s="3" t="s">
        <v>61</v>
      </c>
    </row>
    <row r="1590" spans="4:4" ht="17.649999999999999" x14ac:dyDescent="0.5">
      <c r="D1590" s="3" t="s">
        <v>117</v>
      </c>
    </row>
    <row r="1591" spans="4:4" ht="17.649999999999999" x14ac:dyDescent="0.5">
      <c r="D1591" s="3" t="s">
        <v>63</v>
      </c>
    </row>
    <row r="1592" spans="4:4" ht="17.649999999999999" x14ac:dyDescent="0.5">
      <c r="D1592" s="3" t="s">
        <v>87</v>
      </c>
    </row>
    <row r="1593" spans="4:4" ht="17.649999999999999" x14ac:dyDescent="0.5">
      <c r="D1593" s="3" t="s">
        <v>73</v>
      </c>
    </row>
    <row r="1594" spans="4:4" ht="17.649999999999999" x14ac:dyDescent="0.5">
      <c r="D1594" s="3" t="s">
        <v>123</v>
      </c>
    </row>
    <row r="1595" spans="4:4" ht="17.649999999999999" x14ac:dyDescent="0.5">
      <c r="D1595" s="3" t="s">
        <v>124</v>
      </c>
    </row>
    <row r="1596" spans="4:4" ht="17.649999999999999" x14ac:dyDescent="0.5">
      <c r="D1596" s="3" t="s">
        <v>54</v>
      </c>
    </row>
    <row r="1597" spans="4:4" ht="17.649999999999999" x14ac:dyDescent="0.5">
      <c r="D1597" s="3" t="s">
        <v>90</v>
      </c>
    </row>
    <row r="1598" spans="4:4" ht="17.649999999999999" x14ac:dyDescent="0.5">
      <c r="D1598" s="3" t="s">
        <v>85</v>
      </c>
    </row>
    <row r="1599" spans="4:4" ht="17.649999999999999" x14ac:dyDescent="0.5">
      <c r="D1599" s="3" t="s">
        <v>59</v>
      </c>
    </row>
    <row r="1600" spans="4:4" ht="17.649999999999999" x14ac:dyDescent="0.5">
      <c r="D1600" s="3" t="s">
        <v>72</v>
      </c>
    </row>
    <row r="1601" spans="4:4" ht="17.649999999999999" x14ac:dyDescent="0.5">
      <c r="D1601" s="3" t="s">
        <v>61</v>
      </c>
    </row>
    <row r="1602" spans="4:4" ht="17.649999999999999" x14ac:dyDescent="0.5">
      <c r="D1602" s="3" t="s">
        <v>105</v>
      </c>
    </row>
    <row r="1603" spans="4:4" ht="17.649999999999999" x14ac:dyDescent="0.5">
      <c r="D1603" s="3" t="s">
        <v>60</v>
      </c>
    </row>
    <row r="1604" spans="4:4" ht="17.649999999999999" x14ac:dyDescent="0.5">
      <c r="D1604" s="3" t="s">
        <v>63</v>
      </c>
    </row>
    <row r="1605" spans="4:4" ht="17.649999999999999" x14ac:dyDescent="0.5">
      <c r="D1605" s="3" t="s">
        <v>74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85</v>
      </c>
    </row>
    <row r="1608" spans="4:4" ht="17.649999999999999" x14ac:dyDescent="0.5">
      <c r="D1608" s="3" t="s">
        <v>73</v>
      </c>
    </row>
    <row r="1609" spans="4:4" ht="17.649999999999999" x14ac:dyDescent="0.5">
      <c r="D1609" s="3" t="s">
        <v>112</v>
      </c>
    </row>
    <row r="1610" spans="4:4" ht="17.649999999999999" x14ac:dyDescent="0.5">
      <c r="D1610" s="3" t="s">
        <v>132</v>
      </c>
    </row>
    <row r="1611" spans="4:4" ht="17.649999999999999" x14ac:dyDescent="0.5">
      <c r="D1611" s="3" t="s">
        <v>98</v>
      </c>
    </row>
    <row r="1612" spans="4:4" ht="17.649999999999999" x14ac:dyDescent="0.5">
      <c r="D1612" s="3" t="s">
        <v>84</v>
      </c>
    </row>
    <row r="1613" spans="4:4" ht="17.649999999999999" x14ac:dyDescent="0.5">
      <c r="D1613" s="3" t="s">
        <v>58</v>
      </c>
    </row>
    <row r="1614" spans="4:4" ht="17.649999999999999" x14ac:dyDescent="0.5">
      <c r="D1614" s="3" t="s">
        <v>43</v>
      </c>
    </row>
    <row r="1615" spans="4:4" ht="17.649999999999999" x14ac:dyDescent="0.5">
      <c r="D1615" s="3" t="s">
        <v>84</v>
      </c>
    </row>
    <row r="1616" spans="4:4" ht="17.649999999999999" x14ac:dyDescent="0.5">
      <c r="D1616" s="3" t="s">
        <v>48</v>
      </c>
    </row>
    <row r="1617" spans="4:4" ht="17.649999999999999" x14ac:dyDescent="0.5">
      <c r="D1617" s="3" t="s">
        <v>132</v>
      </c>
    </row>
    <row r="1618" spans="4:4" ht="17.649999999999999" x14ac:dyDescent="0.5">
      <c r="D1618" s="3" t="s">
        <v>117</v>
      </c>
    </row>
    <row r="1619" spans="4:4" ht="17.649999999999999" x14ac:dyDescent="0.5">
      <c r="D1619" s="3" t="s">
        <v>93</v>
      </c>
    </row>
    <row r="1620" spans="4:4" ht="17.649999999999999" x14ac:dyDescent="0.5">
      <c r="D1620" s="3" t="s">
        <v>59</v>
      </c>
    </row>
    <row r="1621" spans="4:4" ht="17.649999999999999" x14ac:dyDescent="0.5">
      <c r="D1621" s="3" t="s">
        <v>67</v>
      </c>
    </row>
    <row r="1622" spans="4:4" ht="17.649999999999999" x14ac:dyDescent="0.5">
      <c r="D1622" s="3" t="s">
        <v>51</v>
      </c>
    </row>
    <row r="1623" spans="4:4" ht="17.649999999999999" x14ac:dyDescent="0.5">
      <c r="D1623" s="3" t="s">
        <v>74</v>
      </c>
    </row>
    <row r="1624" spans="4:4" ht="17.649999999999999" x14ac:dyDescent="0.5">
      <c r="D1624" s="3" t="s">
        <v>63</v>
      </c>
    </row>
    <row r="1625" spans="4:4" ht="17.649999999999999" x14ac:dyDescent="0.5">
      <c r="D1625" s="3" t="s">
        <v>75</v>
      </c>
    </row>
    <row r="1626" spans="4:4" ht="17.649999999999999" x14ac:dyDescent="0.5">
      <c r="D1626" s="3" t="s">
        <v>57</v>
      </c>
    </row>
    <row r="1627" spans="4:4" ht="17.649999999999999" x14ac:dyDescent="0.5">
      <c r="D1627" s="3" t="s">
        <v>46</v>
      </c>
    </row>
    <row r="1628" spans="4:4" ht="17.649999999999999" x14ac:dyDescent="0.5">
      <c r="D1628" s="3" t="s">
        <v>77</v>
      </c>
    </row>
    <row r="1629" spans="4:4" ht="17.649999999999999" x14ac:dyDescent="0.5">
      <c r="D1629" s="3" t="s">
        <v>73</v>
      </c>
    </row>
    <row r="1630" spans="4:4" ht="17.649999999999999" x14ac:dyDescent="0.5">
      <c r="D1630" s="3" t="s">
        <v>105</v>
      </c>
    </row>
    <row r="1631" spans="4:4" ht="17.649999999999999" x14ac:dyDescent="0.5">
      <c r="D1631" s="3" t="s">
        <v>94</v>
      </c>
    </row>
    <row r="1632" spans="4:4" ht="17.649999999999999" x14ac:dyDescent="0.5">
      <c r="D1632" s="3" t="s">
        <v>115</v>
      </c>
    </row>
    <row r="1633" spans="4:4" ht="17.649999999999999" x14ac:dyDescent="0.5">
      <c r="D1633" s="3" t="s">
        <v>70</v>
      </c>
    </row>
    <row r="1634" spans="4:4" ht="17.649999999999999" x14ac:dyDescent="0.5">
      <c r="D1634" s="3" t="s">
        <v>67</v>
      </c>
    </row>
    <row r="1635" spans="4:4" ht="17.649999999999999" x14ac:dyDescent="0.5">
      <c r="D1635" s="3" t="s">
        <v>84</v>
      </c>
    </row>
    <row r="1636" spans="4:4" ht="17.649999999999999" x14ac:dyDescent="0.5">
      <c r="D1636" s="3" t="s">
        <v>54</v>
      </c>
    </row>
    <row r="1637" spans="4:4" ht="17.649999999999999" x14ac:dyDescent="0.5">
      <c r="D1637" s="3" t="s">
        <v>48</v>
      </c>
    </row>
    <row r="1638" spans="4:4" ht="17.649999999999999" x14ac:dyDescent="0.5">
      <c r="D1638" s="3" t="s">
        <v>69</v>
      </c>
    </row>
    <row r="1639" spans="4:4" ht="17.649999999999999" x14ac:dyDescent="0.5">
      <c r="D1639" s="3" t="s">
        <v>117</v>
      </c>
    </row>
    <row r="1640" spans="4:4" ht="17.649999999999999" x14ac:dyDescent="0.5">
      <c r="D1640" s="3" t="s">
        <v>63</v>
      </c>
    </row>
    <row r="1641" spans="4:4" ht="17.649999999999999" x14ac:dyDescent="0.5">
      <c r="D1641" s="3" t="s">
        <v>74</v>
      </c>
    </row>
    <row r="1642" spans="4:4" ht="17.649999999999999" x14ac:dyDescent="0.5">
      <c r="D1642" s="3" t="s">
        <v>115</v>
      </c>
    </row>
    <row r="1643" spans="4:4" ht="17.649999999999999" x14ac:dyDescent="0.5">
      <c r="D1643" s="3" t="s">
        <v>129</v>
      </c>
    </row>
    <row r="1644" spans="4:4" ht="17.649999999999999" x14ac:dyDescent="0.5">
      <c r="D1644" s="3" t="s">
        <v>50</v>
      </c>
    </row>
    <row r="1645" spans="4:4" ht="17.649999999999999" x14ac:dyDescent="0.5">
      <c r="D1645" s="3" t="s">
        <v>107</v>
      </c>
    </row>
    <row r="1646" spans="4:4" ht="17.649999999999999" x14ac:dyDescent="0.5">
      <c r="D1646" s="3" t="s">
        <v>53</v>
      </c>
    </row>
    <row r="1647" spans="4:4" ht="17.649999999999999" x14ac:dyDescent="0.5">
      <c r="D1647" s="3" t="s">
        <v>69</v>
      </c>
    </row>
    <row r="1648" spans="4:4" ht="17.649999999999999" x14ac:dyDescent="0.5">
      <c r="D1648" s="3" t="s">
        <v>120</v>
      </c>
    </row>
    <row r="1649" spans="4:4" ht="17.649999999999999" x14ac:dyDescent="0.5">
      <c r="D1649" s="3" t="s">
        <v>48</v>
      </c>
    </row>
    <row r="1650" spans="4:4" ht="17.649999999999999" x14ac:dyDescent="0.5">
      <c r="D1650" s="3" t="s">
        <v>74</v>
      </c>
    </row>
    <row r="1651" spans="4:4" ht="17.649999999999999" x14ac:dyDescent="0.5">
      <c r="D1651" s="3" t="s">
        <v>76</v>
      </c>
    </row>
    <row r="1652" spans="4:4" ht="17.649999999999999" x14ac:dyDescent="0.5">
      <c r="D1652" s="3" t="s">
        <v>94</v>
      </c>
    </row>
    <row r="1653" spans="4:4" ht="17.649999999999999" x14ac:dyDescent="0.5">
      <c r="D1653" s="3" t="s">
        <v>77</v>
      </c>
    </row>
    <row r="1654" spans="4:4" ht="17.649999999999999" x14ac:dyDescent="0.5">
      <c r="D1654" s="3" t="s">
        <v>52</v>
      </c>
    </row>
    <row r="1655" spans="4:4" ht="17.649999999999999" x14ac:dyDescent="0.5">
      <c r="D1655" s="3" t="s">
        <v>106</v>
      </c>
    </row>
    <row r="1656" spans="4:4" ht="17.649999999999999" x14ac:dyDescent="0.5">
      <c r="D1656" s="3" t="s">
        <v>51</v>
      </c>
    </row>
    <row r="1657" spans="4:4" ht="17.649999999999999" x14ac:dyDescent="0.5">
      <c r="D1657" s="3" t="s">
        <v>85</v>
      </c>
    </row>
    <row r="1658" spans="4:4" ht="17.649999999999999" x14ac:dyDescent="0.5">
      <c r="D1658" s="3" t="s">
        <v>87</v>
      </c>
    </row>
    <row r="1659" spans="4:4" ht="17.649999999999999" x14ac:dyDescent="0.5">
      <c r="D1659" s="3" t="s">
        <v>73</v>
      </c>
    </row>
    <row r="1660" spans="4:4" ht="17.649999999999999" x14ac:dyDescent="0.5">
      <c r="D1660" s="3" t="s">
        <v>88</v>
      </c>
    </row>
    <row r="1661" spans="4:4" ht="17.649999999999999" x14ac:dyDescent="0.5">
      <c r="D1661" s="3" t="s">
        <v>49</v>
      </c>
    </row>
    <row r="1662" spans="4:4" ht="17.649999999999999" x14ac:dyDescent="0.5">
      <c r="D1662" s="3" t="s">
        <v>85</v>
      </c>
    </row>
    <row r="1663" spans="4:4" ht="17.649999999999999" x14ac:dyDescent="0.5">
      <c r="D1663" s="3" t="s">
        <v>74</v>
      </c>
    </row>
    <row r="1664" spans="4:4" ht="17.649999999999999" x14ac:dyDescent="0.5">
      <c r="D1664" s="3" t="s">
        <v>53</v>
      </c>
    </row>
    <row r="1665" spans="4:4" ht="17.649999999999999" x14ac:dyDescent="0.5">
      <c r="D1665" s="3" t="s">
        <v>65</v>
      </c>
    </row>
    <row r="1666" spans="4:4" ht="17.649999999999999" x14ac:dyDescent="0.5">
      <c r="D1666" s="3" t="s">
        <v>57</v>
      </c>
    </row>
    <row r="1667" spans="4:4" ht="17.649999999999999" x14ac:dyDescent="0.5">
      <c r="D1667" s="3" t="s">
        <v>101</v>
      </c>
    </row>
    <row r="1668" spans="4:4" ht="17.649999999999999" x14ac:dyDescent="0.5">
      <c r="D1668" s="3" t="s">
        <v>81</v>
      </c>
    </row>
    <row r="1669" spans="4:4" ht="17.649999999999999" x14ac:dyDescent="0.5">
      <c r="D1669" s="3" t="s">
        <v>117</v>
      </c>
    </row>
    <row r="1670" spans="4:4" ht="17.649999999999999" x14ac:dyDescent="0.5">
      <c r="D1670" s="3" t="s">
        <v>55</v>
      </c>
    </row>
    <row r="1671" spans="4:4" ht="17.649999999999999" x14ac:dyDescent="0.5">
      <c r="D1671" s="3" t="s">
        <v>85</v>
      </c>
    </row>
    <row r="1672" spans="4:4" ht="17.649999999999999" x14ac:dyDescent="0.5">
      <c r="D1672" s="3" t="s">
        <v>74</v>
      </c>
    </row>
    <row r="1673" spans="4:4" ht="17.649999999999999" x14ac:dyDescent="0.5">
      <c r="D1673" s="3" t="s">
        <v>115</v>
      </c>
    </row>
    <row r="1674" spans="4:4" ht="17.649999999999999" x14ac:dyDescent="0.5">
      <c r="D1674" s="3" t="s">
        <v>115</v>
      </c>
    </row>
    <row r="1675" spans="4:4" ht="17.649999999999999" x14ac:dyDescent="0.5">
      <c r="D1675" s="3" t="s">
        <v>78</v>
      </c>
    </row>
    <row r="1676" spans="4:4" ht="17.649999999999999" x14ac:dyDescent="0.5">
      <c r="D1676" s="3" t="s">
        <v>124</v>
      </c>
    </row>
    <row r="1677" spans="4:4" ht="17.649999999999999" x14ac:dyDescent="0.5">
      <c r="D1677" s="3" t="s">
        <v>131</v>
      </c>
    </row>
    <row r="1678" spans="4:4" ht="17.649999999999999" x14ac:dyDescent="0.5">
      <c r="D1678" s="3" t="s">
        <v>68</v>
      </c>
    </row>
    <row r="1679" spans="4:4" ht="17.649999999999999" x14ac:dyDescent="0.5">
      <c r="D1679" s="3" t="s">
        <v>77</v>
      </c>
    </row>
    <row r="1680" spans="4:4" ht="17.649999999999999" x14ac:dyDescent="0.5">
      <c r="D1680" s="3" t="s">
        <v>74</v>
      </c>
    </row>
    <row r="1681" spans="4:4" ht="17.649999999999999" x14ac:dyDescent="0.5">
      <c r="D1681" s="3" t="s">
        <v>58</v>
      </c>
    </row>
    <row r="1682" spans="4:4" ht="17.649999999999999" x14ac:dyDescent="0.5">
      <c r="D1682" s="3" t="s">
        <v>90</v>
      </c>
    </row>
    <row r="1683" spans="4:4" ht="17.649999999999999" x14ac:dyDescent="0.5">
      <c r="D1683" s="3" t="s">
        <v>103</v>
      </c>
    </row>
    <row r="1684" spans="4:4" ht="17.649999999999999" x14ac:dyDescent="0.5">
      <c r="D1684" s="3" t="s">
        <v>117</v>
      </c>
    </row>
    <row r="1685" spans="4:4" ht="17.649999999999999" x14ac:dyDescent="0.5">
      <c r="D1685" s="3" t="s">
        <v>105</v>
      </c>
    </row>
    <row r="1686" spans="4:4" ht="17.649999999999999" x14ac:dyDescent="0.5">
      <c r="D1686" s="3" t="s">
        <v>81</v>
      </c>
    </row>
    <row r="1687" spans="4:4" ht="17.649999999999999" x14ac:dyDescent="0.5">
      <c r="D1687" s="3" t="s">
        <v>135</v>
      </c>
    </row>
    <row r="1688" spans="4:4" ht="17.649999999999999" x14ac:dyDescent="0.5">
      <c r="D1688" s="3" t="s">
        <v>78</v>
      </c>
    </row>
    <row r="1689" spans="4:4" ht="17.649999999999999" x14ac:dyDescent="0.5">
      <c r="D1689" s="3" t="s">
        <v>81</v>
      </c>
    </row>
    <row r="1690" spans="4:4" ht="17.649999999999999" x14ac:dyDescent="0.5">
      <c r="D1690" s="3" t="s">
        <v>61</v>
      </c>
    </row>
    <row r="1691" spans="4:4" ht="17.649999999999999" x14ac:dyDescent="0.5">
      <c r="D1691" s="3" t="s">
        <v>84</v>
      </c>
    </row>
    <row r="1692" spans="4:4" ht="17.649999999999999" x14ac:dyDescent="0.5">
      <c r="D1692" s="3" t="s">
        <v>66</v>
      </c>
    </row>
    <row r="1693" spans="4:4" ht="17.649999999999999" x14ac:dyDescent="0.5">
      <c r="D1693" s="3" t="s">
        <v>76</v>
      </c>
    </row>
    <row r="1694" spans="4:4" ht="17.649999999999999" x14ac:dyDescent="0.5">
      <c r="D1694" s="3" t="s">
        <v>59</v>
      </c>
    </row>
    <row r="1695" spans="4:4" ht="17.649999999999999" x14ac:dyDescent="0.5">
      <c r="D1695" s="3" t="s">
        <v>94</v>
      </c>
    </row>
    <row r="1696" spans="4:4" ht="17.649999999999999" x14ac:dyDescent="0.5">
      <c r="D1696" s="3" t="s">
        <v>67</v>
      </c>
    </row>
    <row r="1697" spans="4:4" ht="17.649999999999999" x14ac:dyDescent="0.5">
      <c r="D1697" s="3" t="s">
        <v>127</v>
      </c>
    </row>
    <row r="1698" spans="4:4" ht="17.649999999999999" x14ac:dyDescent="0.5">
      <c r="D1698" s="3" t="s">
        <v>73</v>
      </c>
    </row>
    <row r="1699" spans="4:4" ht="17.649999999999999" x14ac:dyDescent="0.5">
      <c r="D1699" s="3" t="s">
        <v>87</v>
      </c>
    </row>
    <row r="1700" spans="4:4" ht="17.649999999999999" x14ac:dyDescent="0.5">
      <c r="D1700" s="3" t="s">
        <v>131</v>
      </c>
    </row>
    <row r="1701" spans="4:4" ht="17.649999999999999" x14ac:dyDescent="0.5">
      <c r="D1701" s="3" t="s">
        <v>128</v>
      </c>
    </row>
    <row r="1702" spans="4:4" ht="17.649999999999999" x14ac:dyDescent="0.5">
      <c r="D1702" s="3" t="s">
        <v>61</v>
      </c>
    </row>
    <row r="1703" spans="4:4" ht="17.649999999999999" x14ac:dyDescent="0.5">
      <c r="D1703" s="3" t="s">
        <v>46</v>
      </c>
    </row>
    <row r="1704" spans="4:4" ht="17.649999999999999" x14ac:dyDescent="0.5">
      <c r="D1704" s="3" t="s">
        <v>125</v>
      </c>
    </row>
    <row r="1705" spans="4:4" ht="17.649999999999999" x14ac:dyDescent="0.5">
      <c r="D1705" s="3" t="s">
        <v>51</v>
      </c>
    </row>
    <row r="1706" spans="4:4" ht="17.649999999999999" x14ac:dyDescent="0.5">
      <c r="D1706" s="3" t="s">
        <v>127</v>
      </c>
    </row>
    <row r="1707" spans="4:4" ht="17.649999999999999" x14ac:dyDescent="0.5">
      <c r="D1707" s="3" t="s">
        <v>65</v>
      </c>
    </row>
    <row r="1708" spans="4:4" ht="17.649999999999999" x14ac:dyDescent="0.5">
      <c r="D1708" s="3" t="s">
        <v>70</v>
      </c>
    </row>
    <row r="1709" spans="4:4" ht="17.649999999999999" x14ac:dyDescent="0.5">
      <c r="D1709" s="3" t="s">
        <v>69</v>
      </c>
    </row>
    <row r="1710" spans="4:4" ht="17.649999999999999" x14ac:dyDescent="0.5">
      <c r="D1710" s="3" t="s">
        <v>112</v>
      </c>
    </row>
    <row r="1711" spans="4:4" ht="17.649999999999999" x14ac:dyDescent="0.5">
      <c r="D1711" s="3" t="s">
        <v>49</v>
      </c>
    </row>
    <row r="1712" spans="4:4" ht="17.649999999999999" x14ac:dyDescent="0.5">
      <c r="D1712" s="3" t="s">
        <v>59</v>
      </c>
    </row>
    <row r="1713" spans="4:4" ht="17.649999999999999" x14ac:dyDescent="0.5">
      <c r="D1713" s="3" t="s">
        <v>112</v>
      </c>
    </row>
    <row r="1714" spans="4:4" ht="17.649999999999999" x14ac:dyDescent="0.5">
      <c r="D1714" s="3" t="s">
        <v>109</v>
      </c>
    </row>
    <row r="1715" spans="4:4" ht="17.649999999999999" x14ac:dyDescent="0.5">
      <c r="D1715" s="3" t="s">
        <v>69</v>
      </c>
    </row>
    <row r="1716" spans="4:4" ht="17.649999999999999" x14ac:dyDescent="0.5">
      <c r="D1716" s="3" t="s">
        <v>107</v>
      </c>
    </row>
    <row r="1717" spans="4:4" ht="17.649999999999999" x14ac:dyDescent="0.5">
      <c r="D1717" s="3" t="s">
        <v>96</v>
      </c>
    </row>
    <row r="1718" spans="4:4" ht="17.649999999999999" x14ac:dyDescent="0.5">
      <c r="D1718" s="3" t="s">
        <v>43</v>
      </c>
    </row>
    <row r="1719" spans="4:4" ht="17.649999999999999" x14ac:dyDescent="0.5">
      <c r="D1719" s="3" t="s">
        <v>66</v>
      </c>
    </row>
    <row r="1720" spans="4:4" ht="17.649999999999999" x14ac:dyDescent="0.5">
      <c r="D1720" s="3" t="s">
        <v>121</v>
      </c>
    </row>
    <row r="1721" spans="4:4" ht="17.649999999999999" x14ac:dyDescent="0.5">
      <c r="D1721" s="3" t="s">
        <v>103</v>
      </c>
    </row>
    <row r="1722" spans="4:4" ht="17.649999999999999" x14ac:dyDescent="0.5">
      <c r="D1722" s="3" t="s">
        <v>134</v>
      </c>
    </row>
    <row r="1723" spans="4:4" ht="17.649999999999999" x14ac:dyDescent="0.5">
      <c r="D1723" s="3" t="s">
        <v>75</v>
      </c>
    </row>
    <row r="1724" spans="4:4" ht="17.649999999999999" x14ac:dyDescent="0.5">
      <c r="D1724" s="3" t="s">
        <v>116</v>
      </c>
    </row>
    <row r="1725" spans="4:4" ht="17.649999999999999" x14ac:dyDescent="0.5">
      <c r="D1725" s="3" t="s">
        <v>65</v>
      </c>
    </row>
    <row r="1726" spans="4:4" ht="17.649999999999999" x14ac:dyDescent="0.5">
      <c r="D1726" s="3" t="s">
        <v>96</v>
      </c>
    </row>
    <row r="1727" spans="4:4" ht="17.649999999999999" x14ac:dyDescent="0.5">
      <c r="D1727" s="3" t="s">
        <v>64</v>
      </c>
    </row>
    <row r="1728" spans="4:4" ht="17.649999999999999" x14ac:dyDescent="0.5">
      <c r="D1728" s="3" t="s">
        <v>41</v>
      </c>
    </row>
    <row r="1729" spans="4:4" ht="17.649999999999999" x14ac:dyDescent="0.5">
      <c r="D1729" s="3" t="s">
        <v>91</v>
      </c>
    </row>
    <row r="1730" spans="4:4" ht="17.649999999999999" x14ac:dyDescent="0.5">
      <c r="D1730" s="3" t="s">
        <v>73</v>
      </c>
    </row>
    <row r="1731" spans="4:4" ht="17.649999999999999" x14ac:dyDescent="0.5">
      <c r="D1731" s="3" t="s">
        <v>105</v>
      </c>
    </row>
    <row r="1732" spans="4:4" ht="17.649999999999999" x14ac:dyDescent="0.5">
      <c r="D1732" s="3" t="s">
        <v>136</v>
      </c>
    </row>
    <row r="1733" spans="4:4" ht="17.649999999999999" x14ac:dyDescent="0.5">
      <c r="D1733" s="3" t="s">
        <v>69</v>
      </c>
    </row>
    <row r="1734" spans="4:4" ht="17.649999999999999" x14ac:dyDescent="0.5">
      <c r="D1734" s="3" t="s">
        <v>73</v>
      </c>
    </row>
    <row r="1735" spans="4:4" ht="17.649999999999999" x14ac:dyDescent="0.5">
      <c r="D1735" s="3" t="s">
        <v>115</v>
      </c>
    </row>
    <row r="1736" spans="4:4" ht="17.649999999999999" x14ac:dyDescent="0.5">
      <c r="D1736" s="3" t="s">
        <v>95</v>
      </c>
    </row>
    <row r="1737" spans="4:4" ht="17.649999999999999" x14ac:dyDescent="0.5">
      <c r="D1737" s="3" t="s">
        <v>43</v>
      </c>
    </row>
    <row r="1738" spans="4:4" ht="17.649999999999999" x14ac:dyDescent="0.5">
      <c r="D1738" s="3" t="s">
        <v>117</v>
      </c>
    </row>
    <row r="1739" spans="4:4" ht="17.649999999999999" x14ac:dyDescent="0.5">
      <c r="D1739" s="3" t="s">
        <v>41</v>
      </c>
    </row>
    <row r="1740" spans="4:4" ht="17.649999999999999" x14ac:dyDescent="0.5">
      <c r="D1740" s="3" t="s">
        <v>47</v>
      </c>
    </row>
    <row r="1741" spans="4:4" ht="17.649999999999999" x14ac:dyDescent="0.5">
      <c r="D1741" s="3" t="s">
        <v>51</v>
      </c>
    </row>
    <row r="1742" spans="4:4" ht="17.649999999999999" x14ac:dyDescent="0.5">
      <c r="D1742" s="3" t="s">
        <v>81</v>
      </c>
    </row>
    <row r="1743" spans="4:4" ht="17.649999999999999" x14ac:dyDescent="0.5">
      <c r="D1743" s="3" t="s">
        <v>115</v>
      </c>
    </row>
    <row r="1744" spans="4:4" ht="17.649999999999999" x14ac:dyDescent="0.5">
      <c r="D1744" s="3" t="s">
        <v>85</v>
      </c>
    </row>
    <row r="1745" spans="4:4" ht="17.649999999999999" x14ac:dyDescent="0.5">
      <c r="D1745" s="3" t="s">
        <v>90</v>
      </c>
    </row>
    <row r="1746" spans="4:4" ht="17.649999999999999" x14ac:dyDescent="0.5">
      <c r="D1746" s="3" t="s">
        <v>49</v>
      </c>
    </row>
    <row r="1747" spans="4:4" ht="17.649999999999999" x14ac:dyDescent="0.5">
      <c r="D1747" s="3" t="s">
        <v>48</v>
      </c>
    </row>
    <row r="1748" spans="4:4" ht="17.649999999999999" x14ac:dyDescent="0.5">
      <c r="D1748" s="3" t="s">
        <v>50</v>
      </c>
    </row>
    <row r="1749" spans="4:4" ht="17.649999999999999" x14ac:dyDescent="0.5">
      <c r="D1749" s="3" t="s">
        <v>107</v>
      </c>
    </row>
    <row r="1750" spans="4:4" ht="17.649999999999999" x14ac:dyDescent="0.5">
      <c r="D1750" s="3" t="s">
        <v>78</v>
      </c>
    </row>
    <row r="1751" spans="4:4" ht="17.649999999999999" x14ac:dyDescent="0.5">
      <c r="D1751" s="3" t="s">
        <v>57</v>
      </c>
    </row>
    <row r="1752" spans="4:4" ht="17.649999999999999" x14ac:dyDescent="0.5">
      <c r="D1752" s="3" t="s">
        <v>46</v>
      </c>
    </row>
    <row r="1753" spans="4:4" ht="17.649999999999999" x14ac:dyDescent="0.5">
      <c r="D1753" s="3" t="s">
        <v>127</v>
      </c>
    </row>
    <row r="1754" spans="4:4" ht="17.649999999999999" x14ac:dyDescent="0.5">
      <c r="D1754" s="3" t="s">
        <v>52</v>
      </c>
    </row>
    <row r="1755" spans="4:4" ht="17.649999999999999" x14ac:dyDescent="0.5">
      <c r="D1755" s="3" t="s">
        <v>117</v>
      </c>
    </row>
    <row r="1756" spans="4:4" ht="17.649999999999999" x14ac:dyDescent="0.5">
      <c r="D1756" s="3" t="s">
        <v>122</v>
      </c>
    </row>
    <row r="1757" spans="4:4" ht="17.649999999999999" x14ac:dyDescent="0.5">
      <c r="D1757" s="3" t="s">
        <v>92</v>
      </c>
    </row>
    <row r="1758" spans="4:4" ht="17.649999999999999" x14ac:dyDescent="0.5">
      <c r="D1758" s="3" t="s">
        <v>93</v>
      </c>
    </row>
    <row r="1759" spans="4:4" ht="17.649999999999999" x14ac:dyDescent="0.5">
      <c r="D1759" s="3" t="s">
        <v>85</v>
      </c>
    </row>
    <row r="1760" spans="4:4" ht="17.649999999999999" x14ac:dyDescent="0.5">
      <c r="D1760" s="3" t="s">
        <v>87</v>
      </c>
    </row>
    <row r="1761" spans="4:4" ht="17.649999999999999" x14ac:dyDescent="0.5">
      <c r="D1761" s="3" t="s">
        <v>100</v>
      </c>
    </row>
    <row r="1762" spans="4:4" ht="17.649999999999999" x14ac:dyDescent="0.5">
      <c r="D1762" s="3" t="s">
        <v>54</v>
      </c>
    </row>
    <row r="1763" spans="4:4" ht="17.649999999999999" x14ac:dyDescent="0.5">
      <c r="D1763" s="3" t="s">
        <v>46</v>
      </c>
    </row>
    <row r="1764" spans="4:4" ht="17.649999999999999" x14ac:dyDescent="0.5">
      <c r="D1764" s="3" t="s">
        <v>50</v>
      </c>
    </row>
    <row r="1765" spans="4:4" ht="17.649999999999999" x14ac:dyDescent="0.5">
      <c r="D1765" s="3" t="s">
        <v>83</v>
      </c>
    </row>
    <row r="1766" spans="4:4" ht="17.649999999999999" x14ac:dyDescent="0.5">
      <c r="D1766" s="3" t="s">
        <v>80</v>
      </c>
    </row>
    <row r="1767" spans="4:4" ht="17.649999999999999" x14ac:dyDescent="0.5">
      <c r="D1767" s="3" t="s">
        <v>67</v>
      </c>
    </row>
    <row r="1768" spans="4:4" ht="17.649999999999999" x14ac:dyDescent="0.5">
      <c r="D1768" s="3" t="s">
        <v>120</v>
      </c>
    </row>
    <row r="1769" spans="4:4" ht="17.649999999999999" x14ac:dyDescent="0.5">
      <c r="D1769" s="3" t="s">
        <v>43</v>
      </c>
    </row>
    <row r="1770" spans="4:4" ht="17.649999999999999" x14ac:dyDescent="0.5">
      <c r="D1770" s="3" t="s">
        <v>44</v>
      </c>
    </row>
    <row r="1771" spans="4:4" ht="17.649999999999999" x14ac:dyDescent="0.5">
      <c r="D1771" s="3" t="s">
        <v>105</v>
      </c>
    </row>
    <row r="1772" spans="4:4" ht="17.649999999999999" x14ac:dyDescent="0.5">
      <c r="D1772" s="3" t="s">
        <v>91</v>
      </c>
    </row>
    <row r="1773" spans="4:4" ht="17.649999999999999" x14ac:dyDescent="0.5">
      <c r="D1773" s="3" t="s">
        <v>114</v>
      </c>
    </row>
    <row r="1774" spans="4:4" ht="17.649999999999999" x14ac:dyDescent="0.5">
      <c r="D1774" s="3" t="s">
        <v>80</v>
      </c>
    </row>
    <row r="1775" spans="4:4" ht="17.649999999999999" x14ac:dyDescent="0.5">
      <c r="D1775" s="3" t="s">
        <v>56</v>
      </c>
    </row>
    <row r="1776" spans="4:4" ht="17.649999999999999" x14ac:dyDescent="0.5">
      <c r="D1776" s="3" t="s">
        <v>67</v>
      </c>
    </row>
    <row r="1777" spans="4:4" ht="17.649999999999999" x14ac:dyDescent="0.5">
      <c r="D1777" s="3" t="s">
        <v>72</v>
      </c>
    </row>
    <row r="1778" spans="4:4" ht="17.649999999999999" x14ac:dyDescent="0.5">
      <c r="D1778" s="3" t="s">
        <v>48</v>
      </c>
    </row>
    <row r="1779" spans="4:4" ht="17.649999999999999" x14ac:dyDescent="0.5">
      <c r="D1779" s="3" t="s">
        <v>53</v>
      </c>
    </row>
    <row r="1780" spans="4:4" ht="17.649999999999999" x14ac:dyDescent="0.5">
      <c r="D1780" s="3" t="s">
        <v>56</v>
      </c>
    </row>
    <row r="1781" spans="4:4" ht="17.649999999999999" x14ac:dyDescent="0.5">
      <c r="D1781" s="3" t="s">
        <v>84</v>
      </c>
    </row>
    <row r="1782" spans="4:4" ht="17.649999999999999" x14ac:dyDescent="0.5">
      <c r="D1782" s="3" t="s">
        <v>128</v>
      </c>
    </row>
    <row r="1783" spans="4:4" ht="17.649999999999999" x14ac:dyDescent="0.5">
      <c r="D1783" s="3" t="s">
        <v>84</v>
      </c>
    </row>
    <row r="1784" spans="4:4" ht="17.649999999999999" x14ac:dyDescent="0.5">
      <c r="D1784" s="3" t="s">
        <v>54</v>
      </c>
    </row>
    <row r="1785" spans="4:4" ht="17.649999999999999" x14ac:dyDescent="0.5">
      <c r="D1785" s="3" t="s">
        <v>109</v>
      </c>
    </row>
    <row r="1786" spans="4:4" ht="17.649999999999999" x14ac:dyDescent="0.5">
      <c r="D1786" s="3" t="s">
        <v>49</v>
      </c>
    </row>
    <row r="1787" spans="4:4" ht="17.649999999999999" x14ac:dyDescent="0.5">
      <c r="D1787" s="3" t="s">
        <v>63</v>
      </c>
    </row>
    <row r="1788" spans="4:4" ht="17.649999999999999" x14ac:dyDescent="0.5">
      <c r="D1788" s="3" t="s">
        <v>105</v>
      </c>
    </row>
    <row r="1789" spans="4:4" ht="17.649999999999999" x14ac:dyDescent="0.5">
      <c r="D1789" s="3" t="s">
        <v>50</v>
      </c>
    </row>
    <row r="1790" spans="4:4" ht="17.649999999999999" x14ac:dyDescent="0.5">
      <c r="D1790" s="3" t="s">
        <v>48</v>
      </c>
    </row>
    <row r="1791" spans="4:4" ht="17.649999999999999" x14ac:dyDescent="0.5">
      <c r="D1791" s="3" t="s">
        <v>101</v>
      </c>
    </row>
    <row r="1792" spans="4:4" ht="17.649999999999999" x14ac:dyDescent="0.5">
      <c r="D1792" s="3" t="s">
        <v>71</v>
      </c>
    </row>
    <row r="1793" spans="4:4" ht="17.649999999999999" x14ac:dyDescent="0.5">
      <c r="D1793" s="3" t="s">
        <v>57</v>
      </c>
    </row>
    <row r="1794" spans="4:4" ht="17.649999999999999" x14ac:dyDescent="0.5">
      <c r="D1794" s="3" t="s">
        <v>61</v>
      </c>
    </row>
    <row r="1795" spans="4:4" ht="17.649999999999999" x14ac:dyDescent="0.5">
      <c r="D1795" s="3" t="s">
        <v>62</v>
      </c>
    </row>
    <row r="1796" spans="4:4" ht="17.649999999999999" x14ac:dyDescent="0.5">
      <c r="D1796" s="3" t="s">
        <v>73</v>
      </c>
    </row>
    <row r="1797" spans="4:4" ht="17.649999999999999" x14ac:dyDescent="0.5">
      <c r="D1797" s="3" t="s">
        <v>78</v>
      </c>
    </row>
    <row r="1798" spans="4:4" ht="17.649999999999999" x14ac:dyDescent="0.5">
      <c r="D1798" s="3" t="s">
        <v>66</v>
      </c>
    </row>
    <row r="1799" spans="4:4" ht="17.649999999999999" x14ac:dyDescent="0.5">
      <c r="D1799" s="3" t="s">
        <v>84</v>
      </c>
    </row>
    <row r="1800" spans="4:4" ht="17.649999999999999" x14ac:dyDescent="0.5">
      <c r="D1800" s="3" t="s">
        <v>57</v>
      </c>
    </row>
    <row r="1801" spans="4:4" ht="17.649999999999999" x14ac:dyDescent="0.5">
      <c r="D1801" s="3" t="s">
        <v>90</v>
      </c>
    </row>
    <row r="1802" spans="4:4" ht="17.649999999999999" x14ac:dyDescent="0.5">
      <c r="D1802" s="3" t="s">
        <v>77</v>
      </c>
    </row>
    <row r="1803" spans="4:4" ht="17.649999999999999" x14ac:dyDescent="0.5">
      <c r="D1803" s="3" t="s">
        <v>48</v>
      </c>
    </row>
    <row r="1804" spans="4:4" ht="17.649999999999999" x14ac:dyDescent="0.5">
      <c r="D1804" s="3" t="s">
        <v>46</v>
      </c>
    </row>
    <row r="1805" spans="4:4" ht="17.649999999999999" x14ac:dyDescent="0.5">
      <c r="D1805" s="3" t="s">
        <v>77</v>
      </c>
    </row>
    <row r="1806" spans="4:4" ht="17.649999999999999" x14ac:dyDescent="0.5">
      <c r="D1806" s="3" t="s">
        <v>83</v>
      </c>
    </row>
    <row r="1807" spans="4:4" ht="17.649999999999999" x14ac:dyDescent="0.5">
      <c r="D1807" s="3" t="s">
        <v>66</v>
      </c>
    </row>
    <row r="1808" spans="4:4" ht="17.649999999999999" x14ac:dyDescent="0.5">
      <c r="D1808" s="3" t="s">
        <v>56</v>
      </c>
    </row>
    <row r="1809" spans="4:4" ht="17.649999999999999" x14ac:dyDescent="0.5">
      <c r="D1809" s="3" t="s">
        <v>75</v>
      </c>
    </row>
    <row r="1810" spans="4:4" ht="17.649999999999999" x14ac:dyDescent="0.5">
      <c r="D1810" s="3" t="s">
        <v>53</v>
      </c>
    </row>
    <row r="1811" spans="4:4" ht="17.649999999999999" x14ac:dyDescent="0.5">
      <c r="D1811" s="3" t="s">
        <v>122</v>
      </c>
    </row>
    <row r="1812" spans="4:4" ht="17.649999999999999" x14ac:dyDescent="0.5">
      <c r="D1812" s="3" t="s">
        <v>89</v>
      </c>
    </row>
    <row r="1813" spans="4:4" ht="17.649999999999999" x14ac:dyDescent="0.5">
      <c r="D1813" s="3" t="s">
        <v>57</v>
      </c>
    </row>
    <row r="1814" spans="4:4" ht="17.649999999999999" x14ac:dyDescent="0.5">
      <c r="D1814" s="3" t="s">
        <v>113</v>
      </c>
    </row>
    <row r="1815" spans="4:4" ht="17.649999999999999" x14ac:dyDescent="0.5">
      <c r="D1815" s="3" t="s">
        <v>100</v>
      </c>
    </row>
    <row r="1816" spans="4:4" ht="17.649999999999999" x14ac:dyDescent="0.5">
      <c r="D1816" s="3" t="s">
        <v>54</v>
      </c>
    </row>
    <row r="1817" spans="4:4" ht="17.649999999999999" x14ac:dyDescent="0.5">
      <c r="D1817" s="3" t="s">
        <v>121</v>
      </c>
    </row>
    <row r="1818" spans="4:4" ht="17.649999999999999" x14ac:dyDescent="0.5">
      <c r="D1818" s="3" t="s">
        <v>92</v>
      </c>
    </row>
    <row r="1819" spans="4:4" ht="17.649999999999999" x14ac:dyDescent="0.5">
      <c r="D1819" s="3" t="s">
        <v>81</v>
      </c>
    </row>
    <row r="1820" spans="4:4" ht="17.649999999999999" x14ac:dyDescent="0.5">
      <c r="D1820" s="3" t="s">
        <v>74</v>
      </c>
    </row>
    <row r="1821" spans="4:4" ht="17.649999999999999" x14ac:dyDescent="0.5">
      <c r="D1821" s="3" t="s">
        <v>53</v>
      </c>
    </row>
    <row r="1822" spans="4:4" ht="17.649999999999999" x14ac:dyDescent="0.5">
      <c r="D1822" s="3" t="s">
        <v>98</v>
      </c>
    </row>
    <row r="1823" spans="4:4" ht="17.649999999999999" x14ac:dyDescent="0.5">
      <c r="D1823" s="3" t="s">
        <v>57</v>
      </c>
    </row>
    <row r="1824" spans="4:4" ht="17.649999999999999" x14ac:dyDescent="0.5">
      <c r="D1824" s="3" t="s">
        <v>73</v>
      </c>
    </row>
    <row r="1825" spans="4:4" ht="17.649999999999999" x14ac:dyDescent="0.5">
      <c r="D1825" s="3" t="s">
        <v>48</v>
      </c>
    </row>
    <row r="1826" spans="4:4" ht="17.649999999999999" x14ac:dyDescent="0.5">
      <c r="D1826" s="3" t="s">
        <v>63</v>
      </c>
    </row>
    <row r="1827" spans="4:4" ht="17.649999999999999" x14ac:dyDescent="0.5">
      <c r="D1827" s="3" t="s">
        <v>75</v>
      </c>
    </row>
    <row r="1828" spans="4:4" ht="17.649999999999999" x14ac:dyDescent="0.5">
      <c r="D1828" s="3" t="s">
        <v>67</v>
      </c>
    </row>
    <row r="1829" spans="4:4" ht="17.649999999999999" x14ac:dyDescent="0.5">
      <c r="D1829" s="3" t="s">
        <v>103</v>
      </c>
    </row>
    <row r="1830" spans="4:4" ht="17.649999999999999" x14ac:dyDescent="0.5">
      <c r="D1830" s="3" t="s">
        <v>44</v>
      </c>
    </row>
    <row r="1831" spans="4:4" ht="17.649999999999999" x14ac:dyDescent="0.5">
      <c r="D1831" s="3" t="s">
        <v>107</v>
      </c>
    </row>
    <row r="1832" spans="4:4" ht="17.649999999999999" x14ac:dyDescent="0.5">
      <c r="D1832" s="3" t="s">
        <v>95</v>
      </c>
    </row>
    <row r="1833" spans="4:4" ht="17.649999999999999" x14ac:dyDescent="0.5">
      <c r="D1833" s="3" t="s">
        <v>115</v>
      </c>
    </row>
    <row r="1834" spans="4:4" ht="17.649999999999999" x14ac:dyDescent="0.5">
      <c r="D1834" s="3" t="s">
        <v>112</v>
      </c>
    </row>
    <row r="1835" spans="4:4" ht="17.649999999999999" x14ac:dyDescent="0.5">
      <c r="D1835" s="3" t="s">
        <v>62</v>
      </c>
    </row>
    <row r="1836" spans="4:4" ht="17.649999999999999" x14ac:dyDescent="0.5">
      <c r="D1836" s="3" t="s">
        <v>52</v>
      </c>
    </row>
    <row r="1837" spans="4:4" ht="17.649999999999999" x14ac:dyDescent="0.5">
      <c r="D1837" s="3" t="s">
        <v>87</v>
      </c>
    </row>
    <row r="1838" spans="4:4" ht="17.649999999999999" x14ac:dyDescent="0.5">
      <c r="D1838" s="3" t="s">
        <v>106</v>
      </c>
    </row>
    <row r="1839" spans="4:4" ht="17.649999999999999" x14ac:dyDescent="0.5">
      <c r="D1839" s="3" t="s">
        <v>90</v>
      </c>
    </row>
    <row r="1840" spans="4:4" ht="17.649999999999999" x14ac:dyDescent="0.5">
      <c r="D1840" s="3" t="s">
        <v>44</v>
      </c>
    </row>
    <row r="1841" spans="4:4" ht="17.649999999999999" x14ac:dyDescent="0.5">
      <c r="D1841" s="3" t="s">
        <v>59</v>
      </c>
    </row>
    <row r="1842" spans="4:4" ht="17.649999999999999" x14ac:dyDescent="0.5">
      <c r="D1842" s="3" t="s">
        <v>78</v>
      </c>
    </row>
    <row r="1843" spans="4:4" ht="17.649999999999999" x14ac:dyDescent="0.5">
      <c r="D1843" s="3" t="s">
        <v>84</v>
      </c>
    </row>
    <row r="1844" spans="4:4" ht="17.649999999999999" x14ac:dyDescent="0.5">
      <c r="D1844" s="3" t="s">
        <v>131</v>
      </c>
    </row>
    <row r="1845" spans="4:4" ht="17.649999999999999" x14ac:dyDescent="0.5">
      <c r="D1845" s="3" t="s">
        <v>75</v>
      </c>
    </row>
    <row r="1846" spans="4:4" ht="17.649999999999999" x14ac:dyDescent="0.5">
      <c r="D1846" s="3" t="s">
        <v>101</v>
      </c>
    </row>
    <row r="1847" spans="4:4" ht="17.649999999999999" x14ac:dyDescent="0.5">
      <c r="D1847" s="3" t="s">
        <v>96</v>
      </c>
    </row>
    <row r="1848" spans="4:4" ht="17.649999999999999" x14ac:dyDescent="0.5">
      <c r="D1848" s="3" t="s">
        <v>92</v>
      </c>
    </row>
    <row r="1849" spans="4:4" ht="17.649999999999999" x14ac:dyDescent="0.5">
      <c r="D1849" s="3" t="s">
        <v>52</v>
      </c>
    </row>
    <row r="1850" spans="4:4" ht="17.649999999999999" x14ac:dyDescent="0.5">
      <c r="D1850" s="3" t="s">
        <v>44</v>
      </c>
    </row>
    <row r="1851" spans="4:4" ht="17.649999999999999" x14ac:dyDescent="0.5">
      <c r="D1851" s="3" t="s">
        <v>98</v>
      </c>
    </row>
    <row r="1852" spans="4:4" ht="17.649999999999999" x14ac:dyDescent="0.5">
      <c r="D1852" s="3" t="s">
        <v>51</v>
      </c>
    </row>
    <row r="1853" spans="4:4" ht="17.649999999999999" x14ac:dyDescent="0.5">
      <c r="D1853" s="3" t="s">
        <v>49</v>
      </c>
    </row>
    <row r="1854" spans="4:4" ht="17.649999999999999" x14ac:dyDescent="0.5">
      <c r="D1854" s="3" t="s">
        <v>92</v>
      </c>
    </row>
    <row r="1855" spans="4:4" ht="17.649999999999999" x14ac:dyDescent="0.5">
      <c r="D1855" s="3" t="s">
        <v>75</v>
      </c>
    </row>
    <row r="1856" spans="4:4" ht="17.649999999999999" x14ac:dyDescent="0.5">
      <c r="D1856" s="3" t="s">
        <v>67</v>
      </c>
    </row>
    <row r="1857" spans="4:4" ht="17.649999999999999" x14ac:dyDescent="0.5">
      <c r="D1857" s="3" t="s">
        <v>89</v>
      </c>
    </row>
    <row r="1858" spans="4:4" ht="17.649999999999999" x14ac:dyDescent="0.5">
      <c r="D1858" s="3" t="s">
        <v>57</v>
      </c>
    </row>
    <row r="1859" spans="4:4" ht="17.649999999999999" x14ac:dyDescent="0.5">
      <c r="D1859" s="3" t="s">
        <v>106</v>
      </c>
    </row>
    <row r="1860" spans="4:4" ht="17.649999999999999" x14ac:dyDescent="0.5">
      <c r="D1860" s="3" t="s">
        <v>80</v>
      </c>
    </row>
    <row r="1861" spans="4:4" ht="17.649999999999999" x14ac:dyDescent="0.5">
      <c r="D1861" s="3" t="s">
        <v>112</v>
      </c>
    </row>
    <row r="1862" spans="4:4" ht="17.649999999999999" x14ac:dyDescent="0.5">
      <c r="D1862" s="3" t="s">
        <v>53</v>
      </c>
    </row>
    <row r="1863" spans="4:4" ht="17.649999999999999" x14ac:dyDescent="0.5">
      <c r="D1863" s="3" t="s">
        <v>56</v>
      </c>
    </row>
    <row r="1864" spans="4:4" ht="17.649999999999999" x14ac:dyDescent="0.5">
      <c r="D1864" s="3" t="s">
        <v>105</v>
      </c>
    </row>
    <row r="1865" spans="4:4" ht="17.649999999999999" x14ac:dyDescent="0.5">
      <c r="D1865" s="3" t="s">
        <v>130</v>
      </c>
    </row>
    <row r="1866" spans="4:4" ht="17.649999999999999" x14ac:dyDescent="0.5">
      <c r="D1866" s="3" t="s">
        <v>103</v>
      </c>
    </row>
    <row r="1867" spans="4:4" ht="17.649999999999999" x14ac:dyDescent="0.5">
      <c r="D1867" s="3" t="s">
        <v>96</v>
      </c>
    </row>
    <row r="1868" spans="4:4" ht="17.649999999999999" x14ac:dyDescent="0.5">
      <c r="D1868" s="3" t="s">
        <v>43</v>
      </c>
    </row>
    <row r="1869" spans="4:4" ht="17.649999999999999" x14ac:dyDescent="0.5">
      <c r="D1869" s="3" t="s">
        <v>73</v>
      </c>
    </row>
    <row r="1870" spans="4:4" ht="17.649999999999999" x14ac:dyDescent="0.5">
      <c r="D1870" s="3" t="s">
        <v>59</v>
      </c>
    </row>
    <row r="1871" spans="4:4" ht="17.649999999999999" x14ac:dyDescent="0.5">
      <c r="D1871" s="3" t="s">
        <v>115</v>
      </c>
    </row>
    <row r="1872" spans="4:4" ht="17.649999999999999" x14ac:dyDescent="0.5">
      <c r="D1872" s="3" t="s">
        <v>55</v>
      </c>
    </row>
    <row r="1873" spans="4:4" ht="17.649999999999999" x14ac:dyDescent="0.5">
      <c r="D1873" s="3" t="s">
        <v>50</v>
      </c>
    </row>
    <row r="1874" spans="4:4" ht="17.649999999999999" x14ac:dyDescent="0.5">
      <c r="D1874" s="3" t="s">
        <v>57</v>
      </c>
    </row>
    <row r="1875" spans="4:4" ht="17.649999999999999" x14ac:dyDescent="0.5">
      <c r="D1875" s="3" t="s">
        <v>71</v>
      </c>
    </row>
    <row r="1876" spans="4:4" ht="17.649999999999999" x14ac:dyDescent="0.5">
      <c r="D1876" s="3" t="s">
        <v>52</v>
      </c>
    </row>
    <row r="1877" spans="4:4" ht="17.649999999999999" x14ac:dyDescent="0.5">
      <c r="D1877" s="3" t="s">
        <v>132</v>
      </c>
    </row>
    <row r="1878" spans="4:4" ht="17.649999999999999" x14ac:dyDescent="0.5">
      <c r="D1878" s="3" t="s">
        <v>92</v>
      </c>
    </row>
    <row r="1879" spans="4:4" ht="17.649999999999999" x14ac:dyDescent="0.5">
      <c r="D1879" s="3" t="s">
        <v>75</v>
      </c>
    </row>
    <row r="1880" spans="4:4" ht="17.649999999999999" x14ac:dyDescent="0.5">
      <c r="D1880" s="3" t="s">
        <v>51</v>
      </c>
    </row>
    <row r="1881" spans="4:4" ht="17.649999999999999" x14ac:dyDescent="0.5">
      <c r="D1881" s="3" t="s">
        <v>50</v>
      </c>
    </row>
    <row r="1882" spans="4:4" ht="17.649999999999999" x14ac:dyDescent="0.5">
      <c r="D1882" s="3" t="s">
        <v>85</v>
      </c>
    </row>
    <row r="1883" spans="4:4" ht="17.649999999999999" x14ac:dyDescent="0.5">
      <c r="D1883" s="3" t="s">
        <v>43</v>
      </c>
    </row>
    <row r="1884" spans="4:4" ht="17.649999999999999" x14ac:dyDescent="0.5">
      <c r="D1884" s="3" t="s">
        <v>112</v>
      </c>
    </row>
    <row r="1885" spans="4:4" ht="17.649999999999999" x14ac:dyDescent="0.5">
      <c r="D1885" s="3" t="s">
        <v>83</v>
      </c>
    </row>
    <row r="1886" spans="4:4" ht="17.649999999999999" x14ac:dyDescent="0.5">
      <c r="D1886" s="3" t="s">
        <v>43</v>
      </c>
    </row>
    <row r="1887" spans="4:4" ht="17.649999999999999" x14ac:dyDescent="0.5">
      <c r="D1887" s="3" t="s">
        <v>73</v>
      </c>
    </row>
    <row r="1888" spans="4:4" ht="17.649999999999999" x14ac:dyDescent="0.5">
      <c r="D1888" s="3" t="s">
        <v>85</v>
      </c>
    </row>
    <row r="1889" spans="4:4" ht="17.649999999999999" x14ac:dyDescent="0.5">
      <c r="D1889" s="3" t="s">
        <v>129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41</v>
      </c>
    </row>
    <row r="1892" spans="4:4" ht="17.649999999999999" x14ac:dyDescent="0.5">
      <c r="D1892" s="3" t="s">
        <v>44</v>
      </c>
    </row>
    <row r="1893" spans="4:4" ht="17.649999999999999" x14ac:dyDescent="0.5">
      <c r="D1893" s="3" t="s">
        <v>47</v>
      </c>
    </row>
    <row r="1894" spans="4:4" ht="17.649999999999999" x14ac:dyDescent="0.5">
      <c r="D1894" s="3" t="s">
        <v>90</v>
      </c>
    </row>
    <row r="1895" spans="4:4" ht="17.649999999999999" x14ac:dyDescent="0.5">
      <c r="D1895" s="3" t="s">
        <v>123</v>
      </c>
    </row>
    <row r="1896" spans="4:4" ht="17.649999999999999" x14ac:dyDescent="0.5">
      <c r="D1896" s="3" t="s">
        <v>112</v>
      </c>
    </row>
    <row r="1897" spans="4:4" ht="17.649999999999999" x14ac:dyDescent="0.5">
      <c r="D1897" s="3" t="s">
        <v>53</v>
      </c>
    </row>
    <row r="1898" spans="4:4" ht="17.649999999999999" x14ac:dyDescent="0.5">
      <c r="D1898" s="3" t="s">
        <v>119</v>
      </c>
    </row>
    <row r="1899" spans="4:4" ht="17.649999999999999" x14ac:dyDescent="0.5">
      <c r="D1899" s="3" t="s">
        <v>85</v>
      </c>
    </row>
    <row r="1900" spans="4:4" ht="17.649999999999999" x14ac:dyDescent="0.5">
      <c r="D1900" s="3" t="s">
        <v>65</v>
      </c>
    </row>
    <row r="1901" spans="4:4" ht="17.649999999999999" x14ac:dyDescent="0.5">
      <c r="D1901" s="3" t="s">
        <v>43</v>
      </c>
    </row>
    <row r="1902" spans="4:4" ht="17.649999999999999" x14ac:dyDescent="0.5">
      <c r="D1902" s="3" t="s">
        <v>49</v>
      </c>
    </row>
    <row r="1903" spans="4:4" ht="17.649999999999999" x14ac:dyDescent="0.5">
      <c r="D1903" s="3" t="s">
        <v>115</v>
      </c>
    </row>
    <row r="1904" spans="4:4" ht="17.649999999999999" x14ac:dyDescent="0.5">
      <c r="D1904" s="3" t="s">
        <v>67</v>
      </c>
    </row>
    <row r="1905" spans="4:4" ht="17.649999999999999" x14ac:dyDescent="0.5">
      <c r="D1905" s="3" t="s">
        <v>98</v>
      </c>
    </row>
    <row r="1906" spans="4:4" ht="17.649999999999999" x14ac:dyDescent="0.5">
      <c r="D1906" s="3" t="s">
        <v>59</v>
      </c>
    </row>
    <row r="1907" spans="4:4" ht="17.649999999999999" x14ac:dyDescent="0.5">
      <c r="D1907" s="3" t="s">
        <v>51</v>
      </c>
    </row>
    <row r="1908" spans="4:4" ht="17.649999999999999" x14ac:dyDescent="0.5">
      <c r="D1908" s="3" t="s">
        <v>44</v>
      </c>
    </row>
    <row r="1909" spans="4:4" ht="17.649999999999999" x14ac:dyDescent="0.5">
      <c r="D1909" s="3" t="s">
        <v>47</v>
      </c>
    </row>
    <row r="1910" spans="4:4" ht="17.649999999999999" x14ac:dyDescent="0.5">
      <c r="D1910" s="3" t="s">
        <v>41</v>
      </c>
    </row>
    <row r="1911" spans="4:4" ht="17.649999999999999" x14ac:dyDescent="0.5">
      <c r="D1911" s="3" t="s">
        <v>47</v>
      </c>
    </row>
    <row r="1912" spans="4:4" ht="17.649999999999999" x14ac:dyDescent="0.5">
      <c r="D1912" s="3" t="s">
        <v>56</v>
      </c>
    </row>
    <row r="1913" spans="4:4" ht="17.649999999999999" x14ac:dyDescent="0.5">
      <c r="D1913" s="3" t="s">
        <v>121</v>
      </c>
    </row>
    <row r="1914" spans="4:4" ht="17.649999999999999" x14ac:dyDescent="0.5">
      <c r="D1914" s="3" t="s">
        <v>105</v>
      </c>
    </row>
    <row r="1915" spans="4:4" ht="17.649999999999999" x14ac:dyDescent="0.5">
      <c r="D1915" s="3" t="s">
        <v>44</v>
      </c>
    </row>
    <row r="1916" spans="4:4" ht="17.649999999999999" x14ac:dyDescent="0.5">
      <c r="D1916" s="3" t="s">
        <v>92</v>
      </c>
    </row>
    <row r="1917" spans="4:4" ht="17.649999999999999" x14ac:dyDescent="0.5">
      <c r="D1917" s="3" t="s">
        <v>126</v>
      </c>
    </row>
    <row r="1918" spans="4:4" ht="17.649999999999999" x14ac:dyDescent="0.5">
      <c r="D1918" s="3" t="s">
        <v>94</v>
      </c>
    </row>
    <row r="1919" spans="4:4" ht="17.649999999999999" x14ac:dyDescent="0.5">
      <c r="D1919" s="3" t="s">
        <v>84</v>
      </c>
    </row>
    <row r="1920" spans="4:4" ht="17.649999999999999" x14ac:dyDescent="0.5">
      <c r="D1920" s="3" t="s">
        <v>94</v>
      </c>
    </row>
    <row r="1921" spans="4:4" ht="17.649999999999999" x14ac:dyDescent="0.5">
      <c r="D1921" s="3" t="s">
        <v>77</v>
      </c>
    </row>
    <row r="1922" spans="4:4" ht="17.649999999999999" x14ac:dyDescent="0.5">
      <c r="D1922" s="3" t="s">
        <v>53</v>
      </c>
    </row>
    <row r="1923" spans="4:4" ht="17.649999999999999" x14ac:dyDescent="0.5">
      <c r="D1923" s="3" t="s">
        <v>120</v>
      </c>
    </row>
    <row r="1924" spans="4:4" ht="17.649999999999999" x14ac:dyDescent="0.5">
      <c r="D1924" s="3" t="s">
        <v>96</v>
      </c>
    </row>
    <row r="1925" spans="4:4" ht="17.649999999999999" x14ac:dyDescent="0.5">
      <c r="D1925" s="3" t="s">
        <v>97</v>
      </c>
    </row>
    <row r="1926" spans="4:4" ht="17.649999999999999" x14ac:dyDescent="0.5">
      <c r="D1926" s="3" t="s">
        <v>94</v>
      </c>
    </row>
    <row r="1927" spans="4:4" ht="17.649999999999999" x14ac:dyDescent="0.5">
      <c r="D1927" s="3" t="s">
        <v>52</v>
      </c>
    </row>
    <row r="1928" spans="4:4" ht="17.649999999999999" x14ac:dyDescent="0.5">
      <c r="D1928" s="3" t="s">
        <v>55</v>
      </c>
    </row>
    <row r="1929" spans="4:4" ht="17.649999999999999" x14ac:dyDescent="0.5">
      <c r="D1929" s="3" t="s">
        <v>120</v>
      </c>
    </row>
    <row r="1930" spans="4:4" ht="17.649999999999999" x14ac:dyDescent="0.5">
      <c r="D1930" s="3" t="s">
        <v>132</v>
      </c>
    </row>
    <row r="1931" spans="4:4" ht="17.649999999999999" x14ac:dyDescent="0.5">
      <c r="D1931" s="3" t="s">
        <v>56</v>
      </c>
    </row>
    <row r="1932" spans="4:4" ht="17.649999999999999" x14ac:dyDescent="0.5">
      <c r="D1932" s="3" t="s">
        <v>90</v>
      </c>
    </row>
    <row r="1933" spans="4:4" ht="17.649999999999999" x14ac:dyDescent="0.5">
      <c r="D1933" s="3" t="s">
        <v>126</v>
      </c>
    </row>
    <row r="1934" spans="4:4" ht="17.649999999999999" x14ac:dyDescent="0.5">
      <c r="D1934" s="3" t="s">
        <v>131</v>
      </c>
    </row>
    <row r="1935" spans="4:4" ht="17.649999999999999" x14ac:dyDescent="0.5">
      <c r="D1935" s="3" t="s">
        <v>106</v>
      </c>
    </row>
    <row r="1936" spans="4:4" ht="17.649999999999999" x14ac:dyDescent="0.5">
      <c r="D1936" s="3" t="s">
        <v>128</v>
      </c>
    </row>
    <row r="1937" spans="4:4" ht="17.649999999999999" x14ac:dyDescent="0.5">
      <c r="D1937" s="3" t="s">
        <v>73</v>
      </c>
    </row>
    <row r="1938" spans="4:4" ht="17.649999999999999" x14ac:dyDescent="0.5">
      <c r="D1938" s="3" t="s">
        <v>95</v>
      </c>
    </row>
    <row r="1939" spans="4:4" ht="17.649999999999999" x14ac:dyDescent="0.5">
      <c r="D1939" s="3" t="s">
        <v>77</v>
      </c>
    </row>
    <row r="1940" spans="4:4" ht="17.649999999999999" x14ac:dyDescent="0.5">
      <c r="D1940" s="3" t="s">
        <v>74</v>
      </c>
    </row>
    <row r="1941" spans="4:4" ht="17.649999999999999" x14ac:dyDescent="0.5">
      <c r="D1941" s="3" t="s">
        <v>100</v>
      </c>
    </row>
    <row r="1942" spans="4:4" ht="17.649999999999999" x14ac:dyDescent="0.5">
      <c r="D1942" s="3" t="s">
        <v>94</v>
      </c>
    </row>
    <row r="1943" spans="4:4" ht="17.649999999999999" x14ac:dyDescent="0.5">
      <c r="D1943" s="3" t="s">
        <v>56</v>
      </c>
    </row>
    <row r="1944" spans="4:4" ht="17.649999999999999" x14ac:dyDescent="0.5">
      <c r="D1944" s="3" t="s">
        <v>54</v>
      </c>
    </row>
    <row r="1945" spans="4:4" ht="17.649999999999999" x14ac:dyDescent="0.5">
      <c r="D1945" s="3" t="s">
        <v>115</v>
      </c>
    </row>
    <row r="1946" spans="4:4" ht="17.649999999999999" x14ac:dyDescent="0.5">
      <c r="D1946" s="3" t="s">
        <v>78</v>
      </c>
    </row>
    <row r="1947" spans="4:4" ht="17.649999999999999" x14ac:dyDescent="0.5">
      <c r="D1947" s="3" t="s">
        <v>43</v>
      </c>
    </row>
    <row r="1948" spans="4:4" ht="17.649999999999999" x14ac:dyDescent="0.5">
      <c r="D1948" s="3" t="s">
        <v>105</v>
      </c>
    </row>
    <row r="1949" spans="4:4" ht="17.649999999999999" x14ac:dyDescent="0.5">
      <c r="D1949" s="3" t="s">
        <v>80</v>
      </c>
    </row>
    <row r="1950" spans="4:4" ht="17.649999999999999" x14ac:dyDescent="0.5">
      <c r="D1950" s="3" t="s">
        <v>46</v>
      </c>
    </row>
    <row r="1951" spans="4:4" ht="17.649999999999999" x14ac:dyDescent="0.5">
      <c r="D1951" s="3" t="s">
        <v>49</v>
      </c>
    </row>
    <row r="1952" spans="4:4" ht="17.649999999999999" x14ac:dyDescent="0.5">
      <c r="D1952" s="3" t="s">
        <v>115</v>
      </c>
    </row>
    <row r="1953" spans="4:4" ht="17.649999999999999" x14ac:dyDescent="0.5">
      <c r="D1953" s="3" t="s">
        <v>74</v>
      </c>
    </row>
    <row r="1954" spans="4:4" ht="17.649999999999999" x14ac:dyDescent="0.5">
      <c r="D1954" s="3" t="s">
        <v>114</v>
      </c>
    </row>
    <row r="1955" spans="4:4" ht="17.649999999999999" x14ac:dyDescent="0.5">
      <c r="D1955" s="3" t="s">
        <v>55</v>
      </c>
    </row>
    <row r="1956" spans="4:4" ht="17.649999999999999" x14ac:dyDescent="0.5">
      <c r="D1956" s="3" t="s">
        <v>115</v>
      </c>
    </row>
    <row r="1957" spans="4:4" ht="17.649999999999999" x14ac:dyDescent="0.5">
      <c r="D1957" s="3" t="s">
        <v>98</v>
      </c>
    </row>
    <row r="1958" spans="4:4" ht="17.649999999999999" x14ac:dyDescent="0.5">
      <c r="D1958" s="3" t="s">
        <v>78</v>
      </c>
    </row>
    <row r="1959" spans="4:4" ht="17.649999999999999" x14ac:dyDescent="0.5">
      <c r="D1959" s="3" t="s">
        <v>91</v>
      </c>
    </row>
    <row r="1960" spans="4:4" ht="17.649999999999999" x14ac:dyDescent="0.5">
      <c r="D1960" s="3" t="s">
        <v>59</v>
      </c>
    </row>
    <row r="1961" spans="4:4" ht="17.649999999999999" x14ac:dyDescent="0.5">
      <c r="D1961" s="3" t="s">
        <v>50</v>
      </c>
    </row>
    <row r="1962" spans="4:4" ht="17.649999999999999" x14ac:dyDescent="0.5">
      <c r="D1962" s="3" t="s">
        <v>87</v>
      </c>
    </row>
    <row r="1963" spans="4:4" ht="17.649999999999999" x14ac:dyDescent="0.5">
      <c r="D1963" s="3" t="s">
        <v>92</v>
      </c>
    </row>
    <row r="1964" spans="4:4" ht="17.649999999999999" x14ac:dyDescent="0.5">
      <c r="D1964" s="3" t="s">
        <v>81</v>
      </c>
    </row>
    <row r="1965" spans="4:4" ht="17.649999999999999" x14ac:dyDescent="0.5">
      <c r="D1965" s="3" t="s">
        <v>83</v>
      </c>
    </row>
    <row r="1966" spans="4:4" ht="17.649999999999999" x14ac:dyDescent="0.5">
      <c r="D1966" s="3" t="s">
        <v>78</v>
      </c>
    </row>
    <row r="1967" spans="4:4" ht="17.649999999999999" x14ac:dyDescent="0.5">
      <c r="D1967" s="3" t="s">
        <v>57</v>
      </c>
    </row>
    <row r="1968" spans="4:4" ht="17.649999999999999" x14ac:dyDescent="0.5">
      <c r="D1968" s="3" t="s">
        <v>104</v>
      </c>
    </row>
    <row r="1969" spans="4:4" ht="17.649999999999999" x14ac:dyDescent="0.5">
      <c r="D1969" s="3" t="s">
        <v>64</v>
      </c>
    </row>
    <row r="1970" spans="4:4" ht="17.649999999999999" x14ac:dyDescent="0.5">
      <c r="D1970" s="3" t="s">
        <v>90</v>
      </c>
    </row>
    <row r="1971" spans="4:4" ht="17.649999999999999" x14ac:dyDescent="0.5">
      <c r="D1971" s="3" t="s">
        <v>64</v>
      </c>
    </row>
    <row r="1972" spans="4:4" ht="17.649999999999999" x14ac:dyDescent="0.5">
      <c r="D1972" s="3" t="s">
        <v>112</v>
      </c>
    </row>
    <row r="1973" spans="4:4" ht="17.649999999999999" x14ac:dyDescent="0.5">
      <c r="D1973" s="3" t="s">
        <v>111</v>
      </c>
    </row>
    <row r="1974" spans="4:4" ht="17.649999999999999" x14ac:dyDescent="0.5">
      <c r="D1974" s="3" t="s">
        <v>62</v>
      </c>
    </row>
    <row r="1975" spans="4:4" ht="17.649999999999999" x14ac:dyDescent="0.5">
      <c r="D1975" s="3" t="s">
        <v>130</v>
      </c>
    </row>
    <row r="1976" spans="4:4" ht="17.649999999999999" x14ac:dyDescent="0.5">
      <c r="D1976" s="3" t="s">
        <v>117</v>
      </c>
    </row>
    <row r="1977" spans="4:4" ht="17.649999999999999" x14ac:dyDescent="0.5">
      <c r="D1977" s="3" t="s">
        <v>47</v>
      </c>
    </row>
    <row r="1978" spans="4:4" ht="17.649999999999999" x14ac:dyDescent="0.5">
      <c r="D1978" s="3" t="s">
        <v>44</v>
      </c>
    </row>
    <row r="1979" spans="4:4" ht="17.649999999999999" x14ac:dyDescent="0.5">
      <c r="D1979" s="3" t="s">
        <v>46</v>
      </c>
    </row>
    <row r="1980" spans="4:4" ht="17.649999999999999" x14ac:dyDescent="0.5">
      <c r="D1980" s="3" t="s">
        <v>124</v>
      </c>
    </row>
    <row r="1981" spans="4:4" ht="17.649999999999999" x14ac:dyDescent="0.5">
      <c r="D1981" s="3" t="s">
        <v>45</v>
      </c>
    </row>
    <row r="1982" spans="4:4" ht="17.649999999999999" x14ac:dyDescent="0.5">
      <c r="D1982" s="3" t="s">
        <v>87</v>
      </c>
    </row>
    <row r="1983" spans="4:4" ht="17.649999999999999" x14ac:dyDescent="0.5">
      <c r="D1983" s="3" t="s">
        <v>56</v>
      </c>
    </row>
    <row r="1984" spans="4:4" ht="17.649999999999999" x14ac:dyDescent="0.5">
      <c r="D1984" s="3" t="s">
        <v>101</v>
      </c>
    </row>
    <row r="1985" spans="4:4" ht="17.649999999999999" x14ac:dyDescent="0.5">
      <c r="D1985" s="3" t="s">
        <v>98</v>
      </c>
    </row>
    <row r="1986" spans="4:4" ht="17.649999999999999" x14ac:dyDescent="0.5">
      <c r="D1986" s="3" t="s">
        <v>108</v>
      </c>
    </row>
    <row r="1987" spans="4:4" ht="17.649999999999999" x14ac:dyDescent="0.5">
      <c r="D1987" s="3" t="s">
        <v>73</v>
      </c>
    </row>
    <row r="1988" spans="4:4" ht="17.649999999999999" x14ac:dyDescent="0.5">
      <c r="D1988" s="3" t="s">
        <v>50</v>
      </c>
    </row>
    <row r="1989" spans="4:4" ht="17.649999999999999" x14ac:dyDescent="0.5">
      <c r="D1989" s="3" t="s">
        <v>42</v>
      </c>
    </row>
    <row r="1990" spans="4:4" ht="17.649999999999999" x14ac:dyDescent="0.5">
      <c r="D1990" s="3" t="s">
        <v>45</v>
      </c>
    </row>
    <row r="1991" spans="4:4" ht="17.649999999999999" x14ac:dyDescent="0.5">
      <c r="D1991" s="3" t="s">
        <v>96</v>
      </c>
    </row>
    <row r="1992" spans="4:4" ht="17.649999999999999" x14ac:dyDescent="0.5">
      <c r="D1992" s="3" t="s">
        <v>105</v>
      </c>
    </row>
    <row r="1993" spans="4:4" ht="17.649999999999999" x14ac:dyDescent="0.5">
      <c r="D1993" s="3" t="s">
        <v>117</v>
      </c>
    </row>
    <row r="1994" spans="4:4" ht="17.649999999999999" x14ac:dyDescent="0.5">
      <c r="D1994" s="3" t="s">
        <v>51</v>
      </c>
    </row>
    <row r="1995" spans="4:4" ht="17.649999999999999" x14ac:dyDescent="0.5">
      <c r="D1995" s="3" t="s">
        <v>97</v>
      </c>
    </row>
    <row r="1996" spans="4:4" ht="17.649999999999999" x14ac:dyDescent="0.5">
      <c r="D1996" s="3" t="s">
        <v>63</v>
      </c>
    </row>
    <row r="1997" spans="4:4" ht="17.649999999999999" x14ac:dyDescent="0.5">
      <c r="D1997" s="3" t="s">
        <v>90</v>
      </c>
    </row>
    <row r="1998" spans="4:4" ht="17.649999999999999" x14ac:dyDescent="0.5">
      <c r="D1998" s="3" t="s">
        <v>99</v>
      </c>
    </row>
    <row r="1999" spans="4:4" ht="17.649999999999999" x14ac:dyDescent="0.5">
      <c r="D1999" s="3" t="s">
        <v>62</v>
      </c>
    </row>
    <row r="2000" spans="4:4" ht="17.649999999999999" x14ac:dyDescent="0.5">
      <c r="D2000" s="3" t="s">
        <v>77</v>
      </c>
    </row>
    <row r="2001" spans="4:4" ht="17.649999999999999" x14ac:dyDescent="0.5">
      <c r="D2001" s="3" t="s">
        <v>58</v>
      </c>
    </row>
    <row r="2002" spans="4:4" ht="17.649999999999999" x14ac:dyDescent="0.5">
      <c r="D2002" s="3" t="s">
        <v>85</v>
      </c>
    </row>
    <row r="2003" spans="4:4" ht="17.649999999999999" x14ac:dyDescent="0.5">
      <c r="D2003" s="3" t="s">
        <v>132</v>
      </c>
    </row>
    <row r="2004" spans="4:4" ht="17.649999999999999" x14ac:dyDescent="0.5">
      <c r="D2004" s="3" t="s">
        <v>65</v>
      </c>
    </row>
    <row r="2005" spans="4:4" ht="17.649999999999999" x14ac:dyDescent="0.5">
      <c r="D2005" s="3" t="s">
        <v>125</v>
      </c>
    </row>
    <row r="2006" spans="4:4" ht="17.649999999999999" x14ac:dyDescent="0.5">
      <c r="D2006" s="3" t="s">
        <v>41</v>
      </c>
    </row>
    <row r="2007" spans="4:4" ht="17.649999999999999" x14ac:dyDescent="0.5">
      <c r="D2007" s="3" t="s">
        <v>98</v>
      </c>
    </row>
    <row r="2008" spans="4:4" ht="17.649999999999999" x14ac:dyDescent="0.5">
      <c r="D2008" s="3" t="s">
        <v>59</v>
      </c>
    </row>
    <row r="2009" spans="4:4" ht="17.649999999999999" x14ac:dyDescent="0.5">
      <c r="D2009" s="3" t="s">
        <v>85</v>
      </c>
    </row>
    <row r="2010" spans="4:4" ht="17.649999999999999" x14ac:dyDescent="0.5">
      <c r="D2010" s="3" t="s">
        <v>73</v>
      </c>
    </row>
    <row r="2011" spans="4:4" ht="17.649999999999999" x14ac:dyDescent="0.5">
      <c r="D2011" s="3" t="s">
        <v>130</v>
      </c>
    </row>
    <row r="2012" spans="4:4" ht="17.649999999999999" x14ac:dyDescent="0.5">
      <c r="D2012" s="3" t="s">
        <v>117</v>
      </c>
    </row>
    <row r="2013" spans="4:4" ht="17.649999999999999" x14ac:dyDescent="0.5">
      <c r="D2013" s="3" t="s">
        <v>105</v>
      </c>
    </row>
    <row r="2014" spans="4:4" ht="17.649999999999999" x14ac:dyDescent="0.5">
      <c r="D2014" s="3" t="s">
        <v>92</v>
      </c>
    </row>
    <row r="2015" spans="4:4" ht="17.649999999999999" x14ac:dyDescent="0.5">
      <c r="D2015" s="3" t="s">
        <v>91</v>
      </c>
    </row>
    <row r="2016" spans="4:4" ht="17.649999999999999" x14ac:dyDescent="0.5">
      <c r="D2016" s="3" t="s">
        <v>96</v>
      </c>
    </row>
    <row r="2017" spans="4:4" ht="17.649999999999999" x14ac:dyDescent="0.5">
      <c r="D2017" s="3" t="s">
        <v>43</v>
      </c>
    </row>
    <row r="2018" spans="4:4" ht="17.649999999999999" x14ac:dyDescent="0.5">
      <c r="D2018" s="3" t="s">
        <v>46</v>
      </c>
    </row>
    <row r="2019" spans="4:4" ht="17.649999999999999" x14ac:dyDescent="0.5">
      <c r="D2019" s="3" t="s">
        <v>119</v>
      </c>
    </row>
    <row r="2020" spans="4:4" ht="17.649999999999999" x14ac:dyDescent="0.5">
      <c r="D2020" s="3" t="s">
        <v>115</v>
      </c>
    </row>
    <row r="2021" spans="4:4" ht="17.649999999999999" x14ac:dyDescent="0.5">
      <c r="D2021" s="3" t="s">
        <v>55</v>
      </c>
    </row>
    <row r="2022" spans="4:4" ht="17.649999999999999" x14ac:dyDescent="0.5">
      <c r="D2022" s="3" t="s">
        <v>91</v>
      </c>
    </row>
    <row r="2023" spans="4:4" ht="17.649999999999999" x14ac:dyDescent="0.5">
      <c r="D2023" s="3" t="s">
        <v>97</v>
      </c>
    </row>
    <row r="2024" spans="4:4" ht="17.649999999999999" x14ac:dyDescent="0.5">
      <c r="D2024" s="3" t="s">
        <v>87</v>
      </c>
    </row>
    <row r="2025" spans="4:4" ht="17.649999999999999" x14ac:dyDescent="0.5">
      <c r="D2025" s="3" t="s">
        <v>44</v>
      </c>
    </row>
    <row r="2026" spans="4:4" ht="17.649999999999999" x14ac:dyDescent="0.5">
      <c r="D2026" s="3" t="s">
        <v>68</v>
      </c>
    </row>
    <row r="2027" spans="4:4" ht="17.649999999999999" x14ac:dyDescent="0.5">
      <c r="D2027" s="3" t="s">
        <v>107</v>
      </c>
    </row>
    <row r="2028" spans="4:4" ht="17.649999999999999" x14ac:dyDescent="0.5">
      <c r="D2028" s="3" t="s">
        <v>63</v>
      </c>
    </row>
    <row r="2029" spans="4:4" ht="17.649999999999999" x14ac:dyDescent="0.5">
      <c r="D2029" s="3" t="s">
        <v>89</v>
      </c>
    </row>
    <row r="2030" spans="4:4" ht="17.649999999999999" x14ac:dyDescent="0.5">
      <c r="D2030" s="3" t="s">
        <v>48</v>
      </c>
    </row>
    <row r="2031" spans="4:4" ht="17.649999999999999" x14ac:dyDescent="0.5">
      <c r="D2031" s="3" t="s">
        <v>49</v>
      </c>
    </row>
    <row r="2032" spans="4:4" ht="17.649999999999999" x14ac:dyDescent="0.5">
      <c r="D2032" s="3" t="s">
        <v>50</v>
      </c>
    </row>
    <row r="2033" spans="4:4" ht="17.649999999999999" x14ac:dyDescent="0.5">
      <c r="D2033" s="3" t="s">
        <v>71</v>
      </c>
    </row>
    <row r="2034" spans="4:4" ht="17.649999999999999" x14ac:dyDescent="0.5">
      <c r="D2034" s="3" t="s">
        <v>80</v>
      </c>
    </row>
    <row r="2035" spans="4:4" ht="17.649999999999999" x14ac:dyDescent="0.5">
      <c r="D2035" s="3" t="s">
        <v>50</v>
      </c>
    </row>
    <row r="2036" spans="4:4" ht="17.649999999999999" x14ac:dyDescent="0.5">
      <c r="D2036" s="3" t="s">
        <v>49</v>
      </c>
    </row>
    <row r="2037" spans="4:4" ht="17.649999999999999" x14ac:dyDescent="0.5">
      <c r="D2037" s="3" t="s">
        <v>61</v>
      </c>
    </row>
    <row r="2038" spans="4:4" ht="17.649999999999999" x14ac:dyDescent="0.5">
      <c r="D2038" s="3" t="s">
        <v>85</v>
      </c>
    </row>
    <row r="2039" spans="4:4" ht="17.649999999999999" x14ac:dyDescent="0.5">
      <c r="D2039" s="3" t="s">
        <v>44</v>
      </c>
    </row>
    <row r="2040" spans="4:4" ht="17.649999999999999" x14ac:dyDescent="0.5">
      <c r="D2040" s="3" t="s">
        <v>96</v>
      </c>
    </row>
    <row r="2041" spans="4:4" ht="17.649999999999999" x14ac:dyDescent="0.5">
      <c r="D2041" s="3" t="s">
        <v>54</v>
      </c>
    </row>
    <row r="2042" spans="4:4" ht="17.649999999999999" x14ac:dyDescent="0.5">
      <c r="D2042" s="3" t="s">
        <v>61</v>
      </c>
    </row>
    <row r="2043" spans="4:4" ht="17.649999999999999" x14ac:dyDescent="0.5">
      <c r="D2043" s="3" t="s">
        <v>87</v>
      </c>
    </row>
    <row r="2044" spans="4:4" ht="17.649999999999999" x14ac:dyDescent="0.5">
      <c r="D2044" s="3" t="s">
        <v>82</v>
      </c>
    </row>
    <row r="2045" spans="4:4" ht="17.649999999999999" x14ac:dyDescent="0.5">
      <c r="D2045" s="3" t="s">
        <v>43</v>
      </c>
    </row>
    <row r="2046" spans="4:4" ht="17.649999999999999" x14ac:dyDescent="0.5">
      <c r="D2046" s="3" t="s">
        <v>66</v>
      </c>
    </row>
    <row r="2047" spans="4:4" ht="17.649999999999999" x14ac:dyDescent="0.5">
      <c r="D2047" s="3" t="s">
        <v>103</v>
      </c>
    </row>
    <row r="2048" spans="4:4" ht="17.649999999999999" x14ac:dyDescent="0.5">
      <c r="D2048" s="3" t="s">
        <v>46</v>
      </c>
    </row>
    <row r="2049" spans="4:4" ht="17.649999999999999" x14ac:dyDescent="0.5">
      <c r="D2049" s="3" t="s">
        <v>44</v>
      </c>
    </row>
    <row r="2050" spans="4:4" ht="17.649999999999999" x14ac:dyDescent="0.5">
      <c r="D2050" s="3" t="s">
        <v>122</v>
      </c>
    </row>
    <row r="2051" spans="4:4" ht="17.649999999999999" x14ac:dyDescent="0.5">
      <c r="D2051" s="3" t="s">
        <v>107</v>
      </c>
    </row>
    <row r="2052" spans="4:4" ht="17.649999999999999" x14ac:dyDescent="0.5">
      <c r="D2052" s="3" t="s">
        <v>57</v>
      </c>
    </row>
    <row r="2053" spans="4:4" ht="17.649999999999999" x14ac:dyDescent="0.5">
      <c r="D2053" s="3" t="s">
        <v>61</v>
      </c>
    </row>
    <row r="2054" spans="4:4" ht="17.649999999999999" x14ac:dyDescent="0.5">
      <c r="D2054" s="3" t="s">
        <v>66</v>
      </c>
    </row>
    <row r="2055" spans="4:4" ht="17.649999999999999" x14ac:dyDescent="0.5">
      <c r="D2055" s="3" t="s">
        <v>90</v>
      </c>
    </row>
    <row r="2056" spans="4:4" ht="17.649999999999999" x14ac:dyDescent="0.5">
      <c r="D2056" s="3" t="s">
        <v>77</v>
      </c>
    </row>
    <row r="2057" spans="4:4" ht="17.649999999999999" x14ac:dyDescent="0.5">
      <c r="D2057" s="3" t="s">
        <v>78</v>
      </c>
    </row>
    <row r="2058" spans="4:4" ht="17.649999999999999" x14ac:dyDescent="0.5">
      <c r="D2058" s="3" t="s">
        <v>51</v>
      </c>
    </row>
    <row r="2059" spans="4:4" ht="17.649999999999999" x14ac:dyDescent="0.5">
      <c r="D2059" s="3" t="s">
        <v>87</v>
      </c>
    </row>
    <row r="2060" spans="4:4" ht="17.649999999999999" x14ac:dyDescent="0.5">
      <c r="D2060" s="3" t="s">
        <v>75</v>
      </c>
    </row>
    <row r="2061" spans="4:4" ht="17.649999999999999" x14ac:dyDescent="0.5">
      <c r="D2061" s="3" t="s">
        <v>104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Q133"/>
  <sheetViews>
    <sheetView workbookViewId="0">
      <selection activeCell="D2" sqref="D2"/>
    </sheetView>
  </sheetViews>
  <sheetFormatPr baseColWidth="10" defaultRowHeight="15.75" x14ac:dyDescent="0.5"/>
  <sheetData>
    <row r="1" spans="1:89" x14ac:dyDescent="0.5">
      <c r="A1" t="s">
        <v>368</v>
      </c>
      <c r="B1" s="4" t="s">
        <v>336</v>
      </c>
      <c r="C1" s="4" t="s">
        <v>358</v>
      </c>
      <c r="D1" s="4">
        <v>1</v>
      </c>
      <c r="E1" s="4">
        <v>2</v>
      </c>
      <c r="F1" s="4">
        <v>3</v>
      </c>
      <c r="G1" s="4">
        <v>4</v>
      </c>
      <c r="H1" s="4">
        <v>5</v>
      </c>
      <c r="I1" s="4">
        <v>6</v>
      </c>
      <c r="J1" s="4">
        <v>7</v>
      </c>
      <c r="K1" s="4">
        <v>8</v>
      </c>
      <c r="L1" s="4">
        <v>9</v>
      </c>
      <c r="M1" s="4">
        <v>10</v>
      </c>
      <c r="N1" s="4">
        <v>11</v>
      </c>
      <c r="O1" s="4">
        <v>12</v>
      </c>
      <c r="P1" t="s">
        <v>360</v>
      </c>
      <c r="Q1" t="s">
        <v>336</v>
      </c>
      <c r="R1" t="s">
        <v>337</v>
      </c>
      <c r="S1">
        <v>1</v>
      </c>
      <c r="T1">
        <v>2</v>
      </c>
      <c r="U1">
        <v>3</v>
      </c>
      <c r="V1">
        <v>4</v>
      </c>
      <c r="W1">
        <v>5</v>
      </c>
      <c r="X1">
        <v>6</v>
      </c>
      <c r="Y1">
        <v>7</v>
      </c>
      <c r="Z1">
        <v>8</v>
      </c>
      <c r="AA1">
        <v>9</v>
      </c>
      <c r="AB1">
        <v>10</v>
      </c>
      <c r="AC1">
        <v>11</v>
      </c>
      <c r="AD1">
        <v>12</v>
      </c>
      <c r="AF1" t="s">
        <v>336</v>
      </c>
      <c r="AG1" t="s">
        <v>337</v>
      </c>
      <c r="AH1">
        <v>1</v>
      </c>
      <c r="AI1">
        <v>2</v>
      </c>
      <c r="AJ1">
        <v>3</v>
      </c>
      <c r="AK1">
        <v>4</v>
      </c>
      <c r="AL1">
        <v>5</v>
      </c>
      <c r="AM1">
        <v>6</v>
      </c>
      <c r="AN1">
        <v>7</v>
      </c>
      <c r="AO1">
        <v>8</v>
      </c>
      <c r="AP1">
        <v>9</v>
      </c>
      <c r="AQ1">
        <v>10</v>
      </c>
      <c r="AR1">
        <v>11</v>
      </c>
      <c r="AS1">
        <v>12</v>
      </c>
      <c r="AV1" t="s">
        <v>342</v>
      </c>
      <c r="AW1" t="s">
        <v>338</v>
      </c>
      <c r="AX1" t="s">
        <v>336</v>
      </c>
      <c r="AY1" t="s">
        <v>337</v>
      </c>
      <c r="AZ1">
        <v>1</v>
      </c>
      <c r="BA1">
        <v>2</v>
      </c>
      <c r="BB1">
        <v>3</v>
      </c>
      <c r="BC1">
        <v>4</v>
      </c>
      <c r="BD1">
        <v>5</v>
      </c>
      <c r="BE1">
        <v>6</v>
      </c>
      <c r="BF1">
        <v>7</v>
      </c>
      <c r="BG1">
        <v>8</v>
      </c>
      <c r="BH1">
        <v>9</v>
      </c>
      <c r="BI1">
        <v>10</v>
      </c>
      <c r="BJ1">
        <v>11</v>
      </c>
      <c r="BK1">
        <v>12</v>
      </c>
      <c r="BL1" t="s">
        <v>339</v>
      </c>
      <c r="BM1" t="s">
        <v>336</v>
      </c>
      <c r="BN1" t="s">
        <v>337</v>
      </c>
      <c r="BO1">
        <v>1</v>
      </c>
      <c r="BP1">
        <v>2</v>
      </c>
      <c r="BQ1">
        <v>3</v>
      </c>
      <c r="BR1">
        <v>4</v>
      </c>
      <c r="BS1">
        <v>5</v>
      </c>
      <c r="BT1">
        <v>6</v>
      </c>
      <c r="BU1">
        <v>7</v>
      </c>
      <c r="BV1">
        <v>8</v>
      </c>
      <c r="BW1">
        <v>9</v>
      </c>
      <c r="BX1">
        <v>10</v>
      </c>
      <c r="BY1">
        <v>11</v>
      </c>
      <c r="BZ1">
        <v>12</v>
      </c>
      <c r="CD1" s="9" t="s">
        <v>8</v>
      </c>
      <c r="CE1" s="10"/>
      <c r="CF1" s="9" t="s">
        <v>9</v>
      </c>
      <c r="CG1" s="10"/>
      <c r="CH1" s="10"/>
      <c r="CI1" s="9" t="s">
        <v>10</v>
      </c>
      <c r="CJ1" s="10"/>
    </row>
    <row r="2" spans="1:89" x14ac:dyDescent="0.5">
      <c r="B2" s="4">
        <v>20</v>
      </c>
      <c r="C2" s="4" t="s">
        <v>137</v>
      </c>
      <c r="D2" s="4">
        <v>-11</v>
      </c>
      <c r="E2" s="4">
        <v>17</v>
      </c>
      <c r="F2" s="4">
        <v>2</v>
      </c>
      <c r="G2" s="4">
        <v>3</v>
      </c>
      <c r="H2" s="4">
        <v>6</v>
      </c>
      <c r="I2" s="4">
        <v>7</v>
      </c>
      <c r="J2" s="4">
        <v>-3</v>
      </c>
      <c r="K2" s="4">
        <v>-3</v>
      </c>
      <c r="L2" s="4">
        <v>12</v>
      </c>
      <c r="M2" s="4">
        <v>-9</v>
      </c>
      <c r="N2" s="4">
        <v>-15</v>
      </c>
      <c r="O2" s="4">
        <v>2</v>
      </c>
      <c r="Q2">
        <v>20</v>
      </c>
      <c r="R2" t="s">
        <v>137</v>
      </c>
      <c r="S2">
        <v>33</v>
      </c>
      <c r="T2">
        <v>-15</v>
      </c>
      <c r="U2">
        <v>0</v>
      </c>
      <c r="V2">
        <v>7</v>
      </c>
      <c r="W2">
        <v>-14</v>
      </c>
      <c r="X2">
        <v>13</v>
      </c>
      <c r="Y2">
        <v>-9</v>
      </c>
      <c r="Z2">
        <v>-5</v>
      </c>
      <c r="AA2">
        <v>0</v>
      </c>
      <c r="AB2">
        <v>19</v>
      </c>
      <c r="AC2">
        <v>3</v>
      </c>
      <c r="AD2">
        <v>16</v>
      </c>
      <c r="AF2">
        <v>20</v>
      </c>
      <c r="AG2" t="s">
        <v>137</v>
      </c>
      <c r="AH2">
        <f>IF(S2&gt;0,1,0)</f>
        <v>1</v>
      </c>
      <c r="AI2">
        <f t="shared" ref="AI2:AS17" si="0">IF(T2&gt;0,1,0)</f>
        <v>0</v>
      </c>
      <c r="AJ2">
        <f t="shared" si="0"/>
        <v>0</v>
      </c>
      <c r="AK2">
        <f t="shared" si="0"/>
        <v>1</v>
      </c>
      <c r="AL2">
        <f t="shared" si="0"/>
        <v>0</v>
      </c>
      <c r="AM2">
        <f t="shared" si="0"/>
        <v>1</v>
      </c>
      <c r="AN2">
        <f t="shared" si="0"/>
        <v>0</v>
      </c>
      <c r="AO2">
        <f t="shared" si="0"/>
        <v>0</v>
      </c>
      <c r="AP2">
        <f t="shared" si="0"/>
        <v>0</v>
      </c>
      <c r="AQ2">
        <f t="shared" si="0"/>
        <v>1</v>
      </c>
      <c r="AR2">
        <f t="shared" si="0"/>
        <v>1</v>
      </c>
      <c r="AS2">
        <f t="shared" si="0"/>
        <v>1</v>
      </c>
      <c r="AW2" t="s">
        <v>346</v>
      </c>
      <c r="AX2">
        <v>20</v>
      </c>
      <c r="AY2" t="s">
        <v>137</v>
      </c>
      <c r="AZ2">
        <f t="shared" ref="AZ2:BK2" si="1">ABS(D2)</f>
        <v>11</v>
      </c>
      <c r="BA2">
        <f t="shared" si="1"/>
        <v>17</v>
      </c>
      <c r="BB2">
        <f t="shared" si="1"/>
        <v>2</v>
      </c>
      <c r="BC2">
        <f t="shared" si="1"/>
        <v>3</v>
      </c>
      <c r="BD2">
        <f t="shared" si="1"/>
        <v>6</v>
      </c>
      <c r="BE2">
        <f t="shared" si="1"/>
        <v>7</v>
      </c>
      <c r="BF2">
        <f t="shared" si="1"/>
        <v>3</v>
      </c>
      <c r="BG2">
        <f t="shared" si="1"/>
        <v>3</v>
      </c>
      <c r="BH2">
        <f t="shared" si="1"/>
        <v>12</v>
      </c>
      <c r="BI2">
        <f t="shared" si="1"/>
        <v>9</v>
      </c>
      <c r="BJ2">
        <f t="shared" si="1"/>
        <v>15</v>
      </c>
      <c r="BK2">
        <f t="shared" si="1"/>
        <v>2</v>
      </c>
      <c r="BL2" t="s">
        <v>345</v>
      </c>
      <c r="BM2">
        <f t="shared" ref="BM2:BM11" si="2">ABS(Q2)</f>
        <v>20</v>
      </c>
      <c r="BN2" t="s">
        <v>137</v>
      </c>
      <c r="BO2">
        <f t="shared" ref="BO2:BO10" si="3">ABS(S2)</f>
        <v>33</v>
      </c>
      <c r="BP2">
        <f t="shared" ref="BP2:BP10" si="4">ABS(T2)</f>
        <v>15</v>
      </c>
      <c r="BQ2">
        <f t="shared" ref="BQ2:BQ10" si="5">ABS(U2)</f>
        <v>0</v>
      </c>
      <c r="BR2">
        <f t="shared" ref="BR2:BR10" si="6">ABS(V2)</f>
        <v>7</v>
      </c>
      <c r="BS2">
        <f t="shared" ref="BS2:BS10" si="7">ABS(W2)</f>
        <v>14</v>
      </c>
      <c r="BT2">
        <f t="shared" ref="BT2:BT10" si="8">ABS(X2)</f>
        <v>13</v>
      </c>
      <c r="BU2">
        <f t="shared" ref="BU2:BU10" si="9">ABS(Y2)</f>
        <v>9</v>
      </c>
      <c r="BV2">
        <f t="shared" ref="BV2:BV10" si="10">ABS(Z2)</f>
        <v>5</v>
      </c>
      <c r="BW2">
        <f t="shared" ref="BW2:BW10" si="11">ABS(AA2)</f>
        <v>0</v>
      </c>
      <c r="BX2">
        <f t="shared" ref="BX2:BX10" si="12">ABS(AB2)</f>
        <v>19</v>
      </c>
      <c r="BY2">
        <f t="shared" ref="BY2:BY10" si="13">ABS(AC2)</f>
        <v>3</v>
      </c>
      <c r="BZ2">
        <f t="shared" ref="BZ2:BZ10" si="14">ABS(AD2)</f>
        <v>16</v>
      </c>
      <c r="CC2" t="s">
        <v>342</v>
      </c>
      <c r="CD2" s="2" t="s">
        <v>341</v>
      </c>
      <c r="CE2" s="2" t="s">
        <v>12</v>
      </c>
      <c r="CF2" s="2" t="s">
        <v>13</v>
      </c>
      <c r="CG2" s="2" t="s">
        <v>14</v>
      </c>
      <c r="CH2" s="2" t="s">
        <v>15</v>
      </c>
      <c r="CI2" s="2" t="s">
        <v>16</v>
      </c>
      <c r="CJ2" s="2" t="s">
        <v>17</v>
      </c>
      <c r="CK2" s="2" t="s">
        <v>343</v>
      </c>
    </row>
    <row r="3" spans="1:89" x14ac:dyDescent="0.5">
      <c r="B3" s="4">
        <v>20</v>
      </c>
      <c r="C3" s="4" t="s">
        <v>138</v>
      </c>
      <c r="D3" s="4">
        <v>1</v>
      </c>
      <c r="E3" s="4">
        <v>-7</v>
      </c>
      <c r="F3" s="4">
        <v>0</v>
      </c>
      <c r="G3" s="4">
        <v>3</v>
      </c>
      <c r="H3" s="4">
        <v>-8</v>
      </c>
      <c r="I3" s="4">
        <v>-13</v>
      </c>
      <c r="J3" s="4">
        <v>9</v>
      </c>
      <c r="K3" s="4">
        <v>-3</v>
      </c>
      <c r="L3" s="4">
        <v>2</v>
      </c>
      <c r="M3" s="4">
        <v>-15</v>
      </c>
      <c r="N3" s="4">
        <v>5</v>
      </c>
      <c r="O3" s="4">
        <v>18</v>
      </c>
      <c r="Q3">
        <v>20</v>
      </c>
      <c r="R3" t="s">
        <v>138</v>
      </c>
      <c r="S3">
        <v>29</v>
      </c>
      <c r="T3">
        <v>-15</v>
      </c>
      <c r="U3">
        <v>-16</v>
      </c>
      <c r="V3">
        <v>3</v>
      </c>
      <c r="W3">
        <v>-26</v>
      </c>
      <c r="X3">
        <v>1</v>
      </c>
      <c r="Y3">
        <v>-15</v>
      </c>
      <c r="Z3">
        <v>-3</v>
      </c>
      <c r="AA3">
        <v>-2</v>
      </c>
      <c r="AB3">
        <v>-11</v>
      </c>
      <c r="AC3">
        <v>17</v>
      </c>
      <c r="AD3">
        <v>-10</v>
      </c>
      <c r="AF3">
        <v>20</v>
      </c>
      <c r="AG3" t="s">
        <v>138</v>
      </c>
      <c r="AH3">
        <f t="shared" ref="AH3:AH41" si="15">IF(S3&gt;0,1,0)</f>
        <v>1</v>
      </c>
      <c r="AI3">
        <f t="shared" si="0"/>
        <v>0</v>
      </c>
      <c r="AJ3">
        <f t="shared" si="0"/>
        <v>0</v>
      </c>
      <c r="AK3">
        <f t="shared" si="0"/>
        <v>1</v>
      </c>
      <c r="AL3">
        <f t="shared" si="0"/>
        <v>0</v>
      </c>
      <c r="AM3">
        <f t="shared" si="0"/>
        <v>1</v>
      </c>
      <c r="AN3">
        <f t="shared" si="0"/>
        <v>0</v>
      </c>
      <c r="AO3">
        <f t="shared" si="0"/>
        <v>0</v>
      </c>
      <c r="AP3">
        <f t="shared" si="0"/>
        <v>0</v>
      </c>
      <c r="AQ3">
        <f t="shared" si="0"/>
        <v>0</v>
      </c>
      <c r="AR3">
        <f t="shared" si="0"/>
        <v>1</v>
      </c>
      <c r="AS3">
        <f t="shared" si="0"/>
        <v>0</v>
      </c>
      <c r="AX3">
        <v>20</v>
      </c>
      <c r="AY3" t="s">
        <v>138</v>
      </c>
      <c r="AZ3">
        <f t="shared" ref="AZ3:AZ41" si="16">ABS(D3)</f>
        <v>1</v>
      </c>
      <c r="BA3">
        <f t="shared" ref="BA3:BA11" si="17">ABS(E3)</f>
        <v>7</v>
      </c>
      <c r="BB3">
        <f t="shared" ref="BB3:BB11" si="18">ABS(F3)</f>
        <v>0</v>
      </c>
      <c r="BC3">
        <f t="shared" ref="BC3:BC11" si="19">ABS(G3)</f>
        <v>3</v>
      </c>
      <c r="BD3">
        <f t="shared" ref="BD3:BD11" si="20">ABS(H3)</f>
        <v>8</v>
      </c>
      <c r="BE3">
        <f t="shared" ref="BE3:BE11" si="21">ABS(I3)</f>
        <v>13</v>
      </c>
      <c r="BF3">
        <f t="shared" ref="BF3:BF11" si="22">ABS(J3)</f>
        <v>9</v>
      </c>
      <c r="BG3">
        <f t="shared" ref="BG3:BG11" si="23">ABS(K3)</f>
        <v>3</v>
      </c>
      <c r="BH3">
        <f t="shared" ref="BH3:BH11" si="24">ABS(L3)</f>
        <v>2</v>
      </c>
      <c r="BI3">
        <f t="shared" ref="BI3:BI11" si="25">ABS(M3)</f>
        <v>15</v>
      </c>
      <c r="BJ3">
        <f t="shared" ref="BJ3:BJ11" si="26">ABS(N3)</f>
        <v>5</v>
      </c>
      <c r="BK3">
        <f t="shared" ref="BK3:BK11" si="27">ABS(O3)</f>
        <v>18</v>
      </c>
      <c r="BM3">
        <f t="shared" si="2"/>
        <v>20</v>
      </c>
      <c r="BN3" t="s">
        <v>138</v>
      </c>
      <c r="BO3">
        <f t="shared" si="3"/>
        <v>29</v>
      </c>
      <c r="BP3">
        <f t="shared" si="4"/>
        <v>15</v>
      </c>
      <c r="BQ3">
        <f t="shared" si="5"/>
        <v>16</v>
      </c>
      <c r="BR3">
        <f t="shared" si="6"/>
        <v>3</v>
      </c>
      <c r="BS3">
        <f t="shared" si="7"/>
        <v>26</v>
      </c>
      <c r="BT3">
        <f t="shared" si="8"/>
        <v>1</v>
      </c>
      <c r="BU3">
        <f t="shared" si="9"/>
        <v>15</v>
      </c>
      <c r="BV3">
        <f t="shared" si="10"/>
        <v>3</v>
      </c>
      <c r="BW3">
        <f t="shared" si="11"/>
        <v>2</v>
      </c>
      <c r="BX3">
        <f t="shared" si="12"/>
        <v>11</v>
      </c>
      <c r="BY3">
        <f t="shared" si="13"/>
        <v>17</v>
      </c>
      <c r="BZ3">
        <f t="shared" si="14"/>
        <v>10</v>
      </c>
      <c r="CC3" s="4">
        <v>1</v>
      </c>
      <c r="CD3" s="2">
        <v>1</v>
      </c>
      <c r="CE3" s="2">
        <v>0</v>
      </c>
      <c r="CF3" s="2">
        <v>1</v>
      </c>
      <c r="CG3" s="2">
        <v>0</v>
      </c>
      <c r="CH3" s="2">
        <v>0</v>
      </c>
      <c r="CI3" s="2">
        <v>1</v>
      </c>
      <c r="CJ3" s="2">
        <v>0</v>
      </c>
      <c r="CK3" s="2">
        <v>3</v>
      </c>
    </row>
    <row r="4" spans="1:89" ht="17.649999999999999" x14ac:dyDescent="0.5">
      <c r="B4" s="4">
        <v>19</v>
      </c>
      <c r="C4" s="4" t="s">
        <v>137</v>
      </c>
      <c r="D4" s="4">
        <v>9</v>
      </c>
      <c r="E4" s="4">
        <v>-13</v>
      </c>
      <c r="F4" s="4">
        <v>12</v>
      </c>
      <c r="G4" s="4">
        <v>13</v>
      </c>
      <c r="H4" s="4">
        <v>12</v>
      </c>
      <c r="I4" s="4">
        <v>-9</v>
      </c>
      <c r="J4" s="4">
        <v>-3</v>
      </c>
      <c r="K4" s="4">
        <v>13</v>
      </c>
      <c r="L4" s="4">
        <v>-6</v>
      </c>
      <c r="M4" s="4">
        <v>-15</v>
      </c>
      <c r="N4" s="4">
        <v>-1</v>
      </c>
      <c r="O4" s="4">
        <v>2</v>
      </c>
      <c r="Q4">
        <v>19</v>
      </c>
      <c r="R4" s="3" t="s">
        <v>137</v>
      </c>
      <c r="S4">
        <v>32</v>
      </c>
      <c r="T4">
        <v>-9</v>
      </c>
      <c r="U4">
        <v>-16</v>
      </c>
      <c r="V4">
        <v>-7</v>
      </c>
      <c r="W4">
        <v>-8</v>
      </c>
      <c r="X4">
        <v>-3</v>
      </c>
      <c r="Y4">
        <v>-23</v>
      </c>
      <c r="Z4">
        <v>-11</v>
      </c>
      <c r="AA4">
        <v>8</v>
      </c>
      <c r="AB4">
        <v>17</v>
      </c>
      <c r="AC4">
        <v>-5</v>
      </c>
      <c r="AD4">
        <v>8</v>
      </c>
      <c r="AF4">
        <v>19</v>
      </c>
      <c r="AG4" s="3" t="s">
        <v>137</v>
      </c>
      <c r="AH4">
        <f t="shared" si="15"/>
        <v>1</v>
      </c>
      <c r="AI4">
        <f t="shared" si="0"/>
        <v>0</v>
      </c>
      <c r="AJ4">
        <f t="shared" si="0"/>
        <v>0</v>
      </c>
      <c r="AK4">
        <f t="shared" si="0"/>
        <v>0</v>
      </c>
      <c r="AL4">
        <f t="shared" si="0"/>
        <v>0</v>
      </c>
      <c r="AM4">
        <f t="shared" si="0"/>
        <v>0</v>
      </c>
      <c r="AN4">
        <f t="shared" si="0"/>
        <v>0</v>
      </c>
      <c r="AO4">
        <f t="shared" si="0"/>
        <v>0</v>
      </c>
      <c r="AP4">
        <f t="shared" si="0"/>
        <v>1</v>
      </c>
      <c r="AQ4">
        <f t="shared" si="0"/>
        <v>1</v>
      </c>
      <c r="AR4">
        <f t="shared" si="0"/>
        <v>0</v>
      </c>
      <c r="AS4">
        <f t="shared" si="0"/>
        <v>1</v>
      </c>
      <c r="AX4">
        <v>19</v>
      </c>
      <c r="AY4" t="s">
        <v>137</v>
      </c>
      <c r="AZ4">
        <f t="shared" si="16"/>
        <v>9</v>
      </c>
      <c r="BA4">
        <f t="shared" si="17"/>
        <v>13</v>
      </c>
      <c r="BB4">
        <f t="shared" si="18"/>
        <v>12</v>
      </c>
      <c r="BC4">
        <f t="shared" si="19"/>
        <v>13</v>
      </c>
      <c r="BD4">
        <f t="shared" si="20"/>
        <v>12</v>
      </c>
      <c r="BE4">
        <f t="shared" si="21"/>
        <v>9</v>
      </c>
      <c r="BF4">
        <f t="shared" si="22"/>
        <v>3</v>
      </c>
      <c r="BG4">
        <f t="shared" si="23"/>
        <v>13</v>
      </c>
      <c r="BH4">
        <f t="shared" si="24"/>
        <v>6</v>
      </c>
      <c r="BI4">
        <f t="shared" si="25"/>
        <v>15</v>
      </c>
      <c r="BJ4">
        <f t="shared" si="26"/>
        <v>1</v>
      </c>
      <c r="BK4">
        <f t="shared" si="27"/>
        <v>2</v>
      </c>
      <c r="BM4">
        <f t="shared" si="2"/>
        <v>19</v>
      </c>
      <c r="BN4" t="s">
        <v>137</v>
      </c>
      <c r="BO4">
        <f t="shared" si="3"/>
        <v>32</v>
      </c>
      <c r="BP4">
        <f t="shared" si="4"/>
        <v>9</v>
      </c>
      <c r="BQ4">
        <f t="shared" si="5"/>
        <v>16</v>
      </c>
      <c r="BR4">
        <f t="shared" si="6"/>
        <v>7</v>
      </c>
      <c r="BS4">
        <f t="shared" si="7"/>
        <v>8</v>
      </c>
      <c r="BT4">
        <f t="shared" si="8"/>
        <v>3</v>
      </c>
      <c r="BU4">
        <f t="shared" si="9"/>
        <v>23</v>
      </c>
      <c r="BV4">
        <f t="shared" si="10"/>
        <v>11</v>
      </c>
      <c r="BW4">
        <f t="shared" si="11"/>
        <v>8</v>
      </c>
      <c r="BX4">
        <f t="shared" si="12"/>
        <v>17</v>
      </c>
      <c r="BY4">
        <f t="shared" si="13"/>
        <v>5</v>
      </c>
      <c r="BZ4">
        <f t="shared" si="14"/>
        <v>8</v>
      </c>
      <c r="CC4" s="4">
        <v>2</v>
      </c>
      <c r="CD4" s="2">
        <v>1</v>
      </c>
      <c r="CE4" s="2">
        <v>0</v>
      </c>
      <c r="CF4" s="2">
        <v>1</v>
      </c>
      <c r="CG4" s="2">
        <v>0</v>
      </c>
      <c r="CH4" s="2">
        <v>0</v>
      </c>
      <c r="CI4" s="2">
        <v>0</v>
      </c>
      <c r="CJ4" s="2">
        <v>1</v>
      </c>
      <c r="CK4" s="2">
        <v>2</v>
      </c>
    </row>
    <row r="5" spans="1:89" ht="17.649999999999999" x14ac:dyDescent="0.5">
      <c r="B5" s="4">
        <v>19</v>
      </c>
      <c r="C5" s="4" t="s">
        <v>138</v>
      </c>
      <c r="D5" s="4">
        <v>-9</v>
      </c>
      <c r="E5" s="4">
        <v>-9</v>
      </c>
      <c r="F5" s="4">
        <v>4</v>
      </c>
      <c r="G5" s="4">
        <v>-1</v>
      </c>
      <c r="H5" s="4">
        <v>0</v>
      </c>
      <c r="I5" s="4">
        <v>-7</v>
      </c>
      <c r="J5" s="4">
        <v>-7</v>
      </c>
      <c r="K5" s="4">
        <v>19</v>
      </c>
      <c r="L5" s="4">
        <v>-2</v>
      </c>
      <c r="M5" s="4">
        <v>-5</v>
      </c>
      <c r="N5" s="4">
        <v>-9</v>
      </c>
      <c r="O5" s="4">
        <v>12</v>
      </c>
      <c r="Q5">
        <v>19</v>
      </c>
      <c r="R5" s="3" t="s">
        <v>138</v>
      </c>
      <c r="S5">
        <v>45</v>
      </c>
      <c r="T5">
        <v>-13</v>
      </c>
      <c r="U5">
        <v>-24</v>
      </c>
      <c r="V5">
        <v>-1</v>
      </c>
      <c r="W5">
        <v>-10</v>
      </c>
      <c r="X5">
        <v>13</v>
      </c>
      <c r="Y5">
        <v>-15</v>
      </c>
      <c r="Z5">
        <v>-5</v>
      </c>
      <c r="AA5">
        <v>12</v>
      </c>
      <c r="AB5">
        <v>11</v>
      </c>
      <c r="AC5">
        <v>5</v>
      </c>
      <c r="AD5">
        <v>0</v>
      </c>
      <c r="AF5">
        <v>19</v>
      </c>
      <c r="AG5" s="3" t="s">
        <v>138</v>
      </c>
      <c r="AH5">
        <f t="shared" si="15"/>
        <v>1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1</v>
      </c>
      <c r="AN5">
        <f t="shared" si="0"/>
        <v>0</v>
      </c>
      <c r="AO5">
        <f t="shared" si="0"/>
        <v>0</v>
      </c>
      <c r="AP5">
        <f t="shared" si="0"/>
        <v>1</v>
      </c>
      <c r="AQ5">
        <f t="shared" si="0"/>
        <v>1</v>
      </c>
      <c r="AR5">
        <f t="shared" si="0"/>
        <v>1</v>
      </c>
      <c r="AS5">
        <f t="shared" si="0"/>
        <v>0</v>
      </c>
      <c r="AX5">
        <v>19</v>
      </c>
      <c r="AY5" t="s">
        <v>138</v>
      </c>
      <c r="AZ5">
        <f t="shared" si="16"/>
        <v>9</v>
      </c>
      <c r="BA5">
        <f t="shared" si="17"/>
        <v>9</v>
      </c>
      <c r="BB5">
        <f t="shared" si="18"/>
        <v>4</v>
      </c>
      <c r="BC5">
        <f t="shared" si="19"/>
        <v>1</v>
      </c>
      <c r="BD5">
        <f t="shared" si="20"/>
        <v>0</v>
      </c>
      <c r="BE5">
        <f t="shared" si="21"/>
        <v>7</v>
      </c>
      <c r="BF5">
        <f t="shared" si="22"/>
        <v>7</v>
      </c>
      <c r="BG5">
        <f t="shared" si="23"/>
        <v>19</v>
      </c>
      <c r="BH5">
        <f t="shared" si="24"/>
        <v>2</v>
      </c>
      <c r="BI5">
        <f t="shared" si="25"/>
        <v>5</v>
      </c>
      <c r="BJ5">
        <f t="shared" si="26"/>
        <v>9</v>
      </c>
      <c r="BK5">
        <f t="shared" si="27"/>
        <v>12</v>
      </c>
      <c r="BM5">
        <f t="shared" si="2"/>
        <v>19</v>
      </c>
      <c r="BN5" t="s">
        <v>138</v>
      </c>
      <c r="BO5">
        <f t="shared" si="3"/>
        <v>45</v>
      </c>
      <c r="BP5">
        <f t="shared" si="4"/>
        <v>13</v>
      </c>
      <c r="BQ5">
        <f t="shared" si="5"/>
        <v>24</v>
      </c>
      <c r="BR5">
        <f t="shared" si="6"/>
        <v>1</v>
      </c>
      <c r="BS5">
        <f t="shared" si="7"/>
        <v>10</v>
      </c>
      <c r="BT5">
        <f t="shared" si="8"/>
        <v>13</v>
      </c>
      <c r="BU5">
        <f t="shared" si="9"/>
        <v>15</v>
      </c>
      <c r="BV5">
        <f t="shared" si="10"/>
        <v>5</v>
      </c>
      <c r="BW5">
        <f t="shared" si="11"/>
        <v>12</v>
      </c>
      <c r="BX5">
        <f t="shared" si="12"/>
        <v>11</v>
      </c>
      <c r="BY5">
        <f t="shared" si="13"/>
        <v>5</v>
      </c>
      <c r="BZ5">
        <f t="shared" si="14"/>
        <v>0</v>
      </c>
      <c r="CC5" s="4">
        <v>3</v>
      </c>
      <c r="CD5" s="2">
        <v>1</v>
      </c>
      <c r="CE5" s="2">
        <v>0</v>
      </c>
      <c r="CF5">
        <v>0</v>
      </c>
      <c r="CG5">
        <v>1</v>
      </c>
      <c r="CH5">
        <v>0</v>
      </c>
      <c r="CI5" s="2">
        <v>1</v>
      </c>
      <c r="CJ5" s="2">
        <v>0</v>
      </c>
      <c r="CK5">
        <v>2</v>
      </c>
    </row>
    <row r="6" spans="1:89" x14ac:dyDescent="0.5">
      <c r="B6" s="4">
        <v>18</v>
      </c>
      <c r="C6" s="4" t="s">
        <v>137</v>
      </c>
      <c r="D6" s="4">
        <v>-11</v>
      </c>
      <c r="E6" s="4">
        <v>3</v>
      </c>
      <c r="F6" s="4">
        <v>14</v>
      </c>
      <c r="G6" s="4">
        <v>-1</v>
      </c>
      <c r="H6" s="4">
        <v>-4</v>
      </c>
      <c r="I6" s="4">
        <v>3</v>
      </c>
      <c r="J6" s="4">
        <v>-5</v>
      </c>
      <c r="K6" s="4">
        <v>11</v>
      </c>
      <c r="L6" s="4">
        <v>-8</v>
      </c>
      <c r="M6" s="4">
        <v>-5</v>
      </c>
      <c r="N6" s="4">
        <v>9</v>
      </c>
      <c r="O6" s="4">
        <v>-8</v>
      </c>
      <c r="Q6">
        <v>18</v>
      </c>
      <c r="R6" t="s">
        <v>137</v>
      </c>
      <c r="S6">
        <v>36</v>
      </c>
      <c r="T6">
        <v>-9</v>
      </c>
      <c r="U6">
        <v>-6</v>
      </c>
      <c r="V6">
        <v>-7</v>
      </c>
      <c r="W6">
        <v>-8</v>
      </c>
      <c r="X6">
        <v>-3</v>
      </c>
      <c r="Y6">
        <v>-33</v>
      </c>
      <c r="Z6">
        <v>-1</v>
      </c>
      <c r="AA6">
        <v>2</v>
      </c>
      <c r="AB6">
        <v>15</v>
      </c>
      <c r="AC6">
        <v>3</v>
      </c>
      <c r="AD6">
        <v>10</v>
      </c>
      <c r="AF6">
        <v>18</v>
      </c>
      <c r="AG6" t="s">
        <v>137</v>
      </c>
      <c r="AH6">
        <f t="shared" si="15"/>
        <v>1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M6">
        <f t="shared" si="0"/>
        <v>0</v>
      </c>
      <c r="AN6">
        <f t="shared" si="0"/>
        <v>0</v>
      </c>
      <c r="AO6">
        <f t="shared" si="0"/>
        <v>0</v>
      </c>
      <c r="AP6">
        <f t="shared" si="0"/>
        <v>1</v>
      </c>
      <c r="AQ6">
        <f t="shared" si="0"/>
        <v>1</v>
      </c>
      <c r="AR6">
        <f t="shared" si="0"/>
        <v>1</v>
      </c>
      <c r="AS6">
        <f t="shared" si="0"/>
        <v>1</v>
      </c>
      <c r="AX6">
        <v>18</v>
      </c>
      <c r="AY6" t="s">
        <v>137</v>
      </c>
      <c r="AZ6">
        <f t="shared" si="16"/>
        <v>11</v>
      </c>
      <c r="BA6">
        <f t="shared" si="17"/>
        <v>3</v>
      </c>
      <c r="BB6">
        <f t="shared" si="18"/>
        <v>14</v>
      </c>
      <c r="BC6">
        <f t="shared" si="19"/>
        <v>1</v>
      </c>
      <c r="BD6">
        <f t="shared" si="20"/>
        <v>4</v>
      </c>
      <c r="BE6">
        <f t="shared" si="21"/>
        <v>3</v>
      </c>
      <c r="BF6">
        <f t="shared" si="22"/>
        <v>5</v>
      </c>
      <c r="BG6">
        <f t="shared" si="23"/>
        <v>11</v>
      </c>
      <c r="BH6">
        <f t="shared" si="24"/>
        <v>8</v>
      </c>
      <c r="BI6">
        <f t="shared" si="25"/>
        <v>5</v>
      </c>
      <c r="BJ6">
        <f t="shared" si="26"/>
        <v>9</v>
      </c>
      <c r="BK6">
        <f t="shared" si="27"/>
        <v>8</v>
      </c>
      <c r="BM6">
        <f t="shared" si="2"/>
        <v>18</v>
      </c>
      <c r="BN6" t="s">
        <v>137</v>
      </c>
      <c r="BO6">
        <f t="shared" si="3"/>
        <v>36</v>
      </c>
      <c r="BP6">
        <f t="shared" si="4"/>
        <v>9</v>
      </c>
      <c r="BQ6">
        <f t="shared" si="5"/>
        <v>6</v>
      </c>
      <c r="BR6">
        <f t="shared" si="6"/>
        <v>7</v>
      </c>
      <c r="BS6">
        <f t="shared" si="7"/>
        <v>8</v>
      </c>
      <c r="BT6">
        <f t="shared" si="8"/>
        <v>3</v>
      </c>
      <c r="BU6">
        <f t="shared" si="9"/>
        <v>33</v>
      </c>
      <c r="BV6">
        <f t="shared" si="10"/>
        <v>1</v>
      </c>
      <c r="BW6">
        <f t="shared" si="11"/>
        <v>2</v>
      </c>
      <c r="BX6">
        <f t="shared" si="12"/>
        <v>15</v>
      </c>
      <c r="BY6">
        <f t="shared" si="13"/>
        <v>3</v>
      </c>
      <c r="BZ6">
        <f t="shared" si="14"/>
        <v>10</v>
      </c>
      <c r="CC6" s="4">
        <v>4</v>
      </c>
      <c r="CD6" s="2">
        <v>1</v>
      </c>
      <c r="CE6" s="2">
        <v>0</v>
      </c>
      <c r="CF6" s="2">
        <v>0</v>
      </c>
      <c r="CG6" s="2">
        <v>1</v>
      </c>
      <c r="CH6" s="2">
        <v>0</v>
      </c>
      <c r="CI6" s="2">
        <v>0</v>
      </c>
      <c r="CJ6" s="2">
        <v>1</v>
      </c>
      <c r="CK6" s="2">
        <v>1</v>
      </c>
    </row>
    <row r="7" spans="1:89" x14ac:dyDescent="0.5">
      <c r="B7" s="4">
        <v>18</v>
      </c>
      <c r="C7" s="4" t="s">
        <v>138</v>
      </c>
      <c r="D7" s="4">
        <v>-3</v>
      </c>
      <c r="E7" s="4">
        <v>-7</v>
      </c>
      <c r="F7" s="4">
        <v>6</v>
      </c>
      <c r="G7" s="4">
        <v>1</v>
      </c>
      <c r="H7" s="4">
        <v>6</v>
      </c>
      <c r="I7" s="4">
        <v>-7</v>
      </c>
      <c r="J7" s="4">
        <v>-3</v>
      </c>
      <c r="K7" s="4">
        <v>15</v>
      </c>
      <c r="L7" s="4">
        <v>4</v>
      </c>
      <c r="M7" s="4">
        <v>-11</v>
      </c>
      <c r="N7" s="4">
        <v>-3</v>
      </c>
      <c r="O7" s="4">
        <v>4</v>
      </c>
      <c r="Q7">
        <v>18</v>
      </c>
      <c r="R7" t="s">
        <v>138</v>
      </c>
      <c r="S7">
        <v>40</v>
      </c>
      <c r="T7">
        <v>-11</v>
      </c>
      <c r="U7">
        <v>-16</v>
      </c>
      <c r="V7">
        <v>13</v>
      </c>
      <c r="W7">
        <v>-14</v>
      </c>
      <c r="X7">
        <v>-15</v>
      </c>
      <c r="Y7">
        <v>-15</v>
      </c>
      <c r="Z7">
        <v>-7</v>
      </c>
      <c r="AA7">
        <v>-4</v>
      </c>
      <c r="AB7">
        <v>3</v>
      </c>
      <c r="AC7">
        <v>15</v>
      </c>
      <c r="AD7">
        <v>12</v>
      </c>
      <c r="AF7">
        <v>18</v>
      </c>
      <c r="AG7" t="s">
        <v>138</v>
      </c>
      <c r="AH7">
        <f t="shared" si="15"/>
        <v>1</v>
      </c>
      <c r="AI7">
        <f t="shared" si="0"/>
        <v>0</v>
      </c>
      <c r="AJ7">
        <f t="shared" si="0"/>
        <v>0</v>
      </c>
      <c r="AK7">
        <f t="shared" si="0"/>
        <v>1</v>
      </c>
      <c r="AL7">
        <f t="shared" si="0"/>
        <v>0</v>
      </c>
      <c r="AM7">
        <f t="shared" si="0"/>
        <v>0</v>
      </c>
      <c r="AN7">
        <f t="shared" si="0"/>
        <v>0</v>
      </c>
      <c r="AO7">
        <f t="shared" si="0"/>
        <v>0</v>
      </c>
      <c r="AP7">
        <f t="shared" si="0"/>
        <v>0</v>
      </c>
      <c r="AQ7">
        <f t="shared" si="0"/>
        <v>1</v>
      </c>
      <c r="AR7">
        <f t="shared" si="0"/>
        <v>1</v>
      </c>
      <c r="AS7">
        <f t="shared" si="0"/>
        <v>1</v>
      </c>
      <c r="AX7">
        <v>18</v>
      </c>
      <c r="AY7" t="s">
        <v>138</v>
      </c>
      <c r="AZ7">
        <f t="shared" si="16"/>
        <v>3</v>
      </c>
      <c r="BA7">
        <f t="shared" si="17"/>
        <v>7</v>
      </c>
      <c r="BB7">
        <f t="shared" si="18"/>
        <v>6</v>
      </c>
      <c r="BC7">
        <f t="shared" si="19"/>
        <v>1</v>
      </c>
      <c r="BD7">
        <f t="shared" si="20"/>
        <v>6</v>
      </c>
      <c r="BE7">
        <f t="shared" si="21"/>
        <v>7</v>
      </c>
      <c r="BF7">
        <f t="shared" si="22"/>
        <v>3</v>
      </c>
      <c r="BG7">
        <f t="shared" si="23"/>
        <v>15</v>
      </c>
      <c r="BH7">
        <f t="shared" si="24"/>
        <v>4</v>
      </c>
      <c r="BI7">
        <f t="shared" si="25"/>
        <v>11</v>
      </c>
      <c r="BJ7">
        <f t="shared" si="26"/>
        <v>3</v>
      </c>
      <c r="BK7">
        <f t="shared" si="27"/>
        <v>4</v>
      </c>
      <c r="BM7">
        <f t="shared" si="2"/>
        <v>18</v>
      </c>
      <c r="BN7" t="s">
        <v>138</v>
      </c>
      <c r="BO7">
        <f t="shared" si="3"/>
        <v>40</v>
      </c>
      <c r="BP7">
        <f t="shared" si="4"/>
        <v>11</v>
      </c>
      <c r="BQ7">
        <f t="shared" si="5"/>
        <v>16</v>
      </c>
      <c r="BR7">
        <f t="shared" si="6"/>
        <v>13</v>
      </c>
      <c r="BS7">
        <f t="shared" si="7"/>
        <v>14</v>
      </c>
      <c r="BT7">
        <f t="shared" si="8"/>
        <v>15</v>
      </c>
      <c r="BU7">
        <f t="shared" si="9"/>
        <v>15</v>
      </c>
      <c r="BV7">
        <f t="shared" si="10"/>
        <v>7</v>
      </c>
      <c r="BW7">
        <f t="shared" si="11"/>
        <v>4</v>
      </c>
      <c r="BX7">
        <f t="shared" si="12"/>
        <v>3</v>
      </c>
      <c r="BY7">
        <f t="shared" si="13"/>
        <v>15</v>
      </c>
      <c r="BZ7">
        <f t="shared" si="14"/>
        <v>12</v>
      </c>
      <c r="CC7" s="4">
        <v>5</v>
      </c>
      <c r="CD7" s="2">
        <v>1</v>
      </c>
      <c r="CE7" s="2">
        <v>0</v>
      </c>
      <c r="CF7" s="2">
        <v>0</v>
      </c>
      <c r="CG7" s="2">
        <v>0</v>
      </c>
      <c r="CH7" s="2">
        <v>1</v>
      </c>
      <c r="CI7" s="2">
        <v>1</v>
      </c>
      <c r="CJ7" s="2">
        <v>0</v>
      </c>
      <c r="CK7" s="2">
        <v>2</v>
      </c>
    </row>
    <row r="8" spans="1:89" ht="17.649999999999999" x14ac:dyDescent="0.5">
      <c r="B8" s="4">
        <v>17</v>
      </c>
      <c r="C8" s="4" t="s">
        <v>137</v>
      </c>
      <c r="D8" s="4">
        <v>38</v>
      </c>
      <c r="E8" s="4">
        <v>-25</v>
      </c>
      <c r="F8" s="4">
        <v>-2</v>
      </c>
      <c r="G8" s="4">
        <v>-11</v>
      </c>
      <c r="H8" s="4">
        <v>-10</v>
      </c>
      <c r="I8" s="4">
        <v>-3</v>
      </c>
      <c r="J8" s="4">
        <v>-17</v>
      </c>
      <c r="K8" s="4">
        <v>5</v>
      </c>
      <c r="L8" s="4">
        <v>4</v>
      </c>
      <c r="M8" s="4">
        <v>15</v>
      </c>
      <c r="N8" s="4">
        <v>-9</v>
      </c>
      <c r="O8" s="4">
        <v>4</v>
      </c>
      <c r="Q8">
        <v>17</v>
      </c>
      <c r="R8" s="3" t="s">
        <v>137</v>
      </c>
      <c r="S8">
        <v>38</v>
      </c>
      <c r="T8">
        <v>-25</v>
      </c>
      <c r="U8">
        <v>-2</v>
      </c>
      <c r="V8">
        <v>-11</v>
      </c>
      <c r="W8">
        <v>-10</v>
      </c>
      <c r="X8">
        <v>-3</v>
      </c>
      <c r="Y8">
        <v>-17</v>
      </c>
      <c r="Z8">
        <v>5</v>
      </c>
      <c r="AA8">
        <v>4</v>
      </c>
      <c r="AB8">
        <v>15</v>
      </c>
      <c r="AC8">
        <v>-9</v>
      </c>
      <c r="AD8">
        <v>4</v>
      </c>
      <c r="AF8">
        <v>17</v>
      </c>
      <c r="AG8" s="3" t="s">
        <v>137</v>
      </c>
      <c r="AH8">
        <f t="shared" si="15"/>
        <v>1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M8">
        <f t="shared" si="0"/>
        <v>0</v>
      </c>
      <c r="AN8">
        <f t="shared" si="0"/>
        <v>0</v>
      </c>
      <c r="AO8">
        <f t="shared" si="0"/>
        <v>1</v>
      </c>
      <c r="AP8">
        <f t="shared" si="0"/>
        <v>1</v>
      </c>
      <c r="AQ8">
        <f t="shared" si="0"/>
        <v>1</v>
      </c>
      <c r="AR8">
        <f t="shared" si="0"/>
        <v>0</v>
      </c>
      <c r="AS8">
        <f t="shared" si="0"/>
        <v>1</v>
      </c>
      <c r="AX8">
        <v>17</v>
      </c>
      <c r="AY8" t="s">
        <v>137</v>
      </c>
      <c r="AZ8">
        <f t="shared" si="16"/>
        <v>38</v>
      </c>
      <c r="BA8">
        <f t="shared" si="17"/>
        <v>25</v>
      </c>
      <c r="BB8">
        <f t="shared" si="18"/>
        <v>2</v>
      </c>
      <c r="BC8">
        <f t="shared" si="19"/>
        <v>11</v>
      </c>
      <c r="BD8">
        <f t="shared" si="20"/>
        <v>10</v>
      </c>
      <c r="BE8">
        <f t="shared" si="21"/>
        <v>3</v>
      </c>
      <c r="BF8">
        <f t="shared" si="22"/>
        <v>17</v>
      </c>
      <c r="BG8">
        <f t="shared" si="23"/>
        <v>5</v>
      </c>
      <c r="BH8">
        <f t="shared" si="24"/>
        <v>4</v>
      </c>
      <c r="BI8">
        <f t="shared" si="25"/>
        <v>15</v>
      </c>
      <c r="BJ8">
        <f t="shared" si="26"/>
        <v>9</v>
      </c>
      <c r="BK8">
        <f t="shared" si="27"/>
        <v>4</v>
      </c>
      <c r="BM8">
        <f t="shared" si="2"/>
        <v>17</v>
      </c>
      <c r="BN8" t="s">
        <v>137</v>
      </c>
      <c r="BO8">
        <f t="shared" si="3"/>
        <v>38</v>
      </c>
      <c r="BP8">
        <f t="shared" si="4"/>
        <v>25</v>
      </c>
      <c r="BQ8">
        <f t="shared" si="5"/>
        <v>2</v>
      </c>
      <c r="BR8">
        <f t="shared" si="6"/>
        <v>11</v>
      </c>
      <c r="BS8">
        <f t="shared" si="7"/>
        <v>10</v>
      </c>
      <c r="BT8">
        <f t="shared" si="8"/>
        <v>3</v>
      </c>
      <c r="BU8">
        <f t="shared" si="9"/>
        <v>17</v>
      </c>
      <c r="BV8">
        <f t="shared" si="10"/>
        <v>5</v>
      </c>
      <c r="BW8">
        <f t="shared" si="11"/>
        <v>4</v>
      </c>
      <c r="BX8">
        <f t="shared" si="12"/>
        <v>15</v>
      </c>
      <c r="BY8">
        <f t="shared" si="13"/>
        <v>9</v>
      </c>
      <c r="BZ8">
        <f t="shared" si="14"/>
        <v>4</v>
      </c>
      <c r="CC8" s="4">
        <v>6</v>
      </c>
      <c r="CD8" s="2">
        <v>1</v>
      </c>
      <c r="CE8" s="2">
        <v>0</v>
      </c>
      <c r="CF8" s="2">
        <v>0</v>
      </c>
      <c r="CG8" s="2">
        <v>0</v>
      </c>
      <c r="CH8" s="2">
        <v>1</v>
      </c>
      <c r="CI8" s="2">
        <v>0</v>
      </c>
      <c r="CJ8" s="2">
        <v>1</v>
      </c>
      <c r="CK8" s="2">
        <v>1</v>
      </c>
    </row>
    <row r="9" spans="1:89" ht="17.649999999999999" x14ac:dyDescent="0.5">
      <c r="B9" s="4">
        <v>17</v>
      </c>
      <c r="C9" s="4" t="s">
        <v>138</v>
      </c>
      <c r="D9" s="4">
        <v>31</v>
      </c>
      <c r="E9" s="4">
        <v>-5</v>
      </c>
      <c r="F9" s="4">
        <v>4</v>
      </c>
      <c r="G9" s="4">
        <v>-13</v>
      </c>
      <c r="H9" s="4">
        <v>-16</v>
      </c>
      <c r="I9" s="4">
        <v>11</v>
      </c>
      <c r="J9" s="4">
        <v>-13</v>
      </c>
      <c r="K9" s="4">
        <v>-13</v>
      </c>
      <c r="L9" s="4">
        <v>-12</v>
      </c>
      <c r="M9" s="4">
        <v>13</v>
      </c>
      <c r="N9" s="4">
        <v>3</v>
      </c>
      <c r="O9" s="4">
        <v>20</v>
      </c>
      <c r="Q9">
        <v>17</v>
      </c>
      <c r="R9" s="3" t="s">
        <v>138</v>
      </c>
      <c r="S9">
        <v>31</v>
      </c>
      <c r="T9">
        <v>-5</v>
      </c>
      <c r="U9">
        <v>4</v>
      </c>
      <c r="V9">
        <v>-13</v>
      </c>
      <c r="W9">
        <v>-16</v>
      </c>
      <c r="X9">
        <v>11</v>
      </c>
      <c r="Y9">
        <v>-13</v>
      </c>
      <c r="Z9">
        <v>-13</v>
      </c>
      <c r="AA9">
        <v>-12</v>
      </c>
      <c r="AB9">
        <v>13</v>
      </c>
      <c r="AC9">
        <v>3</v>
      </c>
      <c r="AD9">
        <v>20</v>
      </c>
      <c r="AF9">
        <v>17</v>
      </c>
      <c r="AG9" s="3" t="s">
        <v>138</v>
      </c>
      <c r="AH9">
        <f t="shared" si="15"/>
        <v>1</v>
      </c>
      <c r="AI9">
        <f t="shared" si="0"/>
        <v>0</v>
      </c>
      <c r="AJ9">
        <f t="shared" si="0"/>
        <v>1</v>
      </c>
      <c r="AK9">
        <f t="shared" si="0"/>
        <v>0</v>
      </c>
      <c r="AL9">
        <f t="shared" si="0"/>
        <v>0</v>
      </c>
      <c r="AM9">
        <f t="shared" si="0"/>
        <v>1</v>
      </c>
      <c r="AN9">
        <f t="shared" si="0"/>
        <v>0</v>
      </c>
      <c r="AO9">
        <f t="shared" si="0"/>
        <v>0</v>
      </c>
      <c r="AP9">
        <f t="shared" si="0"/>
        <v>0</v>
      </c>
      <c r="AQ9">
        <f t="shared" si="0"/>
        <v>1</v>
      </c>
      <c r="AR9">
        <f t="shared" si="0"/>
        <v>1</v>
      </c>
      <c r="AS9">
        <f t="shared" si="0"/>
        <v>1</v>
      </c>
      <c r="AX9">
        <v>17</v>
      </c>
      <c r="AY9" t="s">
        <v>138</v>
      </c>
      <c r="AZ9">
        <f t="shared" si="16"/>
        <v>31</v>
      </c>
      <c r="BA9">
        <f t="shared" si="17"/>
        <v>5</v>
      </c>
      <c r="BB9">
        <f t="shared" si="18"/>
        <v>4</v>
      </c>
      <c r="BC9">
        <f t="shared" si="19"/>
        <v>13</v>
      </c>
      <c r="BD9">
        <f t="shared" si="20"/>
        <v>16</v>
      </c>
      <c r="BE9">
        <f t="shared" si="21"/>
        <v>11</v>
      </c>
      <c r="BF9">
        <f t="shared" si="22"/>
        <v>13</v>
      </c>
      <c r="BG9">
        <f t="shared" si="23"/>
        <v>13</v>
      </c>
      <c r="BH9">
        <f t="shared" si="24"/>
        <v>12</v>
      </c>
      <c r="BI9">
        <f t="shared" si="25"/>
        <v>13</v>
      </c>
      <c r="BJ9">
        <f t="shared" si="26"/>
        <v>3</v>
      </c>
      <c r="BK9">
        <f t="shared" si="27"/>
        <v>20</v>
      </c>
      <c r="BM9">
        <f t="shared" si="2"/>
        <v>17</v>
      </c>
      <c r="BN9" t="s">
        <v>138</v>
      </c>
      <c r="BO9">
        <f t="shared" si="3"/>
        <v>31</v>
      </c>
      <c r="BP9">
        <f t="shared" si="4"/>
        <v>5</v>
      </c>
      <c r="BQ9">
        <f t="shared" si="5"/>
        <v>4</v>
      </c>
      <c r="BR9">
        <f t="shared" si="6"/>
        <v>13</v>
      </c>
      <c r="BS9">
        <f t="shared" si="7"/>
        <v>16</v>
      </c>
      <c r="BT9">
        <f t="shared" si="8"/>
        <v>11</v>
      </c>
      <c r="BU9">
        <f t="shared" si="9"/>
        <v>13</v>
      </c>
      <c r="BV9">
        <f t="shared" si="10"/>
        <v>13</v>
      </c>
      <c r="BW9">
        <f t="shared" si="11"/>
        <v>12</v>
      </c>
      <c r="BX9">
        <f t="shared" si="12"/>
        <v>13</v>
      </c>
      <c r="BY9">
        <f t="shared" si="13"/>
        <v>3</v>
      </c>
      <c r="BZ9">
        <f t="shared" si="14"/>
        <v>20</v>
      </c>
      <c r="CC9" s="4">
        <v>7</v>
      </c>
      <c r="CD9" s="2">
        <v>0</v>
      </c>
      <c r="CE9" s="2">
        <v>1</v>
      </c>
      <c r="CF9" s="2">
        <v>1</v>
      </c>
      <c r="CG9" s="2">
        <v>0</v>
      </c>
      <c r="CH9" s="2">
        <v>0</v>
      </c>
      <c r="CI9" s="2">
        <v>1</v>
      </c>
      <c r="CJ9" s="2">
        <v>0</v>
      </c>
      <c r="CK9" s="2">
        <v>2</v>
      </c>
    </row>
    <row r="10" spans="1:89" ht="17.649999999999999" x14ac:dyDescent="0.5">
      <c r="B10" s="4">
        <v>16</v>
      </c>
      <c r="C10" s="4" t="s">
        <v>137</v>
      </c>
      <c r="D10" s="4">
        <v>11</v>
      </c>
      <c r="E10" s="4">
        <v>-1</v>
      </c>
      <c r="F10" s="4">
        <v>4</v>
      </c>
      <c r="G10" s="4">
        <v>-5</v>
      </c>
      <c r="H10" s="4">
        <v>-4</v>
      </c>
      <c r="I10" s="4">
        <v>1</v>
      </c>
      <c r="J10" s="4">
        <v>9</v>
      </c>
      <c r="K10" s="4">
        <v>-1</v>
      </c>
      <c r="L10" s="4">
        <v>-16</v>
      </c>
      <c r="M10" s="4">
        <v>9</v>
      </c>
      <c r="N10" s="4">
        <v>9</v>
      </c>
      <c r="O10" s="4">
        <v>-4</v>
      </c>
      <c r="Q10">
        <v>16</v>
      </c>
      <c r="R10" s="3" t="s">
        <v>137</v>
      </c>
      <c r="S10">
        <v>38</v>
      </c>
      <c r="T10">
        <v>-25</v>
      </c>
      <c r="U10">
        <v>-2</v>
      </c>
      <c r="V10">
        <v>-11</v>
      </c>
      <c r="W10">
        <v>-10</v>
      </c>
      <c r="X10">
        <v>-3</v>
      </c>
      <c r="Y10">
        <v>-17</v>
      </c>
      <c r="Z10">
        <v>5</v>
      </c>
      <c r="AA10">
        <v>4</v>
      </c>
      <c r="AB10">
        <v>15</v>
      </c>
      <c r="AC10">
        <v>-9</v>
      </c>
      <c r="AD10">
        <v>4</v>
      </c>
      <c r="AF10">
        <v>16</v>
      </c>
      <c r="AG10" s="3" t="s">
        <v>137</v>
      </c>
      <c r="AH10">
        <f t="shared" si="15"/>
        <v>1</v>
      </c>
      <c r="AI10">
        <f t="shared" si="0"/>
        <v>0</v>
      </c>
      <c r="AJ10">
        <f t="shared" si="0"/>
        <v>0</v>
      </c>
      <c r="AK10">
        <f t="shared" si="0"/>
        <v>0</v>
      </c>
      <c r="AL10">
        <f t="shared" si="0"/>
        <v>0</v>
      </c>
      <c r="AM10">
        <f t="shared" si="0"/>
        <v>0</v>
      </c>
      <c r="AN10">
        <f t="shared" si="0"/>
        <v>0</v>
      </c>
      <c r="AO10">
        <f t="shared" si="0"/>
        <v>1</v>
      </c>
      <c r="AP10">
        <f t="shared" si="0"/>
        <v>1</v>
      </c>
      <c r="AQ10">
        <f t="shared" si="0"/>
        <v>1</v>
      </c>
      <c r="AR10">
        <f t="shared" si="0"/>
        <v>0</v>
      </c>
      <c r="AS10">
        <f t="shared" si="0"/>
        <v>1</v>
      </c>
      <c r="AX10">
        <v>16</v>
      </c>
      <c r="AY10" t="s">
        <v>137</v>
      </c>
      <c r="AZ10">
        <f t="shared" si="16"/>
        <v>11</v>
      </c>
      <c r="BA10">
        <f t="shared" si="17"/>
        <v>1</v>
      </c>
      <c r="BB10">
        <f t="shared" si="18"/>
        <v>4</v>
      </c>
      <c r="BC10">
        <f t="shared" si="19"/>
        <v>5</v>
      </c>
      <c r="BD10">
        <f t="shared" si="20"/>
        <v>4</v>
      </c>
      <c r="BE10">
        <f t="shared" si="21"/>
        <v>1</v>
      </c>
      <c r="BF10">
        <f t="shared" si="22"/>
        <v>9</v>
      </c>
      <c r="BG10">
        <f t="shared" si="23"/>
        <v>1</v>
      </c>
      <c r="BH10">
        <f t="shared" si="24"/>
        <v>16</v>
      </c>
      <c r="BI10">
        <f t="shared" si="25"/>
        <v>9</v>
      </c>
      <c r="BJ10">
        <f t="shared" si="26"/>
        <v>9</v>
      </c>
      <c r="BK10">
        <f t="shared" si="27"/>
        <v>4</v>
      </c>
      <c r="BM10">
        <f t="shared" si="2"/>
        <v>16</v>
      </c>
      <c r="BN10" t="s">
        <v>137</v>
      </c>
      <c r="BO10">
        <f t="shared" si="3"/>
        <v>38</v>
      </c>
      <c r="BP10">
        <f t="shared" si="4"/>
        <v>25</v>
      </c>
      <c r="BQ10">
        <f t="shared" si="5"/>
        <v>2</v>
      </c>
      <c r="BR10">
        <f t="shared" si="6"/>
        <v>11</v>
      </c>
      <c r="BS10">
        <f t="shared" si="7"/>
        <v>10</v>
      </c>
      <c r="BT10">
        <f t="shared" si="8"/>
        <v>3</v>
      </c>
      <c r="BU10">
        <f t="shared" si="9"/>
        <v>17</v>
      </c>
      <c r="BV10">
        <f t="shared" si="10"/>
        <v>5</v>
      </c>
      <c r="BW10">
        <f t="shared" si="11"/>
        <v>4</v>
      </c>
      <c r="BX10">
        <f t="shared" si="12"/>
        <v>15</v>
      </c>
      <c r="BY10">
        <f t="shared" si="13"/>
        <v>9</v>
      </c>
      <c r="BZ10">
        <f t="shared" si="14"/>
        <v>4</v>
      </c>
      <c r="CC10" s="4">
        <v>8</v>
      </c>
      <c r="CD10" s="2">
        <v>0</v>
      </c>
      <c r="CE10" s="2">
        <v>1</v>
      </c>
      <c r="CF10" s="2">
        <v>1</v>
      </c>
      <c r="CG10" s="2">
        <v>0</v>
      </c>
      <c r="CH10" s="2">
        <v>0</v>
      </c>
      <c r="CI10" s="2">
        <v>0</v>
      </c>
      <c r="CJ10" s="2">
        <v>1</v>
      </c>
      <c r="CK10" s="2">
        <v>1</v>
      </c>
    </row>
    <row r="11" spans="1:89" ht="17.649999999999999" x14ac:dyDescent="0.5">
      <c r="B11" s="4">
        <v>16</v>
      </c>
      <c r="C11" s="4" t="s">
        <v>138</v>
      </c>
      <c r="D11" s="4">
        <v>-9</v>
      </c>
      <c r="E11" s="4">
        <v>1</v>
      </c>
      <c r="F11" s="4">
        <v>2</v>
      </c>
      <c r="G11" s="4">
        <v>-3</v>
      </c>
      <c r="H11" s="4">
        <v>-6</v>
      </c>
      <c r="I11" s="4">
        <v>9</v>
      </c>
      <c r="J11" s="4">
        <v>-3</v>
      </c>
      <c r="K11" s="4">
        <v>-9</v>
      </c>
      <c r="L11" s="4">
        <v>10</v>
      </c>
      <c r="M11" s="4">
        <v>1</v>
      </c>
      <c r="N11" s="4">
        <v>-7</v>
      </c>
      <c r="O11" s="4">
        <v>2</v>
      </c>
      <c r="Q11">
        <v>16</v>
      </c>
      <c r="R11" s="3" t="s">
        <v>138</v>
      </c>
      <c r="S11">
        <v>31</v>
      </c>
      <c r="T11">
        <v>-5</v>
      </c>
      <c r="U11">
        <v>4</v>
      </c>
      <c r="V11">
        <v>-13</v>
      </c>
      <c r="W11">
        <v>-16</v>
      </c>
      <c r="X11">
        <v>11</v>
      </c>
      <c r="Y11">
        <v>-13</v>
      </c>
      <c r="Z11">
        <v>-13</v>
      </c>
      <c r="AA11">
        <v>-12</v>
      </c>
      <c r="AB11">
        <v>13</v>
      </c>
      <c r="AC11">
        <v>3</v>
      </c>
      <c r="AD11">
        <v>20</v>
      </c>
      <c r="AF11">
        <v>16</v>
      </c>
      <c r="AG11" s="3" t="s">
        <v>138</v>
      </c>
      <c r="AH11">
        <f t="shared" si="15"/>
        <v>1</v>
      </c>
      <c r="AI11">
        <f t="shared" si="0"/>
        <v>0</v>
      </c>
      <c r="AJ11">
        <f t="shared" si="0"/>
        <v>1</v>
      </c>
      <c r="AK11">
        <f t="shared" si="0"/>
        <v>0</v>
      </c>
      <c r="AL11">
        <f t="shared" si="0"/>
        <v>0</v>
      </c>
      <c r="AM11">
        <f t="shared" si="0"/>
        <v>1</v>
      </c>
      <c r="AN11">
        <f t="shared" si="0"/>
        <v>0</v>
      </c>
      <c r="AO11">
        <f t="shared" si="0"/>
        <v>0</v>
      </c>
      <c r="AP11">
        <f t="shared" si="0"/>
        <v>0</v>
      </c>
      <c r="AQ11">
        <f t="shared" si="0"/>
        <v>1</v>
      </c>
      <c r="AR11">
        <f t="shared" si="0"/>
        <v>1</v>
      </c>
      <c r="AS11">
        <f t="shared" si="0"/>
        <v>1</v>
      </c>
      <c r="AX11">
        <v>16</v>
      </c>
      <c r="AY11" t="s">
        <v>138</v>
      </c>
      <c r="AZ11">
        <f t="shared" si="16"/>
        <v>9</v>
      </c>
      <c r="BA11">
        <f t="shared" si="17"/>
        <v>1</v>
      </c>
      <c r="BB11">
        <f t="shared" si="18"/>
        <v>2</v>
      </c>
      <c r="BC11">
        <f t="shared" si="19"/>
        <v>3</v>
      </c>
      <c r="BD11">
        <f t="shared" si="20"/>
        <v>6</v>
      </c>
      <c r="BE11">
        <f t="shared" si="21"/>
        <v>9</v>
      </c>
      <c r="BF11">
        <f t="shared" si="22"/>
        <v>3</v>
      </c>
      <c r="BG11">
        <f t="shared" si="23"/>
        <v>9</v>
      </c>
      <c r="BH11">
        <f t="shared" si="24"/>
        <v>10</v>
      </c>
      <c r="BI11">
        <f t="shared" si="25"/>
        <v>1</v>
      </c>
      <c r="BJ11">
        <f t="shared" si="26"/>
        <v>7</v>
      </c>
      <c r="BK11">
        <f t="shared" si="27"/>
        <v>2</v>
      </c>
      <c r="BM11">
        <f t="shared" si="2"/>
        <v>16</v>
      </c>
      <c r="BN11" t="s">
        <v>138</v>
      </c>
      <c r="BO11">
        <f t="shared" ref="BO11:BU11" si="28">ABS(S11)</f>
        <v>31</v>
      </c>
      <c r="BP11">
        <f t="shared" si="28"/>
        <v>5</v>
      </c>
      <c r="BQ11">
        <f t="shared" si="28"/>
        <v>4</v>
      </c>
      <c r="BR11">
        <f t="shared" si="28"/>
        <v>13</v>
      </c>
      <c r="BS11">
        <f t="shared" si="28"/>
        <v>16</v>
      </c>
      <c r="BT11">
        <f t="shared" si="28"/>
        <v>11</v>
      </c>
      <c r="BU11">
        <f t="shared" si="28"/>
        <v>13</v>
      </c>
      <c r="BV11">
        <f t="shared" ref="BV11:BV41" si="29">ABS(Z11)</f>
        <v>13</v>
      </c>
      <c r="BW11">
        <f t="shared" ref="BW11:BW41" si="30">ABS(AA11)</f>
        <v>12</v>
      </c>
      <c r="BX11">
        <f t="shared" ref="BX11:BX41" si="31">ABS(AB11)</f>
        <v>13</v>
      </c>
      <c r="BY11">
        <f t="shared" ref="BY11:BY41" si="32">ABS(AC11)</f>
        <v>3</v>
      </c>
      <c r="BZ11">
        <f t="shared" ref="BZ11:BZ41" si="33">ABS(AD11)</f>
        <v>20</v>
      </c>
      <c r="CC11" s="4">
        <v>9</v>
      </c>
      <c r="CD11" s="2">
        <v>0</v>
      </c>
      <c r="CE11" s="2">
        <v>1</v>
      </c>
      <c r="CF11" s="2">
        <v>0</v>
      </c>
      <c r="CG11" s="2">
        <v>1</v>
      </c>
      <c r="CH11" s="2">
        <v>0</v>
      </c>
      <c r="CI11" s="2">
        <v>1</v>
      </c>
      <c r="CJ11" s="2">
        <v>0</v>
      </c>
      <c r="CK11" s="2">
        <v>1</v>
      </c>
    </row>
    <row r="12" spans="1:89" x14ac:dyDescent="0.5">
      <c r="B12" s="4">
        <v>15</v>
      </c>
      <c r="C12" s="4" t="s">
        <v>137</v>
      </c>
      <c r="D12" s="4">
        <v>54</v>
      </c>
      <c r="E12" s="4">
        <v>-27</v>
      </c>
      <c r="F12" s="4">
        <v>-20</v>
      </c>
      <c r="G12" s="4">
        <v>5</v>
      </c>
      <c r="H12" s="4">
        <v>-10</v>
      </c>
      <c r="I12" s="4">
        <v>-3</v>
      </c>
      <c r="J12" s="4">
        <v>-11</v>
      </c>
      <c r="K12" s="4">
        <v>-7</v>
      </c>
      <c r="L12" s="4">
        <v>-2</v>
      </c>
      <c r="M12" s="4">
        <v>21</v>
      </c>
      <c r="N12" s="4">
        <v>-1</v>
      </c>
      <c r="O12" s="4">
        <v>6</v>
      </c>
      <c r="Q12">
        <v>15</v>
      </c>
      <c r="R12" t="s">
        <v>137</v>
      </c>
      <c r="S12">
        <v>54</v>
      </c>
      <c r="T12">
        <v>-27</v>
      </c>
      <c r="U12">
        <v>-20</v>
      </c>
      <c r="V12">
        <v>5</v>
      </c>
      <c r="W12">
        <v>-10</v>
      </c>
      <c r="X12">
        <v>-3</v>
      </c>
      <c r="Y12">
        <v>-11</v>
      </c>
      <c r="Z12">
        <v>-7</v>
      </c>
      <c r="AA12">
        <v>-2</v>
      </c>
      <c r="AB12">
        <v>21</v>
      </c>
      <c r="AC12">
        <v>-1</v>
      </c>
      <c r="AD12">
        <v>6</v>
      </c>
      <c r="AF12">
        <v>15</v>
      </c>
      <c r="AG12" t="s">
        <v>137</v>
      </c>
      <c r="AH12">
        <f t="shared" si="15"/>
        <v>1</v>
      </c>
      <c r="AI12">
        <f t="shared" si="0"/>
        <v>0</v>
      </c>
      <c r="AJ12">
        <f t="shared" si="0"/>
        <v>0</v>
      </c>
      <c r="AK12">
        <f t="shared" si="0"/>
        <v>1</v>
      </c>
      <c r="AL12">
        <f t="shared" si="0"/>
        <v>0</v>
      </c>
      <c r="AM12">
        <f t="shared" si="0"/>
        <v>0</v>
      </c>
      <c r="AN12">
        <f t="shared" si="0"/>
        <v>0</v>
      </c>
      <c r="AO12">
        <f t="shared" si="0"/>
        <v>0</v>
      </c>
      <c r="AP12">
        <f t="shared" si="0"/>
        <v>0</v>
      </c>
      <c r="AQ12">
        <f t="shared" si="0"/>
        <v>1</v>
      </c>
      <c r="AR12">
        <f t="shared" si="0"/>
        <v>0</v>
      </c>
      <c r="AS12">
        <f t="shared" si="0"/>
        <v>1</v>
      </c>
      <c r="AX12">
        <v>15</v>
      </c>
      <c r="AY12" t="s">
        <v>137</v>
      </c>
      <c r="AZ12">
        <f t="shared" si="16"/>
        <v>54</v>
      </c>
      <c r="BA12">
        <f t="shared" ref="BA12:BA41" si="34">ABS(E12)</f>
        <v>27</v>
      </c>
      <c r="BB12">
        <f t="shared" ref="BB12:BB41" si="35">ABS(F12)</f>
        <v>20</v>
      </c>
      <c r="BC12">
        <f t="shared" ref="BC12:BC41" si="36">ABS(G12)</f>
        <v>5</v>
      </c>
      <c r="BD12">
        <f t="shared" ref="BD12:BD41" si="37">ABS(H12)</f>
        <v>10</v>
      </c>
      <c r="BE12">
        <f t="shared" ref="BE12:BE41" si="38">ABS(I12)</f>
        <v>3</v>
      </c>
      <c r="BF12">
        <f t="shared" ref="BF12:BF41" si="39">ABS(J12)</f>
        <v>11</v>
      </c>
      <c r="BG12">
        <f t="shared" ref="BG12:BG41" si="40">ABS(K12)</f>
        <v>7</v>
      </c>
      <c r="BH12">
        <f t="shared" ref="BH12:BH41" si="41">ABS(L12)</f>
        <v>2</v>
      </c>
      <c r="BI12">
        <f t="shared" ref="BI12:BI41" si="42">ABS(M12)</f>
        <v>21</v>
      </c>
      <c r="BJ12">
        <f t="shared" ref="BJ12:BJ41" si="43">ABS(N12)</f>
        <v>1</v>
      </c>
      <c r="BK12">
        <f t="shared" ref="BK12:BK41" si="44">ABS(O12)</f>
        <v>6</v>
      </c>
      <c r="BM12">
        <f t="shared" ref="BM12:BM41" si="45">ABS(Q12)</f>
        <v>15</v>
      </c>
      <c r="BN12" t="s">
        <v>137</v>
      </c>
      <c r="BO12">
        <f t="shared" ref="BO12:BO41" si="46">ABS(S12)</f>
        <v>54</v>
      </c>
      <c r="BP12">
        <f t="shared" ref="BP12:BP41" si="47">ABS(T12)</f>
        <v>27</v>
      </c>
      <c r="BQ12">
        <f t="shared" ref="BQ12:BQ41" si="48">ABS(U12)</f>
        <v>20</v>
      </c>
      <c r="BR12">
        <f t="shared" ref="BR12:BR41" si="49">ABS(V12)</f>
        <v>5</v>
      </c>
      <c r="BS12">
        <f t="shared" ref="BS12:BS41" si="50">ABS(W12)</f>
        <v>10</v>
      </c>
      <c r="BT12">
        <f t="shared" ref="BT12:BT41" si="51">ABS(X12)</f>
        <v>3</v>
      </c>
      <c r="BU12">
        <f t="shared" ref="BU12:BU41" si="52">ABS(Y12)</f>
        <v>11</v>
      </c>
      <c r="BV12">
        <f t="shared" si="29"/>
        <v>7</v>
      </c>
      <c r="BW12">
        <f t="shared" si="30"/>
        <v>2</v>
      </c>
      <c r="BX12">
        <f t="shared" si="31"/>
        <v>21</v>
      </c>
      <c r="BY12">
        <f t="shared" si="32"/>
        <v>1</v>
      </c>
      <c r="BZ12">
        <f t="shared" si="33"/>
        <v>6</v>
      </c>
      <c r="CC12" s="4">
        <v>10</v>
      </c>
      <c r="CD12" s="2">
        <v>0</v>
      </c>
      <c r="CE12" s="2">
        <v>1</v>
      </c>
      <c r="CF12" s="2">
        <v>0</v>
      </c>
      <c r="CG12" s="2">
        <v>1</v>
      </c>
      <c r="CH12" s="2">
        <v>0</v>
      </c>
      <c r="CI12" s="2">
        <v>0</v>
      </c>
      <c r="CJ12" s="2">
        <v>1</v>
      </c>
      <c r="CK12" s="2">
        <v>0</v>
      </c>
    </row>
    <row r="13" spans="1:89" x14ac:dyDescent="0.5">
      <c r="B13" s="4">
        <v>15</v>
      </c>
      <c r="C13" s="4" t="s">
        <v>138</v>
      </c>
      <c r="D13" s="4">
        <v>48</v>
      </c>
      <c r="E13" s="4">
        <v>-21</v>
      </c>
      <c r="F13" s="4">
        <v>-20</v>
      </c>
      <c r="G13" s="4">
        <v>1</v>
      </c>
      <c r="H13" s="4">
        <v>-22</v>
      </c>
      <c r="I13" s="4">
        <v>13</v>
      </c>
      <c r="J13" s="4">
        <v>-19</v>
      </c>
      <c r="K13" s="4">
        <v>-19</v>
      </c>
      <c r="L13" s="4">
        <v>-2</v>
      </c>
      <c r="M13" s="4">
        <v>17</v>
      </c>
      <c r="N13" s="4">
        <v>5</v>
      </c>
      <c r="O13" s="4">
        <v>12</v>
      </c>
      <c r="Q13">
        <v>15</v>
      </c>
      <c r="R13" t="s">
        <v>138</v>
      </c>
      <c r="S13">
        <v>48</v>
      </c>
      <c r="T13">
        <v>-21</v>
      </c>
      <c r="U13">
        <v>-20</v>
      </c>
      <c r="V13">
        <v>1</v>
      </c>
      <c r="W13">
        <v>-22</v>
      </c>
      <c r="X13">
        <v>13</v>
      </c>
      <c r="Y13">
        <v>-19</v>
      </c>
      <c r="Z13">
        <v>-19</v>
      </c>
      <c r="AA13">
        <v>-2</v>
      </c>
      <c r="AB13">
        <v>17</v>
      </c>
      <c r="AC13">
        <v>5</v>
      </c>
      <c r="AD13">
        <v>12</v>
      </c>
      <c r="AF13">
        <v>15</v>
      </c>
      <c r="AG13" t="s">
        <v>138</v>
      </c>
      <c r="AH13">
        <f t="shared" si="15"/>
        <v>1</v>
      </c>
      <c r="AI13">
        <f t="shared" si="0"/>
        <v>0</v>
      </c>
      <c r="AJ13">
        <f t="shared" si="0"/>
        <v>0</v>
      </c>
      <c r="AK13">
        <f t="shared" si="0"/>
        <v>1</v>
      </c>
      <c r="AL13">
        <f t="shared" si="0"/>
        <v>0</v>
      </c>
      <c r="AM13">
        <f t="shared" si="0"/>
        <v>1</v>
      </c>
      <c r="AN13">
        <f t="shared" si="0"/>
        <v>0</v>
      </c>
      <c r="AO13">
        <f t="shared" si="0"/>
        <v>0</v>
      </c>
      <c r="AP13">
        <f t="shared" si="0"/>
        <v>0</v>
      </c>
      <c r="AQ13">
        <f t="shared" si="0"/>
        <v>1</v>
      </c>
      <c r="AR13">
        <f t="shared" si="0"/>
        <v>1</v>
      </c>
      <c r="AS13">
        <f t="shared" si="0"/>
        <v>1</v>
      </c>
      <c r="AX13">
        <v>15</v>
      </c>
      <c r="AY13" t="s">
        <v>138</v>
      </c>
      <c r="AZ13">
        <f t="shared" si="16"/>
        <v>48</v>
      </c>
      <c r="BA13">
        <f t="shared" si="34"/>
        <v>21</v>
      </c>
      <c r="BB13">
        <f t="shared" si="35"/>
        <v>20</v>
      </c>
      <c r="BC13">
        <f t="shared" si="36"/>
        <v>1</v>
      </c>
      <c r="BD13">
        <f t="shared" si="37"/>
        <v>22</v>
      </c>
      <c r="BE13">
        <f t="shared" si="38"/>
        <v>13</v>
      </c>
      <c r="BF13">
        <f t="shared" si="39"/>
        <v>19</v>
      </c>
      <c r="BG13">
        <f t="shared" si="40"/>
        <v>19</v>
      </c>
      <c r="BH13">
        <f t="shared" si="41"/>
        <v>2</v>
      </c>
      <c r="BI13">
        <f t="shared" si="42"/>
        <v>17</v>
      </c>
      <c r="BJ13">
        <f t="shared" si="43"/>
        <v>5</v>
      </c>
      <c r="BK13">
        <f t="shared" si="44"/>
        <v>12</v>
      </c>
      <c r="BM13">
        <f t="shared" si="45"/>
        <v>15</v>
      </c>
      <c r="BN13" t="s">
        <v>138</v>
      </c>
      <c r="BO13">
        <f t="shared" si="46"/>
        <v>48</v>
      </c>
      <c r="BP13">
        <f t="shared" si="47"/>
        <v>21</v>
      </c>
      <c r="BQ13">
        <f t="shared" si="48"/>
        <v>20</v>
      </c>
      <c r="BR13">
        <f t="shared" si="49"/>
        <v>1</v>
      </c>
      <c r="BS13">
        <f t="shared" si="50"/>
        <v>22</v>
      </c>
      <c r="BT13">
        <f t="shared" si="51"/>
        <v>13</v>
      </c>
      <c r="BU13">
        <f t="shared" si="52"/>
        <v>19</v>
      </c>
      <c r="BV13">
        <f t="shared" si="29"/>
        <v>19</v>
      </c>
      <c r="BW13">
        <f t="shared" si="30"/>
        <v>2</v>
      </c>
      <c r="BX13">
        <f t="shared" si="31"/>
        <v>17</v>
      </c>
      <c r="BY13">
        <f t="shared" si="32"/>
        <v>5</v>
      </c>
      <c r="BZ13">
        <f t="shared" si="33"/>
        <v>12</v>
      </c>
      <c r="CC13" s="4">
        <v>11</v>
      </c>
      <c r="CD13" s="2">
        <v>0</v>
      </c>
      <c r="CE13" s="2">
        <v>1</v>
      </c>
      <c r="CF13" s="2">
        <v>0</v>
      </c>
      <c r="CG13" s="2">
        <v>0</v>
      </c>
      <c r="CH13" s="2">
        <v>1</v>
      </c>
      <c r="CI13" s="2">
        <v>1</v>
      </c>
      <c r="CJ13" s="2">
        <v>0</v>
      </c>
      <c r="CK13" s="2">
        <v>1</v>
      </c>
    </row>
    <row r="14" spans="1:89" x14ac:dyDescent="0.5">
      <c r="B14" s="4">
        <v>14</v>
      </c>
      <c r="C14" s="4" t="s">
        <v>137</v>
      </c>
      <c r="D14" s="4">
        <v>13</v>
      </c>
      <c r="E14" s="4">
        <v>5</v>
      </c>
      <c r="F14" s="4">
        <v>-2</v>
      </c>
      <c r="G14" s="4">
        <v>-9</v>
      </c>
      <c r="H14" s="4">
        <v>6</v>
      </c>
      <c r="I14" s="4">
        <v>17</v>
      </c>
      <c r="J14" s="4">
        <v>5</v>
      </c>
      <c r="K14" s="4">
        <v>-3</v>
      </c>
      <c r="L14" s="4">
        <v>4</v>
      </c>
      <c r="M14" s="4">
        <v>7</v>
      </c>
      <c r="N14" s="4">
        <v>-9</v>
      </c>
      <c r="O14" s="4">
        <v>-12</v>
      </c>
      <c r="Q14">
        <v>14</v>
      </c>
      <c r="R14" t="s">
        <v>137</v>
      </c>
      <c r="S14">
        <v>33</v>
      </c>
      <c r="T14">
        <v>-7</v>
      </c>
      <c r="U14">
        <v>-12</v>
      </c>
      <c r="V14">
        <v>-5</v>
      </c>
      <c r="W14">
        <v>-8</v>
      </c>
      <c r="X14">
        <v>-11</v>
      </c>
      <c r="Y14">
        <v>-21</v>
      </c>
      <c r="Z14">
        <v>-3</v>
      </c>
      <c r="AA14">
        <v>0</v>
      </c>
      <c r="AB14">
        <v>5</v>
      </c>
      <c r="AC14">
        <v>17</v>
      </c>
      <c r="AD14">
        <v>2</v>
      </c>
      <c r="AF14">
        <v>14</v>
      </c>
      <c r="AG14" t="s">
        <v>137</v>
      </c>
      <c r="AH14">
        <f t="shared" si="15"/>
        <v>1</v>
      </c>
      <c r="AI14">
        <f t="shared" si="0"/>
        <v>0</v>
      </c>
      <c r="AJ14">
        <f t="shared" si="0"/>
        <v>0</v>
      </c>
      <c r="AK14">
        <f t="shared" si="0"/>
        <v>0</v>
      </c>
      <c r="AL14">
        <f t="shared" si="0"/>
        <v>0</v>
      </c>
      <c r="AM14">
        <f t="shared" si="0"/>
        <v>0</v>
      </c>
      <c r="AN14">
        <f t="shared" si="0"/>
        <v>0</v>
      </c>
      <c r="AO14">
        <f t="shared" si="0"/>
        <v>0</v>
      </c>
      <c r="AP14">
        <f t="shared" si="0"/>
        <v>0</v>
      </c>
      <c r="AQ14">
        <f t="shared" si="0"/>
        <v>1</v>
      </c>
      <c r="AR14">
        <f t="shared" si="0"/>
        <v>1</v>
      </c>
      <c r="AS14">
        <f t="shared" si="0"/>
        <v>1</v>
      </c>
      <c r="AX14">
        <v>14</v>
      </c>
      <c r="AY14" t="s">
        <v>137</v>
      </c>
      <c r="AZ14">
        <f t="shared" si="16"/>
        <v>13</v>
      </c>
      <c r="BA14">
        <f t="shared" si="34"/>
        <v>5</v>
      </c>
      <c r="BB14">
        <f t="shared" si="35"/>
        <v>2</v>
      </c>
      <c r="BC14">
        <f t="shared" si="36"/>
        <v>9</v>
      </c>
      <c r="BD14">
        <f t="shared" si="37"/>
        <v>6</v>
      </c>
      <c r="BE14">
        <f t="shared" si="38"/>
        <v>17</v>
      </c>
      <c r="BF14">
        <f t="shared" si="39"/>
        <v>5</v>
      </c>
      <c r="BG14">
        <f t="shared" si="40"/>
        <v>3</v>
      </c>
      <c r="BH14">
        <f t="shared" si="41"/>
        <v>4</v>
      </c>
      <c r="BI14">
        <f t="shared" si="42"/>
        <v>7</v>
      </c>
      <c r="BJ14">
        <f t="shared" si="43"/>
        <v>9</v>
      </c>
      <c r="BK14">
        <f t="shared" si="44"/>
        <v>12</v>
      </c>
      <c r="BM14">
        <f t="shared" si="45"/>
        <v>14</v>
      </c>
      <c r="BN14" t="s">
        <v>137</v>
      </c>
      <c r="BO14">
        <f t="shared" si="46"/>
        <v>33</v>
      </c>
      <c r="BP14">
        <f t="shared" si="47"/>
        <v>7</v>
      </c>
      <c r="BQ14">
        <f t="shared" si="48"/>
        <v>12</v>
      </c>
      <c r="BR14">
        <f t="shared" si="49"/>
        <v>5</v>
      </c>
      <c r="BS14">
        <f t="shared" si="50"/>
        <v>8</v>
      </c>
      <c r="BT14">
        <f t="shared" si="51"/>
        <v>11</v>
      </c>
      <c r="BU14">
        <f t="shared" si="52"/>
        <v>21</v>
      </c>
      <c r="BV14">
        <f t="shared" si="29"/>
        <v>3</v>
      </c>
      <c r="BW14">
        <f t="shared" si="30"/>
        <v>0</v>
      </c>
      <c r="BX14">
        <f t="shared" si="31"/>
        <v>5</v>
      </c>
      <c r="BY14">
        <f t="shared" si="32"/>
        <v>17</v>
      </c>
      <c r="BZ14">
        <f t="shared" si="33"/>
        <v>2</v>
      </c>
      <c r="CC14" s="4">
        <v>12</v>
      </c>
      <c r="CD14" s="2">
        <v>0</v>
      </c>
      <c r="CE14" s="2">
        <v>1</v>
      </c>
      <c r="CF14" s="2">
        <v>0</v>
      </c>
      <c r="CG14" s="2">
        <v>0</v>
      </c>
      <c r="CH14" s="2">
        <v>1</v>
      </c>
      <c r="CI14" s="2">
        <v>0</v>
      </c>
      <c r="CJ14" s="2">
        <v>1</v>
      </c>
      <c r="CK14" s="2">
        <v>0</v>
      </c>
    </row>
    <row r="15" spans="1:89" x14ac:dyDescent="0.5">
      <c r="B15" s="4">
        <v>14</v>
      </c>
      <c r="C15" s="4" t="s">
        <v>138</v>
      </c>
      <c r="D15" s="4">
        <v>-25</v>
      </c>
      <c r="E15" s="4">
        <v>-11</v>
      </c>
      <c r="F15" s="4">
        <v>4</v>
      </c>
      <c r="G15" s="4">
        <v>7</v>
      </c>
      <c r="H15" s="4">
        <v>-12</v>
      </c>
      <c r="I15" s="4">
        <v>7</v>
      </c>
      <c r="J15" s="4">
        <v>3</v>
      </c>
      <c r="K15" s="4">
        <v>13</v>
      </c>
      <c r="L15" s="4">
        <v>12</v>
      </c>
      <c r="M15" s="4">
        <v>-23</v>
      </c>
      <c r="N15" s="4">
        <v>-1</v>
      </c>
      <c r="O15" s="4">
        <v>4</v>
      </c>
      <c r="Q15">
        <v>14</v>
      </c>
      <c r="R15" t="s">
        <v>138</v>
      </c>
      <c r="S15">
        <v>42</v>
      </c>
      <c r="T15">
        <v>-17</v>
      </c>
      <c r="U15">
        <v>-20</v>
      </c>
      <c r="V15">
        <v>11</v>
      </c>
      <c r="W15">
        <v>-2</v>
      </c>
      <c r="X15">
        <v>-5</v>
      </c>
      <c r="Y15">
        <v>-25</v>
      </c>
      <c r="Z15">
        <v>-1</v>
      </c>
      <c r="AA15">
        <v>2</v>
      </c>
      <c r="AB15">
        <v>19</v>
      </c>
      <c r="AC15">
        <v>-7</v>
      </c>
      <c r="AD15">
        <v>12</v>
      </c>
      <c r="AF15">
        <v>14</v>
      </c>
      <c r="AG15" t="s">
        <v>138</v>
      </c>
      <c r="AH15">
        <f t="shared" si="15"/>
        <v>1</v>
      </c>
      <c r="AI15">
        <f t="shared" si="0"/>
        <v>0</v>
      </c>
      <c r="AJ15">
        <f t="shared" si="0"/>
        <v>0</v>
      </c>
      <c r="AK15">
        <f t="shared" si="0"/>
        <v>1</v>
      </c>
      <c r="AL15">
        <f t="shared" si="0"/>
        <v>0</v>
      </c>
      <c r="AM15">
        <f t="shared" si="0"/>
        <v>0</v>
      </c>
      <c r="AN15">
        <f t="shared" si="0"/>
        <v>0</v>
      </c>
      <c r="AO15">
        <f t="shared" si="0"/>
        <v>0</v>
      </c>
      <c r="AP15">
        <f t="shared" si="0"/>
        <v>1</v>
      </c>
      <c r="AQ15">
        <f t="shared" si="0"/>
        <v>1</v>
      </c>
      <c r="AR15">
        <f t="shared" si="0"/>
        <v>0</v>
      </c>
      <c r="AS15">
        <f t="shared" si="0"/>
        <v>1</v>
      </c>
      <c r="AX15">
        <v>14</v>
      </c>
      <c r="AY15" t="s">
        <v>138</v>
      </c>
      <c r="AZ15">
        <f t="shared" si="16"/>
        <v>25</v>
      </c>
      <c r="BA15">
        <f t="shared" si="34"/>
        <v>11</v>
      </c>
      <c r="BB15">
        <f t="shared" si="35"/>
        <v>4</v>
      </c>
      <c r="BC15">
        <f t="shared" si="36"/>
        <v>7</v>
      </c>
      <c r="BD15">
        <f t="shared" si="37"/>
        <v>12</v>
      </c>
      <c r="BE15">
        <f t="shared" si="38"/>
        <v>7</v>
      </c>
      <c r="BF15">
        <f t="shared" si="39"/>
        <v>3</v>
      </c>
      <c r="BG15">
        <f t="shared" si="40"/>
        <v>13</v>
      </c>
      <c r="BH15">
        <f t="shared" si="41"/>
        <v>12</v>
      </c>
      <c r="BI15">
        <f t="shared" si="42"/>
        <v>23</v>
      </c>
      <c r="BJ15">
        <f t="shared" si="43"/>
        <v>1</v>
      </c>
      <c r="BK15">
        <f t="shared" si="44"/>
        <v>4</v>
      </c>
      <c r="BM15">
        <f t="shared" si="45"/>
        <v>14</v>
      </c>
      <c r="BN15" t="s">
        <v>138</v>
      </c>
      <c r="BO15">
        <f t="shared" si="46"/>
        <v>42</v>
      </c>
      <c r="BP15">
        <f t="shared" si="47"/>
        <v>17</v>
      </c>
      <c r="BQ15">
        <f t="shared" si="48"/>
        <v>20</v>
      </c>
      <c r="BR15">
        <f t="shared" si="49"/>
        <v>11</v>
      </c>
      <c r="BS15">
        <f t="shared" si="50"/>
        <v>2</v>
      </c>
      <c r="BT15">
        <f t="shared" si="51"/>
        <v>5</v>
      </c>
      <c r="BU15">
        <f t="shared" si="52"/>
        <v>25</v>
      </c>
      <c r="BV15">
        <f t="shared" si="29"/>
        <v>1</v>
      </c>
      <c r="BW15">
        <f t="shared" si="30"/>
        <v>2</v>
      </c>
      <c r="BX15">
        <f t="shared" si="31"/>
        <v>19</v>
      </c>
      <c r="BY15">
        <f t="shared" si="32"/>
        <v>7</v>
      </c>
      <c r="BZ15">
        <f t="shared" si="33"/>
        <v>12</v>
      </c>
    </row>
    <row r="16" spans="1:89" x14ac:dyDescent="0.5">
      <c r="B16" s="4">
        <v>13</v>
      </c>
      <c r="C16" s="4" t="s">
        <v>137</v>
      </c>
      <c r="D16" s="4">
        <v>7</v>
      </c>
      <c r="E16" s="4">
        <v>-1</v>
      </c>
      <c r="F16" s="4">
        <v>8</v>
      </c>
      <c r="G16" s="4">
        <v>5</v>
      </c>
      <c r="H16" s="4">
        <v>-14</v>
      </c>
      <c r="I16" s="4">
        <v>-1</v>
      </c>
      <c r="J16" s="4">
        <v>1</v>
      </c>
      <c r="K16" s="4">
        <v>-11</v>
      </c>
      <c r="L16" s="4">
        <v>2</v>
      </c>
      <c r="M16" s="4">
        <v>-17</v>
      </c>
      <c r="N16" s="4">
        <v>3</v>
      </c>
      <c r="O16" s="4">
        <v>-6</v>
      </c>
      <c r="Q16">
        <v>13</v>
      </c>
      <c r="R16" t="s">
        <v>137</v>
      </c>
      <c r="S16">
        <v>32</v>
      </c>
      <c r="T16">
        <v>-9</v>
      </c>
      <c r="U16">
        <v>-36</v>
      </c>
      <c r="V16">
        <v>23</v>
      </c>
      <c r="W16">
        <v>-12</v>
      </c>
      <c r="X16">
        <v>-1</v>
      </c>
      <c r="Y16">
        <v>-19</v>
      </c>
      <c r="Z16">
        <v>-3</v>
      </c>
      <c r="AA16">
        <v>-4</v>
      </c>
      <c r="AB16">
        <v>13</v>
      </c>
      <c r="AC16">
        <v>-5</v>
      </c>
      <c r="AD16">
        <v>12</v>
      </c>
      <c r="AF16">
        <v>13</v>
      </c>
      <c r="AG16" t="s">
        <v>137</v>
      </c>
      <c r="AH16">
        <f t="shared" si="15"/>
        <v>1</v>
      </c>
      <c r="AI16">
        <f t="shared" si="0"/>
        <v>0</v>
      </c>
      <c r="AJ16">
        <f t="shared" si="0"/>
        <v>0</v>
      </c>
      <c r="AK16">
        <f t="shared" si="0"/>
        <v>1</v>
      </c>
      <c r="AL16">
        <f t="shared" si="0"/>
        <v>0</v>
      </c>
      <c r="AM16">
        <f t="shared" si="0"/>
        <v>0</v>
      </c>
      <c r="AN16">
        <f t="shared" si="0"/>
        <v>0</v>
      </c>
      <c r="AO16">
        <f t="shared" si="0"/>
        <v>0</v>
      </c>
      <c r="AP16">
        <f t="shared" si="0"/>
        <v>0</v>
      </c>
      <c r="AQ16">
        <f t="shared" si="0"/>
        <v>1</v>
      </c>
      <c r="AR16">
        <f t="shared" si="0"/>
        <v>0</v>
      </c>
      <c r="AS16">
        <f t="shared" si="0"/>
        <v>1</v>
      </c>
      <c r="AX16">
        <v>13</v>
      </c>
      <c r="AY16" t="s">
        <v>137</v>
      </c>
      <c r="AZ16">
        <f t="shared" si="16"/>
        <v>7</v>
      </c>
      <c r="BA16">
        <f t="shared" si="34"/>
        <v>1</v>
      </c>
      <c r="BB16">
        <f t="shared" si="35"/>
        <v>8</v>
      </c>
      <c r="BC16">
        <f t="shared" si="36"/>
        <v>5</v>
      </c>
      <c r="BD16">
        <f t="shared" si="37"/>
        <v>14</v>
      </c>
      <c r="BE16">
        <f t="shared" si="38"/>
        <v>1</v>
      </c>
      <c r="BF16">
        <f t="shared" si="39"/>
        <v>1</v>
      </c>
      <c r="BG16">
        <f t="shared" si="40"/>
        <v>11</v>
      </c>
      <c r="BH16">
        <f t="shared" si="41"/>
        <v>2</v>
      </c>
      <c r="BI16">
        <f t="shared" si="42"/>
        <v>17</v>
      </c>
      <c r="BJ16">
        <f t="shared" si="43"/>
        <v>3</v>
      </c>
      <c r="BK16">
        <f t="shared" si="44"/>
        <v>6</v>
      </c>
      <c r="BM16">
        <f t="shared" si="45"/>
        <v>13</v>
      </c>
      <c r="BN16" t="s">
        <v>137</v>
      </c>
      <c r="BO16">
        <f t="shared" si="46"/>
        <v>32</v>
      </c>
      <c r="BP16">
        <f t="shared" si="47"/>
        <v>9</v>
      </c>
      <c r="BQ16">
        <f t="shared" si="48"/>
        <v>36</v>
      </c>
      <c r="BR16">
        <f t="shared" si="49"/>
        <v>23</v>
      </c>
      <c r="BS16">
        <f t="shared" si="50"/>
        <v>12</v>
      </c>
      <c r="BT16">
        <f t="shared" si="51"/>
        <v>1</v>
      </c>
      <c r="BU16">
        <f t="shared" si="52"/>
        <v>19</v>
      </c>
      <c r="BV16">
        <f t="shared" si="29"/>
        <v>3</v>
      </c>
      <c r="BW16">
        <f t="shared" si="30"/>
        <v>4</v>
      </c>
      <c r="BX16">
        <f t="shared" si="31"/>
        <v>13</v>
      </c>
      <c r="BY16">
        <f t="shared" si="32"/>
        <v>5</v>
      </c>
      <c r="BZ16">
        <f t="shared" si="33"/>
        <v>12</v>
      </c>
    </row>
    <row r="17" spans="2:95" x14ac:dyDescent="0.5">
      <c r="B17" s="4">
        <v>13</v>
      </c>
      <c r="C17" s="4" t="s">
        <v>138</v>
      </c>
      <c r="D17" s="4">
        <v>-5</v>
      </c>
      <c r="E17" s="4">
        <v>5</v>
      </c>
      <c r="F17" s="4">
        <v>4</v>
      </c>
      <c r="G17" s="4">
        <v>1</v>
      </c>
      <c r="H17" s="4">
        <v>-10</v>
      </c>
      <c r="I17" s="4">
        <v>1</v>
      </c>
      <c r="J17" s="4">
        <v>-9</v>
      </c>
      <c r="K17" s="4">
        <v>13</v>
      </c>
      <c r="L17" s="4">
        <v>6</v>
      </c>
      <c r="M17" s="4">
        <v>-11</v>
      </c>
      <c r="N17" s="4">
        <v>5</v>
      </c>
      <c r="O17" s="4">
        <v>22</v>
      </c>
      <c r="Q17">
        <v>13</v>
      </c>
      <c r="R17" t="s">
        <v>138</v>
      </c>
      <c r="S17">
        <v>38</v>
      </c>
      <c r="T17">
        <v>-19</v>
      </c>
      <c r="U17">
        <v>4</v>
      </c>
      <c r="V17">
        <v>-7</v>
      </c>
      <c r="W17">
        <v>-6</v>
      </c>
      <c r="X17">
        <v>-7</v>
      </c>
      <c r="Y17">
        <v>-15</v>
      </c>
      <c r="Z17">
        <v>-5</v>
      </c>
      <c r="AA17">
        <v>4</v>
      </c>
      <c r="AB17">
        <v>3</v>
      </c>
      <c r="AC17">
        <v>19</v>
      </c>
      <c r="AD17">
        <v>0</v>
      </c>
      <c r="AF17">
        <v>13</v>
      </c>
      <c r="AG17" t="s">
        <v>138</v>
      </c>
      <c r="AH17">
        <f t="shared" si="15"/>
        <v>1</v>
      </c>
      <c r="AI17">
        <f t="shared" si="0"/>
        <v>0</v>
      </c>
      <c r="AJ17">
        <f t="shared" si="0"/>
        <v>1</v>
      </c>
      <c r="AK17">
        <f t="shared" si="0"/>
        <v>0</v>
      </c>
      <c r="AL17">
        <f t="shared" si="0"/>
        <v>0</v>
      </c>
      <c r="AM17">
        <f t="shared" si="0"/>
        <v>0</v>
      </c>
      <c r="AN17">
        <f t="shared" si="0"/>
        <v>0</v>
      </c>
      <c r="AO17">
        <f t="shared" si="0"/>
        <v>0</v>
      </c>
      <c r="AP17">
        <f t="shared" si="0"/>
        <v>1</v>
      </c>
      <c r="AQ17">
        <f t="shared" si="0"/>
        <v>1</v>
      </c>
      <c r="AR17">
        <f t="shared" si="0"/>
        <v>1</v>
      </c>
      <c r="AS17">
        <f t="shared" si="0"/>
        <v>0</v>
      </c>
      <c r="AX17">
        <v>13</v>
      </c>
      <c r="AY17" t="s">
        <v>138</v>
      </c>
      <c r="AZ17">
        <f t="shared" si="16"/>
        <v>5</v>
      </c>
      <c r="BA17">
        <f t="shared" si="34"/>
        <v>5</v>
      </c>
      <c r="BB17">
        <f t="shared" si="35"/>
        <v>4</v>
      </c>
      <c r="BC17">
        <f t="shared" si="36"/>
        <v>1</v>
      </c>
      <c r="BD17">
        <f t="shared" si="37"/>
        <v>10</v>
      </c>
      <c r="BE17">
        <f t="shared" si="38"/>
        <v>1</v>
      </c>
      <c r="BF17">
        <f t="shared" si="39"/>
        <v>9</v>
      </c>
      <c r="BG17">
        <f t="shared" si="40"/>
        <v>13</v>
      </c>
      <c r="BH17">
        <f t="shared" si="41"/>
        <v>6</v>
      </c>
      <c r="BI17">
        <f t="shared" si="42"/>
        <v>11</v>
      </c>
      <c r="BJ17">
        <f t="shared" si="43"/>
        <v>5</v>
      </c>
      <c r="BK17">
        <f t="shared" si="44"/>
        <v>22</v>
      </c>
      <c r="BM17">
        <f t="shared" si="45"/>
        <v>13</v>
      </c>
      <c r="BN17" t="s">
        <v>138</v>
      </c>
      <c r="BO17">
        <f t="shared" si="46"/>
        <v>38</v>
      </c>
      <c r="BP17">
        <f t="shared" si="47"/>
        <v>19</v>
      </c>
      <c r="BQ17">
        <f t="shared" si="48"/>
        <v>4</v>
      </c>
      <c r="BR17">
        <f t="shared" si="49"/>
        <v>7</v>
      </c>
      <c r="BS17">
        <f t="shared" si="50"/>
        <v>6</v>
      </c>
      <c r="BT17">
        <f t="shared" si="51"/>
        <v>7</v>
      </c>
      <c r="BU17">
        <f t="shared" si="52"/>
        <v>15</v>
      </c>
      <c r="BV17">
        <f t="shared" si="29"/>
        <v>5</v>
      </c>
      <c r="BW17">
        <f t="shared" si="30"/>
        <v>4</v>
      </c>
      <c r="BX17">
        <f t="shared" si="31"/>
        <v>3</v>
      </c>
      <c r="BY17">
        <f t="shared" si="32"/>
        <v>19</v>
      </c>
      <c r="BZ17">
        <f t="shared" si="33"/>
        <v>0</v>
      </c>
      <c r="CF17">
        <v>3</v>
      </c>
      <c r="CG17">
        <v>2</v>
      </c>
      <c r="CH17">
        <v>2</v>
      </c>
      <c r="CI17">
        <v>1</v>
      </c>
      <c r="CJ17">
        <v>2</v>
      </c>
      <c r="CK17">
        <v>1</v>
      </c>
      <c r="CL17">
        <v>2</v>
      </c>
      <c r="CM17">
        <v>1</v>
      </c>
      <c r="CN17">
        <v>1</v>
      </c>
      <c r="CO17">
        <v>0</v>
      </c>
      <c r="CP17">
        <v>1</v>
      </c>
      <c r="CQ17">
        <v>0</v>
      </c>
    </row>
    <row r="18" spans="2:95" x14ac:dyDescent="0.5">
      <c r="B18" s="4">
        <v>12</v>
      </c>
      <c r="C18" s="4" t="s">
        <v>137</v>
      </c>
      <c r="D18" s="4">
        <v>7</v>
      </c>
      <c r="E18" s="4">
        <v>-1</v>
      </c>
      <c r="F18" s="4">
        <v>8</v>
      </c>
      <c r="G18" s="4">
        <v>5</v>
      </c>
      <c r="H18" s="4">
        <v>-14</v>
      </c>
      <c r="I18" s="4">
        <v>-1</v>
      </c>
      <c r="J18" s="4">
        <v>1</v>
      </c>
      <c r="K18" s="4">
        <v>-11</v>
      </c>
      <c r="L18" s="4">
        <v>2</v>
      </c>
      <c r="M18" s="4">
        <v>-17</v>
      </c>
      <c r="N18" s="4">
        <v>3</v>
      </c>
      <c r="O18" s="4">
        <v>-6</v>
      </c>
      <c r="Q18">
        <v>12</v>
      </c>
      <c r="R18" t="s">
        <v>137</v>
      </c>
      <c r="S18">
        <v>32</v>
      </c>
      <c r="T18">
        <v>-9</v>
      </c>
      <c r="U18">
        <v>-36</v>
      </c>
      <c r="V18">
        <v>23</v>
      </c>
      <c r="W18">
        <v>-12</v>
      </c>
      <c r="X18">
        <v>-1</v>
      </c>
      <c r="Y18">
        <v>-19</v>
      </c>
      <c r="Z18">
        <v>-3</v>
      </c>
      <c r="AA18">
        <v>-4</v>
      </c>
      <c r="AB18">
        <v>13</v>
      </c>
      <c r="AC18">
        <v>-5</v>
      </c>
      <c r="AD18">
        <v>12</v>
      </c>
      <c r="AF18">
        <v>12</v>
      </c>
      <c r="AG18" t="s">
        <v>137</v>
      </c>
      <c r="AH18">
        <f t="shared" si="15"/>
        <v>1</v>
      </c>
      <c r="AI18">
        <f t="shared" ref="AI18:AI41" si="53">IF(T18&gt;0,1,0)</f>
        <v>0</v>
      </c>
      <c r="AJ18">
        <f t="shared" ref="AJ18:AJ41" si="54">IF(U18&gt;0,1,0)</f>
        <v>0</v>
      </c>
      <c r="AK18">
        <f t="shared" ref="AK18:AK41" si="55">IF(V18&gt;0,1,0)</f>
        <v>1</v>
      </c>
      <c r="AL18">
        <f t="shared" ref="AL18:AL41" si="56">IF(W18&gt;0,1,0)</f>
        <v>0</v>
      </c>
      <c r="AM18">
        <f t="shared" ref="AM18:AM41" si="57">IF(X18&gt;0,1,0)</f>
        <v>0</v>
      </c>
      <c r="AN18">
        <f t="shared" ref="AN18:AN41" si="58">IF(Y18&gt;0,1,0)</f>
        <v>0</v>
      </c>
      <c r="AO18">
        <f t="shared" ref="AO18:AO41" si="59">IF(Z18&gt;0,1,0)</f>
        <v>0</v>
      </c>
      <c r="AP18">
        <f t="shared" ref="AP18:AP41" si="60">IF(AA18&gt;0,1,0)</f>
        <v>0</v>
      </c>
      <c r="AQ18">
        <f t="shared" ref="AQ18:AQ41" si="61">IF(AB18&gt;0,1,0)</f>
        <v>1</v>
      </c>
      <c r="AR18">
        <f t="shared" ref="AR18:AR41" si="62">IF(AC18&gt;0,1,0)</f>
        <v>0</v>
      </c>
      <c r="AS18">
        <f t="shared" ref="AS18:AS41" si="63">IF(AD18&gt;0,1,0)</f>
        <v>1</v>
      </c>
      <c r="AX18">
        <v>12</v>
      </c>
      <c r="AY18" t="s">
        <v>137</v>
      </c>
      <c r="AZ18">
        <f t="shared" si="16"/>
        <v>7</v>
      </c>
      <c r="BA18">
        <f t="shared" si="34"/>
        <v>1</v>
      </c>
      <c r="BB18">
        <f t="shared" si="35"/>
        <v>8</v>
      </c>
      <c r="BC18">
        <f t="shared" si="36"/>
        <v>5</v>
      </c>
      <c r="BD18">
        <f t="shared" si="37"/>
        <v>14</v>
      </c>
      <c r="BE18">
        <f t="shared" si="38"/>
        <v>1</v>
      </c>
      <c r="BF18">
        <f t="shared" si="39"/>
        <v>1</v>
      </c>
      <c r="BG18">
        <f t="shared" si="40"/>
        <v>11</v>
      </c>
      <c r="BH18">
        <f t="shared" si="41"/>
        <v>2</v>
      </c>
      <c r="BI18">
        <f t="shared" si="42"/>
        <v>17</v>
      </c>
      <c r="BJ18">
        <f t="shared" si="43"/>
        <v>3</v>
      </c>
      <c r="BK18">
        <f t="shared" si="44"/>
        <v>6</v>
      </c>
      <c r="BM18">
        <f t="shared" si="45"/>
        <v>12</v>
      </c>
      <c r="BN18" t="s">
        <v>137</v>
      </c>
      <c r="BO18">
        <f t="shared" si="46"/>
        <v>32</v>
      </c>
      <c r="BP18">
        <f t="shared" si="47"/>
        <v>9</v>
      </c>
      <c r="BQ18">
        <f t="shared" si="48"/>
        <v>36</v>
      </c>
      <c r="BR18">
        <f t="shared" si="49"/>
        <v>23</v>
      </c>
      <c r="BS18">
        <f t="shared" si="50"/>
        <v>12</v>
      </c>
      <c r="BT18">
        <f t="shared" si="51"/>
        <v>1</v>
      </c>
      <c r="BU18">
        <f t="shared" si="52"/>
        <v>19</v>
      </c>
      <c r="BV18">
        <f t="shared" si="29"/>
        <v>3</v>
      </c>
      <c r="BW18">
        <f t="shared" si="30"/>
        <v>4</v>
      </c>
      <c r="BX18">
        <f t="shared" si="31"/>
        <v>13</v>
      </c>
      <c r="BY18">
        <f t="shared" si="32"/>
        <v>5</v>
      </c>
      <c r="BZ18">
        <f t="shared" si="33"/>
        <v>12</v>
      </c>
    </row>
    <row r="19" spans="2:95" x14ac:dyDescent="0.5">
      <c r="B19" s="4">
        <v>12</v>
      </c>
      <c r="C19" s="4" t="s">
        <v>138</v>
      </c>
      <c r="D19" s="4">
        <v>-5</v>
      </c>
      <c r="E19" s="4">
        <v>5</v>
      </c>
      <c r="F19" s="4">
        <v>4</v>
      </c>
      <c r="G19" s="4">
        <v>1</v>
      </c>
      <c r="H19" s="4">
        <v>-10</v>
      </c>
      <c r="I19" s="4">
        <v>1</v>
      </c>
      <c r="J19" s="4">
        <v>-9</v>
      </c>
      <c r="K19" s="4">
        <v>13</v>
      </c>
      <c r="L19" s="4">
        <v>6</v>
      </c>
      <c r="M19" s="4">
        <v>-11</v>
      </c>
      <c r="N19" s="4">
        <v>5</v>
      </c>
      <c r="O19" s="4">
        <v>22</v>
      </c>
      <c r="Q19">
        <v>12</v>
      </c>
      <c r="R19" t="s">
        <v>138</v>
      </c>
      <c r="S19">
        <v>38</v>
      </c>
      <c r="T19">
        <v>-19</v>
      </c>
      <c r="U19">
        <v>4</v>
      </c>
      <c r="V19">
        <v>-7</v>
      </c>
      <c r="W19">
        <v>-6</v>
      </c>
      <c r="X19">
        <v>-7</v>
      </c>
      <c r="Y19">
        <v>-15</v>
      </c>
      <c r="Z19">
        <v>-5</v>
      </c>
      <c r="AA19">
        <v>4</v>
      </c>
      <c r="AB19">
        <v>3</v>
      </c>
      <c r="AC19">
        <v>19</v>
      </c>
      <c r="AD19">
        <v>0</v>
      </c>
      <c r="AF19">
        <v>12</v>
      </c>
      <c r="AG19" t="s">
        <v>138</v>
      </c>
      <c r="AH19">
        <f t="shared" si="15"/>
        <v>1</v>
      </c>
      <c r="AI19">
        <f t="shared" si="53"/>
        <v>0</v>
      </c>
      <c r="AJ19">
        <f t="shared" si="54"/>
        <v>1</v>
      </c>
      <c r="AK19">
        <f t="shared" si="55"/>
        <v>0</v>
      </c>
      <c r="AL19">
        <f t="shared" si="56"/>
        <v>0</v>
      </c>
      <c r="AM19">
        <f t="shared" si="57"/>
        <v>0</v>
      </c>
      <c r="AN19">
        <f t="shared" si="58"/>
        <v>0</v>
      </c>
      <c r="AO19">
        <f t="shared" si="59"/>
        <v>0</v>
      </c>
      <c r="AP19">
        <f t="shared" si="60"/>
        <v>1</v>
      </c>
      <c r="AQ19">
        <f t="shared" si="61"/>
        <v>1</v>
      </c>
      <c r="AR19">
        <f t="shared" si="62"/>
        <v>1</v>
      </c>
      <c r="AS19">
        <f t="shared" si="63"/>
        <v>0</v>
      </c>
      <c r="AX19">
        <v>12</v>
      </c>
      <c r="AY19" t="s">
        <v>138</v>
      </c>
      <c r="AZ19">
        <f t="shared" si="16"/>
        <v>5</v>
      </c>
      <c r="BA19">
        <f t="shared" si="34"/>
        <v>5</v>
      </c>
      <c r="BB19">
        <f t="shared" si="35"/>
        <v>4</v>
      </c>
      <c r="BC19">
        <f t="shared" si="36"/>
        <v>1</v>
      </c>
      <c r="BD19">
        <f t="shared" si="37"/>
        <v>10</v>
      </c>
      <c r="BE19">
        <f t="shared" si="38"/>
        <v>1</v>
      </c>
      <c r="BF19">
        <f t="shared" si="39"/>
        <v>9</v>
      </c>
      <c r="BG19">
        <f t="shared" si="40"/>
        <v>13</v>
      </c>
      <c r="BH19">
        <f t="shared" si="41"/>
        <v>6</v>
      </c>
      <c r="BI19">
        <f t="shared" si="42"/>
        <v>11</v>
      </c>
      <c r="BJ19">
        <f t="shared" si="43"/>
        <v>5</v>
      </c>
      <c r="BK19">
        <f t="shared" si="44"/>
        <v>22</v>
      </c>
      <c r="BM19">
        <f t="shared" si="45"/>
        <v>12</v>
      </c>
      <c r="BN19" t="s">
        <v>138</v>
      </c>
      <c r="BO19">
        <f t="shared" si="46"/>
        <v>38</v>
      </c>
      <c r="BP19">
        <f t="shared" si="47"/>
        <v>19</v>
      </c>
      <c r="BQ19">
        <f t="shared" si="48"/>
        <v>4</v>
      </c>
      <c r="BR19">
        <f t="shared" si="49"/>
        <v>7</v>
      </c>
      <c r="BS19">
        <f t="shared" si="50"/>
        <v>6</v>
      </c>
      <c r="BT19">
        <f t="shared" si="51"/>
        <v>7</v>
      </c>
      <c r="BU19">
        <f t="shared" si="52"/>
        <v>15</v>
      </c>
      <c r="BV19">
        <f t="shared" si="29"/>
        <v>5</v>
      </c>
      <c r="BW19">
        <f t="shared" si="30"/>
        <v>4</v>
      </c>
      <c r="BX19">
        <f t="shared" si="31"/>
        <v>3</v>
      </c>
      <c r="BY19">
        <f t="shared" si="32"/>
        <v>19</v>
      </c>
      <c r="BZ19">
        <f t="shared" si="33"/>
        <v>0</v>
      </c>
    </row>
    <row r="20" spans="2:95" x14ac:dyDescent="0.5">
      <c r="B20" s="4">
        <v>11</v>
      </c>
      <c r="C20" s="4" t="s">
        <v>137</v>
      </c>
      <c r="D20" s="4">
        <v>-7</v>
      </c>
      <c r="E20" s="4">
        <v>5</v>
      </c>
      <c r="F20" s="4">
        <v>4</v>
      </c>
      <c r="G20" s="4">
        <v>-11</v>
      </c>
      <c r="H20" s="4">
        <v>-14</v>
      </c>
      <c r="I20" s="4">
        <v>-5</v>
      </c>
      <c r="J20" s="4">
        <v>5</v>
      </c>
      <c r="K20" s="4">
        <v>-5</v>
      </c>
      <c r="L20" s="4">
        <v>-6</v>
      </c>
      <c r="M20" s="4">
        <v>5</v>
      </c>
      <c r="N20" s="4">
        <v>1</v>
      </c>
      <c r="O20" s="4">
        <v>-10</v>
      </c>
      <c r="Q20">
        <v>11</v>
      </c>
      <c r="R20" t="s">
        <v>137</v>
      </c>
      <c r="S20">
        <v>35</v>
      </c>
      <c r="T20">
        <v>-21</v>
      </c>
      <c r="U20">
        <v>-8</v>
      </c>
      <c r="V20">
        <v>-11</v>
      </c>
      <c r="W20">
        <v>-12</v>
      </c>
      <c r="X20">
        <v>3</v>
      </c>
      <c r="Y20">
        <v>-7</v>
      </c>
      <c r="Z20">
        <v>-1</v>
      </c>
      <c r="AA20">
        <v>6</v>
      </c>
      <c r="AB20">
        <v>11</v>
      </c>
      <c r="AC20">
        <v>-19</v>
      </c>
      <c r="AD20">
        <v>14</v>
      </c>
      <c r="AF20">
        <v>11</v>
      </c>
      <c r="AG20" t="s">
        <v>137</v>
      </c>
      <c r="AH20">
        <f t="shared" si="15"/>
        <v>1</v>
      </c>
      <c r="AI20">
        <f t="shared" si="53"/>
        <v>0</v>
      </c>
      <c r="AJ20">
        <f t="shared" si="54"/>
        <v>0</v>
      </c>
      <c r="AK20">
        <f t="shared" si="55"/>
        <v>0</v>
      </c>
      <c r="AL20">
        <f t="shared" si="56"/>
        <v>0</v>
      </c>
      <c r="AM20">
        <f t="shared" si="57"/>
        <v>1</v>
      </c>
      <c r="AN20">
        <f t="shared" si="58"/>
        <v>0</v>
      </c>
      <c r="AO20">
        <f t="shared" si="59"/>
        <v>0</v>
      </c>
      <c r="AP20">
        <f t="shared" si="60"/>
        <v>1</v>
      </c>
      <c r="AQ20">
        <f t="shared" si="61"/>
        <v>1</v>
      </c>
      <c r="AR20">
        <f t="shared" si="62"/>
        <v>0</v>
      </c>
      <c r="AS20">
        <f t="shared" si="63"/>
        <v>1</v>
      </c>
      <c r="AX20">
        <v>11</v>
      </c>
      <c r="AY20" t="s">
        <v>137</v>
      </c>
      <c r="AZ20">
        <f t="shared" si="16"/>
        <v>7</v>
      </c>
      <c r="BA20">
        <f t="shared" si="34"/>
        <v>5</v>
      </c>
      <c r="BB20">
        <f t="shared" si="35"/>
        <v>4</v>
      </c>
      <c r="BC20">
        <f t="shared" si="36"/>
        <v>11</v>
      </c>
      <c r="BD20">
        <f t="shared" si="37"/>
        <v>14</v>
      </c>
      <c r="BE20">
        <f t="shared" si="38"/>
        <v>5</v>
      </c>
      <c r="BF20">
        <f t="shared" si="39"/>
        <v>5</v>
      </c>
      <c r="BG20">
        <f t="shared" si="40"/>
        <v>5</v>
      </c>
      <c r="BH20">
        <f t="shared" si="41"/>
        <v>6</v>
      </c>
      <c r="BI20">
        <f t="shared" si="42"/>
        <v>5</v>
      </c>
      <c r="BJ20">
        <f t="shared" si="43"/>
        <v>1</v>
      </c>
      <c r="BK20">
        <f t="shared" si="44"/>
        <v>10</v>
      </c>
      <c r="BM20">
        <f t="shared" si="45"/>
        <v>11</v>
      </c>
      <c r="BN20" t="s">
        <v>137</v>
      </c>
      <c r="BO20">
        <f t="shared" si="46"/>
        <v>35</v>
      </c>
      <c r="BP20">
        <f t="shared" si="47"/>
        <v>21</v>
      </c>
      <c r="BQ20">
        <f t="shared" si="48"/>
        <v>8</v>
      </c>
      <c r="BR20">
        <f t="shared" si="49"/>
        <v>11</v>
      </c>
      <c r="BS20">
        <f t="shared" si="50"/>
        <v>12</v>
      </c>
      <c r="BT20">
        <f t="shared" si="51"/>
        <v>3</v>
      </c>
      <c r="BU20">
        <f t="shared" si="52"/>
        <v>7</v>
      </c>
      <c r="BV20">
        <f t="shared" si="29"/>
        <v>1</v>
      </c>
      <c r="BW20">
        <f t="shared" si="30"/>
        <v>6</v>
      </c>
      <c r="BX20">
        <f t="shared" si="31"/>
        <v>11</v>
      </c>
      <c r="BY20">
        <f t="shared" si="32"/>
        <v>19</v>
      </c>
      <c r="BZ20">
        <f t="shared" si="33"/>
        <v>14</v>
      </c>
    </row>
    <row r="21" spans="2:95" x14ac:dyDescent="0.5">
      <c r="B21" s="4">
        <v>11</v>
      </c>
      <c r="C21" s="4" t="s">
        <v>138</v>
      </c>
      <c r="D21" s="4">
        <v>-5</v>
      </c>
      <c r="E21" s="4">
        <v>11</v>
      </c>
      <c r="F21" s="4">
        <v>-2</v>
      </c>
      <c r="G21" s="4">
        <v>13</v>
      </c>
      <c r="H21" s="4">
        <v>14</v>
      </c>
      <c r="I21" s="4">
        <v>-3</v>
      </c>
      <c r="J21" s="4">
        <v>1</v>
      </c>
      <c r="K21" s="4">
        <v>-3</v>
      </c>
      <c r="L21" s="4">
        <v>-2</v>
      </c>
      <c r="M21" s="4">
        <v>-1</v>
      </c>
      <c r="N21" s="4">
        <v>11</v>
      </c>
      <c r="O21" s="4">
        <v>4</v>
      </c>
      <c r="Q21">
        <v>11</v>
      </c>
      <c r="R21" t="s">
        <v>138</v>
      </c>
      <c r="S21">
        <v>26</v>
      </c>
      <c r="T21">
        <v>-11</v>
      </c>
      <c r="U21">
        <v>-10</v>
      </c>
      <c r="V21">
        <v>7</v>
      </c>
      <c r="W21">
        <v>-6</v>
      </c>
      <c r="X21">
        <v>9</v>
      </c>
      <c r="Y21">
        <v>-17</v>
      </c>
      <c r="Z21">
        <v>-3</v>
      </c>
      <c r="AA21">
        <v>4</v>
      </c>
      <c r="AB21">
        <v>1</v>
      </c>
      <c r="AC21">
        <v>7</v>
      </c>
      <c r="AD21">
        <v>4</v>
      </c>
      <c r="AF21">
        <v>11</v>
      </c>
      <c r="AG21" t="s">
        <v>138</v>
      </c>
      <c r="AH21">
        <f t="shared" si="15"/>
        <v>1</v>
      </c>
      <c r="AI21">
        <f t="shared" si="53"/>
        <v>0</v>
      </c>
      <c r="AJ21">
        <f t="shared" si="54"/>
        <v>0</v>
      </c>
      <c r="AK21">
        <f t="shared" si="55"/>
        <v>1</v>
      </c>
      <c r="AL21">
        <f t="shared" si="56"/>
        <v>0</v>
      </c>
      <c r="AM21">
        <f t="shared" si="57"/>
        <v>1</v>
      </c>
      <c r="AN21">
        <f t="shared" si="58"/>
        <v>0</v>
      </c>
      <c r="AO21">
        <f t="shared" si="59"/>
        <v>0</v>
      </c>
      <c r="AP21">
        <f t="shared" si="60"/>
        <v>1</v>
      </c>
      <c r="AQ21">
        <f t="shared" si="61"/>
        <v>1</v>
      </c>
      <c r="AR21">
        <f t="shared" si="62"/>
        <v>1</v>
      </c>
      <c r="AS21">
        <f t="shared" si="63"/>
        <v>1</v>
      </c>
      <c r="AX21">
        <v>11</v>
      </c>
      <c r="AY21" t="s">
        <v>138</v>
      </c>
      <c r="AZ21">
        <f t="shared" si="16"/>
        <v>5</v>
      </c>
      <c r="BA21">
        <f t="shared" si="34"/>
        <v>11</v>
      </c>
      <c r="BB21">
        <f t="shared" si="35"/>
        <v>2</v>
      </c>
      <c r="BC21">
        <f t="shared" si="36"/>
        <v>13</v>
      </c>
      <c r="BD21">
        <f t="shared" si="37"/>
        <v>14</v>
      </c>
      <c r="BE21">
        <f t="shared" si="38"/>
        <v>3</v>
      </c>
      <c r="BF21">
        <f t="shared" si="39"/>
        <v>1</v>
      </c>
      <c r="BG21">
        <f t="shared" si="40"/>
        <v>3</v>
      </c>
      <c r="BH21">
        <f t="shared" si="41"/>
        <v>2</v>
      </c>
      <c r="BI21">
        <f t="shared" si="42"/>
        <v>1</v>
      </c>
      <c r="BJ21">
        <f t="shared" si="43"/>
        <v>11</v>
      </c>
      <c r="BK21">
        <f t="shared" si="44"/>
        <v>4</v>
      </c>
      <c r="BM21">
        <f t="shared" si="45"/>
        <v>11</v>
      </c>
      <c r="BN21" t="s">
        <v>138</v>
      </c>
      <c r="BO21">
        <f t="shared" si="46"/>
        <v>26</v>
      </c>
      <c r="BP21">
        <f t="shared" si="47"/>
        <v>11</v>
      </c>
      <c r="BQ21">
        <f t="shared" si="48"/>
        <v>10</v>
      </c>
      <c r="BR21">
        <f t="shared" si="49"/>
        <v>7</v>
      </c>
      <c r="BS21">
        <f t="shared" si="50"/>
        <v>6</v>
      </c>
      <c r="BT21">
        <f t="shared" si="51"/>
        <v>9</v>
      </c>
      <c r="BU21">
        <f t="shared" si="52"/>
        <v>17</v>
      </c>
      <c r="BV21">
        <f t="shared" si="29"/>
        <v>3</v>
      </c>
      <c r="BW21">
        <f t="shared" si="30"/>
        <v>4</v>
      </c>
      <c r="BX21">
        <f t="shared" si="31"/>
        <v>1</v>
      </c>
      <c r="BY21">
        <f t="shared" si="32"/>
        <v>7</v>
      </c>
      <c r="BZ21">
        <f t="shared" si="33"/>
        <v>4</v>
      </c>
    </row>
    <row r="22" spans="2:95" x14ac:dyDescent="0.5">
      <c r="B22" s="4">
        <v>10</v>
      </c>
      <c r="C22" s="4" t="s">
        <v>137</v>
      </c>
      <c r="D22" s="4">
        <v>5</v>
      </c>
      <c r="E22" s="4">
        <v>7</v>
      </c>
      <c r="F22" s="4">
        <v>6</v>
      </c>
      <c r="G22" s="4">
        <v>3</v>
      </c>
      <c r="H22" s="4">
        <v>-2</v>
      </c>
      <c r="I22" s="4">
        <v>-1</v>
      </c>
      <c r="J22" s="4">
        <v>3</v>
      </c>
      <c r="K22" s="4">
        <v>3</v>
      </c>
      <c r="L22" s="4">
        <v>-2</v>
      </c>
      <c r="M22" s="4">
        <v>5</v>
      </c>
      <c r="N22" s="4">
        <v>11</v>
      </c>
      <c r="O22" s="4">
        <v>-8</v>
      </c>
      <c r="Q22">
        <v>10</v>
      </c>
      <c r="R22" t="s">
        <v>137</v>
      </c>
      <c r="S22">
        <v>32</v>
      </c>
      <c r="T22">
        <v>-23</v>
      </c>
      <c r="U22">
        <v>-18</v>
      </c>
      <c r="V22">
        <v>11</v>
      </c>
      <c r="W22">
        <v>-18</v>
      </c>
      <c r="X22">
        <v>-15</v>
      </c>
      <c r="Y22">
        <v>-15</v>
      </c>
      <c r="Z22">
        <v>-3</v>
      </c>
      <c r="AA22">
        <v>0</v>
      </c>
      <c r="AB22">
        <v>-3</v>
      </c>
      <c r="AC22">
        <v>-7</v>
      </c>
      <c r="AD22">
        <v>10</v>
      </c>
      <c r="AF22">
        <v>10</v>
      </c>
      <c r="AG22" t="s">
        <v>137</v>
      </c>
      <c r="AH22">
        <f t="shared" si="15"/>
        <v>1</v>
      </c>
      <c r="AI22">
        <f t="shared" si="53"/>
        <v>0</v>
      </c>
      <c r="AJ22">
        <f t="shared" si="54"/>
        <v>0</v>
      </c>
      <c r="AK22">
        <f t="shared" si="55"/>
        <v>1</v>
      </c>
      <c r="AL22">
        <f t="shared" si="56"/>
        <v>0</v>
      </c>
      <c r="AM22">
        <f t="shared" si="57"/>
        <v>0</v>
      </c>
      <c r="AN22">
        <f t="shared" si="58"/>
        <v>0</v>
      </c>
      <c r="AO22">
        <f t="shared" si="59"/>
        <v>0</v>
      </c>
      <c r="AP22">
        <f t="shared" si="60"/>
        <v>0</v>
      </c>
      <c r="AQ22">
        <f t="shared" si="61"/>
        <v>0</v>
      </c>
      <c r="AR22">
        <f t="shared" si="62"/>
        <v>0</v>
      </c>
      <c r="AS22">
        <f t="shared" si="63"/>
        <v>1</v>
      </c>
      <c r="AX22">
        <v>10</v>
      </c>
      <c r="AY22" t="s">
        <v>137</v>
      </c>
      <c r="AZ22">
        <f t="shared" si="16"/>
        <v>5</v>
      </c>
      <c r="BA22">
        <f t="shared" si="34"/>
        <v>7</v>
      </c>
      <c r="BB22">
        <f t="shared" si="35"/>
        <v>6</v>
      </c>
      <c r="BC22">
        <f t="shared" si="36"/>
        <v>3</v>
      </c>
      <c r="BD22">
        <f t="shared" si="37"/>
        <v>2</v>
      </c>
      <c r="BE22">
        <f t="shared" si="38"/>
        <v>1</v>
      </c>
      <c r="BF22">
        <f t="shared" si="39"/>
        <v>3</v>
      </c>
      <c r="BG22">
        <f t="shared" si="40"/>
        <v>3</v>
      </c>
      <c r="BH22">
        <f t="shared" si="41"/>
        <v>2</v>
      </c>
      <c r="BI22">
        <f t="shared" si="42"/>
        <v>5</v>
      </c>
      <c r="BJ22">
        <f t="shared" si="43"/>
        <v>11</v>
      </c>
      <c r="BK22">
        <f t="shared" si="44"/>
        <v>8</v>
      </c>
      <c r="BM22">
        <f t="shared" si="45"/>
        <v>10</v>
      </c>
      <c r="BN22" t="s">
        <v>137</v>
      </c>
      <c r="BO22">
        <f t="shared" si="46"/>
        <v>32</v>
      </c>
      <c r="BP22">
        <f t="shared" si="47"/>
        <v>23</v>
      </c>
      <c r="BQ22">
        <f t="shared" si="48"/>
        <v>18</v>
      </c>
      <c r="BR22">
        <f t="shared" si="49"/>
        <v>11</v>
      </c>
      <c r="BS22">
        <f t="shared" si="50"/>
        <v>18</v>
      </c>
      <c r="BT22">
        <f t="shared" si="51"/>
        <v>15</v>
      </c>
      <c r="BU22">
        <f t="shared" si="52"/>
        <v>15</v>
      </c>
      <c r="BV22">
        <f t="shared" si="29"/>
        <v>3</v>
      </c>
      <c r="BW22">
        <f t="shared" si="30"/>
        <v>0</v>
      </c>
      <c r="BX22">
        <f t="shared" si="31"/>
        <v>3</v>
      </c>
      <c r="BY22">
        <f t="shared" si="32"/>
        <v>7</v>
      </c>
      <c r="BZ22">
        <f t="shared" si="33"/>
        <v>10</v>
      </c>
    </row>
    <row r="23" spans="2:95" x14ac:dyDescent="0.5">
      <c r="B23" s="4">
        <v>10</v>
      </c>
      <c r="C23" s="4" t="s">
        <v>138</v>
      </c>
      <c r="D23" s="4">
        <v>-21</v>
      </c>
      <c r="E23" s="4">
        <v>-1</v>
      </c>
      <c r="F23" s="4">
        <v>-10</v>
      </c>
      <c r="G23" s="4">
        <v>5</v>
      </c>
      <c r="H23" s="4">
        <v>4</v>
      </c>
      <c r="I23" s="4">
        <v>5</v>
      </c>
      <c r="J23" s="4">
        <v>7</v>
      </c>
      <c r="K23" s="4">
        <v>-3</v>
      </c>
      <c r="L23" s="4">
        <v>-4</v>
      </c>
      <c r="M23" s="4">
        <v>-3</v>
      </c>
      <c r="N23" s="4">
        <v>1</v>
      </c>
      <c r="O23" s="4">
        <v>-10</v>
      </c>
      <c r="Q23">
        <v>10</v>
      </c>
      <c r="R23" t="s">
        <v>138</v>
      </c>
      <c r="S23">
        <v>45</v>
      </c>
      <c r="T23">
        <v>-1</v>
      </c>
      <c r="U23">
        <v>-18</v>
      </c>
      <c r="V23">
        <v>-7</v>
      </c>
      <c r="W23">
        <v>-2</v>
      </c>
      <c r="X23">
        <v>13</v>
      </c>
      <c r="Y23">
        <v>-19</v>
      </c>
      <c r="Z23">
        <v>-17</v>
      </c>
      <c r="AA23">
        <v>16</v>
      </c>
      <c r="AB23">
        <v>19</v>
      </c>
      <c r="AC23">
        <v>3</v>
      </c>
      <c r="AD23">
        <v>16</v>
      </c>
      <c r="AF23">
        <v>10</v>
      </c>
      <c r="AG23" t="s">
        <v>138</v>
      </c>
      <c r="AH23">
        <f t="shared" si="15"/>
        <v>1</v>
      </c>
      <c r="AI23">
        <f t="shared" si="53"/>
        <v>0</v>
      </c>
      <c r="AJ23">
        <f t="shared" si="54"/>
        <v>0</v>
      </c>
      <c r="AK23">
        <f t="shared" si="55"/>
        <v>0</v>
      </c>
      <c r="AL23">
        <f t="shared" si="56"/>
        <v>0</v>
      </c>
      <c r="AM23">
        <f t="shared" si="57"/>
        <v>1</v>
      </c>
      <c r="AN23">
        <f t="shared" si="58"/>
        <v>0</v>
      </c>
      <c r="AO23">
        <f t="shared" si="59"/>
        <v>0</v>
      </c>
      <c r="AP23">
        <f t="shared" si="60"/>
        <v>1</v>
      </c>
      <c r="AQ23">
        <f t="shared" si="61"/>
        <v>1</v>
      </c>
      <c r="AR23">
        <f t="shared" si="62"/>
        <v>1</v>
      </c>
      <c r="AS23">
        <f t="shared" si="63"/>
        <v>1</v>
      </c>
      <c r="AX23">
        <v>10</v>
      </c>
      <c r="AY23" t="s">
        <v>138</v>
      </c>
      <c r="AZ23">
        <f t="shared" si="16"/>
        <v>21</v>
      </c>
      <c r="BA23">
        <f t="shared" si="34"/>
        <v>1</v>
      </c>
      <c r="BB23">
        <f t="shared" si="35"/>
        <v>10</v>
      </c>
      <c r="BC23">
        <f t="shared" si="36"/>
        <v>5</v>
      </c>
      <c r="BD23">
        <f t="shared" si="37"/>
        <v>4</v>
      </c>
      <c r="BE23">
        <f t="shared" si="38"/>
        <v>5</v>
      </c>
      <c r="BF23">
        <f t="shared" si="39"/>
        <v>7</v>
      </c>
      <c r="BG23">
        <f t="shared" si="40"/>
        <v>3</v>
      </c>
      <c r="BH23">
        <f t="shared" si="41"/>
        <v>4</v>
      </c>
      <c r="BI23">
        <f t="shared" si="42"/>
        <v>3</v>
      </c>
      <c r="BJ23">
        <f t="shared" si="43"/>
        <v>1</v>
      </c>
      <c r="BK23">
        <f t="shared" si="44"/>
        <v>10</v>
      </c>
      <c r="BM23">
        <f t="shared" si="45"/>
        <v>10</v>
      </c>
      <c r="BN23" t="s">
        <v>138</v>
      </c>
      <c r="BO23">
        <f t="shared" si="46"/>
        <v>45</v>
      </c>
      <c r="BP23">
        <f t="shared" si="47"/>
        <v>1</v>
      </c>
      <c r="BQ23">
        <f t="shared" si="48"/>
        <v>18</v>
      </c>
      <c r="BR23">
        <f t="shared" si="49"/>
        <v>7</v>
      </c>
      <c r="BS23">
        <f t="shared" si="50"/>
        <v>2</v>
      </c>
      <c r="BT23">
        <f t="shared" si="51"/>
        <v>13</v>
      </c>
      <c r="BU23">
        <f t="shared" si="52"/>
        <v>19</v>
      </c>
      <c r="BV23">
        <f t="shared" si="29"/>
        <v>17</v>
      </c>
      <c r="BW23">
        <f t="shared" si="30"/>
        <v>16</v>
      </c>
      <c r="BX23">
        <f t="shared" si="31"/>
        <v>19</v>
      </c>
      <c r="BY23">
        <f t="shared" si="32"/>
        <v>3</v>
      </c>
      <c r="BZ23">
        <f t="shared" si="33"/>
        <v>16</v>
      </c>
    </row>
    <row r="24" spans="2:95" x14ac:dyDescent="0.5">
      <c r="B24" s="4">
        <v>9</v>
      </c>
      <c r="C24" s="4" t="s">
        <v>137</v>
      </c>
      <c r="D24" s="4">
        <v>-1</v>
      </c>
      <c r="E24" s="4">
        <v>-3</v>
      </c>
      <c r="F24" s="4">
        <v>-4</v>
      </c>
      <c r="G24" s="4">
        <v>-5</v>
      </c>
      <c r="H24" s="4">
        <v>0</v>
      </c>
      <c r="I24" s="4">
        <v>7</v>
      </c>
      <c r="J24" s="4">
        <v>-1</v>
      </c>
      <c r="K24" s="4">
        <v>9</v>
      </c>
      <c r="L24" s="4">
        <v>14</v>
      </c>
      <c r="M24" s="4">
        <v>-1</v>
      </c>
      <c r="N24" s="4">
        <v>-1</v>
      </c>
      <c r="O24" s="4">
        <v>12</v>
      </c>
      <c r="Q24">
        <v>9</v>
      </c>
      <c r="R24" t="s">
        <v>137</v>
      </c>
      <c r="S24">
        <v>37</v>
      </c>
      <c r="T24">
        <v>-21</v>
      </c>
      <c r="U24">
        <v>-10</v>
      </c>
      <c r="V24">
        <v>3</v>
      </c>
      <c r="W24">
        <v>-16</v>
      </c>
      <c r="X24">
        <v>15</v>
      </c>
      <c r="Y24">
        <v>-9</v>
      </c>
      <c r="Z24">
        <v>-19</v>
      </c>
      <c r="AA24">
        <v>0</v>
      </c>
      <c r="AB24">
        <v>11</v>
      </c>
      <c r="AC24">
        <v>-3</v>
      </c>
      <c r="AD24">
        <v>8</v>
      </c>
      <c r="AF24">
        <v>9</v>
      </c>
      <c r="AG24" t="s">
        <v>137</v>
      </c>
      <c r="AH24">
        <f t="shared" si="15"/>
        <v>1</v>
      </c>
      <c r="AI24">
        <f t="shared" si="53"/>
        <v>0</v>
      </c>
      <c r="AJ24">
        <f t="shared" si="54"/>
        <v>0</v>
      </c>
      <c r="AK24">
        <f t="shared" si="55"/>
        <v>1</v>
      </c>
      <c r="AL24">
        <f t="shared" si="56"/>
        <v>0</v>
      </c>
      <c r="AM24">
        <f t="shared" si="57"/>
        <v>1</v>
      </c>
      <c r="AN24">
        <f t="shared" si="58"/>
        <v>0</v>
      </c>
      <c r="AO24">
        <f t="shared" si="59"/>
        <v>0</v>
      </c>
      <c r="AP24">
        <f t="shared" si="60"/>
        <v>0</v>
      </c>
      <c r="AQ24">
        <f t="shared" si="61"/>
        <v>1</v>
      </c>
      <c r="AR24">
        <f t="shared" si="62"/>
        <v>0</v>
      </c>
      <c r="AS24">
        <f t="shared" si="63"/>
        <v>1</v>
      </c>
      <c r="AX24">
        <v>9</v>
      </c>
      <c r="AY24" t="s">
        <v>137</v>
      </c>
      <c r="AZ24">
        <f t="shared" si="16"/>
        <v>1</v>
      </c>
      <c r="BA24">
        <f t="shared" si="34"/>
        <v>3</v>
      </c>
      <c r="BB24">
        <f t="shared" si="35"/>
        <v>4</v>
      </c>
      <c r="BC24">
        <f t="shared" si="36"/>
        <v>5</v>
      </c>
      <c r="BD24">
        <f t="shared" si="37"/>
        <v>0</v>
      </c>
      <c r="BE24">
        <f t="shared" si="38"/>
        <v>7</v>
      </c>
      <c r="BF24">
        <f t="shared" si="39"/>
        <v>1</v>
      </c>
      <c r="BG24">
        <f t="shared" si="40"/>
        <v>9</v>
      </c>
      <c r="BH24">
        <f t="shared" si="41"/>
        <v>14</v>
      </c>
      <c r="BI24">
        <f t="shared" si="42"/>
        <v>1</v>
      </c>
      <c r="BJ24">
        <f t="shared" si="43"/>
        <v>1</v>
      </c>
      <c r="BK24">
        <f t="shared" si="44"/>
        <v>12</v>
      </c>
      <c r="BM24">
        <f t="shared" si="45"/>
        <v>9</v>
      </c>
      <c r="BN24" t="s">
        <v>137</v>
      </c>
      <c r="BO24">
        <f t="shared" si="46"/>
        <v>37</v>
      </c>
      <c r="BP24">
        <f t="shared" si="47"/>
        <v>21</v>
      </c>
      <c r="BQ24">
        <f t="shared" si="48"/>
        <v>10</v>
      </c>
      <c r="BR24">
        <f t="shared" si="49"/>
        <v>3</v>
      </c>
      <c r="BS24">
        <f t="shared" si="50"/>
        <v>16</v>
      </c>
      <c r="BT24">
        <f t="shared" si="51"/>
        <v>15</v>
      </c>
      <c r="BU24">
        <f t="shared" si="52"/>
        <v>9</v>
      </c>
      <c r="BV24">
        <f t="shared" si="29"/>
        <v>19</v>
      </c>
      <c r="BW24">
        <f t="shared" si="30"/>
        <v>0</v>
      </c>
      <c r="BX24">
        <f t="shared" si="31"/>
        <v>11</v>
      </c>
      <c r="BY24">
        <f t="shared" si="32"/>
        <v>3</v>
      </c>
      <c r="BZ24">
        <f t="shared" si="33"/>
        <v>8</v>
      </c>
    </row>
    <row r="25" spans="2:95" x14ac:dyDescent="0.5">
      <c r="B25" s="4">
        <v>9</v>
      </c>
      <c r="C25" s="4" t="s">
        <v>138</v>
      </c>
      <c r="D25" s="4">
        <v>15</v>
      </c>
      <c r="E25" s="4">
        <v>3</v>
      </c>
      <c r="F25" s="4">
        <v>8</v>
      </c>
      <c r="G25" s="4">
        <v>-7</v>
      </c>
      <c r="H25" s="4">
        <v>-10</v>
      </c>
      <c r="I25" s="4">
        <v>-3</v>
      </c>
      <c r="J25" s="4">
        <v>-11</v>
      </c>
      <c r="K25" s="4">
        <v>-11</v>
      </c>
      <c r="L25" s="4">
        <v>4</v>
      </c>
      <c r="M25" s="4">
        <v>-9</v>
      </c>
      <c r="N25" s="4">
        <v>-13</v>
      </c>
      <c r="O25" s="4">
        <v>8</v>
      </c>
      <c r="Q25">
        <v>9</v>
      </c>
      <c r="R25" t="s">
        <v>138</v>
      </c>
      <c r="S25">
        <v>38</v>
      </c>
      <c r="T25">
        <v>-7</v>
      </c>
      <c r="U25">
        <v>-18</v>
      </c>
      <c r="V25">
        <v>-7</v>
      </c>
      <c r="W25">
        <v>-10</v>
      </c>
      <c r="X25">
        <v>-5</v>
      </c>
      <c r="Y25">
        <v>-11</v>
      </c>
      <c r="Z25">
        <v>-7</v>
      </c>
      <c r="AA25">
        <v>6</v>
      </c>
      <c r="AB25">
        <v>13</v>
      </c>
      <c r="AC25">
        <v>-5</v>
      </c>
      <c r="AD25">
        <v>16</v>
      </c>
      <c r="AF25">
        <v>9</v>
      </c>
      <c r="AG25" t="s">
        <v>138</v>
      </c>
      <c r="AH25">
        <f t="shared" si="15"/>
        <v>1</v>
      </c>
      <c r="AI25">
        <f t="shared" si="53"/>
        <v>0</v>
      </c>
      <c r="AJ25">
        <f t="shared" si="54"/>
        <v>0</v>
      </c>
      <c r="AK25">
        <f t="shared" si="55"/>
        <v>0</v>
      </c>
      <c r="AL25">
        <f t="shared" si="56"/>
        <v>0</v>
      </c>
      <c r="AM25">
        <f t="shared" si="57"/>
        <v>0</v>
      </c>
      <c r="AN25">
        <f t="shared" si="58"/>
        <v>0</v>
      </c>
      <c r="AO25">
        <f t="shared" si="59"/>
        <v>0</v>
      </c>
      <c r="AP25">
        <f t="shared" si="60"/>
        <v>1</v>
      </c>
      <c r="AQ25">
        <f t="shared" si="61"/>
        <v>1</v>
      </c>
      <c r="AR25">
        <f t="shared" si="62"/>
        <v>0</v>
      </c>
      <c r="AS25">
        <f t="shared" si="63"/>
        <v>1</v>
      </c>
      <c r="AX25">
        <v>9</v>
      </c>
      <c r="AY25" t="s">
        <v>138</v>
      </c>
      <c r="AZ25">
        <f t="shared" si="16"/>
        <v>15</v>
      </c>
      <c r="BA25">
        <f t="shared" si="34"/>
        <v>3</v>
      </c>
      <c r="BB25">
        <f t="shared" si="35"/>
        <v>8</v>
      </c>
      <c r="BC25">
        <f t="shared" si="36"/>
        <v>7</v>
      </c>
      <c r="BD25">
        <f t="shared" si="37"/>
        <v>10</v>
      </c>
      <c r="BE25">
        <f t="shared" si="38"/>
        <v>3</v>
      </c>
      <c r="BF25">
        <f t="shared" si="39"/>
        <v>11</v>
      </c>
      <c r="BG25">
        <f t="shared" si="40"/>
        <v>11</v>
      </c>
      <c r="BH25">
        <f t="shared" si="41"/>
        <v>4</v>
      </c>
      <c r="BI25">
        <f t="shared" si="42"/>
        <v>9</v>
      </c>
      <c r="BJ25">
        <f t="shared" si="43"/>
        <v>13</v>
      </c>
      <c r="BK25">
        <f t="shared" si="44"/>
        <v>8</v>
      </c>
      <c r="BM25">
        <f t="shared" si="45"/>
        <v>9</v>
      </c>
      <c r="BN25" t="s">
        <v>138</v>
      </c>
      <c r="BO25">
        <f t="shared" si="46"/>
        <v>38</v>
      </c>
      <c r="BP25">
        <f t="shared" si="47"/>
        <v>7</v>
      </c>
      <c r="BQ25">
        <f t="shared" si="48"/>
        <v>18</v>
      </c>
      <c r="BR25">
        <f t="shared" si="49"/>
        <v>7</v>
      </c>
      <c r="BS25">
        <f t="shared" si="50"/>
        <v>10</v>
      </c>
      <c r="BT25">
        <f t="shared" si="51"/>
        <v>5</v>
      </c>
      <c r="BU25">
        <f t="shared" si="52"/>
        <v>11</v>
      </c>
      <c r="BV25">
        <f t="shared" si="29"/>
        <v>7</v>
      </c>
      <c r="BW25">
        <f t="shared" si="30"/>
        <v>6</v>
      </c>
      <c r="BX25">
        <f t="shared" si="31"/>
        <v>13</v>
      </c>
      <c r="BY25">
        <f t="shared" si="32"/>
        <v>5</v>
      </c>
      <c r="BZ25">
        <f t="shared" si="33"/>
        <v>16</v>
      </c>
    </row>
    <row r="26" spans="2:95" x14ac:dyDescent="0.5">
      <c r="B26" s="4">
        <v>8</v>
      </c>
      <c r="C26" s="4" t="s">
        <v>137</v>
      </c>
      <c r="D26" s="4">
        <v>3</v>
      </c>
      <c r="E26" s="4">
        <v>15</v>
      </c>
      <c r="F26" s="4">
        <v>-20</v>
      </c>
      <c r="G26" s="4">
        <v>9</v>
      </c>
      <c r="H26" s="4">
        <v>6</v>
      </c>
      <c r="I26" s="4">
        <v>-15</v>
      </c>
      <c r="J26" s="4">
        <v>1</v>
      </c>
      <c r="K26" s="4">
        <v>-13</v>
      </c>
      <c r="L26" s="4">
        <v>-4</v>
      </c>
      <c r="M26" s="4">
        <v>11</v>
      </c>
      <c r="N26" s="4">
        <v>11</v>
      </c>
      <c r="O26" s="4">
        <v>-2</v>
      </c>
      <c r="Q26">
        <v>8</v>
      </c>
      <c r="R26" t="s">
        <v>137</v>
      </c>
      <c r="S26">
        <v>27</v>
      </c>
      <c r="T26">
        <v>-31</v>
      </c>
      <c r="U26">
        <v>-12</v>
      </c>
      <c r="V26">
        <v>-11</v>
      </c>
      <c r="W26">
        <v>4</v>
      </c>
      <c r="X26">
        <v>-5</v>
      </c>
      <c r="Y26">
        <v>-13</v>
      </c>
      <c r="Z26">
        <v>-15</v>
      </c>
      <c r="AA26">
        <v>-6</v>
      </c>
      <c r="AB26">
        <v>15</v>
      </c>
      <c r="AC26">
        <v>-9</v>
      </c>
      <c r="AD26">
        <v>14</v>
      </c>
      <c r="AF26">
        <v>8</v>
      </c>
      <c r="AG26" t="s">
        <v>137</v>
      </c>
      <c r="AH26">
        <f t="shared" si="15"/>
        <v>1</v>
      </c>
      <c r="AI26">
        <f t="shared" si="53"/>
        <v>0</v>
      </c>
      <c r="AJ26">
        <f t="shared" si="54"/>
        <v>0</v>
      </c>
      <c r="AK26">
        <f t="shared" si="55"/>
        <v>0</v>
      </c>
      <c r="AL26">
        <f t="shared" si="56"/>
        <v>1</v>
      </c>
      <c r="AM26">
        <f t="shared" si="57"/>
        <v>0</v>
      </c>
      <c r="AN26">
        <f t="shared" si="58"/>
        <v>0</v>
      </c>
      <c r="AO26">
        <f t="shared" si="59"/>
        <v>0</v>
      </c>
      <c r="AP26">
        <f t="shared" si="60"/>
        <v>0</v>
      </c>
      <c r="AQ26">
        <f t="shared" si="61"/>
        <v>1</v>
      </c>
      <c r="AR26">
        <f t="shared" si="62"/>
        <v>0</v>
      </c>
      <c r="AS26">
        <f t="shared" si="63"/>
        <v>1</v>
      </c>
      <c r="AX26">
        <v>8</v>
      </c>
      <c r="AY26" t="s">
        <v>137</v>
      </c>
      <c r="AZ26">
        <f t="shared" si="16"/>
        <v>3</v>
      </c>
      <c r="BA26">
        <f t="shared" si="34"/>
        <v>15</v>
      </c>
      <c r="BB26">
        <f t="shared" si="35"/>
        <v>20</v>
      </c>
      <c r="BC26">
        <f t="shared" si="36"/>
        <v>9</v>
      </c>
      <c r="BD26">
        <f t="shared" si="37"/>
        <v>6</v>
      </c>
      <c r="BE26">
        <f t="shared" si="38"/>
        <v>15</v>
      </c>
      <c r="BF26">
        <f t="shared" si="39"/>
        <v>1</v>
      </c>
      <c r="BG26">
        <f t="shared" si="40"/>
        <v>13</v>
      </c>
      <c r="BH26">
        <f t="shared" si="41"/>
        <v>4</v>
      </c>
      <c r="BI26">
        <f t="shared" si="42"/>
        <v>11</v>
      </c>
      <c r="BJ26">
        <f t="shared" si="43"/>
        <v>11</v>
      </c>
      <c r="BK26">
        <f t="shared" si="44"/>
        <v>2</v>
      </c>
      <c r="BM26">
        <f t="shared" si="45"/>
        <v>8</v>
      </c>
      <c r="BN26" t="s">
        <v>137</v>
      </c>
      <c r="BO26">
        <f t="shared" si="46"/>
        <v>27</v>
      </c>
      <c r="BP26">
        <f t="shared" si="47"/>
        <v>31</v>
      </c>
      <c r="BQ26">
        <f t="shared" si="48"/>
        <v>12</v>
      </c>
      <c r="BR26">
        <f t="shared" si="49"/>
        <v>11</v>
      </c>
      <c r="BS26">
        <f t="shared" si="50"/>
        <v>4</v>
      </c>
      <c r="BT26">
        <f t="shared" si="51"/>
        <v>5</v>
      </c>
      <c r="BU26">
        <f t="shared" si="52"/>
        <v>13</v>
      </c>
      <c r="BV26">
        <f t="shared" si="29"/>
        <v>15</v>
      </c>
      <c r="BW26">
        <f t="shared" si="30"/>
        <v>6</v>
      </c>
      <c r="BX26">
        <f t="shared" si="31"/>
        <v>15</v>
      </c>
      <c r="BY26">
        <f t="shared" si="32"/>
        <v>9</v>
      </c>
      <c r="BZ26">
        <f t="shared" si="33"/>
        <v>14</v>
      </c>
    </row>
    <row r="27" spans="2:95" x14ac:dyDescent="0.5">
      <c r="B27" s="4">
        <v>8</v>
      </c>
      <c r="C27" s="4" t="s">
        <v>138</v>
      </c>
      <c r="D27" s="4">
        <v>-5</v>
      </c>
      <c r="E27" s="4">
        <v>3</v>
      </c>
      <c r="F27" s="4">
        <v>2</v>
      </c>
      <c r="G27" s="4">
        <v>1</v>
      </c>
      <c r="H27" s="4">
        <v>-4</v>
      </c>
      <c r="I27" s="4">
        <v>5</v>
      </c>
      <c r="J27" s="4">
        <v>-1</v>
      </c>
      <c r="K27" s="4">
        <v>-3</v>
      </c>
      <c r="L27" s="4">
        <v>2</v>
      </c>
      <c r="M27" s="4">
        <v>-1</v>
      </c>
      <c r="N27" s="4">
        <v>9</v>
      </c>
      <c r="O27" s="4">
        <v>-10</v>
      </c>
      <c r="Q27">
        <v>8</v>
      </c>
      <c r="R27" t="s">
        <v>138</v>
      </c>
      <c r="S27">
        <v>39</v>
      </c>
      <c r="T27">
        <v>-3</v>
      </c>
      <c r="U27">
        <v>-2</v>
      </c>
      <c r="V27">
        <v>-1</v>
      </c>
      <c r="W27">
        <v>-8</v>
      </c>
      <c r="X27">
        <v>3</v>
      </c>
      <c r="Y27">
        <v>-7</v>
      </c>
      <c r="Z27">
        <v>3</v>
      </c>
      <c r="AA27">
        <v>-14</v>
      </c>
      <c r="AB27">
        <v>31</v>
      </c>
      <c r="AC27">
        <v>1</v>
      </c>
      <c r="AD27">
        <v>0</v>
      </c>
      <c r="AF27">
        <v>8</v>
      </c>
      <c r="AG27" t="s">
        <v>138</v>
      </c>
      <c r="AH27">
        <f t="shared" si="15"/>
        <v>1</v>
      </c>
      <c r="AI27">
        <f t="shared" si="53"/>
        <v>0</v>
      </c>
      <c r="AJ27">
        <f t="shared" si="54"/>
        <v>0</v>
      </c>
      <c r="AK27">
        <f t="shared" si="55"/>
        <v>0</v>
      </c>
      <c r="AL27">
        <f t="shared" si="56"/>
        <v>0</v>
      </c>
      <c r="AM27">
        <f t="shared" si="57"/>
        <v>1</v>
      </c>
      <c r="AN27">
        <f t="shared" si="58"/>
        <v>0</v>
      </c>
      <c r="AO27">
        <f t="shared" si="59"/>
        <v>1</v>
      </c>
      <c r="AP27">
        <f t="shared" si="60"/>
        <v>0</v>
      </c>
      <c r="AQ27">
        <f t="shared" si="61"/>
        <v>1</v>
      </c>
      <c r="AR27">
        <f t="shared" si="62"/>
        <v>1</v>
      </c>
      <c r="AS27">
        <f t="shared" si="63"/>
        <v>0</v>
      </c>
      <c r="AX27">
        <v>8</v>
      </c>
      <c r="AY27" t="s">
        <v>138</v>
      </c>
      <c r="AZ27">
        <f t="shared" si="16"/>
        <v>5</v>
      </c>
      <c r="BA27">
        <f t="shared" si="34"/>
        <v>3</v>
      </c>
      <c r="BB27">
        <f t="shared" si="35"/>
        <v>2</v>
      </c>
      <c r="BC27">
        <f t="shared" si="36"/>
        <v>1</v>
      </c>
      <c r="BD27">
        <f t="shared" si="37"/>
        <v>4</v>
      </c>
      <c r="BE27">
        <f t="shared" si="38"/>
        <v>5</v>
      </c>
      <c r="BF27">
        <f t="shared" si="39"/>
        <v>1</v>
      </c>
      <c r="BG27">
        <f t="shared" si="40"/>
        <v>3</v>
      </c>
      <c r="BH27">
        <f t="shared" si="41"/>
        <v>2</v>
      </c>
      <c r="BI27">
        <f t="shared" si="42"/>
        <v>1</v>
      </c>
      <c r="BJ27">
        <f t="shared" si="43"/>
        <v>9</v>
      </c>
      <c r="BK27">
        <f t="shared" si="44"/>
        <v>10</v>
      </c>
      <c r="BM27">
        <f t="shared" si="45"/>
        <v>8</v>
      </c>
      <c r="BN27" t="s">
        <v>138</v>
      </c>
      <c r="BO27">
        <f t="shared" si="46"/>
        <v>39</v>
      </c>
      <c r="BP27">
        <f t="shared" si="47"/>
        <v>3</v>
      </c>
      <c r="BQ27">
        <f t="shared" si="48"/>
        <v>2</v>
      </c>
      <c r="BR27">
        <f t="shared" si="49"/>
        <v>1</v>
      </c>
      <c r="BS27">
        <f t="shared" si="50"/>
        <v>8</v>
      </c>
      <c r="BT27">
        <f t="shared" si="51"/>
        <v>3</v>
      </c>
      <c r="BU27">
        <f t="shared" si="52"/>
        <v>7</v>
      </c>
      <c r="BV27">
        <f t="shared" si="29"/>
        <v>3</v>
      </c>
      <c r="BW27">
        <f t="shared" si="30"/>
        <v>14</v>
      </c>
      <c r="BX27">
        <f t="shared" si="31"/>
        <v>31</v>
      </c>
      <c r="BY27">
        <f t="shared" si="32"/>
        <v>1</v>
      </c>
      <c r="BZ27">
        <f t="shared" si="33"/>
        <v>0</v>
      </c>
    </row>
    <row r="28" spans="2:95" x14ac:dyDescent="0.5">
      <c r="B28" s="4">
        <v>7</v>
      </c>
      <c r="C28" s="4" t="s">
        <v>137</v>
      </c>
      <c r="D28" s="4">
        <v>-7</v>
      </c>
      <c r="E28" s="4">
        <v>5</v>
      </c>
      <c r="F28" s="4">
        <v>22</v>
      </c>
      <c r="G28" s="4">
        <v>9</v>
      </c>
      <c r="H28" s="4">
        <v>4</v>
      </c>
      <c r="I28" s="4">
        <v>-11</v>
      </c>
      <c r="J28" s="4">
        <v>-7</v>
      </c>
      <c r="K28" s="4">
        <v>5</v>
      </c>
      <c r="L28" s="4">
        <v>14</v>
      </c>
      <c r="M28" s="4">
        <v>-15</v>
      </c>
      <c r="N28" s="4">
        <v>-9</v>
      </c>
      <c r="O28" s="4">
        <v>6</v>
      </c>
      <c r="Q28">
        <v>7</v>
      </c>
      <c r="R28" t="s">
        <v>137</v>
      </c>
      <c r="S28">
        <v>42</v>
      </c>
      <c r="T28">
        <v>-29</v>
      </c>
      <c r="U28">
        <v>6</v>
      </c>
      <c r="V28">
        <v>11</v>
      </c>
      <c r="W28">
        <v>-22</v>
      </c>
      <c r="X28">
        <v>-13</v>
      </c>
      <c r="Y28">
        <v>-13</v>
      </c>
      <c r="Z28">
        <v>-1</v>
      </c>
      <c r="AA28">
        <v>-10</v>
      </c>
      <c r="AB28">
        <v>13</v>
      </c>
      <c r="AC28">
        <v>9</v>
      </c>
      <c r="AD28">
        <v>12</v>
      </c>
      <c r="AF28">
        <v>7</v>
      </c>
      <c r="AG28" t="s">
        <v>137</v>
      </c>
      <c r="AH28">
        <f t="shared" si="15"/>
        <v>1</v>
      </c>
      <c r="AI28">
        <f t="shared" si="53"/>
        <v>0</v>
      </c>
      <c r="AJ28">
        <f t="shared" si="54"/>
        <v>1</v>
      </c>
      <c r="AK28">
        <f t="shared" si="55"/>
        <v>1</v>
      </c>
      <c r="AL28">
        <f t="shared" si="56"/>
        <v>0</v>
      </c>
      <c r="AM28">
        <f t="shared" si="57"/>
        <v>0</v>
      </c>
      <c r="AN28">
        <f t="shared" si="58"/>
        <v>0</v>
      </c>
      <c r="AO28">
        <f t="shared" si="59"/>
        <v>0</v>
      </c>
      <c r="AP28">
        <f t="shared" si="60"/>
        <v>0</v>
      </c>
      <c r="AQ28">
        <f t="shared" si="61"/>
        <v>1</v>
      </c>
      <c r="AR28">
        <f t="shared" si="62"/>
        <v>1</v>
      </c>
      <c r="AS28">
        <f t="shared" si="63"/>
        <v>1</v>
      </c>
      <c r="AX28">
        <v>7</v>
      </c>
      <c r="AY28" t="s">
        <v>137</v>
      </c>
      <c r="AZ28">
        <f t="shared" si="16"/>
        <v>7</v>
      </c>
      <c r="BA28">
        <f t="shared" si="34"/>
        <v>5</v>
      </c>
      <c r="BB28">
        <f t="shared" si="35"/>
        <v>22</v>
      </c>
      <c r="BC28">
        <f t="shared" si="36"/>
        <v>9</v>
      </c>
      <c r="BD28">
        <f t="shared" si="37"/>
        <v>4</v>
      </c>
      <c r="BE28">
        <f t="shared" si="38"/>
        <v>11</v>
      </c>
      <c r="BF28">
        <f t="shared" si="39"/>
        <v>7</v>
      </c>
      <c r="BG28">
        <f t="shared" si="40"/>
        <v>5</v>
      </c>
      <c r="BH28">
        <f t="shared" si="41"/>
        <v>14</v>
      </c>
      <c r="BI28">
        <f t="shared" si="42"/>
        <v>15</v>
      </c>
      <c r="BJ28">
        <f t="shared" si="43"/>
        <v>9</v>
      </c>
      <c r="BK28">
        <f t="shared" si="44"/>
        <v>6</v>
      </c>
      <c r="BM28">
        <f t="shared" si="45"/>
        <v>7</v>
      </c>
      <c r="BN28" t="s">
        <v>137</v>
      </c>
      <c r="BO28">
        <f t="shared" si="46"/>
        <v>42</v>
      </c>
      <c r="BP28">
        <f t="shared" si="47"/>
        <v>29</v>
      </c>
      <c r="BQ28">
        <f t="shared" si="48"/>
        <v>6</v>
      </c>
      <c r="BR28">
        <f t="shared" si="49"/>
        <v>11</v>
      </c>
      <c r="BS28">
        <f t="shared" si="50"/>
        <v>22</v>
      </c>
      <c r="BT28">
        <f t="shared" si="51"/>
        <v>13</v>
      </c>
      <c r="BU28">
        <f t="shared" si="52"/>
        <v>13</v>
      </c>
      <c r="BV28">
        <f t="shared" si="29"/>
        <v>1</v>
      </c>
      <c r="BW28">
        <f t="shared" si="30"/>
        <v>10</v>
      </c>
      <c r="BX28">
        <f t="shared" si="31"/>
        <v>13</v>
      </c>
      <c r="BY28">
        <f t="shared" si="32"/>
        <v>9</v>
      </c>
      <c r="BZ28">
        <f t="shared" si="33"/>
        <v>12</v>
      </c>
    </row>
    <row r="29" spans="2:95" x14ac:dyDescent="0.5">
      <c r="B29" s="4">
        <v>7</v>
      </c>
      <c r="C29" s="4" t="s">
        <v>138</v>
      </c>
      <c r="D29" s="4">
        <v>3</v>
      </c>
      <c r="E29" s="4">
        <v>-3</v>
      </c>
      <c r="F29" s="4">
        <v>-16</v>
      </c>
      <c r="G29" s="4">
        <v>1</v>
      </c>
      <c r="H29" s="4">
        <v>-8</v>
      </c>
      <c r="I29" s="4">
        <v>1</v>
      </c>
      <c r="J29" s="4">
        <v>-3</v>
      </c>
      <c r="K29" s="4">
        <v>7</v>
      </c>
      <c r="L29" s="4">
        <v>0</v>
      </c>
      <c r="M29" s="4">
        <v>-15</v>
      </c>
      <c r="N29" s="4">
        <v>7</v>
      </c>
      <c r="O29" s="4">
        <v>10</v>
      </c>
      <c r="Q29">
        <v>7</v>
      </c>
      <c r="R29" t="s">
        <v>138</v>
      </c>
      <c r="S29">
        <v>41</v>
      </c>
      <c r="T29">
        <v>-23</v>
      </c>
      <c r="U29">
        <v>-10</v>
      </c>
      <c r="V29">
        <v>-1</v>
      </c>
      <c r="W29">
        <v>-8</v>
      </c>
      <c r="X29">
        <v>7</v>
      </c>
      <c r="Y29">
        <v>-25</v>
      </c>
      <c r="Z29">
        <v>9</v>
      </c>
      <c r="AA29">
        <v>-10</v>
      </c>
      <c r="AB29">
        <v>1</v>
      </c>
      <c r="AC29">
        <v>-1</v>
      </c>
      <c r="AD29">
        <v>14</v>
      </c>
      <c r="AF29">
        <v>7</v>
      </c>
      <c r="AG29" t="s">
        <v>138</v>
      </c>
      <c r="AH29">
        <f t="shared" si="15"/>
        <v>1</v>
      </c>
      <c r="AI29">
        <f t="shared" si="53"/>
        <v>0</v>
      </c>
      <c r="AJ29">
        <f t="shared" si="54"/>
        <v>0</v>
      </c>
      <c r="AK29">
        <f t="shared" si="55"/>
        <v>0</v>
      </c>
      <c r="AL29">
        <f t="shared" si="56"/>
        <v>0</v>
      </c>
      <c r="AM29">
        <f t="shared" si="57"/>
        <v>1</v>
      </c>
      <c r="AN29">
        <f t="shared" si="58"/>
        <v>0</v>
      </c>
      <c r="AO29">
        <f t="shared" si="59"/>
        <v>1</v>
      </c>
      <c r="AP29">
        <f t="shared" si="60"/>
        <v>0</v>
      </c>
      <c r="AQ29">
        <f t="shared" si="61"/>
        <v>1</v>
      </c>
      <c r="AR29">
        <f t="shared" si="62"/>
        <v>0</v>
      </c>
      <c r="AS29">
        <f t="shared" si="63"/>
        <v>1</v>
      </c>
      <c r="AX29">
        <v>7</v>
      </c>
      <c r="AY29" t="s">
        <v>138</v>
      </c>
      <c r="AZ29">
        <f t="shared" si="16"/>
        <v>3</v>
      </c>
      <c r="BA29">
        <f t="shared" si="34"/>
        <v>3</v>
      </c>
      <c r="BB29">
        <f t="shared" si="35"/>
        <v>16</v>
      </c>
      <c r="BC29">
        <f t="shared" si="36"/>
        <v>1</v>
      </c>
      <c r="BD29">
        <f t="shared" si="37"/>
        <v>8</v>
      </c>
      <c r="BE29">
        <f t="shared" si="38"/>
        <v>1</v>
      </c>
      <c r="BF29">
        <f t="shared" si="39"/>
        <v>3</v>
      </c>
      <c r="BG29">
        <f t="shared" si="40"/>
        <v>7</v>
      </c>
      <c r="BH29">
        <f t="shared" si="41"/>
        <v>0</v>
      </c>
      <c r="BI29">
        <f t="shared" si="42"/>
        <v>15</v>
      </c>
      <c r="BJ29">
        <f t="shared" si="43"/>
        <v>7</v>
      </c>
      <c r="BK29">
        <f t="shared" si="44"/>
        <v>10</v>
      </c>
      <c r="BM29">
        <f t="shared" si="45"/>
        <v>7</v>
      </c>
      <c r="BN29" t="s">
        <v>138</v>
      </c>
      <c r="BO29">
        <f t="shared" si="46"/>
        <v>41</v>
      </c>
      <c r="BP29">
        <f t="shared" si="47"/>
        <v>23</v>
      </c>
      <c r="BQ29">
        <f t="shared" si="48"/>
        <v>10</v>
      </c>
      <c r="BR29">
        <f t="shared" si="49"/>
        <v>1</v>
      </c>
      <c r="BS29">
        <f t="shared" si="50"/>
        <v>8</v>
      </c>
      <c r="BT29">
        <f t="shared" si="51"/>
        <v>7</v>
      </c>
      <c r="BU29">
        <f t="shared" si="52"/>
        <v>25</v>
      </c>
      <c r="BV29">
        <f t="shared" si="29"/>
        <v>9</v>
      </c>
      <c r="BW29">
        <f t="shared" si="30"/>
        <v>10</v>
      </c>
      <c r="BX29">
        <f t="shared" si="31"/>
        <v>1</v>
      </c>
      <c r="BY29">
        <f t="shared" si="32"/>
        <v>1</v>
      </c>
      <c r="BZ29">
        <f t="shared" si="33"/>
        <v>14</v>
      </c>
    </row>
    <row r="30" spans="2:95" x14ac:dyDescent="0.5">
      <c r="B30" s="4">
        <v>6</v>
      </c>
      <c r="C30" s="4" t="s">
        <v>137</v>
      </c>
      <c r="D30" s="4">
        <v>-9</v>
      </c>
      <c r="E30" s="4">
        <v>-9</v>
      </c>
      <c r="F30" s="4">
        <v>-2</v>
      </c>
      <c r="G30" s="4">
        <v>5</v>
      </c>
      <c r="H30" s="4">
        <v>2</v>
      </c>
      <c r="I30" s="4">
        <v>-7</v>
      </c>
      <c r="J30" s="4">
        <v>9</v>
      </c>
      <c r="K30" s="4">
        <v>19</v>
      </c>
      <c r="L30" s="4">
        <v>-2</v>
      </c>
      <c r="M30" s="4">
        <v>-11</v>
      </c>
      <c r="N30" s="4">
        <v>-3</v>
      </c>
      <c r="O30" s="4">
        <v>-2</v>
      </c>
      <c r="Q30">
        <v>6</v>
      </c>
      <c r="R30" t="s">
        <v>137</v>
      </c>
      <c r="S30">
        <v>35</v>
      </c>
      <c r="T30">
        <v>-19</v>
      </c>
      <c r="U30">
        <v>2</v>
      </c>
      <c r="V30">
        <v>-17</v>
      </c>
      <c r="W30">
        <v>-14</v>
      </c>
      <c r="X30">
        <v>17</v>
      </c>
      <c r="Y30">
        <v>-27</v>
      </c>
      <c r="Z30">
        <v>5</v>
      </c>
      <c r="AA30">
        <v>-2</v>
      </c>
      <c r="AB30">
        <v>21</v>
      </c>
      <c r="AC30">
        <v>-11</v>
      </c>
      <c r="AD30">
        <v>6</v>
      </c>
      <c r="AF30">
        <v>6</v>
      </c>
      <c r="AG30" t="s">
        <v>137</v>
      </c>
      <c r="AH30">
        <f t="shared" si="15"/>
        <v>1</v>
      </c>
      <c r="AI30">
        <f t="shared" si="53"/>
        <v>0</v>
      </c>
      <c r="AJ30">
        <f t="shared" si="54"/>
        <v>1</v>
      </c>
      <c r="AK30">
        <f t="shared" si="55"/>
        <v>0</v>
      </c>
      <c r="AL30">
        <f t="shared" si="56"/>
        <v>0</v>
      </c>
      <c r="AM30">
        <f t="shared" si="57"/>
        <v>1</v>
      </c>
      <c r="AN30">
        <f t="shared" si="58"/>
        <v>0</v>
      </c>
      <c r="AO30">
        <f t="shared" si="59"/>
        <v>1</v>
      </c>
      <c r="AP30">
        <f t="shared" si="60"/>
        <v>0</v>
      </c>
      <c r="AQ30">
        <f t="shared" si="61"/>
        <v>1</v>
      </c>
      <c r="AR30">
        <f t="shared" si="62"/>
        <v>0</v>
      </c>
      <c r="AS30">
        <f t="shared" si="63"/>
        <v>1</v>
      </c>
      <c r="AX30">
        <v>6</v>
      </c>
      <c r="AY30" t="s">
        <v>137</v>
      </c>
      <c r="AZ30">
        <f t="shared" si="16"/>
        <v>9</v>
      </c>
      <c r="BA30">
        <f t="shared" si="34"/>
        <v>9</v>
      </c>
      <c r="BB30">
        <f t="shared" si="35"/>
        <v>2</v>
      </c>
      <c r="BC30">
        <f t="shared" si="36"/>
        <v>5</v>
      </c>
      <c r="BD30">
        <f t="shared" si="37"/>
        <v>2</v>
      </c>
      <c r="BE30">
        <f t="shared" si="38"/>
        <v>7</v>
      </c>
      <c r="BF30">
        <f t="shared" si="39"/>
        <v>9</v>
      </c>
      <c r="BG30">
        <f t="shared" si="40"/>
        <v>19</v>
      </c>
      <c r="BH30">
        <f t="shared" si="41"/>
        <v>2</v>
      </c>
      <c r="BI30">
        <f t="shared" si="42"/>
        <v>11</v>
      </c>
      <c r="BJ30">
        <f t="shared" si="43"/>
        <v>3</v>
      </c>
      <c r="BK30">
        <f t="shared" si="44"/>
        <v>2</v>
      </c>
      <c r="BM30">
        <f t="shared" si="45"/>
        <v>6</v>
      </c>
      <c r="BN30" t="s">
        <v>137</v>
      </c>
      <c r="BO30">
        <f t="shared" si="46"/>
        <v>35</v>
      </c>
      <c r="BP30">
        <f t="shared" si="47"/>
        <v>19</v>
      </c>
      <c r="BQ30">
        <f t="shared" si="48"/>
        <v>2</v>
      </c>
      <c r="BR30">
        <f t="shared" si="49"/>
        <v>17</v>
      </c>
      <c r="BS30">
        <f t="shared" si="50"/>
        <v>14</v>
      </c>
      <c r="BT30">
        <f t="shared" si="51"/>
        <v>17</v>
      </c>
      <c r="BU30">
        <f t="shared" si="52"/>
        <v>27</v>
      </c>
      <c r="BV30">
        <f t="shared" si="29"/>
        <v>5</v>
      </c>
      <c r="BW30">
        <f t="shared" si="30"/>
        <v>2</v>
      </c>
      <c r="BX30">
        <f t="shared" si="31"/>
        <v>21</v>
      </c>
      <c r="BY30">
        <f t="shared" si="32"/>
        <v>11</v>
      </c>
      <c r="BZ30">
        <f t="shared" si="33"/>
        <v>6</v>
      </c>
    </row>
    <row r="31" spans="2:95" x14ac:dyDescent="0.5">
      <c r="B31" s="4">
        <v>6</v>
      </c>
      <c r="C31" s="4" t="s">
        <v>138</v>
      </c>
      <c r="D31" s="4">
        <v>-1</v>
      </c>
      <c r="E31" s="4">
        <v>9</v>
      </c>
      <c r="F31" s="4">
        <v>-4</v>
      </c>
      <c r="G31" s="4">
        <v>7</v>
      </c>
      <c r="H31" s="4">
        <v>6</v>
      </c>
      <c r="I31" s="4">
        <v>3</v>
      </c>
      <c r="J31" s="4">
        <v>-3</v>
      </c>
      <c r="K31" s="4">
        <v>-15</v>
      </c>
      <c r="L31" s="4">
        <v>10</v>
      </c>
      <c r="M31" s="4">
        <v>-1</v>
      </c>
      <c r="N31" s="4">
        <v>-3</v>
      </c>
      <c r="O31" s="4">
        <v>2</v>
      </c>
      <c r="Q31">
        <v>6</v>
      </c>
      <c r="R31" t="s">
        <v>138</v>
      </c>
      <c r="S31">
        <v>32</v>
      </c>
      <c r="T31">
        <v>-19</v>
      </c>
      <c r="U31">
        <v>0</v>
      </c>
      <c r="V31">
        <v>-13</v>
      </c>
      <c r="W31">
        <v>0</v>
      </c>
      <c r="X31">
        <v>-3</v>
      </c>
      <c r="Y31">
        <v>-1</v>
      </c>
      <c r="Z31">
        <v>-5</v>
      </c>
      <c r="AA31">
        <v>-4</v>
      </c>
      <c r="AB31">
        <v>13</v>
      </c>
      <c r="AC31">
        <v>-9</v>
      </c>
      <c r="AD31">
        <v>14</v>
      </c>
      <c r="AF31">
        <v>6</v>
      </c>
      <c r="AG31" t="s">
        <v>138</v>
      </c>
      <c r="AH31">
        <f t="shared" si="15"/>
        <v>1</v>
      </c>
      <c r="AI31">
        <f t="shared" si="53"/>
        <v>0</v>
      </c>
      <c r="AJ31">
        <f t="shared" si="54"/>
        <v>0</v>
      </c>
      <c r="AK31">
        <f t="shared" si="55"/>
        <v>0</v>
      </c>
      <c r="AL31">
        <f t="shared" si="56"/>
        <v>0</v>
      </c>
      <c r="AM31">
        <f t="shared" si="57"/>
        <v>0</v>
      </c>
      <c r="AN31">
        <f t="shared" si="58"/>
        <v>0</v>
      </c>
      <c r="AO31">
        <f t="shared" si="59"/>
        <v>0</v>
      </c>
      <c r="AP31">
        <f t="shared" si="60"/>
        <v>0</v>
      </c>
      <c r="AQ31">
        <f t="shared" si="61"/>
        <v>1</v>
      </c>
      <c r="AR31">
        <f t="shared" si="62"/>
        <v>0</v>
      </c>
      <c r="AS31">
        <f t="shared" si="63"/>
        <v>1</v>
      </c>
      <c r="AX31">
        <v>6</v>
      </c>
      <c r="AY31" t="s">
        <v>138</v>
      </c>
      <c r="AZ31">
        <f t="shared" si="16"/>
        <v>1</v>
      </c>
      <c r="BA31">
        <f t="shared" si="34"/>
        <v>9</v>
      </c>
      <c r="BB31">
        <f t="shared" si="35"/>
        <v>4</v>
      </c>
      <c r="BC31">
        <f t="shared" si="36"/>
        <v>7</v>
      </c>
      <c r="BD31">
        <f t="shared" si="37"/>
        <v>6</v>
      </c>
      <c r="BE31">
        <f t="shared" si="38"/>
        <v>3</v>
      </c>
      <c r="BF31">
        <f t="shared" si="39"/>
        <v>3</v>
      </c>
      <c r="BG31">
        <f t="shared" si="40"/>
        <v>15</v>
      </c>
      <c r="BH31">
        <f t="shared" si="41"/>
        <v>10</v>
      </c>
      <c r="BI31">
        <f t="shared" si="42"/>
        <v>1</v>
      </c>
      <c r="BJ31">
        <f t="shared" si="43"/>
        <v>3</v>
      </c>
      <c r="BK31">
        <f t="shared" si="44"/>
        <v>2</v>
      </c>
      <c r="BM31">
        <f t="shared" si="45"/>
        <v>6</v>
      </c>
      <c r="BN31" t="s">
        <v>138</v>
      </c>
      <c r="BO31">
        <f t="shared" si="46"/>
        <v>32</v>
      </c>
      <c r="BP31">
        <f t="shared" si="47"/>
        <v>19</v>
      </c>
      <c r="BQ31">
        <f t="shared" si="48"/>
        <v>0</v>
      </c>
      <c r="BR31">
        <f t="shared" si="49"/>
        <v>13</v>
      </c>
      <c r="BS31">
        <f t="shared" si="50"/>
        <v>0</v>
      </c>
      <c r="BT31">
        <f t="shared" si="51"/>
        <v>3</v>
      </c>
      <c r="BU31">
        <f t="shared" si="52"/>
        <v>1</v>
      </c>
      <c r="BV31">
        <f t="shared" si="29"/>
        <v>5</v>
      </c>
      <c r="BW31">
        <f t="shared" si="30"/>
        <v>4</v>
      </c>
      <c r="BX31">
        <f t="shared" si="31"/>
        <v>13</v>
      </c>
      <c r="BY31">
        <f t="shared" si="32"/>
        <v>9</v>
      </c>
      <c r="BZ31">
        <f t="shared" si="33"/>
        <v>14</v>
      </c>
    </row>
    <row r="32" spans="2:95" x14ac:dyDescent="0.5">
      <c r="B32" s="4">
        <v>5</v>
      </c>
      <c r="C32" s="4" t="s">
        <v>137</v>
      </c>
      <c r="D32" s="4">
        <v>7</v>
      </c>
      <c r="E32" s="4">
        <v>11</v>
      </c>
      <c r="F32" s="4">
        <v>4</v>
      </c>
      <c r="G32" s="4">
        <v>-11</v>
      </c>
      <c r="H32" s="4">
        <v>-2</v>
      </c>
      <c r="I32" s="4">
        <v>-7</v>
      </c>
      <c r="J32" s="4">
        <v>-15</v>
      </c>
      <c r="K32" s="4">
        <v>15</v>
      </c>
      <c r="L32" s="4">
        <v>8</v>
      </c>
      <c r="M32" s="4">
        <v>5</v>
      </c>
      <c r="N32" s="4">
        <v>-7</v>
      </c>
      <c r="O32" s="4">
        <v>4</v>
      </c>
      <c r="Q32">
        <v>5</v>
      </c>
      <c r="R32" t="s">
        <v>137</v>
      </c>
      <c r="S32">
        <v>38</v>
      </c>
      <c r="T32">
        <v>-13</v>
      </c>
      <c r="U32">
        <v>-14</v>
      </c>
      <c r="V32">
        <v>3</v>
      </c>
      <c r="W32">
        <v>-16</v>
      </c>
      <c r="X32">
        <v>19</v>
      </c>
      <c r="Y32">
        <v>-17</v>
      </c>
      <c r="Z32">
        <v>1</v>
      </c>
      <c r="AA32">
        <v>6</v>
      </c>
      <c r="AB32">
        <v>15</v>
      </c>
      <c r="AC32">
        <v>11</v>
      </c>
      <c r="AD32">
        <v>-4</v>
      </c>
      <c r="AF32">
        <v>5</v>
      </c>
      <c r="AG32" t="s">
        <v>137</v>
      </c>
      <c r="AH32">
        <f t="shared" si="15"/>
        <v>1</v>
      </c>
      <c r="AI32">
        <f t="shared" si="53"/>
        <v>0</v>
      </c>
      <c r="AJ32">
        <f t="shared" si="54"/>
        <v>0</v>
      </c>
      <c r="AK32">
        <f t="shared" si="55"/>
        <v>1</v>
      </c>
      <c r="AL32">
        <f t="shared" si="56"/>
        <v>0</v>
      </c>
      <c r="AM32">
        <f t="shared" si="57"/>
        <v>1</v>
      </c>
      <c r="AN32">
        <f t="shared" si="58"/>
        <v>0</v>
      </c>
      <c r="AO32">
        <f t="shared" si="59"/>
        <v>1</v>
      </c>
      <c r="AP32">
        <f t="shared" si="60"/>
        <v>1</v>
      </c>
      <c r="AQ32">
        <f t="shared" si="61"/>
        <v>1</v>
      </c>
      <c r="AR32">
        <f t="shared" si="62"/>
        <v>1</v>
      </c>
      <c r="AS32">
        <f t="shared" si="63"/>
        <v>0</v>
      </c>
      <c r="AX32">
        <v>5</v>
      </c>
      <c r="AY32" t="s">
        <v>137</v>
      </c>
      <c r="AZ32">
        <f t="shared" si="16"/>
        <v>7</v>
      </c>
      <c r="BA32">
        <f t="shared" si="34"/>
        <v>11</v>
      </c>
      <c r="BB32">
        <f t="shared" si="35"/>
        <v>4</v>
      </c>
      <c r="BC32">
        <f t="shared" si="36"/>
        <v>11</v>
      </c>
      <c r="BD32">
        <f t="shared" si="37"/>
        <v>2</v>
      </c>
      <c r="BE32">
        <f t="shared" si="38"/>
        <v>7</v>
      </c>
      <c r="BF32">
        <f t="shared" si="39"/>
        <v>15</v>
      </c>
      <c r="BG32">
        <f t="shared" si="40"/>
        <v>15</v>
      </c>
      <c r="BH32">
        <f t="shared" si="41"/>
        <v>8</v>
      </c>
      <c r="BI32">
        <f t="shared" si="42"/>
        <v>5</v>
      </c>
      <c r="BJ32">
        <f t="shared" si="43"/>
        <v>7</v>
      </c>
      <c r="BK32">
        <f t="shared" si="44"/>
        <v>4</v>
      </c>
      <c r="BM32">
        <f t="shared" si="45"/>
        <v>5</v>
      </c>
      <c r="BN32" t="s">
        <v>137</v>
      </c>
      <c r="BO32">
        <f t="shared" si="46"/>
        <v>38</v>
      </c>
      <c r="BP32">
        <f t="shared" si="47"/>
        <v>13</v>
      </c>
      <c r="BQ32">
        <f t="shared" si="48"/>
        <v>14</v>
      </c>
      <c r="BR32">
        <f t="shared" si="49"/>
        <v>3</v>
      </c>
      <c r="BS32">
        <f t="shared" si="50"/>
        <v>16</v>
      </c>
      <c r="BT32">
        <f t="shared" si="51"/>
        <v>19</v>
      </c>
      <c r="BU32">
        <f t="shared" si="52"/>
        <v>17</v>
      </c>
      <c r="BV32">
        <f t="shared" si="29"/>
        <v>1</v>
      </c>
      <c r="BW32">
        <f t="shared" si="30"/>
        <v>6</v>
      </c>
      <c r="BX32">
        <f t="shared" si="31"/>
        <v>15</v>
      </c>
      <c r="BY32">
        <f t="shared" si="32"/>
        <v>11</v>
      </c>
      <c r="BZ32">
        <f t="shared" si="33"/>
        <v>4</v>
      </c>
    </row>
    <row r="33" spans="2:78" x14ac:dyDescent="0.5">
      <c r="B33" s="4">
        <v>5</v>
      </c>
      <c r="C33" s="4" t="s">
        <v>138</v>
      </c>
      <c r="D33" s="4">
        <v>1</v>
      </c>
      <c r="E33" s="4">
        <v>-17</v>
      </c>
      <c r="F33" s="4">
        <v>0</v>
      </c>
      <c r="G33" s="4">
        <v>15</v>
      </c>
      <c r="H33" s="4">
        <v>-2</v>
      </c>
      <c r="I33" s="4">
        <v>1</v>
      </c>
      <c r="J33" s="4">
        <v>3</v>
      </c>
      <c r="K33" s="4">
        <v>-5</v>
      </c>
      <c r="L33" s="4">
        <v>-10</v>
      </c>
      <c r="M33" s="4">
        <v>-13</v>
      </c>
      <c r="N33" s="4">
        <v>13</v>
      </c>
      <c r="O33" s="4">
        <v>2</v>
      </c>
      <c r="Q33">
        <v>5</v>
      </c>
      <c r="R33" t="s">
        <v>138</v>
      </c>
      <c r="S33">
        <v>38</v>
      </c>
      <c r="T33">
        <v>-19</v>
      </c>
      <c r="U33">
        <v>-10</v>
      </c>
      <c r="V33">
        <v>3</v>
      </c>
      <c r="W33">
        <v>-20</v>
      </c>
      <c r="X33">
        <v>-9</v>
      </c>
      <c r="Y33">
        <v>-13</v>
      </c>
      <c r="Z33">
        <v>-15</v>
      </c>
      <c r="AA33">
        <v>-6</v>
      </c>
      <c r="AB33">
        <v>1</v>
      </c>
      <c r="AC33">
        <v>3</v>
      </c>
      <c r="AD33">
        <v>18</v>
      </c>
      <c r="AF33">
        <v>5</v>
      </c>
      <c r="AG33" t="s">
        <v>138</v>
      </c>
      <c r="AH33">
        <f t="shared" si="15"/>
        <v>1</v>
      </c>
      <c r="AI33">
        <f t="shared" si="53"/>
        <v>0</v>
      </c>
      <c r="AJ33">
        <f t="shared" si="54"/>
        <v>0</v>
      </c>
      <c r="AK33">
        <f t="shared" si="55"/>
        <v>1</v>
      </c>
      <c r="AL33">
        <f t="shared" si="56"/>
        <v>0</v>
      </c>
      <c r="AM33">
        <f t="shared" si="57"/>
        <v>0</v>
      </c>
      <c r="AN33">
        <f t="shared" si="58"/>
        <v>0</v>
      </c>
      <c r="AO33">
        <f t="shared" si="59"/>
        <v>0</v>
      </c>
      <c r="AP33">
        <f t="shared" si="60"/>
        <v>0</v>
      </c>
      <c r="AQ33">
        <f t="shared" si="61"/>
        <v>1</v>
      </c>
      <c r="AR33">
        <f t="shared" si="62"/>
        <v>1</v>
      </c>
      <c r="AS33">
        <f t="shared" si="63"/>
        <v>1</v>
      </c>
      <c r="AX33">
        <v>5</v>
      </c>
      <c r="AY33" t="s">
        <v>138</v>
      </c>
      <c r="AZ33">
        <f t="shared" si="16"/>
        <v>1</v>
      </c>
      <c r="BA33">
        <f t="shared" si="34"/>
        <v>17</v>
      </c>
      <c r="BB33">
        <f t="shared" si="35"/>
        <v>0</v>
      </c>
      <c r="BC33">
        <f t="shared" si="36"/>
        <v>15</v>
      </c>
      <c r="BD33">
        <f t="shared" si="37"/>
        <v>2</v>
      </c>
      <c r="BE33">
        <f t="shared" si="38"/>
        <v>1</v>
      </c>
      <c r="BF33">
        <f t="shared" si="39"/>
        <v>3</v>
      </c>
      <c r="BG33">
        <f t="shared" si="40"/>
        <v>5</v>
      </c>
      <c r="BH33">
        <f t="shared" si="41"/>
        <v>10</v>
      </c>
      <c r="BI33">
        <f t="shared" si="42"/>
        <v>13</v>
      </c>
      <c r="BJ33">
        <f t="shared" si="43"/>
        <v>13</v>
      </c>
      <c r="BK33">
        <f t="shared" si="44"/>
        <v>2</v>
      </c>
      <c r="BM33">
        <f t="shared" si="45"/>
        <v>5</v>
      </c>
      <c r="BN33" t="s">
        <v>138</v>
      </c>
      <c r="BO33">
        <f t="shared" si="46"/>
        <v>38</v>
      </c>
      <c r="BP33">
        <f t="shared" si="47"/>
        <v>19</v>
      </c>
      <c r="BQ33">
        <f t="shared" si="48"/>
        <v>10</v>
      </c>
      <c r="BR33">
        <f t="shared" si="49"/>
        <v>3</v>
      </c>
      <c r="BS33">
        <f t="shared" si="50"/>
        <v>20</v>
      </c>
      <c r="BT33">
        <f t="shared" si="51"/>
        <v>9</v>
      </c>
      <c r="BU33">
        <f t="shared" si="52"/>
        <v>13</v>
      </c>
      <c r="BV33">
        <f t="shared" si="29"/>
        <v>15</v>
      </c>
      <c r="BW33">
        <f t="shared" si="30"/>
        <v>6</v>
      </c>
      <c r="BX33">
        <f t="shared" si="31"/>
        <v>1</v>
      </c>
      <c r="BY33">
        <f t="shared" si="32"/>
        <v>3</v>
      </c>
      <c r="BZ33">
        <f t="shared" si="33"/>
        <v>18</v>
      </c>
    </row>
    <row r="34" spans="2:78" x14ac:dyDescent="0.5">
      <c r="B34" s="4">
        <v>4</v>
      </c>
      <c r="C34" s="4" t="s">
        <v>137</v>
      </c>
      <c r="D34" s="4">
        <v>-15</v>
      </c>
      <c r="E34" s="4">
        <v>-9</v>
      </c>
      <c r="F34" s="4">
        <v>8</v>
      </c>
      <c r="G34" s="4">
        <v>-1</v>
      </c>
      <c r="H34" s="4">
        <v>2</v>
      </c>
      <c r="I34" s="4">
        <v>9</v>
      </c>
      <c r="J34" s="4">
        <v>13</v>
      </c>
      <c r="K34" s="4">
        <v>9</v>
      </c>
      <c r="L34" s="4">
        <v>12</v>
      </c>
      <c r="M34" s="4">
        <v>-5</v>
      </c>
      <c r="N34" s="4">
        <v>-15</v>
      </c>
      <c r="O34" s="4">
        <v>-4</v>
      </c>
      <c r="Q34">
        <v>4</v>
      </c>
      <c r="R34" t="s">
        <v>137</v>
      </c>
      <c r="S34">
        <v>33</v>
      </c>
      <c r="T34">
        <v>-11</v>
      </c>
      <c r="U34">
        <v>-10</v>
      </c>
      <c r="V34">
        <v>9</v>
      </c>
      <c r="W34">
        <v>-12</v>
      </c>
      <c r="X34">
        <v>5</v>
      </c>
      <c r="Y34">
        <v>-19</v>
      </c>
      <c r="Z34">
        <v>-7</v>
      </c>
      <c r="AA34">
        <v>2</v>
      </c>
      <c r="AB34">
        <v>13</v>
      </c>
      <c r="AC34">
        <v>9</v>
      </c>
      <c r="AD34">
        <v>6</v>
      </c>
      <c r="AF34">
        <v>4</v>
      </c>
      <c r="AG34" t="s">
        <v>137</v>
      </c>
      <c r="AH34">
        <f t="shared" si="15"/>
        <v>1</v>
      </c>
      <c r="AI34">
        <f t="shared" si="53"/>
        <v>0</v>
      </c>
      <c r="AJ34">
        <f t="shared" si="54"/>
        <v>0</v>
      </c>
      <c r="AK34">
        <f t="shared" si="55"/>
        <v>1</v>
      </c>
      <c r="AL34">
        <f t="shared" si="56"/>
        <v>0</v>
      </c>
      <c r="AM34">
        <f t="shared" si="57"/>
        <v>1</v>
      </c>
      <c r="AN34">
        <f t="shared" si="58"/>
        <v>0</v>
      </c>
      <c r="AO34">
        <f t="shared" si="59"/>
        <v>0</v>
      </c>
      <c r="AP34">
        <f t="shared" si="60"/>
        <v>1</v>
      </c>
      <c r="AQ34">
        <f t="shared" si="61"/>
        <v>1</v>
      </c>
      <c r="AR34">
        <f t="shared" si="62"/>
        <v>1</v>
      </c>
      <c r="AS34">
        <f t="shared" si="63"/>
        <v>1</v>
      </c>
      <c r="AX34">
        <v>4</v>
      </c>
      <c r="AY34" t="s">
        <v>137</v>
      </c>
      <c r="AZ34">
        <f t="shared" si="16"/>
        <v>15</v>
      </c>
      <c r="BA34">
        <f t="shared" si="34"/>
        <v>9</v>
      </c>
      <c r="BB34">
        <f t="shared" si="35"/>
        <v>8</v>
      </c>
      <c r="BC34">
        <f t="shared" si="36"/>
        <v>1</v>
      </c>
      <c r="BD34">
        <f t="shared" si="37"/>
        <v>2</v>
      </c>
      <c r="BE34">
        <f t="shared" si="38"/>
        <v>9</v>
      </c>
      <c r="BF34">
        <f t="shared" si="39"/>
        <v>13</v>
      </c>
      <c r="BG34">
        <f t="shared" si="40"/>
        <v>9</v>
      </c>
      <c r="BH34">
        <f t="shared" si="41"/>
        <v>12</v>
      </c>
      <c r="BI34">
        <f t="shared" si="42"/>
        <v>5</v>
      </c>
      <c r="BJ34">
        <f t="shared" si="43"/>
        <v>15</v>
      </c>
      <c r="BK34">
        <f t="shared" si="44"/>
        <v>4</v>
      </c>
      <c r="BM34">
        <f t="shared" si="45"/>
        <v>4</v>
      </c>
      <c r="BN34" t="s">
        <v>137</v>
      </c>
      <c r="BO34">
        <f t="shared" si="46"/>
        <v>33</v>
      </c>
      <c r="BP34">
        <f t="shared" si="47"/>
        <v>11</v>
      </c>
      <c r="BQ34">
        <f t="shared" si="48"/>
        <v>10</v>
      </c>
      <c r="BR34">
        <f t="shared" si="49"/>
        <v>9</v>
      </c>
      <c r="BS34">
        <f t="shared" si="50"/>
        <v>12</v>
      </c>
      <c r="BT34">
        <f t="shared" si="51"/>
        <v>5</v>
      </c>
      <c r="BU34">
        <f t="shared" si="52"/>
        <v>19</v>
      </c>
      <c r="BV34">
        <f t="shared" si="29"/>
        <v>7</v>
      </c>
      <c r="BW34">
        <f t="shared" si="30"/>
        <v>2</v>
      </c>
      <c r="BX34">
        <f t="shared" si="31"/>
        <v>13</v>
      </c>
      <c r="BY34">
        <f t="shared" si="32"/>
        <v>9</v>
      </c>
      <c r="BZ34">
        <f t="shared" si="33"/>
        <v>6</v>
      </c>
    </row>
    <row r="35" spans="2:78" x14ac:dyDescent="0.5">
      <c r="B35" s="4">
        <v>4</v>
      </c>
      <c r="C35" s="4" t="s">
        <v>138</v>
      </c>
      <c r="D35" s="4">
        <v>5</v>
      </c>
      <c r="E35" s="4">
        <v>11</v>
      </c>
      <c r="F35" s="4">
        <v>0</v>
      </c>
      <c r="G35" s="4">
        <v>-5</v>
      </c>
      <c r="H35" s="4">
        <v>-14</v>
      </c>
      <c r="I35" s="4">
        <v>7</v>
      </c>
      <c r="J35" s="4">
        <v>-3</v>
      </c>
      <c r="K35" s="4">
        <v>-11</v>
      </c>
      <c r="L35" s="4">
        <v>-6</v>
      </c>
      <c r="M35" s="4">
        <v>-3</v>
      </c>
      <c r="N35" s="4">
        <v>13</v>
      </c>
      <c r="O35" s="4">
        <v>2</v>
      </c>
      <c r="Q35">
        <v>4</v>
      </c>
      <c r="R35" t="s">
        <v>138</v>
      </c>
      <c r="S35">
        <v>40</v>
      </c>
      <c r="T35">
        <v>-31</v>
      </c>
      <c r="U35">
        <v>-20</v>
      </c>
      <c r="V35">
        <v>9</v>
      </c>
      <c r="W35">
        <v>-14</v>
      </c>
      <c r="X35">
        <v>3</v>
      </c>
      <c r="Y35">
        <v>-7</v>
      </c>
      <c r="Z35">
        <v>3</v>
      </c>
      <c r="AA35">
        <v>0</v>
      </c>
      <c r="AB35">
        <v>-3</v>
      </c>
      <c r="AC35">
        <v>-1</v>
      </c>
      <c r="AD35">
        <v>4</v>
      </c>
      <c r="AF35">
        <v>4</v>
      </c>
      <c r="AG35" t="s">
        <v>138</v>
      </c>
      <c r="AH35">
        <f t="shared" si="15"/>
        <v>1</v>
      </c>
      <c r="AI35">
        <f t="shared" si="53"/>
        <v>0</v>
      </c>
      <c r="AJ35">
        <f t="shared" si="54"/>
        <v>0</v>
      </c>
      <c r="AK35">
        <f t="shared" si="55"/>
        <v>1</v>
      </c>
      <c r="AL35">
        <f t="shared" si="56"/>
        <v>0</v>
      </c>
      <c r="AM35">
        <f t="shared" si="57"/>
        <v>1</v>
      </c>
      <c r="AN35">
        <f t="shared" si="58"/>
        <v>0</v>
      </c>
      <c r="AO35">
        <f t="shared" si="59"/>
        <v>1</v>
      </c>
      <c r="AP35">
        <f t="shared" si="60"/>
        <v>0</v>
      </c>
      <c r="AQ35">
        <f t="shared" si="61"/>
        <v>0</v>
      </c>
      <c r="AR35">
        <f t="shared" si="62"/>
        <v>0</v>
      </c>
      <c r="AS35">
        <f t="shared" si="63"/>
        <v>1</v>
      </c>
      <c r="AX35">
        <v>4</v>
      </c>
      <c r="AY35" t="s">
        <v>138</v>
      </c>
      <c r="AZ35">
        <f t="shared" si="16"/>
        <v>5</v>
      </c>
      <c r="BA35">
        <f t="shared" si="34"/>
        <v>11</v>
      </c>
      <c r="BB35">
        <f t="shared" si="35"/>
        <v>0</v>
      </c>
      <c r="BC35">
        <f t="shared" si="36"/>
        <v>5</v>
      </c>
      <c r="BD35">
        <f t="shared" si="37"/>
        <v>14</v>
      </c>
      <c r="BE35">
        <f t="shared" si="38"/>
        <v>7</v>
      </c>
      <c r="BF35">
        <f t="shared" si="39"/>
        <v>3</v>
      </c>
      <c r="BG35">
        <f t="shared" si="40"/>
        <v>11</v>
      </c>
      <c r="BH35">
        <f t="shared" si="41"/>
        <v>6</v>
      </c>
      <c r="BI35">
        <f t="shared" si="42"/>
        <v>3</v>
      </c>
      <c r="BJ35">
        <f t="shared" si="43"/>
        <v>13</v>
      </c>
      <c r="BK35">
        <f t="shared" si="44"/>
        <v>2</v>
      </c>
      <c r="BM35">
        <f t="shared" si="45"/>
        <v>4</v>
      </c>
      <c r="BN35" t="s">
        <v>138</v>
      </c>
      <c r="BO35">
        <f t="shared" si="46"/>
        <v>40</v>
      </c>
      <c r="BP35">
        <f t="shared" si="47"/>
        <v>31</v>
      </c>
      <c r="BQ35">
        <f t="shared" si="48"/>
        <v>20</v>
      </c>
      <c r="BR35">
        <f t="shared" si="49"/>
        <v>9</v>
      </c>
      <c r="BS35">
        <f t="shared" si="50"/>
        <v>14</v>
      </c>
      <c r="BT35">
        <f t="shared" si="51"/>
        <v>3</v>
      </c>
      <c r="BU35">
        <f t="shared" si="52"/>
        <v>7</v>
      </c>
      <c r="BV35">
        <f t="shared" si="29"/>
        <v>3</v>
      </c>
      <c r="BW35">
        <f t="shared" si="30"/>
        <v>0</v>
      </c>
      <c r="BX35">
        <f t="shared" si="31"/>
        <v>3</v>
      </c>
      <c r="BY35">
        <f t="shared" si="32"/>
        <v>1</v>
      </c>
      <c r="BZ35">
        <f t="shared" si="33"/>
        <v>4</v>
      </c>
    </row>
    <row r="36" spans="2:78" x14ac:dyDescent="0.5">
      <c r="B36" s="4">
        <v>3</v>
      </c>
      <c r="C36" s="4" t="s">
        <v>137</v>
      </c>
      <c r="D36" s="4">
        <v>11</v>
      </c>
      <c r="E36" s="4">
        <v>5</v>
      </c>
      <c r="F36" s="4">
        <v>-10</v>
      </c>
      <c r="G36" s="4">
        <v>-7</v>
      </c>
      <c r="H36" s="4">
        <v>4</v>
      </c>
      <c r="I36" s="4">
        <v>5</v>
      </c>
      <c r="J36" s="4">
        <v>-17</v>
      </c>
      <c r="K36" s="4">
        <v>1</v>
      </c>
      <c r="L36" s="4">
        <v>6</v>
      </c>
      <c r="M36" s="4">
        <v>3</v>
      </c>
      <c r="N36" s="4">
        <v>1</v>
      </c>
      <c r="O36" s="4">
        <v>-2</v>
      </c>
      <c r="Q36">
        <v>3</v>
      </c>
      <c r="R36" t="s">
        <v>137</v>
      </c>
      <c r="S36">
        <v>39</v>
      </c>
      <c r="T36">
        <v>-13</v>
      </c>
      <c r="U36">
        <v>-14</v>
      </c>
      <c r="V36">
        <v>7</v>
      </c>
      <c r="W36">
        <v>-18</v>
      </c>
      <c r="X36">
        <v>-13</v>
      </c>
      <c r="Y36">
        <v>-25</v>
      </c>
      <c r="Z36">
        <v>-5</v>
      </c>
      <c r="AA36">
        <v>-18</v>
      </c>
      <c r="AB36">
        <v>5</v>
      </c>
      <c r="AC36">
        <v>7</v>
      </c>
      <c r="AD36">
        <v>18</v>
      </c>
      <c r="AF36">
        <v>3</v>
      </c>
      <c r="AG36" t="s">
        <v>137</v>
      </c>
      <c r="AH36">
        <f t="shared" si="15"/>
        <v>1</v>
      </c>
      <c r="AI36">
        <f t="shared" si="53"/>
        <v>0</v>
      </c>
      <c r="AJ36">
        <f t="shared" si="54"/>
        <v>0</v>
      </c>
      <c r="AK36">
        <f t="shared" si="55"/>
        <v>1</v>
      </c>
      <c r="AL36">
        <f t="shared" si="56"/>
        <v>0</v>
      </c>
      <c r="AM36">
        <f t="shared" si="57"/>
        <v>0</v>
      </c>
      <c r="AN36">
        <f t="shared" si="58"/>
        <v>0</v>
      </c>
      <c r="AO36">
        <f t="shared" si="59"/>
        <v>0</v>
      </c>
      <c r="AP36">
        <f t="shared" si="60"/>
        <v>0</v>
      </c>
      <c r="AQ36">
        <f t="shared" si="61"/>
        <v>1</v>
      </c>
      <c r="AR36">
        <f t="shared" si="62"/>
        <v>1</v>
      </c>
      <c r="AS36">
        <f t="shared" si="63"/>
        <v>1</v>
      </c>
      <c r="AX36">
        <v>3</v>
      </c>
      <c r="AY36" t="s">
        <v>137</v>
      </c>
      <c r="AZ36">
        <f t="shared" si="16"/>
        <v>11</v>
      </c>
      <c r="BA36">
        <f t="shared" si="34"/>
        <v>5</v>
      </c>
      <c r="BB36">
        <f t="shared" si="35"/>
        <v>10</v>
      </c>
      <c r="BC36">
        <f t="shared" si="36"/>
        <v>7</v>
      </c>
      <c r="BD36">
        <f t="shared" si="37"/>
        <v>4</v>
      </c>
      <c r="BE36">
        <f t="shared" si="38"/>
        <v>5</v>
      </c>
      <c r="BF36">
        <f t="shared" si="39"/>
        <v>17</v>
      </c>
      <c r="BG36">
        <f t="shared" si="40"/>
        <v>1</v>
      </c>
      <c r="BH36">
        <f t="shared" si="41"/>
        <v>6</v>
      </c>
      <c r="BI36">
        <f t="shared" si="42"/>
        <v>3</v>
      </c>
      <c r="BJ36">
        <f t="shared" si="43"/>
        <v>1</v>
      </c>
      <c r="BK36">
        <f t="shared" si="44"/>
        <v>2</v>
      </c>
      <c r="BM36">
        <f t="shared" si="45"/>
        <v>3</v>
      </c>
      <c r="BN36" t="s">
        <v>137</v>
      </c>
      <c r="BO36">
        <f t="shared" si="46"/>
        <v>39</v>
      </c>
      <c r="BP36">
        <f t="shared" si="47"/>
        <v>13</v>
      </c>
      <c r="BQ36">
        <f t="shared" si="48"/>
        <v>14</v>
      </c>
      <c r="BR36">
        <f t="shared" si="49"/>
        <v>7</v>
      </c>
      <c r="BS36">
        <f t="shared" si="50"/>
        <v>18</v>
      </c>
      <c r="BT36">
        <f t="shared" si="51"/>
        <v>13</v>
      </c>
      <c r="BU36">
        <f t="shared" si="52"/>
        <v>25</v>
      </c>
      <c r="BV36">
        <f t="shared" si="29"/>
        <v>5</v>
      </c>
      <c r="BW36">
        <f t="shared" si="30"/>
        <v>18</v>
      </c>
      <c r="BX36">
        <f t="shared" si="31"/>
        <v>5</v>
      </c>
      <c r="BY36">
        <f t="shared" si="32"/>
        <v>7</v>
      </c>
      <c r="BZ36">
        <f t="shared" si="33"/>
        <v>18</v>
      </c>
    </row>
    <row r="37" spans="2:78" x14ac:dyDescent="0.5">
      <c r="B37" s="4">
        <v>3</v>
      </c>
      <c r="C37" s="4" t="s">
        <v>138</v>
      </c>
      <c r="D37" s="4">
        <v>-1</v>
      </c>
      <c r="E37" s="4">
        <v>5</v>
      </c>
      <c r="F37" s="4">
        <v>12</v>
      </c>
      <c r="G37" s="4">
        <v>-19</v>
      </c>
      <c r="H37" s="4">
        <v>0</v>
      </c>
      <c r="I37" s="4">
        <v>-5</v>
      </c>
      <c r="J37" s="4">
        <v>3</v>
      </c>
      <c r="K37" s="4">
        <v>-9</v>
      </c>
      <c r="L37" s="4">
        <v>8</v>
      </c>
      <c r="M37" s="4">
        <v>9</v>
      </c>
      <c r="N37" s="4">
        <v>-17</v>
      </c>
      <c r="O37" s="4">
        <v>14</v>
      </c>
      <c r="Q37">
        <v>3</v>
      </c>
      <c r="R37" t="s">
        <v>138</v>
      </c>
      <c r="S37">
        <v>36</v>
      </c>
      <c r="T37">
        <v>-15</v>
      </c>
      <c r="U37">
        <v>-4</v>
      </c>
      <c r="V37">
        <v>1</v>
      </c>
      <c r="W37">
        <v>-16</v>
      </c>
      <c r="X37">
        <v>9</v>
      </c>
      <c r="Y37">
        <v>-11</v>
      </c>
      <c r="Z37">
        <v>-7</v>
      </c>
      <c r="AA37">
        <v>18</v>
      </c>
      <c r="AB37">
        <v>7</v>
      </c>
      <c r="AC37">
        <v>5</v>
      </c>
      <c r="AD37">
        <v>6</v>
      </c>
      <c r="AF37">
        <v>3</v>
      </c>
      <c r="AG37" t="s">
        <v>138</v>
      </c>
      <c r="AH37">
        <f t="shared" si="15"/>
        <v>1</v>
      </c>
      <c r="AI37">
        <f t="shared" si="53"/>
        <v>0</v>
      </c>
      <c r="AJ37">
        <f t="shared" si="54"/>
        <v>0</v>
      </c>
      <c r="AK37">
        <f t="shared" si="55"/>
        <v>1</v>
      </c>
      <c r="AL37">
        <f t="shared" si="56"/>
        <v>0</v>
      </c>
      <c r="AM37">
        <f t="shared" si="57"/>
        <v>1</v>
      </c>
      <c r="AN37">
        <f t="shared" si="58"/>
        <v>0</v>
      </c>
      <c r="AO37">
        <f t="shared" si="59"/>
        <v>0</v>
      </c>
      <c r="AP37">
        <f t="shared" si="60"/>
        <v>1</v>
      </c>
      <c r="AQ37">
        <f t="shared" si="61"/>
        <v>1</v>
      </c>
      <c r="AR37">
        <f t="shared" si="62"/>
        <v>1</v>
      </c>
      <c r="AS37">
        <f t="shared" si="63"/>
        <v>1</v>
      </c>
      <c r="AX37">
        <v>3</v>
      </c>
      <c r="AY37" t="s">
        <v>138</v>
      </c>
      <c r="AZ37">
        <f t="shared" si="16"/>
        <v>1</v>
      </c>
      <c r="BA37">
        <f t="shared" si="34"/>
        <v>5</v>
      </c>
      <c r="BB37">
        <f t="shared" si="35"/>
        <v>12</v>
      </c>
      <c r="BC37">
        <f t="shared" si="36"/>
        <v>19</v>
      </c>
      <c r="BD37">
        <f t="shared" si="37"/>
        <v>0</v>
      </c>
      <c r="BE37">
        <f t="shared" si="38"/>
        <v>5</v>
      </c>
      <c r="BF37">
        <f t="shared" si="39"/>
        <v>3</v>
      </c>
      <c r="BG37">
        <f t="shared" si="40"/>
        <v>9</v>
      </c>
      <c r="BH37">
        <f t="shared" si="41"/>
        <v>8</v>
      </c>
      <c r="BI37">
        <f t="shared" si="42"/>
        <v>9</v>
      </c>
      <c r="BJ37">
        <f t="shared" si="43"/>
        <v>17</v>
      </c>
      <c r="BK37">
        <f t="shared" si="44"/>
        <v>14</v>
      </c>
      <c r="BM37">
        <f t="shared" si="45"/>
        <v>3</v>
      </c>
      <c r="BN37" t="s">
        <v>138</v>
      </c>
      <c r="BO37">
        <f t="shared" si="46"/>
        <v>36</v>
      </c>
      <c r="BP37">
        <f t="shared" si="47"/>
        <v>15</v>
      </c>
      <c r="BQ37">
        <f t="shared" si="48"/>
        <v>4</v>
      </c>
      <c r="BR37">
        <f t="shared" si="49"/>
        <v>1</v>
      </c>
      <c r="BS37">
        <f t="shared" si="50"/>
        <v>16</v>
      </c>
      <c r="BT37">
        <f t="shared" si="51"/>
        <v>9</v>
      </c>
      <c r="BU37">
        <f t="shared" si="52"/>
        <v>11</v>
      </c>
      <c r="BV37">
        <f t="shared" si="29"/>
        <v>7</v>
      </c>
      <c r="BW37">
        <f t="shared" si="30"/>
        <v>18</v>
      </c>
      <c r="BX37">
        <f t="shared" si="31"/>
        <v>7</v>
      </c>
      <c r="BY37">
        <f t="shared" si="32"/>
        <v>5</v>
      </c>
      <c r="BZ37">
        <f t="shared" si="33"/>
        <v>6</v>
      </c>
    </row>
    <row r="38" spans="2:78" x14ac:dyDescent="0.5">
      <c r="B38" s="4">
        <v>2</v>
      </c>
      <c r="C38" s="4" t="s">
        <v>137</v>
      </c>
      <c r="D38" s="4">
        <v>3</v>
      </c>
      <c r="E38" s="4">
        <v>-3</v>
      </c>
      <c r="F38" s="4">
        <v>8</v>
      </c>
      <c r="G38" s="4">
        <v>-3</v>
      </c>
      <c r="H38" s="4">
        <v>8</v>
      </c>
      <c r="I38" s="4">
        <v>-3</v>
      </c>
      <c r="J38" s="4">
        <v>-3</v>
      </c>
      <c r="K38" s="4">
        <v>-1</v>
      </c>
      <c r="L38" s="4">
        <v>-4</v>
      </c>
      <c r="M38" s="4">
        <v>5</v>
      </c>
      <c r="N38" s="4">
        <v>-9</v>
      </c>
      <c r="O38" s="4">
        <v>0</v>
      </c>
      <c r="Q38">
        <v>2</v>
      </c>
      <c r="R38" t="s">
        <v>137</v>
      </c>
      <c r="S38">
        <v>33</v>
      </c>
      <c r="T38">
        <v>-27</v>
      </c>
      <c r="U38">
        <v>-4</v>
      </c>
      <c r="V38">
        <v>11</v>
      </c>
      <c r="W38">
        <v>-10</v>
      </c>
      <c r="X38">
        <v>-7</v>
      </c>
      <c r="Y38">
        <v>-25</v>
      </c>
      <c r="Z38">
        <v>-13</v>
      </c>
      <c r="AA38">
        <v>-2</v>
      </c>
      <c r="AB38">
        <v>13</v>
      </c>
      <c r="AC38">
        <v>1</v>
      </c>
      <c r="AD38">
        <v>6</v>
      </c>
      <c r="AF38">
        <v>2</v>
      </c>
      <c r="AG38" t="s">
        <v>137</v>
      </c>
      <c r="AH38">
        <f t="shared" si="15"/>
        <v>1</v>
      </c>
      <c r="AI38">
        <f t="shared" si="53"/>
        <v>0</v>
      </c>
      <c r="AJ38">
        <f t="shared" si="54"/>
        <v>0</v>
      </c>
      <c r="AK38">
        <f t="shared" si="55"/>
        <v>1</v>
      </c>
      <c r="AL38">
        <f t="shared" si="56"/>
        <v>0</v>
      </c>
      <c r="AM38">
        <f t="shared" si="57"/>
        <v>0</v>
      </c>
      <c r="AN38">
        <f t="shared" si="58"/>
        <v>0</v>
      </c>
      <c r="AO38">
        <f t="shared" si="59"/>
        <v>0</v>
      </c>
      <c r="AP38">
        <f t="shared" si="60"/>
        <v>0</v>
      </c>
      <c r="AQ38">
        <f t="shared" si="61"/>
        <v>1</v>
      </c>
      <c r="AR38">
        <f t="shared" si="62"/>
        <v>1</v>
      </c>
      <c r="AS38">
        <f t="shared" si="63"/>
        <v>1</v>
      </c>
      <c r="AX38">
        <v>2</v>
      </c>
      <c r="AY38" t="s">
        <v>137</v>
      </c>
      <c r="AZ38">
        <f t="shared" si="16"/>
        <v>3</v>
      </c>
      <c r="BA38">
        <f t="shared" si="34"/>
        <v>3</v>
      </c>
      <c r="BB38">
        <f t="shared" si="35"/>
        <v>8</v>
      </c>
      <c r="BC38">
        <f t="shared" si="36"/>
        <v>3</v>
      </c>
      <c r="BD38">
        <f t="shared" si="37"/>
        <v>8</v>
      </c>
      <c r="BE38">
        <f t="shared" si="38"/>
        <v>3</v>
      </c>
      <c r="BF38">
        <f t="shared" si="39"/>
        <v>3</v>
      </c>
      <c r="BG38">
        <f t="shared" si="40"/>
        <v>1</v>
      </c>
      <c r="BH38">
        <f t="shared" si="41"/>
        <v>4</v>
      </c>
      <c r="BI38">
        <f t="shared" si="42"/>
        <v>5</v>
      </c>
      <c r="BJ38">
        <f t="shared" si="43"/>
        <v>9</v>
      </c>
      <c r="BK38">
        <f t="shared" si="44"/>
        <v>0</v>
      </c>
      <c r="BM38">
        <f t="shared" si="45"/>
        <v>2</v>
      </c>
      <c r="BN38" t="s">
        <v>137</v>
      </c>
      <c r="BO38">
        <f t="shared" si="46"/>
        <v>33</v>
      </c>
      <c r="BP38">
        <f t="shared" si="47"/>
        <v>27</v>
      </c>
      <c r="BQ38">
        <f t="shared" si="48"/>
        <v>4</v>
      </c>
      <c r="BR38">
        <f t="shared" si="49"/>
        <v>11</v>
      </c>
      <c r="BS38">
        <f t="shared" si="50"/>
        <v>10</v>
      </c>
      <c r="BT38">
        <f t="shared" si="51"/>
        <v>7</v>
      </c>
      <c r="BU38">
        <f t="shared" si="52"/>
        <v>25</v>
      </c>
      <c r="BV38">
        <f t="shared" si="29"/>
        <v>13</v>
      </c>
      <c r="BW38">
        <f t="shared" si="30"/>
        <v>2</v>
      </c>
      <c r="BX38">
        <f t="shared" si="31"/>
        <v>13</v>
      </c>
      <c r="BY38">
        <f t="shared" si="32"/>
        <v>1</v>
      </c>
      <c r="BZ38">
        <f t="shared" si="33"/>
        <v>6</v>
      </c>
    </row>
    <row r="39" spans="2:78" x14ac:dyDescent="0.5">
      <c r="B39" s="4">
        <v>2</v>
      </c>
      <c r="C39" s="4" t="s">
        <v>138</v>
      </c>
      <c r="D39" s="4">
        <v>7</v>
      </c>
      <c r="E39" s="4">
        <v>1</v>
      </c>
      <c r="F39" s="4">
        <v>-6</v>
      </c>
      <c r="G39" s="4">
        <v>-5</v>
      </c>
      <c r="H39" s="4">
        <v>4</v>
      </c>
      <c r="I39" s="4">
        <v>-11</v>
      </c>
      <c r="J39" s="4">
        <v>-7</v>
      </c>
      <c r="K39" s="4">
        <v>3</v>
      </c>
      <c r="L39" s="4">
        <v>2</v>
      </c>
      <c r="M39" s="4">
        <v>3</v>
      </c>
      <c r="N39" s="4">
        <v>-5</v>
      </c>
      <c r="O39" s="4">
        <v>16</v>
      </c>
      <c r="Q39">
        <v>2</v>
      </c>
      <c r="R39" t="s">
        <v>138</v>
      </c>
      <c r="S39">
        <v>39</v>
      </c>
      <c r="T39">
        <v>-11</v>
      </c>
      <c r="U39">
        <v>-22</v>
      </c>
      <c r="V39">
        <v>-7</v>
      </c>
      <c r="W39">
        <v>-4</v>
      </c>
      <c r="X39">
        <v>9</v>
      </c>
      <c r="Y39">
        <v>1</v>
      </c>
      <c r="Z39">
        <v>5</v>
      </c>
      <c r="AA39">
        <v>-8</v>
      </c>
      <c r="AB39">
        <v>17</v>
      </c>
      <c r="AC39">
        <v>1</v>
      </c>
      <c r="AD39">
        <v>4</v>
      </c>
      <c r="AF39">
        <v>2</v>
      </c>
      <c r="AG39" t="s">
        <v>138</v>
      </c>
      <c r="AH39">
        <f t="shared" si="15"/>
        <v>1</v>
      </c>
      <c r="AI39">
        <f t="shared" si="53"/>
        <v>0</v>
      </c>
      <c r="AJ39">
        <f t="shared" si="54"/>
        <v>0</v>
      </c>
      <c r="AK39">
        <f t="shared" si="55"/>
        <v>0</v>
      </c>
      <c r="AL39">
        <f t="shared" si="56"/>
        <v>0</v>
      </c>
      <c r="AM39">
        <f t="shared" si="57"/>
        <v>1</v>
      </c>
      <c r="AN39">
        <f t="shared" si="58"/>
        <v>1</v>
      </c>
      <c r="AO39">
        <f t="shared" si="59"/>
        <v>1</v>
      </c>
      <c r="AP39">
        <f t="shared" si="60"/>
        <v>0</v>
      </c>
      <c r="AQ39">
        <f t="shared" si="61"/>
        <v>1</v>
      </c>
      <c r="AR39">
        <f t="shared" si="62"/>
        <v>1</v>
      </c>
      <c r="AS39">
        <f t="shared" si="63"/>
        <v>1</v>
      </c>
      <c r="AX39">
        <v>2</v>
      </c>
      <c r="AY39" t="s">
        <v>138</v>
      </c>
      <c r="AZ39">
        <f t="shared" si="16"/>
        <v>7</v>
      </c>
      <c r="BA39">
        <f t="shared" si="34"/>
        <v>1</v>
      </c>
      <c r="BB39">
        <f t="shared" si="35"/>
        <v>6</v>
      </c>
      <c r="BC39">
        <f t="shared" si="36"/>
        <v>5</v>
      </c>
      <c r="BD39">
        <f t="shared" si="37"/>
        <v>4</v>
      </c>
      <c r="BE39">
        <f t="shared" si="38"/>
        <v>11</v>
      </c>
      <c r="BF39">
        <f t="shared" si="39"/>
        <v>7</v>
      </c>
      <c r="BG39">
        <f t="shared" si="40"/>
        <v>3</v>
      </c>
      <c r="BH39">
        <f t="shared" si="41"/>
        <v>2</v>
      </c>
      <c r="BI39">
        <f t="shared" si="42"/>
        <v>3</v>
      </c>
      <c r="BJ39">
        <f t="shared" si="43"/>
        <v>5</v>
      </c>
      <c r="BK39">
        <f t="shared" si="44"/>
        <v>16</v>
      </c>
      <c r="BM39">
        <f t="shared" si="45"/>
        <v>2</v>
      </c>
      <c r="BN39" t="s">
        <v>138</v>
      </c>
      <c r="BO39">
        <f t="shared" si="46"/>
        <v>39</v>
      </c>
      <c r="BP39">
        <f t="shared" si="47"/>
        <v>11</v>
      </c>
      <c r="BQ39">
        <f t="shared" si="48"/>
        <v>22</v>
      </c>
      <c r="BR39">
        <f t="shared" si="49"/>
        <v>7</v>
      </c>
      <c r="BS39">
        <f t="shared" si="50"/>
        <v>4</v>
      </c>
      <c r="BT39">
        <f t="shared" si="51"/>
        <v>9</v>
      </c>
      <c r="BU39">
        <f t="shared" si="52"/>
        <v>1</v>
      </c>
      <c r="BV39">
        <f t="shared" si="29"/>
        <v>5</v>
      </c>
      <c r="BW39">
        <f t="shared" si="30"/>
        <v>8</v>
      </c>
      <c r="BX39">
        <f t="shared" si="31"/>
        <v>17</v>
      </c>
      <c r="BY39">
        <f t="shared" si="32"/>
        <v>1</v>
      </c>
      <c r="BZ39">
        <f t="shared" si="33"/>
        <v>4</v>
      </c>
    </row>
    <row r="40" spans="2:78" x14ac:dyDescent="0.5">
      <c r="B40" s="4">
        <v>1</v>
      </c>
      <c r="C40" s="4" t="s">
        <v>137</v>
      </c>
      <c r="D40" s="4">
        <v>9</v>
      </c>
      <c r="E40" s="4">
        <v>3</v>
      </c>
      <c r="F40" s="4">
        <v>2</v>
      </c>
      <c r="G40" s="4">
        <v>-7</v>
      </c>
      <c r="H40" s="4">
        <v>-4</v>
      </c>
      <c r="I40" s="4">
        <v>1</v>
      </c>
      <c r="J40" s="4">
        <v>19</v>
      </c>
      <c r="K40" s="4">
        <v>-19</v>
      </c>
      <c r="L40" s="4">
        <v>-2</v>
      </c>
      <c r="M40" s="4">
        <v>5</v>
      </c>
      <c r="N40" s="4">
        <v>-15</v>
      </c>
      <c r="O40" s="4">
        <v>10</v>
      </c>
      <c r="Q40">
        <v>1</v>
      </c>
      <c r="R40" t="s">
        <v>137</v>
      </c>
      <c r="S40">
        <v>44</v>
      </c>
      <c r="T40">
        <v>-21</v>
      </c>
      <c r="U40">
        <v>-14</v>
      </c>
      <c r="V40">
        <v>3</v>
      </c>
      <c r="W40">
        <v>-22</v>
      </c>
      <c r="X40">
        <v>-5</v>
      </c>
      <c r="Y40">
        <v>-13</v>
      </c>
      <c r="Z40">
        <v>-9</v>
      </c>
      <c r="AA40">
        <v>-12</v>
      </c>
      <c r="AB40">
        <v>13</v>
      </c>
      <c r="AC40">
        <v>15</v>
      </c>
      <c r="AD40">
        <v>10</v>
      </c>
      <c r="AF40">
        <v>1</v>
      </c>
      <c r="AG40" t="s">
        <v>137</v>
      </c>
      <c r="AH40">
        <f t="shared" si="15"/>
        <v>1</v>
      </c>
      <c r="AI40">
        <f t="shared" si="53"/>
        <v>0</v>
      </c>
      <c r="AJ40">
        <f t="shared" si="54"/>
        <v>0</v>
      </c>
      <c r="AK40">
        <f t="shared" si="55"/>
        <v>1</v>
      </c>
      <c r="AL40">
        <f t="shared" si="56"/>
        <v>0</v>
      </c>
      <c r="AM40">
        <f t="shared" si="57"/>
        <v>0</v>
      </c>
      <c r="AN40">
        <f t="shared" si="58"/>
        <v>0</v>
      </c>
      <c r="AO40">
        <f t="shared" si="59"/>
        <v>0</v>
      </c>
      <c r="AP40">
        <f t="shared" si="60"/>
        <v>0</v>
      </c>
      <c r="AQ40">
        <f t="shared" si="61"/>
        <v>1</v>
      </c>
      <c r="AR40">
        <f t="shared" si="62"/>
        <v>1</v>
      </c>
      <c r="AS40">
        <f t="shared" si="63"/>
        <v>1</v>
      </c>
      <c r="AX40">
        <v>1</v>
      </c>
      <c r="AY40" t="s">
        <v>137</v>
      </c>
      <c r="AZ40">
        <f t="shared" si="16"/>
        <v>9</v>
      </c>
      <c r="BA40">
        <f t="shared" si="34"/>
        <v>3</v>
      </c>
      <c r="BB40">
        <f t="shared" si="35"/>
        <v>2</v>
      </c>
      <c r="BC40">
        <f t="shared" si="36"/>
        <v>7</v>
      </c>
      <c r="BD40">
        <f t="shared" si="37"/>
        <v>4</v>
      </c>
      <c r="BE40">
        <f t="shared" si="38"/>
        <v>1</v>
      </c>
      <c r="BF40">
        <f t="shared" si="39"/>
        <v>19</v>
      </c>
      <c r="BG40">
        <f t="shared" si="40"/>
        <v>19</v>
      </c>
      <c r="BH40">
        <f t="shared" si="41"/>
        <v>2</v>
      </c>
      <c r="BI40">
        <f t="shared" si="42"/>
        <v>5</v>
      </c>
      <c r="BJ40">
        <f t="shared" si="43"/>
        <v>15</v>
      </c>
      <c r="BK40">
        <f t="shared" si="44"/>
        <v>10</v>
      </c>
      <c r="BM40">
        <f t="shared" si="45"/>
        <v>1</v>
      </c>
      <c r="BN40" t="s">
        <v>137</v>
      </c>
      <c r="BO40">
        <f t="shared" si="46"/>
        <v>44</v>
      </c>
      <c r="BP40">
        <f t="shared" si="47"/>
        <v>21</v>
      </c>
      <c r="BQ40">
        <f t="shared" si="48"/>
        <v>14</v>
      </c>
      <c r="BR40">
        <f t="shared" si="49"/>
        <v>3</v>
      </c>
      <c r="BS40">
        <f t="shared" si="50"/>
        <v>22</v>
      </c>
      <c r="BT40">
        <f t="shared" si="51"/>
        <v>5</v>
      </c>
      <c r="BU40">
        <f t="shared" si="52"/>
        <v>13</v>
      </c>
      <c r="BV40">
        <f t="shared" si="29"/>
        <v>9</v>
      </c>
      <c r="BW40">
        <f t="shared" si="30"/>
        <v>12</v>
      </c>
      <c r="BX40">
        <f t="shared" si="31"/>
        <v>13</v>
      </c>
      <c r="BY40">
        <f t="shared" si="32"/>
        <v>15</v>
      </c>
      <c r="BZ40">
        <f t="shared" si="33"/>
        <v>10</v>
      </c>
    </row>
    <row r="41" spans="2:78" x14ac:dyDescent="0.5">
      <c r="B41" s="4">
        <v>1</v>
      </c>
      <c r="C41" s="4" t="s">
        <v>138</v>
      </c>
      <c r="D41" s="4">
        <v>3</v>
      </c>
      <c r="E41" s="4">
        <v>-1</v>
      </c>
      <c r="F41" s="4">
        <v>-10</v>
      </c>
      <c r="G41" s="4">
        <v>1</v>
      </c>
      <c r="H41" s="4">
        <v>0</v>
      </c>
      <c r="I41" s="4">
        <v>3</v>
      </c>
      <c r="J41" s="4">
        <v>-11</v>
      </c>
      <c r="K41" s="4">
        <v>-3</v>
      </c>
      <c r="L41" s="4">
        <v>-4</v>
      </c>
      <c r="M41" s="4">
        <v>15</v>
      </c>
      <c r="N41" s="4">
        <v>11</v>
      </c>
      <c r="O41" s="4">
        <v>-6</v>
      </c>
      <c r="Q41">
        <v>1</v>
      </c>
      <c r="R41" t="s">
        <v>138</v>
      </c>
      <c r="S41">
        <v>29</v>
      </c>
      <c r="T41">
        <v>-17</v>
      </c>
      <c r="U41">
        <v>-2</v>
      </c>
      <c r="V41">
        <v>1</v>
      </c>
      <c r="W41">
        <v>0</v>
      </c>
      <c r="X41">
        <v>5</v>
      </c>
      <c r="Y41">
        <v>-21</v>
      </c>
      <c r="Z41">
        <v>9</v>
      </c>
      <c r="AA41">
        <v>2</v>
      </c>
      <c r="AB41">
        <v>9</v>
      </c>
      <c r="AC41">
        <v>-5</v>
      </c>
      <c r="AD41">
        <v>2</v>
      </c>
      <c r="AF41">
        <v>1</v>
      </c>
      <c r="AG41" t="s">
        <v>138</v>
      </c>
      <c r="AH41">
        <f t="shared" si="15"/>
        <v>1</v>
      </c>
      <c r="AI41">
        <f t="shared" si="53"/>
        <v>0</v>
      </c>
      <c r="AJ41">
        <f t="shared" si="54"/>
        <v>0</v>
      </c>
      <c r="AK41">
        <f t="shared" si="55"/>
        <v>1</v>
      </c>
      <c r="AL41">
        <f t="shared" si="56"/>
        <v>0</v>
      </c>
      <c r="AM41">
        <f t="shared" si="57"/>
        <v>1</v>
      </c>
      <c r="AN41">
        <f t="shared" si="58"/>
        <v>0</v>
      </c>
      <c r="AO41">
        <f t="shared" si="59"/>
        <v>1</v>
      </c>
      <c r="AP41">
        <f t="shared" si="60"/>
        <v>1</v>
      </c>
      <c r="AQ41">
        <f t="shared" si="61"/>
        <v>1</v>
      </c>
      <c r="AR41">
        <f t="shared" si="62"/>
        <v>0</v>
      </c>
      <c r="AS41">
        <f t="shared" si="63"/>
        <v>1</v>
      </c>
      <c r="AX41">
        <v>1</v>
      </c>
      <c r="AY41" t="s">
        <v>138</v>
      </c>
      <c r="AZ41">
        <f t="shared" si="16"/>
        <v>3</v>
      </c>
      <c r="BA41">
        <f t="shared" si="34"/>
        <v>1</v>
      </c>
      <c r="BB41">
        <f t="shared" si="35"/>
        <v>10</v>
      </c>
      <c r="BC41">
        <f t="shared" si="36"/>
        <v>1</v>
      </c>
      <c r="BD41">
        <f t="shared" si="37"/>
        <v>0</v>
      </c>
      <c r="BE41">
        <f t="shared" si="38"/>
        <v>3</v>
      </c>
      <c r="BF41">
        <f t="shared" si="39"/>
        <v>11</v>
      </c>
      <c r="BG41">
        <f t="shared" si="40"/>
        <v>3</v>
      </c>
      <c r="BH41">
        <f t="shared" si="41"/>
        <v>4</v>
      </c>
      <c r="BI41">
        <f t="shared" si="42"/>
        <v>15</v>
      </c>
      <c r="BJ41">
        <f t="shared" si="43"/>
        <v>11</v>
      </c>
      <c r="BK41">
        <f t="shared" si="44"/>
        <v>6</v>
      </c>
      <c r="BM41">
        <f t="shared" si="45"/>
        <v>1</v>
      </c>
      <c r="BN41" t="s">
        <v>138</v>
      </c>
      <c r="BO41">
        <f t="shared" si="46"/>
        <v>29</v>
      </c>
      <c r="BP41">
        <f t="shared" si="47"/>
        <v>17</v>
      </c>
      <c r="BQ41">
        <f t="shared" si="48"/>
        <v>2</v>
      </c>
      <c r="BR41">
        <f t="shared" si="49"/>
        <v>1</v>
      </c>
      <c r="BS41">
        <f t="shared" si="50"/>
        <v>0</v>
      </c>
      <c r="BT41">
        <f t="shared" si="51"/>
        <v>5</v>
      </c>
      <c r="BU41">
        <f t="shared" si="52"/>
        <v>21</v>
      </c>
      <c r="BV41">
        <f t="shared" si="29"/>
        <v>9</v>
      </c>
      <c r="BW41">
        <f t="shared" si="30"/>
        <v>2</v>
      </c>
      <c r="BX41">
        <f t="shared" si="31"/>
        <v>9</v>
      </c>
      <c r="BY41">
        <f t="shared" si="32"/>
        <v>5</v>
      </c>
      <c r="BZ41">
        <f t="shared" si="33"/>
        <v>2</v>
      </c>
    </row>
    <row r="42" spans="2:78" x14ac:dyDescent="0.5">
      <c r="C42" s="4"/>
      <c r="D42" s="4">
        <f>AVERAGE(D2:D41)</f>
        <v>3.5249999999999999</v>
      </c>
      <c r="E42" s="4">
        <f t="shared" ref="E42:AD42" si="64">AVERAGE(E2:E41)</f>
        <v>-1.1000000000000001</v>
      </c>
      <c r="F42" s="4">
        <f t="shared" si="64"/>
        <v>0.6</v>
      </c>
      <c r="G42" s="4">
        <f t="shared" si="64"/>
        <v>-0.25</v>
      </c>
      <c r="H42" s="4">
        <f t="shared" si="64"/>
        <v>-2.9</v>
      </c>
      <c r="I42" s="4">
        <f t="shared" si="64"/>
        <v>0.05</v>
      </c>
      <c r="J42" s="4">
        <f t="shared" si="64"/>
        <v>-2.2999999999999998</v>
      </c>
      <c r="K42" s="4">
        <f t="shared" si="64"/>
        <v>-0.2</v>
      </c>
      <c r="L42" s="4">
        <f t="shared" si="64"/>
        <v>1.25</v>
      </c>
      <c r="M42" s="4">
        <f t="shared" si="64"/>
        <v>-1.7</v>
      </c>
      <c r="N42" s="4">
        <f t="shared" si="64"/>
        <v>-0.4</v>
      </c>
      <c r="O42" s="4">
        <f t="shared" si="64"/>
        <v>3.25</v>
      </c>
      <c r="S42" s="4">
        <f t="shared" si="64"/>
        <v>36.700000000000003</v>
      </c>
      <c r="T42" s="4">
        <f t="shared" si="64"/>
        <v>-16.149999999999999</v>
      </c>
      <c r="U42" s="4">
        <f t="shared" si="64"/>
        <v>-10.55</v>
      </c>
      <c r="V42" s="4">
        <f t="shared" si="64"/>
        <v>0.2</v>
      </c>
      <c r="W42" s="4">
        <f t="shared" si="64"/>
        <v>-11.35</v>
      </c>
      <c r="X42" s="4">
        <f t="shared" si="64"/>
        <v>1.05</v>
      </c>
      <c r="Y42" s="4">
        <f t="shared" si="64"/>
        <v>-15.7</v>
      </c>
      <c r="Z42" s="4">
        <f t="shared" si="64"/>
        <v>-4.6500000000000004</v>
      </c>
      <c r="AA42" s="4">
        <f t="shared" si="64"/>
        <v>-0.85</v>
      </c>
      <c r="AB42" s="4">
        <f t="shared" si="64"/>
        <v>11</v>
      </c>
      <c r="AC42" s="4">
        <f t="shared" si="64"/>
        <v>1.75</v>
      </c>
      <c r="AD42" s="4">
        <f t="shared" si="64"/>
        <v>8.4499999999999993</v>
      </c>
      <c r="AH42">
        <f>SUM(AH2:AH41)</f>
        <v>40</v>
      </c>
      <c r="AI42">
        <f t="shared" ref="AI42:AS42" si="65">SUM(AI2:AI41)</f>
        <v>0</v>
      </c>
      <c r="AJ42">
        <f t="shared" si="65"/>
        <v>6</v>
      </c>
      <c r="AK42">
        <f t="shared" si="65"/>
        <v>21</v>
      </c>
      <c r="AL42">
        <f t="shared" si="65"/>
        <v>1</v>
      </c>
      <c r="AM42">
        <f t="shared" si="65"/>
        <v>19</v>
      </c>
      <c r="AN42">
        <f t="shared" si="65"/>
        <v>1</v>
      </c>
      <c r="AO42">
        <f t="shared" si="65"/>
        <v>9</v>
      </c>
      <c r="AP42">
        <f t="shared" si="65"/>
        <v>16</v>
      </c>
      <c r="AQ42">
        <f t="shared" si="65"/>
        <v>37</v>
      </c>
      <c r="AR42">
        <f t="shared" si="65"/>
        <v>23</v>
      </c>
      <c r="AS42">
        <f t="shared" si="65"/>
        <v>34</v>
      </c>
      <c r="AZ42">
        <f>AVERAGE(AZ2:AZ41)</f>
        <v>11.025</v>
      </c>
      <c r="BA42">
        <f t="shared" ref="BA42" si="66">AVERAGE(BA2:BA41)</f>
        <v>7.6</v>
      </c>
      <c r="BB42">
        <f t="shared" ref="BB42" si="67">AVERAGE(BB2:BB41)</f>
        <v>7</v>
      </c>
      <c r="BC42">
        <f t="shared" ref="BC42" si="68">AVERAGE(BC2:BC41)</f>
        <v>5.95</v>
      </c>
      <c r="BD42">
        <f t="shared" ref="BD42" si="69">AVERAGE(BD2:BD41)</f>
        <v>7.1</v>
      </c>
      <c r="BE42">
        <f t="shared" ref="BE42" si="70">AVERAGE(BE2:BE41)</f>
        <v>5.8</v>
      </c>
      <c r="BF42">
        <f t="shared" ref="BF42" si="71">AVERAGE(BF2:BF41)</f>
        <v>6.9</v>
      </c>
      <c r="BG42">
        <f t="shared" ref="BG42" si="72">AVERAGE(BG2:BG41)</f>
        <v>8.85</v>
      </c>
      <c r="BH42">
        <f t="shared" ref="BH42" si="73">AVERAGE(BH2:BH41)</f>
        <v>5.95</v>
      </c>
      <c r="BI42">
        <f t="shared" ref="BI42" si="74">AVERAGE(BI2:BI41)</f>
        <v>9.15</v>
      </c>
      <c r="BJ42">
        <f t="shared" ref="BJ42" si="75">AVERAGE(BJ2:BJ41)</f>
        <v>7.2</v>
      </c>
      <c r="BK42">
        <f t="shared" ref="BK42" si="76">AVERAGE(BK2:BK41)</f>
        <v>7.75</v>
      </c>
      <c r="BO42">
        <f t="shared" ref="BO42" si="77">AVERAGE(BO2:BO41)</f>
        <v>36.700000000000003</v>
      </c>
      <c r="BP42">
        <f t="shared" ref="BP42" si="78">AVERAGE(BP2:BP41)</f>
        <v>16.149999999999999</v>
      </c>
      <c r="BQ42">
        <f t="shared" ref="BQ42" si="79">AVERAGE(BQ2:BQ41)</f>
        <v>11.75</v>
      </c>
      <c r="BR42">
        <f t="shared" ref="BR42" si="80">AVERAGE(BR2:BR41)</f>
        <v>8.0500000000000007</v>
      </c>
      <c r="BS42">
        <f t="shared" ref="BS42" si="81">AVERAGE(BS2:BS41)</f>
        <v>11.55</v>
      </c>
      <c r="BT42">
        <f t="shared" ref="BT42" si="82">AVERAGE(BT2:BT41)</f>
        <v>7.9</v>
      </c>
      <c r="BU42">
        <f t="shared" ref="BU42" si="83">AVERAGE(BU2:BU41)</f>
        <v>15.75</v>
      </c>
      <c r="BV42">
        <f t="shared" ref="BV42" si="84">AVERAGE(BV2:BV41)</f>
        <v>6.9</v>
      </c>
      <c r="BW42">
        <f t="shared" ref="BW42" si="85">AVERAGE(BW2:BW41)</f>
        <v>5.85</v>
      </c>
      <c r="BX42">
        <f t="shared" ref="BX42" si="86">AVERAGE(BX2:BX41)</f>
        <v>11.85</v>
      </c>
      <c r="BY42">
        <f t="shared" ref="BY42" si="87">AVERAGE(BY2:BY41)</f>
        <v>7.3</v>
      </c>
      <c r="BZ42">
        <f t="shared" ref="BZ42" si="88">AVERAGE(BZ2:BZ41)</f>
        <v>9.15</v>
      </c>
    </row>
    <row r="43" spans="2:78" x14ac:dyDescent="0.5">
      <c r="C43" s="4"/>
      <c r="D43" s="4">
        <f>STDEV(D2:D41)</f>
        <v>16.168959657635874</v>
      </c>
      <c r="E43" s="4">
        <f t="shared" ref="E43:AD43" si="89">STDEV(E2:E41)</f>
        <v>10.055742076940355</v>
      </c>
      <c r="F43" s="4">
        <f t="shared" si="89"/>
        <v>9.2398246181601831</v>
      </c>
      <c r="G43" s="4">
        <f t="shared" si="89"/>
        <v>7.5472868278301481</v>
      </c>
      <c r="H43" s="4">
        <f t="shared" si="89"/>
        <v>8.3629218302254582</v>
      </c>
      <c r="I43" s="4">
        <f t="shared" si="89"/>
        <v>7.2605361107417279</v>
      </c>
      <c r="J43" s="4">
        <f t="shared" si="89"/>
        <v>8.4798403468280181</v>
      </c>
      <c r="K43" s="4">
        <f t="shared" si="89"/>
        <v>10.551947201516397</v>
      </c>
      <c r="L43" s="4">
        <f t="shared" si="89"/>
        <v>7.2421487107569087</v>
      </c>
      <c r="M43" s="4">
        <f t="shared" si="89"/>
        <v>10.893893843659534</v>
      </c>
      <c r="N43" s="4">
        <f t="shared" si="89"/>
        <v>8.6670611350069944</v>
      </c>
      <c r="O43" s="4">
        <f t="shared" si="89"/>
        <v>9.2230202517452256</v>
      </c>
      <c r="S43" s="4">
        <f t="shared" si="89"/>
        <v>5.787696942431932</v>
      </c>
      <c r="T43" s="4">
        <f t="shared" si="89"/>
        <v>7.8300866157569686</v>
      </c>
      <c r="U43" s="4">
        <f t="shared" si="89"/>
        <v>10.33775753097502</v>
      </c>
      <c r="V43" s="4">
        <f t="shared" si="89"/>
        <v>9.7958651664349876</v>
      </c>
      <c r="W43" s="4">
        <f t="shared" si="89"/>
        <v>6.6623704105355399</v>
      </c>
      <c r="X43" s="4">
        <f t="shared" si="89"/>
        <v>9.3533210885019535</v>
      </c>
      <c r="Y43" s="4">
        <f t="shared" si="89"/>
        <v>6.9215382905602931</v>
      </c>
      <c r="Z43" s="4">
        <f t="shared" si="89"/>
        <v>7.2308101471837434</v>
      </c>
      <c r="AA43" s="4">
        <f t="shared" si="89"/>
        <v>7.7378523489634361</v>
      </c>
      <c r="AB43" s="4">
        <f t="shared" si="89"/>
        <v>7.9743177507385292</v>
      </c>
      <c r="AC43" s="4">
        <f t="shared" si="89"/>
        <v>9.0319944130254584</v>
      </c>
      <c r="AD43" s="4">
        <f t="shared" si="89"/>
        <v>6.8311128349707824</v>
      </c>
      <c r="AZ43">
        <f>STDEV(AZ2:AZ41)</f>
        <v>12.227517306762625</v>
      </c>
      <c r="BA43">
        <f t="shared" ref="BA43:BK43" si="90">STDEV(BA2:BA41)</f>
        <v>6.5664258708942045</v>
      </c>
      <c r="BB43">
        <f t="shared" si="90"/>
        <v>5.9571116732171046</v>
      </c>
      <c r="BC43">
        <f t="shared" si="90"/>
        <v>4.5514156715668825</v>
      </c>
      <c r="BD43">
        <f t="shared" si="90"/>
        <v>5.1828118296479238</v>
      </c>
      <c r="BE43">
        <f t="shared" si="90"/>
        <v>4.2679485253906959</v>
      </c>
      <c r="BF43">
        <f t="shared" si="90"/>
        <v>5.3387792708225073</v>
      </c>
      <c r="BG43">
        <f t="shared" si="90"/>
        <v>5.5725977922191863</v>
      </c>
      <c r="BH43">
        <f t="shared" si="90"/>
        <v>4.2120096914686274</v>
      </c>
      <c r="BI43">
        <f t="shared" si="90"/>
        <v>5.9809526725927924</v>
      </c>
      <c r="BJ43">
        <f t="shared" si="90"/>
        <v>4.7024270874539367</v>
      </c>
      <c r="BK43">
        <f t="shared" si="90"/>
        <v>5.8561823566955118</v>
      </c>
      <c r="BO43">
        <f t="shared" ref="BO43:BZ43" si="91">STDEV(BO2:BO41)</f>
        <v>5.787696942431932</v>
      </c>
      <c r="BP43">
        <f t="shared" si="91"/>
        <v>7.8300866157569686</v>
      </c>
      <c r="BQ43">
        <f t="shared" si="91"/>
        <v>8.9119625741514934</v>
      </c>
      <c r="BR43">
        <f t="shared" si="91"/>
        <v>5.434693867725894</v>
      </c>
      <c r="BS43">
        <f t="shared" si="91"/>
        <v>6.2999796499467822</v>
      </c>
      <c r="BT43">
        <f t="shared" si="91"/>
        <v>4.9603556530886177</v>
      </c>
      <c r="BU43">
        <f t="shared" si="91"/>
        <v>6.8040334945436447</v>
      </c>
      <c r="BV43">
        <f t="shared" si="91"/>
        <v>5.0626839947570526</v>
      </c>
      <c r="BW43">
        <f t="shared" si="91"/>
        <v>5.0512755434033307</v>
      </c>
      <c r="BX43">
        <f t="shared" si="91"/>
        <v>6.6082698771486914</v>
      </c>
      <c r="BY43">
        <f t="shared" si="91"/>
        <v>5.482840364404062</v>
      </c>
      <c r="BZ43">
        <f t="shared" si="91"/>
        <v>5.833369963254956</v>
      </c>
    </row>
    <row r="44" spans="2:78" x14ac:dyDescent="0.5">
      <c r="D44">
        <f>D43/SQRT(40)</f>
        <v>2.5565369956752844</v>
      </c>
      <c r="E44">
        <f t="shared" ref="E44:O44" si="92">E43/SQRT(40)</f>
        <v>1.5899524263161831</v>
      </c>
      <c r="F44">
        <f t="shared" si="92"/>
        <v>1.4609445486940886</v>
      </c>
      <c r="G44">
        <f t="shared" si="92"/>
        <v>1.1933308265265175</v>
      </c>
      <c r="H44">
        <f t="shared" si="92"/>
        <v>1.322294043872821</v>
      </c>
      <c r="I44">
        <f t="shared" si="92"/>
        <v>1.1479915571922188</v>
      </c>
      <c r="J44">
        <f t="shared" si="92"/>
        <v>1.3407804845284361</v>
      </c>
      <c r="K44">
        <f t="shared" si="92"/>
        <v>1.6684093453315774</v>
      </c>
      <c r="L44">
        <f t="shared" si="92"/>
        <v>1.1450842539821899</v>
      </c>
      <c r="M44">
        <f t="shared" si="92"/>
        <v>1.7224758567025189</v>
      </c>
      <c r="N44">
        <f t="shared" si="92"/>
        <v>1.3703826903273106</v>
      </c>
      <c r="O44">
        <f t="shared" si="92"/>
        <v>1.4582875450687234</v>
      </c>
      <c r="S44">
        <f>S43/SQRT(40)</f>
        <v>0.91511523724386656</v>
      </c>
      <c r="T44">
        <f t="shared" ref="T44" si="93">T43/SQRT(40)</f>
        <v>1.2380453991095846</v>
      </c>
      <c r="U44">
        <f t="shared" ref="U44" si="94">U43/SQRT(40)</f>
        <v>1.6345429848219863</v>
      </c>
      <c r="V44">
        <f t="shared" ref="V44" si="95">V43/SQRT(40)</f>
        <v>1.5488622788919482</v>
      </c>
      <c r="W44">
        <f t="shared" ref="W44" si="96">W43/SQRT(40)</f>
        <v>1.0534132556501685</v>
      </c>
      <c r="X44">
        <f t="shared" ref="X44" si="97">X43/SQRT(40)</f>
        <v>1.4788899163275757</v>
      </c>
      <c r="Y44">
        <f t="shared" ref="Y44" si="98">Y43/SQRT(40)</f>
        <v>1.0943912955119424</v>
      </c>
      <c r="Z44">
        <f t="shared" ref="Z44" si="99">Z43/SQRT(40)</f>
        <v>1.1432914696678991</v>
      </c>
      <c r="AA44">
        <f t="shared" ref="AA44" si="100">AA43/SQRT(40)</f>
        <v>1.2234618810404245</v>
      </c>
      <c r="AB44">
        <f t="shared" ref="AB44" si="101">AB43/SQRT(40)</f>
        <v>1.2608503439122305</v>
      </c>
      <c r="AC44">
        <f t="shared" ref="AC44" si="102">AC43/SQRT(40)</f>
        <v>1.4280837079538009</v>
      </c>
      <c r="AD44">
        <f t="shared" ref="AD44" si="103">AD43/SQRT(40)</f>
        <v>1.0800937756058795</v>
      </c>
      <c r="AZ44">
        <f>AZ43/SQRT(20)</f>
        <v>2.7341559893976375</v>
      </c>
      <c r="BA44">
        <f t="shared" ref="BA44" si="104">BA43/SQRT(20)</f>
        <v>1.4682974616532698</v>
      </c>
      <c r="BB44">
        <f t="shared" ref="BB44" si="105">BB43/SQRT(20)</f>
        <v>1.3320506650870958</v>
      </c>
      <c r="BC44">
        <f t="shared" ref="BC44" si="106">BC43/SQRT(20)</f>
        <v>1.0177274835481405</v>
      </c>
      <c r="BD44">
        <f t="shared" ref="BD44" si="107">BD43/SQRT(20)</f>
        <v>1.1589119565682817</v>
      </c>
      <c r="BE44">
        <f t="shared" ref="BE44" si="108">BE43/SQRT(20)</f>
        <v>0.95434230272435827</v>
      </c>
      <c r="BF44">
        <f t="shared" ref="BF44" si="109">BF43/SQRT(20)</f>
        <v>1.1937873366425886</v>
      </c>
      <c r="BG44">
        <f t="shared" ref="BG44" si="110">BG43/SQRT(20)</f>
        <v>1.246070747466735</v>
      </c>
      <c r="BH44">
        <f t="shared" ref="BH44" si="111">BH43/SQRT(20)</f>
        <v>0.94183399920117661</v>
      </c>
      <c r="BI44">
        <f t="shared" ref="BI44" si="112">BI43/SQRT(20)</f>
        <v>1.3373816746126526</v>
      </c>
      <c r="BJ44">
        <f t="shared" ref="BJ44" si="113">BJ43/SQRT(20)</f>
        <v>1.051494662678335</v>
      </c>
      <c r="BK44">
        <f t="shared" ref="BK44" si="114">BK43/SQRT(20)</f>
        <v>1.3094821838206085</v>
      </c>
      <c r="BO44">
        <f t="shared" ref="BO44" si="115">BO43/SQRT(20)</f>
        <v>1.2941683796445487</v>
      </c>
      <c r="BP44">
        <f t="shared" ref="BP44" si="116">BP43/SQRT(20)</f>
        <v>1.7508605942543858</v>
      </c>
      <c r="BQ44">
        <f t="shared" ref="BQ44" si="117">BQ43/SQRT(20)</f>
        <v>1.9927754128736748</v>
      </c>
      <c r="BR44">
        <f t="shared" ref="BR44" si="118">BR43/SQRT(20)</f>
        <v>1.2152344925136349</v>
      </c>
      <c r="BS44">
        <f t="shared" ref="BS44" si="119">BS43/SQRT(20)</f>
        <v>1.4087182754146335</v>
      </c>
      <c r="BT44">
        <f t="shared" ref="BT44" si="120">BT43/SQRT(20)</f>
        <v>1.1091692432881513</v>
      </c>
      <c r="BU44">
        <f t="shared" ref="BU44" si="121">BU43/SQRT(20)</f>
        <v>1.5214281414985034</v>
      </c>
      <c r="BV44">
        <f t="shared" ref="BV44" si="122">BV43/SQRT(20)</f>
        <v>1.1320505560876959</v>
      </c>
      <c r="BW44">
        <f t="shared" ref="BW44" si="123">BW43/SQRT(20)</f>
        <v>1.1294995488132036</v>
      </c>
      <c r="BX44">
        <f t="shared" ref="BX44" si="124">BX43/SQRT(20)</f>
        <v>1.4776540658968658</v>
      </c>
      <c r="BY44">
        <f t="shared" ref="BY44" si="125">BY43/SQRT(20)</f>
        <v>1.22600037645872</v>
      </c>
      <c r="BZ44">
        <f t="shared" ref="BZ44" si="126">BZ43/SQRT(20)</f>
        <v>1.3043811775743532</v>
      </c>
    </row>
    <row r="45" spans="2:78" x14ac:dyDescent="0.5">
      <c r="C45" t="s">
        <v>361</v>
      </c>
      <c r="D45">
        <f>D42/D44</f>
        <v>1.3788183022436198</v>
      </c>
      <c r="E45">
        <f t="shared" ref="E45:O45" si="127">E42/E44</f>
        <v>-0.69184459974606216</v>
      </c>
      <c r="F45">
        <f t="shared" si="127"/>
        <v>0.41069320566364337</v>
      </c>
      <c r="G45">
        <f t="shared" si="127"/>
        <v>-0.20949764679061081</v>
      </c>
      <c r="H45">
        <f t="shared" si="127"/>
        <v>-2.1931581809945166</v>
      </c>
      <c r="I45">
        <f t="shared" si="127"/>
        <v>4.3554327282938406E-2</v>
      </c>
      <c r="J45">
        <f t="shared" si="127"/>
        <v>-1.7154187628327013</v>
      </c>
      <c r="K45">
        <f t="shared" si="127"/>
        <v>-0.11987465819442068</v>
      </c>
      <c r="L45">
        <f t="shared" si="127"/>
        <v>1.0916227305134543</v>
      </c>
      <c r="M45">
        <f t="shared" si="127"/>
        <v>-0.9869514242448969</v>
      </c>
      <c r="N45">
        <f t="shared" si="127"/>
        <v>-0.29188926773765766</v>
      </c>
      <c r="O45">
        <f t="shared" si="127"/>
        <v>2.2286414027124124</v>
      </c>
      <c r="R45" t="s">
        <v>361</v>
      </c>
      <c r="S45">
        <f>S42/S44</f>
        <v>40.104238795687237</v>
      </c>
      <c r="T45">
        <f t="shared" ref="T45:AD45" si="128">T42/T44</f>
        <v>-13.044755880208633</v>
      </c>
      <c r="U45">
        <f t="shared" si="128"/>
        <v>-6.4544035231652064</v>
      </c>
      <c r="V45">
        <f t="shared" si="128"/>
        <v>0.12912703906965795</v>
      </c>
      <c r="W45">
        <f t="shared" si="128"/>
        <v>-10.774498933939045</v>
      </c>
      <c r="X45">
        <f t="shared" si="128"/>
        <v>0.70999199359435206</v>
      </c>
      <c r="Y45">
        <f t="shared" si="128"/>
        <v>-14.345874336158476</v>
      </c>
      <c r="Z45">
        <f t="shared" si="128"/>
        <v>-4.067204316105606</v>
      </c>
      <c r="AA45">
        <f t="shared" si="128"/>
        <v>-0.69474988405618743</v>
      </c>
      <c r="AB45">
        <f t="shared" si="128"/>
        <v>8.7242709280378516</v>
      </c>
      <c r="AC45">
        <f t="shared" si="128"/>
        <v>1.2254183632606872</v>
      </c>
      <c r="AD45">
        <f t="shared" si="128"/>
        <v>7.8233947744583237</v>
      </c>
      <c r="AG45" t="s">
        <v>359</v>
      </c>
    </row>
    <row r="46" spans="2:78" x14ac:dyDescent="0.5">
      <c r="R46" t="s">
        <v>362</v>
      </c>
      <c r="S46">
        <f>(S42-D42)/SQRT((S44*S44)+(D44*D44))</f>
        <v>12.217419032378908</v>
      </c>
      <c r="T46">
        <f t="shared" ref="T46:AD46" si="129">(T42-E42)/SQRT((T44*T44)+(E44*E44))</f>
        <v>-7.4685410597673947</v>
      </c>
      <c r="U46">
        <f t="shared" si="129"/>
        <v>-5.0860301382829523</v>
      </c>
      <c r="V46">
        <f t="shared" si="129"/>
        <v>0.23014928846614288</v>
      </c>
      <c r="W46">
        <f t="shared" si="129"/>
        <v>-4.998214407431421</v>
      </c>
      <c r="X46">
        <f t="shared" si="129"/>
        <v>0.5341410906376336</v>
      </c>
      <c r="Y46">
        <f t="shared" si="129"/>
        <v>-7.7424516315951983</v>
      </c>
      <c r="Z46">
        <f t="shared" si="129"/>
        <v>-2.2001937333230899</v>
      </c>
      <c r="AA46">
        <f t="shared" si="129"/>
        <v>-1.2531838646654043</v>
      </c>
      <c r="AB46">
        <f t="shared" si="129"/>
        <v>5.9494948240419641</v>
      </c>
      <c r="AC46">
        <f t="shared" si="129"/>
        <v>1.0862781997597679</v>
      </c>
      <c r="AD46">
        <f t="shared" si="129"/>
        <v>2.8654573724286845</v>
      </c>
    </row>
    <row r="47" spans="2:78" x14ac:dyDescent="0.5">
      <c r="B47" s="4" t="s">
        <v>336</v>
      </c>
      <c r="C47" s="4" t="s">
        <v>337</v>
      </c>
      <c r="D47" s="4">
        <v>1</v>
      </c>
      <c r="E47" s="4">
        <v>2</v>
      </c>
      <c r="F47" s="4">
        <v>3</v>
      </c>
      <c r="G47" s="4">
        <v>4</v>
      </c>
      <c r="H47" s="4">
        <v>5</v>
      </c>
      <c r="I47" s="4">
        <v>6</v>
      </c>
      <c r="J47" s="4">
        <v>7</v>
      </c>
      <c r="K47" s="4">
        <v>8</v>
      </c>
      <c r="L47" s="4">
        <v>9</v>
      </c>
      <c r="M47" s="4">
        <v>10</v>
      </c>
      <c r="N47" s="4">
        <v>11</v>
      </c>
      <c r="O47" s="4">
        <v>12</v>
      </c>
      <c r="Q47" t="s">
        <v>336</v>
      </c>
      <c r="R47" t="s">
        <v>337</v>
      </c>
      <c r="S47">
        <v>1</v>
      </c>
      <c r="T47">
        <v>2</v>
      </c>
      <c r="U47">
        <v>3</v>
      </c>
      <c r="V47">
        <v>4</v>
      </c>
      <c r="W47">
        <v>5</v>
      </c>
      <c r="X47">
        <v>6</v>
      </c>
      <c r="Y47">
        <v>7</v>
      </c>
      <c r="Z47">
        <v>8</v>
      </c>
      <c r="AA47">
        <v>9</v>
      </c>
      <c r="AB47">
        <v>10</v>
      </c>
      <c r="AC47">
        <v>11</v>
      </c>
      <c r="AD47">
        <v>12</v>
      </c>
      <c r="AF47" t="s">
        <v>336</v>
      </c>
      <c r="AG47" t="s">
        <v>337</v>
      </c>
    </row>
    <row r="48" spans="2:78" x14ac:dyDescent="0.5">
      <c r="B48" s="4">
        <v>20</v>
      </c>
      <c r="C48" s="4" t="s">
        <v>137</v>
      </c>
      <c r="D48" s="4">
        <v>-11</v>
      </c>
      <c r="E48" s="4">
        <v>17</v>
      </c>
      <c r="F48" s="4">
        <v>2</v>
      </c>
      <c r="G48" s="4">
        <v>3</v>
      </c>
      <c r="H48" s="4">
        <v>6</v>
      </c>
      <c r="I48" s="4">
        <v>7</v>
      </c>
      <c r="J48" s="4">
        <v>-3</v>
      </c>
      <c r="K48" s="4">
        <v>-3</v>
      </c>
      <c r="L48" s="4">
        <v>12</v>
      </c>
      <c r="M48" s="4">
        <v>-9</v>
      </c>
      <c r="N48" s="4">
        <v>-15</v>
      </c>
      <c r="O48" s="4">
        <v>2</v>
      </c>
      <c r="Q48">
        <v>20</v>
      </c>
      <c r="R48" t="s">
        <v>137</v>
      </c>
      <c r="S48">
        <v>33</v>
      </c>
      <c r="T48">
        <v>-15</v>
      </c>
      <c r="U48">
        <v>0</v>
      </c>
      <c r="V48">
        <v>7</v>
      </c>
      <c r="W48">
        <v>-14</v>
      </c>
      <c r="X48">
        <v>13</v>
      </c>
      <c r="Y48">
        <v>-9</v>
      </c>
      <c r="Z48">
        <v>-5</v>
      </c>
      <c r="AA48">
        <v>0</v>
      </c>
      <c r="AB48">
        <v>19</v>
      </c>
      <c r="AC48">
        <v>3</v>
      </c>
      <c r="AD48">
        <v>16</v>
      </c>
      <c r="AF48">
        <v>20</v>
      </c>
      <c r="AG48" t="s">
        <v>137</v>
      </c>
    </row>
    <row r="49" spans="2:78" ht="17.649999999999999" x14ac:dyDescent="0.5">
      <c r="B49" s="4">
        <v>19</v>
      </c>
      <c r="C49" s="4" t="s">
        <v>137</v>
      </c>
      <c r="D49" s="4">
        <v>9</v>
      </c>
      <c r="E49" s="4">
        <v>-13</v>
      </c>
      <c r="F49" s="4">
        <v>12</v>
      </c>
      <c r="G49" s="4">
        <v>13</v>
      </c>
      <c r="H49" s="4">
        <v>12</v>
      </c>
      <c r="I49" s="4">
        <v>-9</v>
      </c>
      <c r="J49" s="4">
        <v>-3</v>
      </c>
      <c r="K49" s="4">
        <v>13</v>
      </c>
      <c r="L49" s="4">
        <v>-6</v>
      </c>
      <c r="M49" s="4">
        <v>-15</v>
      </c>
      <c r="N49" s="4">
        <v>-1</v>
      </c>
      <c r="O49" s="4">
        <v>2</v>
      </c>
      <c r="Q49">
        <v>19</v>
      </c>
      <c r="R49" s="3" t="s">
        <v>137</v>
      </c>
      <c r="S49">
        <v>32</v>
      </c>
      <c r="T49">
        <v>-9</v>
      </c>
      <c r="U49">
        <v>-16</v>
      </c>
      <c r="V49">
        <v>-7</v>
      </c>
      <c r="W49">
        <v>-8</v>
      </c>
      <c r="X49">
        <v>-3</v>
      </c>
      <c r="Y49">
        <v>-23</v>
      </c>
      <c r="Z49">
        <v>-11</v>
      </c>
      <c r="AA49">
        <v>8</v>
      </c>
      <c r="AB49">
        <v>17</v>
      </c>
      <c r="AC49">
        <v>-5</v>
      </c>
      <c r="AD49">
        <v>8</v>
      </c>
      <c r="AF49">
        <v>19</v>
      </c>
      <c r="AG49" s="3" t="s">
        <v>137</v>
      </c>
    </row>
    <row r="50" spans="2:78" x14ac:dyDescent="0.5">
      <c r="B50" s="4">
        <v>18</v>
      </c>
      <c r="C50" s="4" t="s">
        <v>137</v>
      </c>
      <c r="D50" s="4">
        <v>-11</v>
      </c>
      <c r="E50" s="4">
        <v>3</v>
      </c>
      <c r="F50" s="4">
        <v>14</v>
      </c>
      <c r="G50" s="4">
        <v>-1</v>
      </c>
      <c r="H50" s="4">
        <v>-4</v>
      </c>
      <c r="I50" s="4">
        <v>3</v>
      </c>
      <c r="J50" s="4">
        <v>-5</v>
      </c>
      <c r="K50" s="4">
        <v>11</v>
      </c>
      <c r="L50" s="4">
        <v>-8</v>
      </c>
      <c r="M50" s="4">
        <v>-5</v>
      </c>
      <c r="N50" s="4">
        <v>9</v>
      </c>
      <c r="O50" s="4">
        <v>-8</v>
      </c>
      <c r="Q50">
        <v>18</v>
      </c>
      <c r="R50" t="s">
        <v>137</v>
      </c>
      <c r="S50">
        <v>36</v>
      </c>
      <c r="T50">
        <v>-9</v>
      </c>
      <c r="U50">
        <v>-6</v>
      </c>
      <c r="V50">
        <v>-7</v>
      </c>
      <c r="W50">
        <v>-8</v>
      </c>
      <c r="X50">
        <v>-3</v>
      </c>
      <c r="Y50">
        <v>-33</v>
      </c>
      <c r="Z50">
        <v>-1</v>
      </c>
      <c r="AA50">
        <v>2</v>
      </c>
      <c r="AB50">
        <v>15</v>
      </c>
      <c r="AC50">
        <v>3</v>
      </c>
      <c r="AD50">
        <v>10</v>
      </c>
      <c r="AF50">
        <v>18</v>
      </c>
      <c r="AG50" t="s">
        <v>137</v>
      </c>
    </row>
    <row r="51" spans="2:78" ht="17.649999999999999" x14ac:dyDescent="0.5">
      <c r="B51" s="4">
        <v>17</v>
      </c>
      <c r="C51" s="4" t="s">
        <v>137</v>
      </c>
      <c r="D51" s="4">
        <v>38</v>
      </c>
      <c r="E51" s="4">
        <v>-25</v>
      </c>
      <c r="F51" s="4">
        <v>-2</v>
      </c>
      <c r="G51" s="4">
        <v>-11</v>
      </c>
      <c r="H51" s="4">
        <v>-10</v>
      </c>
      <c r="I51" s="4">
        <v>-3</v>
      </c>
      <c r="J51" s="4">
        <v>-17</v>
      </c>
      <c r="K51" s="4">
        <v>5</v>
      </c>
      <c r="L51" s="4">
        <v>4</v>
      </c>
      <c r="M51" s="4">
        <v>15</v>
      </c>
      <c r="N51" s="4">
        <v>-9</v>
      </c>
      <c r="O51" s="4">
        <v>4</v>
      </c>
      <c r="Q51">
        <v>17</v>
      </c>
      <c r="R51" s="3" t="s">
        <v>137</v>
      </c>
      <c r="S51">
        <v>38</v>
      </c>
      <c r="T51">
        <v>-25</v>
      </c>
      <c r="U51">
        <v>-2</v>
      </c>
      <c r="V51">
        <v>-11</v>
      </c>
      <c r="W51">
        <v>-10</v>
      </c>
      <c r="X51">
        <v>-3</v>
      </c>
      <c r="Y51">
        <v>-17</v>
      </c>
      <c r="Z51">
        <v>5</v>
      </c>
      <c r="AA51">
        <v>4</v>
      </c>
      <c r="AB51">
        <v>15</v>
      </c>
      <c r="AC51">
        <v>-9</v>
      </c>
      <c r="AD51">
        <v>4</v>
      </c>
      <c r="AF51">
        <v>17</v>
      </c>
      <c r="AG51" s="3" t="s">
        <v>137</v>
      </c>
    </row>
    <row r="52" spans="2:78" ht="17.649999999999999" x14ac:dyDescent="0.5">
      <c r="B52" s="4">
        <v>16</v>
      </c>
      <c r="C52" s="4" t="s">
        <v>137</v>
      </c>
      <c r="D52" s="4">
        <v>11</v>
      </c>
      <c r="E52" s="4">
        <v>-1</v>
      </c>
      <c r="F52" s="4">
        <v>4</v>
      </c>
      <c r="G52" s="4">
        <v>-5</v>
      </c>
      <c r="H52" s="4">
        <v>-4</v>
      </c>
      <c r="I52" s="4">
        <v>1</v>
      </c>
      <c r="J52" s="4">
        <v>9</v>
      </c>
      <c r="K52" s="4">
        <v>-1</v>
      </c>
      <c r="L52" s="4">
        <v>-16</v>
      </c>
      <c r="M52" s="4">
        <v>9</v>
      </c>
      <c r="N52" s="4">
        <v>9</v>
      </c>
      <c r="O52" s="4">
        <v>-4</v>
      </c>
      <c r="Q52">
        <v>16</v>
      </c>
      <c r="R52" s="3" t="s">
        <v>137</v>
      </c>
      <c r="S52">
        <v>38</v>
      </c>
      <c r="T52">
        <v>-25</v>
      </c>
      <c r="U52">
        <v>-2</v>
      </c>
      <c r="V52">
        <v>-11</v>
      </c>
      <c r="W52">
        <v>-10</v>
      </c>
      <c r="X52">
        <v>-3</v>
      </c>
      <c r="Y52">
        <v>-17</v>
      </c>
      <c r="Z52">
        <v>5</v>
      </c>
      <c r="AA52">
        <v>4</v>
      </c>
      <c r="AB52">
        <v>15</v>
      </c>
      <c r="AC52">
        <v>-9</v>
      </c>
      <c r="AD52">
        <v>4</v>
      </c>
      <c r="AF52">
        <v>16</v>
      </c>
      <c r="AG52" s="3" t="s">
        <v>137</v>
      </c>
    </row>
    <row r="53" spans="2:78" x14ac:dyDescent="0.5">
      <c r="B53" s="4">
        <v>15</v>
      </c>
      <c r="C53" s="4" t="s">
        <v>137</v>
      </c>
      <c r="D53" s="4">
        <v>54</v>
      </c>
      <c r="E53" s="4">
        <v>-27</v>
      </c>
      <c r="F53" s="4">
        <v>-20</v>
      </c>
      <c r="G53" s="4">
        <v>5</v>
      </c>
      <c r="H53" s="4">
        <v>-10</v>
      </c>
      <c r="I53" s="4">
        <v>-3</v>
      </c>
      <c r="J53" s="4">
        <v>-11</v>
      </c>
      <c r="K53" s="4">
        <v>-7</v>
      </c>
      <c r="L53" s="4">
        <v>-2</v>
      </c>
      <c r="M53" s="4">
        <v>21</v>
      </c>
      <c r="N53" s="4">
        <v>-1</v>
      </c>
      <c r="O53" s="4">
        <v>6</v>
      </c>
      <c r="Q53">
        <v>15</v>
      </c>
      <c r="R53" t="s">
        <v>137</v>
      </c>
      <c r="S53">
        <v>54</v>
      </c>
      <c r="T53">
        <v>-27</v>
      </c>
      <c r="U53">
        <v>-20</v>
      </c>
      <c r="V53">
        <v>5</v>
      </c>
      <c r="W53">
        <v>-10</v>
      </c>
      <c r="X53">
        <v>-3</v>
      </c>
      <c r="Y53">
        <v>-11</v>
      </c>
      <c r="Z53">
        <v>-7</v>
      </c>
      <c r="AA53">
        <v>-2</v>
      </c>
      <c r="AB53">
        <v>21</v>
      </c>
      <c r="AC53">
        <v>-1</v>
      </c>
      <c r="AD53">
        <v>6</v>
      </c>
      <c r="AF53">
        <v>15</v>
      </c>
      <c r="AG53" t="s">
        <v>137</v>
      </c>
    </row>
    <row r="54" spans="2:78" x14ac:dyDescent="0.5">
      <c r="B54" s="4">
        <v>14</v>
      </c>
      <c r="C54" s="4" t="s">
        <v>137</v>
      </c>
      <c r="D54" s="4">
        <v>13</v>
      </c>
      <c r="E54" s="4">
        <v>5</v>
      </c>
      <c r="F54" s="4">
        <v>-2</v>
      </c>
      <c r="G54" s="4">
        <v>-9</v>
      </c>
      <c r="H54" s="4">
        <v>6</v>
      </c>
      <c r="I54" s="4">
        <v>17</v>
      </c>
      <c r="J54" s="4">
        <v>5</v>
      </c>
      <c r="K54" s="4">
        <v>-3</v>
      </c>
      <c r="L54" s="4">
        <v>4</v>
      </c>
      <c r="M54" s="4">
        <v>7</v>
      </c>
      <c r="N54" s="4">
        <v>-9</v>
      </c>
      <c r="O54" s="4">
        <v>-12</v>
      </c>
      <c r="Q54">
        <v>14</v>
      </c>
      <c r="R54" t="s">
        <v>137</v>
      </c>
      <c r="S54">
        <v>33</v>
      </c>
      <c r="T54">
        <v>-7</v>
      </c>
      <c r="U54">
        <v>-12</v>
      </c>
      <c r="V54">
        <v>-5</v>
      </c>
      <c r="W54">
        <v>-8</v>
      </c>
      <c r="X54">
        <v>-11</v>
      </c>
      <c r="Y54">
        <v>-21</v>
      </c>
      <c r="Z54">
        <v>-3</v>
      </c>
      <c r="AA54">
        <v>0</v>
      </c>
      <c r="AB54">
        <v>5</v>
      </c>
      <c r="AC54">
        <v>17</v>
      </c>
      <c r="AD54">
        <v>2</v>
      </c>
      <c r="AF54">
        <v>14</v>
      </c>
      <c r="AG54" t="s">
        <v>137</v>
      </c>
    </row>
    <row r="55" spans="2:78" x14ac:dyDescent="0.5">
      <c r="B55" s="4">
        <v>13</v>
      </c>
      <c r="C55" s="4" t="s">
        <v>137</v>
      </c>
      <c r="D55" s="4">
        <v>7</v>
      </c>
      <c r="E55" s="4">
        <v>-1</v>
      </c>
      <c r="F55" s="4">
        <v>8</v>
      </c>
      <c r="G55" s="4">
        <v>5</v>
      </c>
      <c r="H55" s="4">
        <v>-14</v>
      </c>
      <c r="I55" s="4">
        <v>-1</v>
      </c>
      <c r="J55" s="4">
        <v>1</v>
      </c>
      <c r="K55" s="4">
        <v>-11</v>
      </c>
      <c r="L55" s="4">
        <v>2</v>
      </c>
      <c r="M55" s="4">
        <v>-17</v>
      </c>
      <c r="N55" s="4">
        <v>3</v>
      </c>
      <c r="O55" s="4">
        <v>-6</v>
      </c>
      <c r="Q55">
        <v>13</v>
      </c>
      <c r="R55" t="s">
        <v>137</v>
      </c>
      <c r="S55">
        <v>32</v>
      </c>
      <c r="T55">
        <v>-9</v>
      </c>
      <c r="U55">
        <v>-36</v>
      </c>
      <c r="V55">
        <v>23</v>
      </c>
      <c r="W55">
        <v>-12</v>
      </c>
      <c r="X55">
        <v>-1</v>
      </c>
      <c r="Y55">
        <v>-19</v>
      </c>
      <c r="Z55">
        <v>-3</v>
      </c>
      <c r="AA55">
        <v>-4</v>
      </c>
      <c r="AB55">
        <v>13</v>
      </c>
      <c r="AC55">
        <v>-5</v>
      </c>
      <c r="AD55">
        <v>12</v>
      </c>
      <c r="AF55">
        <v>13</v>
      </c>
      <c r="AG55" t="s">
        <v>137</v>
      </c>
    </row>
    <row r="56" spans="2:78" x14ac:dyDescent="0.5">
      <c r="B56" s="4">
        <v>12</v>
      </c>
      <c r="C56" s="4" t="s">
        <v>137</v>
      </c>
      <c r="D56" s="4">
        <v>7</v>
      </c>
      <c r="E56" s="4">
        <v>-1</v>
      </c>
      <c r="F56" s="4">
        <v>8</v>
      </c>
      <c r="G56" s="4">
        <v>5</v>
      </c>
      <c r="H56" s="4">
        <v>-14</v>
      </c>
      <c r="I56" s="4">
        <v>-1</v>
      </c>
      <c r="J56" s="4">
        <v>1</v>
      </c>
      <c r="K56" s="4">
        <v>-11</v>
      </c>
      <c r="L56" s="4">
        <v>2</v>
      </c>
      <c r="M56" s="4">
        <v>-17</v>
      </c>
      <c r="N56" s="4">
        <v>3</v>
      </c>
      <c r="O56" s="4">
        <v>-6</v>
      </c>
      <c r="Q56">
        <v>12</v>
      </c>
      <c r="R56" t="s">
        <v>137</v>
      </c>
      <c r="S56">
        <v>32</v>
      </c>
      <c r="T56">
        <v>-9</v>
      </c>
      <c r="U56">
        <v>-36</v>
      </c>
      <c r="V56">
        <v>23</v>
      </c>
      <c r="W56">
        <v>-12</v>
      </c>
      <c r="X56">
        <v>-1</v>
      </c>
      <c r="Y56">
        <v>-19</v>
      </c>
      <c r="Z56">
        <v>-3</v>
      </c>
      <c r="AA56">
        <v>-4</v>
      </c>
      <c r="AB56">
        <v>13</v>
      </c>
      <c r="AC56">
        <v>-5</v>
      </c>
      <c r="AD56">
        <v>12</v>
      </c>
      <c r="AF56">
        <v>12</v>
      </c>
      <c r="AG56" t="s">
        <v>137</v>
      </c>
    </row>
    <row r="57" spans="2:78" x14ac:dyDescent="0.5">
      <c r="B57" s="4">
        <v>11</v>
      </c>
      <c r="C57" s="4" t="s">
        <v>137</v>
      </c>
      <c r="D57" s="4">
        <v>-7</v>
      </c>
      <c r="E57" s="4">
        <v>5</v>
      </c>
      <c r="F57" s="4">
        <v>4</v>
      </c>
      <c r="G57" s="4">
        <v>-11</v>
      </c>
      <c r="H57" s="4">
        <v>-14</v>
      </c>
      <c r="I57" s="4">
        <v>-5</v>
      </c>
      <c r="J57" s="4">
        <v>5</v>
      </c>
      <c r="K57" s="4">
        <v>-5</v>
      </c>
      <c r="L57" s="4">
        <v>-6</v>
      </c>
      <c r="M57" s="4">
        <v>5</v>
      </c>
      <c r="N57" s="4">
        <v>1</v>
      </c>
      <c r="O57" s="4">
        <v>-10</v>
      </c>
      <c r="Q57">
        <v>11</v>
      </c>
      <c r="R57" t="s">
        <v>137</v>
      </c>
      <c r="S57">
        <v>35</v>
      </c>
      <c r="T57">
        <v>-21</v>
      </c>
      <c r="U57">
        <v>-8</v>
      </c>
      <c r="V57">
        <v>-11</v>
      </c>
      <c r="W57">
        <v>-12</v>
      </c>
      <c r="X57">
        <v>3</v>
      </c>
      <c r="Y57">
        <v>-7</v>
      </c>
      <c r="Z57">
        <v>-1</v>
      </c>
      <c r="AA57">
        <v>6</v>
      </c>
      <c r="AB57">
        <v>11</v>
      </c>
      <c r="AC57">
        <v>-19</v>
      </c>
      <c r="AD57">
        <v>14</v>
      </c>
      <c r="AF57">
        <v>11</v>
      </c>
      <c r="AG57" t="s">
        <v>137</v>
      </c>
      <c r="BN57" t="s">
        <v>340</v>
      </c>
      <c r="BO57">
        <f>(BO42-AZ42)/SQRT((AZ44*AZ44)+(BO44*BO44))</f>
        <v>8.4876701967365804</v>
      </c>
      <c r="BP57">
        <f t="shared" ref="BP57" si="130">(BP42-BA42)/SQRT((BA44*BA44)+(BP44*BP44))</f>
        <v>3.7417279304247644</v>
      </c>
      <c r="BQ57">
        <f t="shared" ref="BQ57" si="131">(BQ42-BB42)/SQRT((BB44*BB44)+(BQ44*BQ44))</f>
        <v>1.981660307538311</v>
      </c>
      <c r="BR57">
        <f t="shared" ref="BR57" si="132">(BR42-BC42)/SQRT((BC44*BC44)+(BR44*BR44))</f>
        <v>1.3248317251289519</v>
      </c>
      <c r="BS57">
        <f t="shared" ref="BS57" si="133">(BS42-BD42)/SQRT((BD44*BD44)+(BS44*BS44))</f>
        <v>2.4394773813354762</v>
      </c>
      <c r="BT57">
        <f t="shared" ref="BT57" si="134">(BT42-BE42)/SQRT((BE44*BE44)+(BT44*BT44))</f>
        <v>1.4351865659355643</v>
      </c>
      <c r="BU57">
        <f t="shared" ref="BU57" si="135">(BU42-BF42)/SQRT((BF44*BF44)+(BU44*BU44))</f>
        <v>4.5763044937196087</v>
      </c>
      <c r="BV57">
        <f t="shared" ref="BV57" si="136">(BV42-BG42)/SQRT((BG44*BG44)+(BV44*BV44))</f>
        <v>-1.1582892003400409</v>
      </c>
      <c r="BW57">
        <f t="shared" ref="BW57" si="137">(BW42-BH42)/SQRT((BH44*BH44)+(BW44*BW44))</f>
        <v>-6.7997001224020512E-2</v>
      </c>
      <c r="BX57">
        <f t="shared" ref="BX57" si="138">(BX42-BI42)/SQRT((BI44*BI44)+(BX44*BX44))</f>
        <v>1.3547412064165794</v>
      </c>
      <c r="BY57">
        <f t="shared" ref="BY57" si="139">(BY42-BJ42)/SQRT((BJ44*BJ44)+(BY44*BY44))</f>
        <v>6.1913654148988577E-2</v>
      </c>
      <c r="BZ57">
        <f t="shared" ref="BZ57" si="140">(BZ42-BK42)/SQRT((BK44*BK44)+(BZ44*BZ44))</f>
        <v>0.75745934023245232</v>
      </c>
    </row>
    <row r="58" spans="2:78" x14ac:dyDescent="0.5">
      <c r="B58" s="4">
        <v>10</v>
      </c>
      <c r="C58" s="4" t="s">
        <v>137</v>
      </c>
      <c r="D58" s="4">
        <v>5</v>
      </c>
      <c r="E58" s="4">
        <v>7</v>
      </c>
      <c r="F58" s="4">
        <v>6</v>
      </c>
      <c r="G58" s="4">
        <v>3</v>
      </c>
      <c r="H58" s="4">
        <v>-2</v>
      </c>
      <c r="I58" s="4">
        <v>-1</v>
      </c>
      <c r="J58" s="4">
        <v>3</v>
      </c>
      <c r="K58" s="4">
        <v>3</v>
      </c>
      <c r="L58" s="4">
        <v>-2</v>
      </c>
      <c r="M58" s="4">
        <v>5</v>
      </c>
      <c r="N58" s="4">
        <v>11</v>
      </c>
      <c r="O58" s="4">
        <v>-8</v>
      </c>
      <c r="Q58">
        <v>10</v>
      </c>
      <c r="R58" t="s">
        <v>137</v>
      </c>
      <c r="S58">
        <v>32</v>
      </c>
      <c r="T58">
        <v>-23</v>
      </c>
      <c r="U58">
        <v>-18</v>
      </c>
      <c r="V58">
        <v>11</v>
      </c>
      <c r="W58">
        <v>-18</v>
      </c>
      <c r="X58">
        <v>-15</v>
      </c>
      <c r="Y58">
        <v>-15</v>
      </c>
      <c r="Z58">
        <v>-3</v>
      </c>
      <c r="AA58">
        <v>0</v>
      </c>
      <c r="AB58">
        <v>-3</v>
      </c>
      <c r="AC58">
        <v>-7</v>
      </c>
      <c r="AD58">
        <v>10</v>
      </c>
      <c r="AF58">
        <v>10</v>
      </c>
      <c r="AG58" t="s">
        <v>137</v>
      </c>
    </row>
    <row r="59" spans="2:78" x14ac:dyDescent="0.5">
      <c r="B59" s="4">
        <v>9</v>
      </c>
      <c r="C59" s="4" t="s">
        <v>137</v>
      </c>
      <c r="D59" s="4">
        <v>-1</v>
      </c>
      <c r="E59" s="4">
        <v>-3</v>
      </c>
      <c r="F59" s="4">
        <v>-4</v>
      </c>
      <c r="G59" s="4">
        <v>-5</v>
      </c>
      <c r="H59" s="4">
        <v>0</v>
      </c>
      <c r="I59" s="4">
        <v>7</v>
      </c>
      <c r="J59" s="4">
        <v>-1</v>
      </c>
      <c r="K59" s="4">
        <v>9</v>
      </c>
      <c r="L59" s="4">
        <v>14</v>
      </c>
      <c r="M59" s="4">
        <v>-1</v>
      </c>
      <c r="N59" s="4">
        <v>-1</v>
      </c>
      <c r="O59" s="4">
        <v>12</v>
      </c>
      <c r="Q59">
        <v>9</v>
      </c>
      <c r="R59" t="s">
        <v>137</v>
      </c>
      <c r="S59">
        <v>37</v>
      </c>
      <c r="T59">
        <v>-21</v>
      </c>
      <c r="U59">
        <v>-10</v>
      </c>
      <c r="V59">
        <v>3</v>
      </c>
      <c r="W59">
        <v>-16</v>
      </c>
      <c r="X59">
        <v>15</v>
      </c>
      <c r="Y59">
        <v>-9</v>
      </c>
      <c r="Z59">
        <v>-19</v>
      </c>
      <c r="AA59">
        <v>0</v>
      </c>
      <c r="AB59">
        <v>11</v>
      </c>
      <c r="AC59">
        <v>-3</v>
      </c>
      <c r="AD59">
        <v>8</v>
      </c>
      <c r="AF59">
        <v>9</v>
      </c>
      <c r="AG59" t="s">
        <v>137</v>
      </c>
      <c r="BM59" t="s">
        <v>347</v>
      </c>
    </row>
    <row r="60" spans="2:78" x14ac:dyDescent="0.5">
      <c r="B60" s="4">
        <v>8</v>
      </c>
      <c r="C60" s="4" t="s">
        <v>137</v>
      </c>
      <c r="D60" s="4">
        <v>3</v>
      </c>
      <c r="E60" s="4">
        <v>15</v>
      </c>
      <c r="F60" s="4">
        <v>-20</v>
      </c>
      <c r="G60" s="4">
        <v>9</v>
      </c>
      <c r="H60" s="4">
        <v>6</v>
      </c>
      <c r="I60" s="4">
        <v>-15</v>
      </c>
      <c r="J60" s="4">
        <v>1</v>
      </c>
      <c r="K60" s="4">
        <v>-13</v>
      </c>
      <c r="L60" s="4">
        <v>-4</v>
      </c>
      <c r="M60" s="4">
        <v>11</v>
      </c>
      <c r="N60" s="4">
        <v>11</v>
      </c>
      <c r="O60" s="4">
        <v>-2</v>
      </c>
      <c r="Q60">
        <v>8</v>
      </c>
      <c r="R60" t="s">
        <v>137</v>
      </c>
      <c r="S60">
        <v>27</v>
      </c>
      <c r="T60">
        <v>-31</v>
      </c>
      <c r="U60">
        <v>-12</v>
      </c>
      <c r="V60">
        <v>-11</v>
      </c>
      <c r="W60">
        <v>4</v>
      </c>
      <c r="X60">
        <v>-5</v>
      </c>
      <c r="Y60">
        <v>-13</v>
      </c>
      <c r="Z60">
        <v>-15</v>
      </c>
      <c r="AA60">
        <v>-6</v>
      </c>
      <c r="AB60">
        <v>15</v>
      </c>
      <c r="AC60">
        <v>-9</v>
      </c>
      <c r="AD60">
        <v>14</v>
      </c>
      <c r="AF60">
        <v>8</v>
      </c>
      <c r="AG60" t="s">
        <v>137</v>
      </c>
      <c r="BM60" t="s">
        <v>348</v>
      </c>
    </row>
    <row r="61" spans="2:78" x14ac:dyDescent="0.5">
      <c r="B61" s="4">
        <v>7</v>
      </c>
      <c r="C61" s="4" t="s">
        <v>137</v>
      </c>
      <c r="D61" s="4">
        <v>-7</v>
      </c>
      <c r="E61" s="4">
        <v>5</v>
      </c>
      <c r="F61" s="4">
        <v>22</v>
      </c>
      <c r="G61" s="4">
        <v>9</v>
      </c>
      <c r="H61" s="4">
        <v>4</v>
      </c>
      <c r="I61" s="4">
        <v>-11</v>
      </c>
      <c r="J61" s="4">
        <v>-7</v>
      </c>
      <c r="K61" s="4">
        <v>5</v>
      </c>
      <c r="L61" s="4">
        <v>14</v>
      </c>
      <c r="M61" s="4">
        <v>-15</v>
      </c>
      <c r="N61" s="4">
        <v>-9</v>
      </c>
      <c r="O61" s="4">
        <v>6</v>
      </c>
      <c r="Q61">
        <v>7</v>
      </c>
      <c r="R61" t="s">
        <v>137</v>
      </c>
      <c r="S61">
        <v>42</v>
      </c>
      <c r="T61">
        <v>-29</v>
      </c>
      <c r="U61">
        <v>6</v>
      </c>
      <c r="V61">
        <v>11</v>
      </c>
      <c r="W61">
        <v>-22</v>
      </c>
      <c r="X61">
        <v>-13</v>
      </c>
      <c r="Y61">
        <v>-13</v>
      </c>
      <c r="Z61">
        <v>-1</v>
      </c>
      <c r="AA61">
        <v>-10</v>
      </c>
      <c r="AB61">
        <v>13</v>
      </c>
      <c r="AC61">
        <v>9</v>
      </c>
      <c r="AD61">
        <v>12</v>
      </c>
      <c r="AF61">
        <v>7</v>
      </c>
      <c r="AG61" t="s">
        <v>137</v>
      </c>
    </row>
    <row r="62" spans="2:78" x14ac:dyDescent="0.5">
      <c r="B62" s="4">
        <v>6</v>
      </c>
      <c r="C62" s="4" t="s">
        <v>137</v>
      </c>
      <c r="D62" s="4">
        <v>-9</v>
      </c>
      <c r="E62" s="4">
        <v>-9</v>
      </c>
      <c r="F62" s="4">
        <v>-2</v>
      </c>
      <c r="G62" s="4">
        <v>5</v>
      </c>
      <c r="H62" s="4">
        <v>2</v>
      </c>
      <c r="I62" s="4">
        <v>-7</v>
      </c>
      <c r="J62" s="4">
        <v>9</v>
      </c>
      <c r="K62" s="4">
        <v>19</v>
      </c>
      <c r="L62" s="4">
        <v>-2</v>
      </c>
      <c r="M62" s="4">
        <v>-11</v>
      </c>
      <c r="N62" s="4">
        <v>-3</v>
      </c>
      <c r="O62" s="4">
        <v>-2</v>
      </c>
      <c r="Q62">
        <v>6</v>
      </c>
      <c r="R62" t="s">
        <v>137</v>
      </c>
      <c r="S62">
        <v>35</v>
      </c>
      <c r="T62">
        <v>-19</v>
      </c>
      <c r="U62">
        <v>2</v>
      </c>
      <c r="V62">
        <v>-17</v>
      </c>
      <c r="W62">
        <v>-14</v>
      </c>
      <c r="X62">
        <v>17</v>
      </c>
      <c r="Y62">
        <v>-27</v>
      </c>
      <c r="Z62">
        <v>5</v>
      </c>
      <c r="AA62">
        <v>-2</v>
      </c>
      <c r="AB62">
        <v>21</v>
      </c>
      <c r="AC62">
        <v>-11</v>
      </c>
      <c r="AD62">
        <v>6</v>
      </c>
      <c r="AF62">
        <v>6</v>
      </c>
      <c r="AG62" t="s">
        <v>137</v>
      </c>
    </row>
    <row r="63" spans="2:78" x14ac:dyDescent="0.5">
      <c r="B63" s="4">
        <v>5</v>
      </c>
      <c r="C63" s="4" t="s">
        <v>137</v>
      </c>
      <c r="D63" s="4">
        <v>7</v>
      </c>
      <c r="E63" s="4">
        <v>11</v>
      </c>
      <c r="F63" s="4">
        <v>4</v>
      </c>
      <c r="G63" s="4">
        <v>-11</v>
      </c>
      <c r="H63" s="4">
        <v>-2</v>
      </c>
      <c r="I63" s="4">
        <v>-7</v>
      </c>
      <c r="J63" s="4">
        <v>-15</v>
      </c>
      <c r="K63" s="4">
        <v>15</v>
      </c>
      <c r="L63" s="4">
        <v>8</v>
      </c>
      <c r="M63" s="4">
        <v>5</v>
      </c>
      <c r="N63" s="4">
        <v>-7</v>
      </c>
      <c r="O63" s="4">
        <v>4</v>
      </c>
      <c r="Q63">
        <v>5</v>
      </c>
      <c r="R63" t="s">
        <v>137</v>
      </c>
      <c r="S63">
        <v>38</v>
      </c>
      <c r="T63">
        <v>-13</v>
      </c>
      <c r="U63">
        <v>-14</v>
      </c>
      <c r="V63">
        <v>3</v>
      </c>
      <c r="W63">
        <v>-16</v>
      </c>
      <c r="X63">
        <v>19</v>
      </c>
      <c r="Y63">
        <v>-17</v>
      </c>
      <c r="Z63">
        <v>1</v>
      </c>
      <c r="AA63">
        <v>6</v>
      </c>
      <c r="AB63">
        <v>15</v>
      </c>
      <c r="AC63">
        <v>11</v>
      </c>
      <c r="AD63">
        <v>-4</v>
      </c>
      <c r="AF63">
        <v>5</v>
      </c>
      <c r="AG63" t="s">
        <v>137</v>
      </c>
    </row>
    <row r="64" spans="2:78" x14ac:dyDescent="0.5">
      <c r="B64" s="4">
        <v>4</v>
      </c>
      <c r="C64" s="4" t="s">
        <v>137</v>
      </c>
      <c r="D64" s="4">
        <v>-15</v>
      </c>
      <c r="E64" s="4">
        <v>-9</v>
      </c>
      <c r="F64" s="4">
        <v>8</v>
      </c>
      <c r="G64" s="4">
        <v>-1</v>
      </c>
      <c r="H64" s="4">
        <v>2</v>
      </c>
      <c r="I64" s="4">
        <v>9</v>
      </c>
      <c r="J64" s="4">
        <v>13</v>
      </c>
      <c r="K64" s="4">
        <v>9</v>
      </c>
      <c r="L64" s="4">
        <v>12</v>
      </c>
      <c r="M64" s="4">
        <v>-5</v>
      </c>
      <c r="N64" s="4">
        <v>-15</v>
      </c>
      <c r="O64" s="4">
        <v>-4</v>
      </c>
      <c r="Q64">
        <v>4</v>
      </c>
      <c r="R64" t="s">
        <v>137</v>
      </c>
      <c r="S64">
        <v>33</v>
      </c>
      <c r="T64">
        <v>-11</v>
      </c>
      <c r="U64">
        <v>-10</v>
      </c>
      <c r="V64">
        <v>9</v>
      </c>
      <c r="W64">
        <v>-12</v>
      </c>
      <c r="X64">
        <v>5</v>
      </c>
      <c r="Y64">
        <v>-19</v>
      </c>
      <c r="Z64">
        <v>-7</v>
      </c>
      <c r="AA64">
        <v>2</v>
      </c>
      <c r="AB64">
        <v>13</v>
      </c>
      <c r="AC64">
        <v>9</v>
      </c>
      <c r="AD64">
        <v>6</v>
      </c>
      <c r="AF64">
        <v>4</v>
      </c>
      <c r="AG64" t="s">
        <v>137</v>
      </c>
    </row>
    <row r="65" spans="2:33" x14ac:dyDescent="0.5">
      <c r="B65" s="4">
        <v>3</v>
      </c>
      <c r="C65" s="4" t="s">
        <v>137</v>
      </c>
      <c r="D65" s="4">
        <v>11</v>
      </c>
      <c r="E65" s="4">
        <v>5</v>
      </c>
      <c r="F65" s="4">
        <v>-10</v>
      </c>
      <c r="G65" s="4">
        <v>-7</v>
      </c>
      <c r="H65" s="4">
        <v>4</v>
      </c>
      <c r="I65" s="4">
        <v>5</v>
      </c>
      <c r="J65" s="4">
        <v>-17</v>
      </c>
      <c r="K65" s="4">
        <v>1</v>
      </c>
      <c r="L65" s="4">
        <v>6</v>
      </c>
      <c r="M65" s="4">
        <v>3</v>
      </c>
      <c r="N65" s="4">
        <v>1</v>
      </c>
      <c r="O65" s="4">
        <v>-2</v>
      </c>
      <c r="Q65">
        <v>3</v>
      </c>
      <c r="R65" t="s">
        <v>137</v>
      </c>
      <c r="S65">
        <v>39</v>
      </c>
      <c r="T65">
        <v>-13</v>
      </c>
      <c r="U65">
        <v>-14</v>
      </c>
      <c r="V65">
        <v>7</v>
      </c>
      <c r="W65">
        <v>-18</v>
      </c>
      <c r="X65">
        <v>-13</v>
      </c>
      <c r="Y65">
        <v>-25</v>
      </c>
      <c r="Z65">
        <v>-5</v>
      </c>
      <c r="AA65">
        <v>-18</v>
      </c>
      <c r="AB65">
        <v>5</v>
      </c>
      <c r="AC65">
        <v>7</v>
      </c>
      <c r="AD65">
        <v>18</v>
      </c>
      <c r="AF65">
        <v>3</v>
      </c>
      <c r="AG65" t="s">
        <v>137</v>
      </c>
    </row>
    <row r="66" spans="2:33" x14ac:dyDescent="0.5">
      <c r="B66" s="4">
        <v>2</v>
      </c>
      <c r="C66" s="4" t="s">
        <v>137</v>
      </c>
      <c r="D66" s="4">
        <v>3</v>
      </c>
      <c r="E66" s="4">
        <v>-3</v>
      </c>
      <c r="F66" s="4">
        <v>8</v>
      </c>
      <c r="G66" s="4">
        <v>-3</v>
      </c>
      <c r="H66" s="4">
        <v>8</v>
      </c>
      <c r="I66" s="4">
        <v>-3</v>
      </c>
      <c r="J66" s="4">
        <v>-3</v>
      </c>
      <c r="K66" s="4">
        <v>-1</v>
      </c>
      <c r="L66" s="4">
        <v>-4</v>
      </c>
      <c r="M66" s="4">
        <v>5</v>
      </c>
      <c r="N66" s="4">
        <v>-9</v>
      </c>
      <c r="O66" s="4">
        <v>0</v>
      </c>
      <c r="Q66">
        <v>2</v>
      </c>
      <c r="R66" t="s">
        <v>137</v>
      </c>
      <c r="S66">
        <v>33</v>
      </c>
      <c r="T66">
        <v>-27</v>
      </c>
      <c r="U66">
        <v>-4</v>
      </c>
      <c r="V66">
        <v>11</v>
      </c>
      <c r="W66">
        <v>-10</v>
      </c>
      <c r="X66">
        <v>-7</v>
      </c>
      <c r="Y66">
        <v>-25</v>
      </c>
      <c r="Z66">
        <v>-13</v>
      </c>
      <c r="AA66">
        <v>-2</v>
      </c>
      <c r="AB66">
        <v>13</v>
      </c>
      <c r="AC66">
        <v>1</v>
      </c>
      <c r="AD66">
        <v>6</v>
      </c>
      <c r="AF66">
        <v>2</v>
      </c>
      <c r="AG66" t="s">
        <v>137</v>
      </c>
    </row>
    <row r="67" spans="2:33" x14ac:dyDescent="0.5">
      <c r="B67" s="4">
        <v>1</v>
      </c>
      <c r="C67" s="4" t="s">
        <v>137</v>
      </c>
      <c r="D67" s="4">
        <v>9</v>
      </c>
      <c r="E67" s="4">
        <v>3</v>
      </c>
      <c r="F67" s="4">
        <v>2</v>
      </c>
      <c r="G67" s="4">
        <v>-7</v>
      </c>
      <c r="H67" s="4">
        <v>-4</v>
      </c>
      <c r="I67" s="4">
        <v>1</v>
      </c>
      <c r="J67" s="4">
        <v>19</v>
      </c>
      <c r="K67" s="4">
        <v>-19</v>
      </c>
      <c r="L67" s="4">
        <v>-2</v>
      </c>
      <c r="M67" s="4">
        <v>5</v>
      </c>
      <c r="N67" s="4">
        <v>-15</v>
      </c>
      <c r="O67" s="4">
        <v>10</v>
      </c>
      <c r="Q67">
        <v>1</v>
      </c>
      <c r="R67" t="s">
        <v>137</v>
      </c>
      <c r="S67">
        <v>44</v>
      </c>
      <c r="T67">
        <v>-21</v>
      </c>
      <c r="U67">
        <v>-14</v>
      </c>
      <c r="V67">
        <v>3</v>
      </c>
      <c r="W67">
        <v>-22</v>
      </c>
      <c r="X67">
        <v>-5</v>
      </c>
      <c r="Y67">
        <v>-13</v>
      </c>
      <c r="Z67">
        <v>-9</v>
      </c>
      <c r="AA67">
        <v>-12</v>
      </c>
      <c r="AB67">
        <v>13</v>
      </c>
      <c r="AC67">
        <v>15</v>
      </c>
      <c r="AD67">
        <v>10</v>
      </c>
      <c r="AF67">
        <v>1</v>
      </c>
      <c r="AG67" t="s">
        <v>137</v>
      </c>
    </row>
    <row r="68" spans="2:33" x14ac:dyDescent="0.5">
      <c r="B68" s="4">
        <v>20</v>
      </c>
      <c r="C68" s="4" t="s">
        <v>138</v>
      </c>
      <c r="D68" s="4">
        <v>1</v>
      </c>
      <c r="E68" s="4">
        <v>-7</v>
      </c>
      <c r="F68" s="4">
        <v>0</v>
      </c>
      <c r="G68" s="4">
        <v>3</v>
      </c>
      <c r="H68" s="4">
        <v>-8</v>
      </c>
      <c r="I68" s="4">
        <v>-13</v>
      </c>
      <c r="J68" s="4">
        <v>9</v>
      </c>
      <c r="K68" s="4">
        <v>-3</v>
      </c>
      <c r="L68" s="4">
        <v>2</v>
      </c>
      <c r="M68" s="4">
        <v>-15</v>
      </c>
      <c r="N68" s="4">
        <v>5</v>
      </c>
      <c r="O68" s="4">
        <v>18</v>
      </c>
      <c r="Q68">
        <v>20</v>
      </c>
      <c r="R68" t="s">
        <v>138</v>
      </c>
      <c r="S68">
        <v>29</v>
      </c>
      <c r="T68">
        <v>-15</v>
      </c>
      <c r="U68">
        <v>-16</v>
      </c>
      <c r="V68">
        <v>3</v>
      </c>
      <c r="W68">
        <v>-26</v>
      </c>
      <c r="X68">
        <v>1</v>
      </c>
      <c r="Y68">
        <v>-15</v>
      </c>
      <c r="Z68">
        <v>-3</v>
      </c>
      <c r="AA68">
        <v>-2</v>
      </c>
      <c r="AB68">
        <v>-11</v>
      </c>
      <c r="AC68">
        <v>17</v>
      </c>
      <c r="AD68">
        <v>-10</v>
      </c>
      <c r="AF68">
        <v>20</v>
      </c>
      <c r="AG68" t="s">
        <v>138</v>
      </c>
    </row>
    <row r="69" spans="2:33" ht="17.649999999999999" x14ac:dyDescent="0.5">
      <c r="B69" s="4">
        <v>19</v>
      </c>
      <c r="C69" s="4" t="s">
        <v>138</v>
      </c>
      <c r="D69" s="4">
        <v>-9</v>
      </c>
      <c r="E69" s="4">
        <v>-9</v>
      </c>
      <c r="F69" s="4">
        <v>4</v>
      </c>
      <c r="G69" s="4">
        <v>-1</v>
      </c>
      <c r="H69" s="4">
        <v>0</v>
      </c>
      <c r="I69" s="4">
        <v>-7</v>
      </c>
      <c r="J69" s="4">
        <v>-7</v>
      </c>
      <c r="K69" s="4">
        <v>19</v>
      </c>
      <c r="L69" s="4">
        <v>-2</v>
      </c>
      <c r="M69" s="4">
        <v>-5</v>
      </c>
      <c r="N69" s="4">
        <v>-9</v>
      </c>
      <c r="O69" s="4">
        <v>12</v>
      </c>
      <c r="Q69">
        <v>19</v>
      </c>
      <c r="R69" s="3" t="s">
        <v>138</v>
      </c>
      <c r="S69">
        <v>45</v>
      </c>
      <c r="T69">
        <v>-13</v>
      </c>
      <c r="U69">
        <v>-24</v>
      </c>
      <c r="V69">
        <v>-1</v>
      </c>
      <c r="W69">
        <v>-10</v>
      </c>
      <c r="X69">
        <v>13</v>
      </c>
      <c r="Y69">
        <v>-15</v>
      </c>
      <c r="Z69">
        <v>-5</v>
      </c>
      <c r="AA69">
        <v>12</v>
      </c>
      <c r="AB69">
        <v>11</v>
      </c>
      <c r="AC69">
        <v>5</v>
      </c>
      <c r="AD69">
        <v>0</v>
      </c>
      <c r="AF69">
        <v>19</v>
      </c>
      <c r="AG69" s="3" t="s">
        <v>138</v>
      </c>
    </row>
    <row r="70" spans="2:33" x14ac:dyDescent="0.5">
      <c r="B70" s="4">
        <v>18</v>
      </c>
      <c r="C70" s="4" t="s">
        <v>138</v>
      </c>
      <c r="D70" s="4">
        <v>-3</v>
      </c>
      <c r="E70" s="4">
        <v>-7</v>
      </c>
      <c r="F70" s="4">
        <v>6</v>
      </c>
      <c r="G70" s="4">
        <v>1</v>
      </c>
      <c r="H70" s="4">
        <v>6</v>
      </c>
      <c r="I70" s="4">
        <v>-7</v>
      </c>
      <c r="J70" s="4">
        <v>-3</v>
      </c>
      <c r="K70" s="4">
        <v>15</v>
      </c>
      <c r="L70" s="4">
        <v>4</v>
      </c>
      <c r="M70" s="4">
        <v>-11</v>
      </c>
      <c r="N70" s="4">
        <v>-3</v>
      </c>
      <c r="O70" s="4">
        <v>4</v>
      </c>
      <c r="Q70">
        <v>18</v>
      </c>
      <c r="R70" t="s">
        <v>138</v>
      </c>
      <c r="S70">
        <v>40</v>
      </c>
      <c r="T70">
        <v>-11</v>
      </c>
      <c r="U70">
        <v>-16</v>
      </c>
      <c r="V70">
        <v>13</v>
      </c>
      <c r="W70">
        <v>-14</v>
      </c>
      <c r="X70">
        <v>-15</v>
      </c>
      <c r="Y70">
        <v>-15</v>
      </c>
      <c r="Z70">
        <v>-7</v>
      </c>
      <c r="AA70">
        <v>-4</v>
      </c>
      <c r="AB70">
        <v>3</v>
      </c>
      <c r="AC70">
        <v>15</v>
      </c>
      <c r="AD70">
        <v>12</v>
      </c>
      <c r="AF70">
        <v>18</v>
      </c>
      <c r="AG70" t="s">
        <v>138</v>
      </c>
    </row>
    <row r="71" spans="2:33" ht="17.649999999999999" x14ac:dyDescent="0.5">
      <c r="B71" s="4">
        <v>17</v>
      </c>
      <c r="C71" s="4" t="s">
        <v>138</v>
      </c>
      <c r="D71" s="4">
        <v>31</v>
      </c>
      <c r="E71" s="4">
        <v>-5</v>
      </c>
      <c r="F71" s="4">
        <v>4</v>
      </c>
      <c r="G71" s="4">
        <v>-13</v>
      </c>
      <c r="H71" s="4">
        <v>-16</v>
      </c>
      <c r="I71" s="4">
        <v>11</v>
      </c>
      <c r="J71" s="4">
        <v>-13</v>
      </c>
      <c r="K71" s="4">
        <v>-13</v>
      </c>
      <c r="L71" s="4">
        <v>-12</v>
      </c>
      <c r="M71" s="4">
        <v>13</v>
      </c>
      <c r="N71" s="4">
        <v>3</v>
      </c>
      <c r="O71" s="4">
        <v>20</v>
      </c>
      <c r="Q71">
        <v>17</v>
      </c>
      <c r="R71" s="3" t="s">
        <v>138</v>
      </c>
      <c r="S71">
        <v>31</v>
      </c>
      <c r="T71">
        <v>-5</v>
      </c>
      <c r="U71">
        <v>4</v>
      </c>
      <c r="V71">
        <v>-13</v>
      </c>
      <c r="W71">
        <v>-16</v>
      </c>
      <c r="X71">
        <v>11</v>
      </c>
      <c r="Y71">
        <v>-13</v>
      </c>
      <c r="Z71">
        <v>-13</v>
      </c>
      <c r="AA71">
        <v>-12</v>
      </c>
      <c r="AB71">
        <v>13</v>
      </c>
      <c r="AC71">
        <v>3</v>
      </c>
      <c r="AD71">
        <v>20</v>
      </c>
      <c r="AF71">
        <v>17</v>
      </c>
      <c r="AG71" s="3" t="s">
        <v>138</v>
      </c>
    </row>
    <row r="72" spans="2:33" ht="17.649999999999999" x14ac:dyDescent="0.5">
      <c r="B72" s="4">
        <v>16</v>
      </c>
      <c r="C72" s="4" t="s">
        <v>138</v>
      </c>
      <c r="D72" s="4">
        <v>-9</v>
      </c>
      <c r="E72" s="4">
        <v>1</v>
      </c>
      <c r="F72" s="4">
        <v>2</v>
      </c>
      <c r="G72" s="4">
        <v>-3</v>
      </c>
      <c r="H72" s="4">
        <v>-6</v>
      </c>
      <c r="I72" s="4">
        <v>9</v>
      </c>
      <c r="J72" s="4">
        <v>-3</v>
      </c>
      <c r="K72" s="4">
        <v>-9</v>
      </c>
      <c r="L72" s="4">
        <v>10</v>
      </c>
      <c r="M72" s="4">
        <v>1</v>
      </c>
      <c r="N72" s="4">
        <v>-7</v>
      </c>
      <c r="O72" s="4">
        <v>2</v>
      </c>
      <c r="Q72">
        <v>16</v>
      </c>
      <c r="R72" s="3" t="s">
        <v>138</v>
      </c>
      <c r="S72">
        <v>31</v>
      </c>
      <c r="T72">
        <v>-5</v>
      </c>
      <c r="U72">
        <v>4</v>
      </c>
      <c r="V72">
        <v>-13</v>
      </c>
      <c r="W72">
        <v>-16</v>
      </c>
      <c r="X72">
        <v>11</v>
      </c>
      <c r="Y72">
        <v>-13</v>
      </c>
      <c r="Z72">
        <v>-13</v>
      </c>
      <c r="AA72">
        <v>-12</v>
      </c>
      <c r="AB72">
        <v>13</v>
      </c>
      <c r="AC72">
        <v>3</v>
      </c>
      <c r="AD72">
        <v>20</v>
      </c>
      <c r="AF72">
        <v>16</v>
      </c>
      <c r="AG72" s="3" t="s">
        <v>138</v>
      </c>
    </row>
    <row r="73" spans="2:33" x14ac:dyDescent="0.5">
      <c r="B73" s="4">
        <v>15</v>
      </c>
      <c r="C73" s="4" t="s">
        <v>138</v>
      </c>
      <c r="D73" s="4">
        <v>48</v>
      </c>
      <c r="E73" s="4">
        <v>-21</v>
      </c>
      <c r="F73" s="4">
        <v>-20</v>
      </c>
      <c r="G73" s="4">
        <v>1</v>
      </c>
      <c r="H73" s="4">
        <v>-22</v>
      </c>
      <c r="I73" s="4">
        <v>13</v>
      </c>
      <c r="J73" s="4">
        <v>-19</v>
      </c>
      <c r="K73" s="4">
        <v>-19</v>
      </c>
      <c r="L73" s="4">
        <v>-2</v>
      </c>
      <c r="M73" s="4">
        <v>17</v>
      </c>
      <c r="N73" s="4">
        <v>5</v>
      </c>
      <c r="O73" s="4">
        <v>12</v>
      </c>
      <c r="Q73">
        <v>15</v>
      </c>
      <c r="R73" t="s">
        <v>138</v>
      </c>
      <c r="S73">
        <v>48</v>
      </c>
      <c r="T73">
        <v>-21</v>
      </c>
      <c r="U73">
        <v>-20</v>
      </c>
      <c r="V73">
        <v>1</v>
      </c>
      <c r="W73">
        <v>-22</v>
      </c>
      <c r="X73">
        <v>13</v>
      </c>
      <c r="Y73">
        <v>-19</v>
      </c>
      <c r="Z73">
        <v>-19</v>
      </c>
      <c r="AA73">
        <v>-2</v>
      </c>
      <c r="AB73">
        <v>17</v>
      </c>
      <c r="AC73">
        <v>5</v>
      </c>
      <c r="AD73">
        <v>12</v>
      </c>
      <c r="AF73">
        <v>15</v>
      </c>
      <c r="AG73" t="s">
        <v>138</v>
      </c>
    </row>
    <row r="74" spans="2:33" x14ac:dyDescent="0.5">
      <c r="B74" s="4">
        <v>14</v>
      </c>
      <c r="C74" s="4" t="s">
        <v>138</v>
      </c>
      <c r="D74" s="4">
        <v>-25</v>
      </c>
      <c r="E74" s="4">
        <v>-11</v>
      </c>
      <c r="F74" s="4">
        <v>4</v>
      </c>
      <c r="G74" s="4">
        <v>7</v>
      </c>
      <c r="H74" s="4">
        <v>-12</v>
      </c>
      <c r="I74" s="4">
        <v>7</v>
      </c>
      <c r="J74" s="4">
        <v>3</v>
      </c>
      <c r="K74" s="4">
        <v>13</v>
      </c>
      <c r="L74" s="4">
        <v>12</v>
      </c>
      <c r="M74" s="4">
        <v>-23</v>
      </c>
      <c r="N74" s="4">
        <v>-1</v>
      </c>
      <c r="O74" s="4">
        <v>4</v>
      </c>
      <c r="Q74">
        <v>14</v>
      </c>
      <c r="R74" t="s">
        <v>138</v>
      </c>
      <c r="S74">
        <v>42</v>
      </c>
      <c r="T74">
        <v>-17</v>
      </c>
      <c r="U74">
        <v>-20</v>
      </c>
      <c r="V74">
        <v>11</v>
      </c>
      <c r="W74">
        <v>-2</v>
      </c>
      <c r="X74">
        <v>-5</v>
      </c>
      <c r="Y74">
        <v>-25</v>
      </c>
      <c r="Z74">
        <v>-1</v>
      </c>
      <c r="AA74">
        <v>2</v>
      </c>
      <c r="AB74">
        <v>19</v>
      </c>
      <c r="AC74">
        <v>-7</v>
      </c>
      <c r="AD74">
        <v>12</v>
      </c>
      <c r="AF74">
        <v>14</v>
      </c>
      <c r="AG74" t="s">
        <v>138</v>
      </c>
    </row>
    <row r="75" spans="2:33" x14ac:dyDescent="0.5">
      <c r="B75" s="4">
        <v>13</v>
      </c>
      <c r="C75" s="4" t="s">
        <v>138</v>
      </c>
      <c r="D75" s="4">
        <v>-5</v>
      </c>
      <c r="E75" s="4">
        <v>5</v>
      </c>
      <c r="F75" s="4">
        <v>4</v>
      </c>
      <c r="G75" s="4">
        <v>1</v>
      </c>
      <c r="H75" s="4">
        <v>-10</v>
      </c>
      <c r="I75" s="4">
        <v>1</v>
      </c>
      <c r="J75" s="4">
        <v>-9</v>
      </c>
      <c r="K75" s="4">
        <v>13</v>
      </c>
      <c r="L75" s="4">
        <v>6</v>
      </c>
      <c r="M75" s="4">
        <v>-11</v>
      </c>
      <c r="N75" s="4">
        <v>5</v>
      </c>
      <c r="O75" s="4">
        <v>22</v>
      </c>
      <c r="Q75">
        <v>13</v>
      </c>
      <c r="R75" t="s">
        <v>138</v>
      </c>
      <c r="S75">
        <v>38</v>
      </c>
      <c r="T75">
        <v>-19</v>
      </c>
      <c r="U75">
        <v>4</v>
      </c>
      <c r="V75">
        <v>-7</v>
      </c>
      <c r="W75">
        <v>-6</v>
      </c>
      <c r="X75">
        <v>-7</v>
      </c>
      <c r="Y75">
        <v>-15</v>
      </c>
      <c r="Z75">
        <v>-5</v>
      </c>
      <c r="AA75">
        <v>4</v>
      </c>
      <c r="AB75">
        <v>3</v>
      </c>
      <c r="AC75">
        <v>19</v>
      </c>
      <c r="AD75">
        <v>0</v>
      </c>
      <c r="AF75">
        <v>13</v>
      </c>
      <c r="AG75" t="s">
        <v>138</v>
      </c>
    </row>
    <row r="76" spans="2:33" x14ac:dyDescent="0.5">
      <c r="B76" s="4">
        <v>12</v>
      </c>
      <c r="C76" s="4" t="s">
        <v>138</v>
      </c>
      <c r="D76" s="4">
        <v>-5</v>
      </c>
      <c r="E76" s="4">
        <v>5</v>
      </c>
      <c r="F76" s="4">
        <v>4</v>
      </c>
      <c r="G76" s="4">
        <v>1</v>
      </c>
      <c r="H76" s="4">
        <v>-10</v>
      </c>
      <c r="I76" s="4">
        <v>1</v>
      </c>
      <c r="J76" s="4">
        <v>-9</v>
      </c>
      <c r="K76" s="4">
        <v>13</v>
      </c>
      <c r="L76" s="4">
        <v>6</v>
      </c>
      <c r="M76" s="4">
        <v>-11</v>
      </c>
      <c r="N76" s="4">
        <v>5</v>
      </c>
      <c r="O76" s="4">
        <v>22</v>
      </c>
      <c r="Q76">
        <v>12</v>
      </c>
      <c r="R76" t="s">
        <v>138</v>
      </c>
      <c r="S76">
        <v>38</v>
      </c>
      <c r="T76">
        <v>-19</v>
      </c>
      <c r="U76">
        <v>4</v>
      </c>
      <c r="V76">
        <v>-7</v>
      </c>
      <c r="W76">
        <v>-6</v>
      </c>
      <c r="X76">
        <v>-7</v>
      </c>
      <c r="Y76">
        <v>-15</v>
      </c>
      <c r="Z76">
        <v>-5</v>
      </c>
      <c r="AA76">
        <v>4</v>
      </c>
      <c r="AB76">
        <v>3</v>
      </c>
      <c r="AC76">
        <v>19</v>
      </c>
      <c r="AD76">
        <v>0</v>
      </c>
      <c r="AF76">
        <v>12</v>
      </c>
      <c r="AG76" t="s">
        <v>138</v>
      </c>
    </row>
    <row r="77" spans="2:33" x14ac:dyDescent="0.5">
      <c r="B77" s="4">
        <v>11</v>
      </c>
      <c r="C77" s="4" t="s">
        <v>138</v>
      </c>
      <c r="D77" s="4">
        <v>-5</v>
      </c>
      <c r="E77" s="4">
        <v>11</v>
      </c>
      <c r="F77" s="4">
        <v>-2</v>
      </c>
      <c r="G77" s="4">
        <v>13</v>
      </c>
      <c r="H77" s="4">
        <v>14</v>
      </c>
      <c r="I77" s="4">
        <v>-3</v>
      </c>
      <c r="J77" s="4">
        <v>1</v>
      </c>
      <c r="K77" s="4">
        <v>-3</v>
      </c>
      <c r="L77" s="4">
        <v>-2</v>
      </c>
      <c r="M77" s="4">
        <v>-1</v>
      </c>
      <c r="N77" s="4">
        <v>11</v>
      </c>
      <c r="O77" s="4">
        <v>4</v>
      </c>
      <c r="Q77">
        <v>11</v>
      </c>
      <c r="R77" t="s">
        <v>138</v>
      </c>
      <c r="S77">
        <v>26</v>
      </c>
      <c r="T77">
        <v>-11</v>
      </c>
      <c r="U77">
        <v>-10</v>
      </c>
      <c r="V77">
        <v>7</v>
      </c>
      <c r="W77">
        <v>-6</v>
      </c>
      <c r="X77">
        <v>9</v>
      </c>
      <c r="Y77">
        <v>-17</v>
      </c>
      <c r="Z77">
        <v>-3</v>
      </c>
      <c r="AA77">
        <v>4</v>
      </c>
      <c r="AB77">
        <v>1</v>
      </c>
      <c r="AC77">
        <v>7</v>
      </c>
      <c r="AD77">
        <v>4</v>
      </c>
      <c r="AF77">
        <v>11</v>
      </c>
      <c r="AG77" t="s">
        <v>138</v>
      </c>
    </row>
    <row r="78" spans="2:33" x14ac:dyDescent="0.5">
      <c r="B78" s="4">
        <v>10</v>
      </c>
      <c r="C78" s="4" t="s">
        <v>138</v>
      </c>
      <c r="D78" s="4">
        <v>-21</v>
      </c>
      <c r="E78" s="4">
        <v>-1</v>
      </c>
      <c r="F78" s="4">
        <v>-10</v>
      </c>
      <c r="G78" s="4">
        <v>5</v>
      </c>
      <c r="H78" s="4">
        <v>4</v>
      </c>
      <c r="I78" s="4">
        <v>5</v>
      </c>
      <c r="J78" s="4">
        <v>7</v>
      </c>
      <c r="K78" s="4">
        <v>-3</v>
      </c>
      <c r="L78" s="4">
        <v>-4</v>
      </c>
      <c r="M78" s="4">
        <v>-3</v>
      </c>
      <c r="N78" s="4">
        <v>1</v>
      </c>
      <c r="O78" s="4">
        <v>-10</v>
      </c>
      <c r="Q78">
        <v>10</v>
      </c>
      <c r="R78" t="s">
        <v>138</v>
      </c>
      <c r="S78">
        <v>45</v>
      </c>
      <c r="T78">
        <v>-1</v>
      </c>
      <c r="U78">
        <v>-18</v>
      </c>
      <c r="V78">
        <v>-7</v>
      </c>
      <c r="W78">
        <v>-2</v>
      </c>
      <c r="X78">
        <v>13</v>
      </c>
      <c r="Y78">
        <v>-19</v>
      </c>
      <c r="Z78">
        <v>-17</v>
      </c>
      <c r="AA78">
        <v>16</v>
      </c>
      <c r="AB78">
        <v>19</v>
      </c>
      <c r="AC78">
        <v>3</v>
      </c>
      <c r="AD78">
        <v>16</v>
      </c>
      <c r="AF78">
        <v>10</v>
      </c>
      <c r="AG78" t="s">
        <v>138</v>
      </c>
    </row>
    <row r="79" spans="2:33" x14ac:dyDescent="0.5">
      <c r="B79" s="4">
        <v>9</v>
      </c>
      <c r="C79" s="4" t="s">
        <v>138</v>
      </c>
      <c r="D79" s="4">
        <v>15</v>
      </c>
      <c r="E79" s="4">
        <v>3</v>
      </c>
      <c r="F79" s="4">
        <v>8</v>
      </c>
      <c r="G79" s="4">
        <v>-7</v>
      </c>
      <c r="H79" s="4">
        <v>-10</v>
      </c>
      <c r="I79" s="4">
        <v>-3</v>
      </c>
      <c r="J79" s="4">
        <v>-11</v>
      </c>
      <c r="K79" s="4">
        <v>-11</v>
      </c>
      <c r="L79" s="4">
        <v>4</v>
      </c>
      <c r="M79" s="4">
        <v>-9</v>
      </c>
      <c r="N79" s="4">
        <v>-13</v>
      </c>
      <c r="O79" s="4">
        <v>8</v>
      </c>
      <c r="Q79">
        <v>9</v>
      </c>
      <c r="R79" t="s">
        <v>138</v>
      </c>
      <c r="S79">
        <v>38</v>
      </c>
      <c r="T79">
        <v>-7</v>
      </c>
      <c r="U79">
        <v>-18</v>
      </c>
      <c r="V79">
        <v>-7</v>
      </c>
      <c r="W79">
        <v>-10</v>
      </c>
      <c r="X79">
        <v>-5</v>
      </c>
      <c r="Y79">
        <v>-11</v>
      </c>
      <c r="Z79">
        <v>-7</v>
      </c>
      <c r="AA79">
        <v>6</v>
      </c>
      <c r="AB79">
        <v>13</v>
      </c>
      <c r="AC79">
        <v>-5</v>
      </c>
      <c r="AD79">
        <v>16</v>
      </c>
      <c r="AF79">
        <v>9</v>
      </c>
      <c r="AG79" t="s">
        <v>138</v>
      </c>
    </row>
    <row r="80" spans="2:33" x14ac:dyDescent="0.5">
      <c r="B80" s="4">
        <v>8</v>
      </c>
      <c r="C80" s="4" t="s">
        <v>138</v>
      </c>
      <c r="D80" s="4">
        <v>-5</v>
      </c>
      <c r="E80" s="4">
        <v>3</v>
      </c>
      <c r="F80" s="4">
        <v>2</v>
      </c>
      <c r="G80" s="4">
        <v>1</v>
      </c>
      <c r="H80" s="4">
        <v>-4</v>
      </c>
      <c r="I80" s="4">
        <v>5</v>
      </c>
      <c r="J80" s="4">
        <v>-1</v>
      </c>
      <c r="K80" s="4">
        <v>-3</v>
      </c>
      <c r="L80" s="4">
        <v>2</v>
      </c>
      <c r="M80" s="4">
        <v>-1</v>
      </c>
      <c r="N80" s="4">
        <v>9</v>
      </c>
      <c r="O80" s="4">
        <v>-10</v>
      </c>
      <c r="Q80">
        <v>8</v>
      </c>
      <c r="R80" t="s">
        <v>138</v>
      </c>
      <c r="S80">
        <v>39</v>
      </c>
      <c r="T80">
        <v>-3</v>
      </c>
      <c r="U80">
        <v>-2</v>
      </c>
      <c r="V80">
        <v>-1</v>
      </c>
      <c r="W80">
        <v>-8</v>
      </c>
      <c r="X80">
        <v>3</v>
      </c>
      <c r="Y80">
        <v>-7</v>
      </c>
      <c r="Z80">
        <v>3</v>
      </c>
      <c r="AA80">
        <v>-14</v>
      </c>
      <c r="AB80">
        <v>31</v>
      </c>
      <c r="AC80">
        <v>1</v>
      </c>
      <c r="AD80">
        <v>0</v>
      </c>
      <c r="AF80">
        <v>8</v>
      </c>
      <c r="AG80" t="s">
        <v>138</v>
      </c>
    </row>
    <row r="81" spans="2:33" x14ac:dyDescent="0.5">
      <c r="B81" s="4">
        <v>7</v>
      </c>
      <c r="C81" s="4" t="s">
        <v>138</v>
      </c>
      <c r="D81" s="4">
        <v>3</v>
      </c>
      <c r="E81" s="4">
        <v>-3</v>
      </c>
      <c r="F81" s="4">
        <v>-16</v>
      </c>
      <c r="G81" s="4">
        <v>1</v>
      </c>
      <c r="H81" s="4">
        <v>-8</v>
      </c>
      <c r="I81" s="4">
        <v>1</v>
      </c>
      <c r="J81" s="4">
        <v>-3</v>
      </c>
      <c r="K81" s="4">
        <v>7</v>
      </c>
      <c r="L81" s="4">
        <v>0</v>
      </c>
      <c r="M81" s="4">
        <v>-15</v>
      </c>
      <c r="N81" s="4">
        <v>7</v>
      </c>
      <c r="O81" s="4">
        <v>10</v>
      </c>
      <c r="Q81">
        <v>7</v>
      </c>
      <c r="R81" t="s">
        <v>138</v>
      </c>
      <c r="S81">
        <v>41</v>
      </c>
      <c r="T81">
        <v>-23</v>
      </c>
      <c r="U81">
        <v>-10</v>
      </c>
      <c r="V81">
        <v>-1</v>
      </c>
      <c r="W81">
        <v>-8</v>
      </c>
      <c r="X81">
        <v>7</v>
      </c>
      <c r="Y81">
        <v>-25</v>
      </c>
      <c r="Z81">
        <v>9</v>
      </c>
      <c r="AA81">
        <v>-10</v>
      </c>
      <c r="AB81">
        <v>1</v>
      </c>
      <c r="AC81">
        <v>-1</v>
      </c>
      <c r="AD81">
        <v>14</v>
      </c>
      <c r="AF81">
        <v>7</v>
      </c>
      <c r="AG81" t="s">
        <v>138</v>
      </c>
    </row>
    <row r="82" spans="2:33" x14ac:dyDescent="0.5">
      <c r="B82" s="4">
        <v>6</v>
      </c>
      <c r="C82" s="4" t="s">
        <v>138</v>
      </c>
      <c r="D82" s="4">
        <v>-1</v>
      </c>
      <c r="E82" s="4">
        <v>9</v>
      </c>
      <c r="F82" s="4">
        <v>-4</v>
      </c>
      <c r="G82" s="4">
        <v>7</v>
      </c>
      <c r="H82" s="4">
        <v>6</v>
      </c>
      <c r="I82" s="4">
        <v>3</v>
      </c>
      <c r="J82" s="4">
        <v>-3</v>
      </c>
      <c r="K82" s="4">
        <v>-15</v>
      </c>
      <c r="L82" s="4">
        <v>10</v>
      </c>
      <c r="M82" s="4">
        <v>-1</v>
      </c>
      <c r="N82" s="4">
        <v>-3</v>
      </c>
      <c r="O82" s="4">
        <v>2</v>
      </c>
      <c r="Q82">
        <v>6</v>
      </c>
      <c r="R82" t="s">
        <v>138</v>
      </c>
      <c r="S82">
        <v>32</v>
      </c>
      <c r="T82">
        <v>-19</v>
      </c>
      <c r="U82">
        <v>0</v>
      </c>
      <c r="V82">
        <v>-13</v>
      </c>
      <c r="W82">
        <v>0</v>
      </c>
      <c r="X82">
        <v>-3</v>
      </c>
      <c r="Y82">
        <v>-1</v>
      </c>
      <c r="Z82">
        <v>-5</v>
      </c>
      <c r="AA82">
        <v>-4</v>
      </c>
      <c r="AB82">
        <v>13</v>
      </c>
      <c r="AC82">
        <v>-9</v>
      </c>
      <c r="AD82">
        <v>14</v>
      </c>
      <c r="AF82">
        <v>6</v>
      </c>
      <c r="AG82" t="s">
        <v>138</v>
      </c>
    </row>
    <row r="83" spans="2:33" x14ac:dyDescent="0.5">
      <c r="B83" s="4">
        <v>5</v>
      </c>
      <c r="C83" s="4" t="s">
        <v>138</v>
      </c>
      <c r="D83" s="4">
        <v>1</v>
      </c>
      <c r="E83" s="4">
        <v>-17</v>
      </c>
      <c r="F83" s="4">
        <v>0</v>
      </c>
      <c r="G83" s="4">
        <v>15</v>
      </c>
      <c r="H83" s="4">
        <v>-2</v>
      </c>
      <c r="I83" s="4">
        <v>1</v>
      </c>
      <c r="J83" s="4">
        <v>3</v>
      </c>
      <c r="K83" s="4">
        <v>-5</v>
      </c>
      <c r="L83" s="4">
        <v>-10</v>
      </c>
      <c r="M83" s="4">
        <v>-13</v>
      </c>
      <c r="N83" s="4">
        <v>13</v>
      </c>
      <c r="O83" s="4">
        <v>2</v>
      </c>
      <c r="Q83">
        <v>5</v>
      </c>
      <c r="R83" t="s">
        <v>138</v>
      </c>
      <c r="S83">
        <v>38</v>
      </c>
      <c r="T83">
        <v>-19</v>
      </c>
      <c r="U83">
        <v>-10</v>
      </c>
      <c r="V83">
        <v>3</v>
      </c>
      <c r="W83">
        <v>-20</v>
      </c>
      <c r="X83">
        <v>-9</v>
      </c>
      <c r="Y83">
        <v>-13</v>
      </c>
      <c r="Z83">
        <v>-15</v>
      </c>
      <c r="AA83">
        <v>-6</v>
      </c>
      <c r="AB83">
        <v>1</v>
      </c>
      <c r="AC83">
        <v>3</v>
      </c>
      <c r="AD83">
        <v>18</v>
      </c>
      <c r="AF83">
        <v>5</v>
      </c>
      <c r="AG83" t="s">
        <v>138</v>
      </c>
    </row>
    <row r="84" spans="2:33" x14ac:dyDescent="0.5">
      <c r="B84" s="4">
        <v>4</v>
      </c>
      <c r="C84" s="4" t="s">
        <v>138</v>
      </c>
      <c r="D84" s="4">
        <v>5</v>
      </c>
      <c r="E84" s="4">
        <v>11</v>
      </c>
      <c r="F84" s="4">
        <v>0</v>
      </c>
      <c r="G84" s="4">
        <v>-5</v>
      </c>
      <c r="H84" s="4">
        <v>-14</v>
      </c>
      <c r="I84" s="4">
        <v>7</v>
      </c>
      <c r="J84" s="4">
        <v>-3</v>
      </c>
      <c r="K84" s="4">
        <v>-11</v>
      </c>
      <c r="L84" s="4">
        <v>-6</v>
      </c>
      <c r="M84" s="4">
        <v>-3</v>
      </c>
      <c r="N84" s="4">
        <v>13</v>
      </c>
      <c r="O84" s="4">
        <v>2</v>
      </c>
      <c r="Q84">
        <v>4</v>
      </c>
      <c r="R84" t="s">
        <v>138</v>
      </c>
      <c r="S84">
        <v>40</v>
      </c>
      <c r="T84">
        <v>-31</v>
      </c>
      <c r="U84">
        <v>-20</v>
      </c>
      <c r="V84">
        <v>9</v>
      </c>
      <c r="W84">
        <v>-14</v>
      </c>
      <c r="X84">
        <v>3</v>
      </c>
      <c r="Y84">
        <v>-7</v>
      </c>
      <c r="Z84">
        <v>3</v>
      </c>
      <c r="AA84">
        <v>0</v>
      </c>
      <c r="AB84">
        <v>-3</v>
      </c>
      <c r="AC84">
        <v>-1</v>
      </c>
      <c r="AD84">
        <v>4</v>
      </c>
      <c r="AF84">
        <v>4</v>
      </c>
      <c r="AG84" t="s">
        <v>138</v>
      </c>
    </row>
    <row r="85" spans="2:33" x14ac:dyDescent="0.5">
      <c r="B85" s="4">
        <v>3</v>
      </c>
      <c r="C85" s="4" t="s">
        <v>138</v>
      </c>
      <c r="D85" s="4">
        <v>-1</v>
      </c>
      <c r="E85" s="4">
        <v>5</v>
      </c>
      <c r="F85" s="4">
        <v>12</v>
      </c>
      <c r="G85" s="4">
        <v>-19</v>
      </c>
      <c r="H85" s="4">
        <v>0</v>
      </c>
      <c r="I85" s="4">
        <v>-5</v>
      </c>
      <c r="J85" s="4">
        <v>3</v>
      </c>
      <c r="K85" s="4">
        <v>-9</v>
      </c>
      <c r="L85" s="4">
        <v>8</v>
      </c>
      <c r="M85" s="4">
        <v>9</v>
      </c>
      <c r="N85" s="4">
        <v>-17</v>
      </c>
      <c r="O85" s="4">
        <v>14</v>
      </c>
      <c r="Q85">
        <v>3</v>
      </c>
      <c r="R85" t="s">
        <v>138</v>
      </c>
      <c r="S85">
        <v>36</v>
      </c>
      <c r="T85">
        <v>-15</v>
      </c>
      <c r="U85">
        <v>-4</v>
      </c>
      <c r="V85">
        <v>1</v>
      </c>
      <c r="W85">
        <v>-16</v>
      </c>
      <c r="X85">
        <v>9</v>
      </c>
      <c r="Y85">
        <v>-11</v>
      </c>
      <c r="Z85">
        <v>-7</v>
      </c>
      <c r="AA85">
        <v>18</v>
      </c>
      <c r="AB85">
        <v>7</v>
      </c>
      <c r="AC85">
        <v>5</v>
      </c>
      <c r="AD85">
        <v>6</v>
      </c>
      <c r="AF85">
        <v>3</v>
      </c>
      <c r="AG85" t="s">
        <v>138</v>
      </c>
    </row>
    <row r="86" spans="2:33" x14ac:dyDescent="0.5">
      <c r="B86" s="4">
        <v>2</v>
      </c>
      <c r="C86" s="4" t="s">
        <v>138</v>
      </c>
      <c r="D86" s="4">
        <v>7</v>
      </c>
      <c r="E86" s="4">
        <v>1</v>
      </c>
      <c r="F86" s="4">
        <v>-6</v>
      </c>
      <c r="G86" s="4">
        <v>-5</v>
      </c>
      <c r="H86" s="4">
        <v>4</v>
      </c>
      <c r="I86" s="4">
        <v>-11</v>
      </c>
      <c r="J86" s="4">
        <v>-7</v>
      </c>
      <c r="K86" s="4">
        <v>3</v>
      </c>
      <c r="L86" s="4">
        <v>2</v>
      </c>
      <c r="M86" s="4">
        <v>3</v>
      </c>
      <c r="N86" s="4">
        <v>-5</v>
      </c>
      <c r="O86" s="4">
        <v>16</v>
      </c>
      <c r="Q86">
        <v>2</v>
      </c>
      <c r="R86" t="s">
        <v>138</v>
      </c>
      <c r="S86">
        <v>39</v>
      </c>
      <c r="T86">
        <v>-11</v>
      </c>
      <c r="U86">
        <v>-22</v>
      </c>
      <c r="V86">
        <v>-7</v>
      </c>
      <c r="W86">
        <v>-4</v>
      </c>
      <c r="X86">
        <v>9</v>
      </c>
      <c r="Y86">
        <v>1</v>
      </c>
      <c r="Z86">
        <v>5</v>
      </c>
      <c r="AA86">
        <v>-8</v>
      </c>
      <c r="AB86">
        <v>17</v>
      </c>
      <c r="AC86">
        <v>1</v>
      </c>
      <c r="AD86">
        <v>4</v>
      </c>
      <c r="AF86">
        <v>2</v>
      </c>
      <c r="AG86" t="s">
        <v>138</v>
      </c>
    </row>
    <row r="87" spans="2:33" x14ac:dyDescent="0.5">
      <c r="B87" s="4">
        <v>1</v>
      </c>
      <c r="C87" s="4" t="s">
        <v>138</v>
      </c>
      <c r="D87" s="4">
        <v>3</v>
      </c>
      <c r="E87" s="4">
        <v>-1</v>
      </c>
      <c r="F87" s="4">
        <v>-10</v>
      </c>
      <c r="G87" s="4">
        <v>1</v>
      </c>
      <c r="H87" s="4">
        <v>0</v>
      </c>
      <c r="I87" s="4">
        <v>3</v>
      </c>
      <c r="J87" s="4">
        <v>-11</v>
      </c>
      <c r="K87" s="4">
        <v>-3</v>
      </c>
      <c r="L87" s="4">
        <v>-4</v>
      </c>
      <c r="M87" s="4">
        <v>15</v>
      </c>
      <c r="N87" s="4">
        <v>11</v>
      </c>
      <c r="O87" s="4">
        <v>-6</v>
      </c>
      <c r="Q87">
        <v>1</v>
      </c>
      <c r="R87" t="s">
        <v>138</v>
      </c>
      <c r="S87">
        <v>29</v>
      </c>
      <c r="T87">
        <v>-17</v>
      </c>
      <c r="U87">
        <v>-2</v>
      </c>
      <c r="V87">
        <v>1</v>
      </c>
      <c r="W87">
        <v>0</v>
      </c>
      <c r="X87">
        <v>5</v>
      </c>
      <c r="Y87">
        <v>-21</v>
      </c>
      <c r="Z87">
        <v>9</v>
      </c>
      <c r="AA87">
        <v>2</v>
      </c>
      <c r="AB87">
        <v>9</v>
      </c>
      <c r="AC87">
        <v>-5</v>
      </c>
      <c r="AD87">
        <v>2</v>
      </c>
      <c r="AF87">
        <v>1</v>
      </c>
      <c r="AG87" t="s">
        <v>138</v>
      </c>
    </row>
    <row r="89" spans="2:33" x14ac:dyDescent="0.5">
      <c r="B89" t="s">
        <v>137</v>
      </c>
      <c r="C89" s="4" t="s">
        <v>349</v>
      </c>
      <c r="D89">
        <f>AVERAGE(D48:D67)</f>
        <v>5.8</v>
      </c>
      <c r="E89">
        <f t="shared" ref="E89:O89" si="141">AVERAGE(E48:E67)</f>
        <v>-0.8</v>
      </c>
      <c r="F89">
        <f t="shared" si="141"/>
        <v>2.1</v>
      </c>
      <c r="G89">
        <f t="shared" si="141"/>
        <v>-0.7</v>
      </c>
      <c r="H89">
        <f t="shared" si="141"/>
        <v>-1.4</v>
      </c>
      <c r="I89">
        <f t="shared" si="141"/>
        <v>-0.8</v>
      </c>
      <c r="J89">
        <f t="shared" si="141"/>
        <v>-0.8</v>
      </c>
      <c r="K89">
        <f t="shared" si="141"/>
        <v>0.8</v>
      </c>
      <c r="L89">
        <f t="shared" si="141"/>
        <v>1.3</v>
      </c>
      <c r="M89">
        <f t="shared" si="141"/>
        <v>-0.2</v>
      </c>
      <c r="N89">
        <f t="shared" si="141"/>
        <v>-2.2999999999999998</v>
      </c>
      <c r="O89">
        <f t="shared" si="141"/>
        <v>-0.9</v>
      </c>
      <c r="Q89" t="s">
        <v>355</v>
      </c>
      <c r="R89" t="s">
        <v>349</v>
      </c>
      <c r="S89">
        <f>AVERAGE(S48:S67)</f>
        <v>36.15</v>
      </c>
      <c r="T89">
        <f t="shared" ref="T89:AD89" si="142">AVERAGE(T48:T67)</f>
        <v>-18.2</v>
      </c>
      <c r="U89">
        <f t="shared" si="142"/>
        <v>-11.3</v>
      </c>
      <c r="V89">
        <f t="shared" si="142"/>
        <v>1.8</v>
      </c>
      <c r="W89">
        <f t="shared" si="142"/>
        <v>-12.4</v>
      </c>
      <c r="X89">
        <f t="shared" si="142"/>
        <v>-0.7</v>
      </c>
      <c r="Y89">
        <f t="shared" si="142"/>
        <v>-17.600000000000001</v>
      </c>
      <c r="Z89">
        <f t="shared" si="142"/>
        <v>-4.5</v>
      </c>
      <c r="AA89">
        <f t="shared" si="142"/>
        <v>-1.4</v>
      </c>
      <c r="AB89">
        <f t="shared" si="142"/>
        <v>13</v>
      </c>
      <c r="AC89">
        <f t="shared" si="142"/>
        <v>-0.4</v>
      </c>
      <c r="AD89">
        <f t="shared" si="142"/>
        <v>8.6999999999999993</v>
      </c>
      <c r="AF89" t="s">
        <v>355</v>
      </c>
      <c r="AG89" t="s">
        <v>349</v>
      </c>
    </row>
    <row r="90" spans="2:33" x14ac:dyDescent="0.5">
      <c r="C90" s="4" t="s">
        <v>350</v>
      </c>
      <c r="D90">
        <f>STDEV(D48:D67)</f>
        <v>16.379062372752792</v>
      </c>
      <c r="E90">
        <f t="shared" ref="E90:O90" si="143">STDEV(E48:E67)</f>
        <v>11.459769447483387</v>
      </c>
      <c r="F90">
        <f t="shared" si="143"/>
        <v>10.290005370567879</v>
      </c>
      <c r="G90">
        <f t="shared" si="143"/>
        <v>7.4062562458334762</v>
      </c>
      <c r="H90">
        <f t="shared" si="143"/>
        <v>7.8163122277775763</v>
      </c>
      <c r="I90">
        <f t="shared" si="143"/>
        <v>7.5085915702228103</v>
      </c>
      <c r="J90">
        <f t="shared" si="143"/>
        <v>9.6441965096004481</v>
      </c>
      <c r="K90">
        <f t="shared" si="143"/>
        <v>10.133841169176931</v>
      </c>
      <c r="L90">
        <f t="shared" si="143"/>
        <v>8.0334825639484126</v>
      </c>
      <c r="M90">
        <f t="shared" si="143"/>
        <v>11.076765630909831</v>
      </c>
      <c r="N90">
        <f t="shared" si="143"/>
        <v>8.5168563510994577</v>
      </c>
      <c r="O90">
        <f t="shared" si="143"/>
        <v>6.6006379277030174</v>
      </c>
      <c r="R90" t="s">
        <v>350</v>
      </c>
      <c r="S90">
        <f>STDEV(S48:S67)</f>
        <v>5.7516587996306239</v>
      </c>
      <c r="T90">
        <f t="shared" ref="T90:AD90" si="144">STDEV(T48:T67)</f>
        <v>7.7974354758471707</v>
      </c>
      <c r="U90">
        <f t="shared" si="144"/>
        <v>10.901955401621645</v>
      </c>
      <c r="V90">
        <f t="shared" si="144"/>
        <v>11.432179881462032</v>
      </c>
      <c r="W90">
        <f t="shared" si="144"/>
        <v>5.7528025206941766</v>
      </c>
      <c r="X90">
        <f t="shared" si="144"/>
        <v>9.9952620354793478</v>
      </c>
      <c r="Y90">
        <f t="shared" si="144"/>
        <v>6.7152614872471847</v>
      </c>
      <c r="Z90">
        <f t="shared" si="144"/>
        <v>6.5494073657167835</v>
      </c>
      <c r="AA90">
        <f t="shared" si="144"/>
        <v>6.4269170803655724</v>
      </c>
      <c r="AB90">
        <f t="shared" si="144"/>
        <v>5.581925719394885</v>
      </c>
      <c r="AC90">
        <f t="shared" si="144"/>
        <v>9.5167442464653629</v>
      </c>
      <c r="AD90">
        <f t="shared" si="144"/>
        <v>5.2022262440936613</v>
      </c>
      <c r="AG90" t="s">
        <v>350</v>
      </c>
    </row>
    <row r="91" spans="2:33" x14ac:dyDescent="0.5">
      <c r="C91" s="4" t="s">
        <v>351</v>
      </c>
      <c r="D91">
        <f>D90/SQRT(20)</f>
        <v>3.6624696873184241</v>
      </c>
      <c r="E91">
        <f t="shared" ref="E91:O91" si="145">E90/SQRT(20)</f>
        <v>2.5624823491048057</v>
      </c>
      <c r="F91">
        <f t="shared" si="145"/>
        <v>2.3009151497427691</v>
      </c>
      <c r="G91">
        <f t="shared" si="145"/>
        <v>1.6560892424466045</v>
      </c>
      <c r="H91">
        <f t="shared" si="145"/>
        <v>1.747780547467348</v>
      </c>
      <c r="I91">
        <f t="shared" si="145"/>
        <v>1.6789721166300089</v>
      </c>
      <c r="J91">
        <f t="shared" si="145"/>
        <v>2.1565078983832806</v>
      </c>
      <c r="K91">
        <f t="shared" si="145"/>
        <v>2.2659957727465563</v>
      </c>
      <c r="L91">
        <f t="shared" si="145"/>
        <v>1.7963413109047952</v>
      </c>
      <c r="M91">
        <f t="shared" si="145"/>
        <v>2.4768400921547729</v>
      </c>
      <c r="N91">
        <f t="shared" si="145"/>
        <v>1.9044269755659202</v>
      </c>
      <c r="O91">
        <f t="shared" si="145"/>
        <v>1.4759475101207289</v>
      </c>
      <c r="R91" t="s">
        <v>351</v>
      </c>
      <c r="S91">
        <f>S90/SQRT(20)</f>
        <v>1.2861100059358916</v>
      </c>
      <c r="T91">
        <f t="shared" ref="T91" si="146">T90/SQRT(20)</f>
        <v>1.7435595774162693</v>
      </c>
      <c r="U91">
        <f t="shared" ref="U91" si="147">U90/SQRT(20)</f>
        <v>2.4377513365697019</v>
      </c>
      <c r="V91">
        <f t="shared" ref="V91" si="148">V90/SQRT(20)</f>
        <v>2.5563131345954591</v>
      </c>
      <c r="W91">
        <f t="shared" ref="W91" si="149">W90/SQRT(20)</f>
        <v>1.2863657497404319</v>
      </c>
      <c r="X91">
        <f t="shared" ref="X91" si="150">X90/SQRT(20)</f>
        <v>2.2350085364254735</v>
      </c>
      <c r="Y91">
        <f t="shared" ref="Y91" si="151">Y90/SQRT(20)</f>
        <v>1.5015781172171041</v>
      </c>
      <c r="Z91">
        <f t="shared" ref="Z91" si="152">Z90/SQRT(20)</f>
        <v>1.4644920082080553</v>
      </c>
      <c r="AA91">
        <f t="shared" ref="AA91" si="153">AA90/SQRT(20)</f>
        <v>1.4371023477451899</v>
      </c>
      <c r="AB91">
        <f t="shared" ref="AB91" si="154">AB90/SQRT(20)</f>
        <v>1.2481565353921378</v>
      </c>
      <c r="AC91">
        <f t="shared" ref="AC91" si="155">AC90/SQRT(20)</f>
        <v>2.1280087059576562</v>
      </c>
      <c r="AD91">
        <f t="shared" ref="AD91" si="156">AD90/SQRT(20)</f>
        <v>1.1632531516126841</v>
      </c>
      <c r="AG91" t="s">
        <v>351</v>
      </c>
    </row>
    <row r="93" spans="2:33" x14ac:dyDescent="0.5">
      <c r="B93" t="s">
        <v>352</v>
      </c>
      <c r="C93" s="4" t="s">
        <v>349</v>
      </c>
      <c r="D93">
        <f>AVERAGE(D68:D87)</f>
        <v>1.25</v>
      </c>
      <c r="E93">
        <f t="shared" ref="E93:O93" si="157">AVERAGE(E68:E87)</f>
        <v>-1.4</v>
      </c>
      <c r="F93">
        <f t="shared" si="157"/>
        <v>-0.9</v>
      </c>
      <c r="G93">
        <f t="shared" si="157"/>
        <v>0.2</v>
      </c>
      <c r="H93">
        <f t="shared" si="157"/>
        <v>-4.4000000000000004</v>
      </c>
      <c r="I93">
        <f t="shared" si="157"/>
        <v>0.9</v>
      </c>
      <c r="J93">
        <f t="shared" si="157"/>
        <v>-3.8</v>
      </c>
      <c r="K93">
        <f t="shared" si="157"/>
        <v>-1.2</v>
      </c>
      <c r="L93">
        <f t="shared" si="157"/>
        <v>1.2</v>
      </c>
      <c r="M93">
        <f t="shared" si="157"/>
        <v>-3.2</v>
      </c>
      <c r="N93">
        <f t="shared" si="157"/>
        <v>1.5</v>
      </c>
      <c r="O93">
        <f t="shared" si="157"/>
        <v>7.4</v>
      </c>
      <c r="Q93" t="s">
        <v>352</v>
      </c>
      <c r="R93" t="s">
        <v>349</v>
      </c>
      <c r="S93">
        <f>AVERAGE(S68:S87)</f>
        <v>37.25</v>
      </c>
      <c r="T93">
        <f t="shared" ref="T93:AD93" si="158">AVERAGE(T68:T87)</f>
        <v>-14.1</v>
      </c>
      <c r="U93">
        <f t="shared" si="158"/>
        <v>-9.8000000000000007</v>
      </c>
      <c r="V93">
        <f t="shared" si="158"/>
        <v>-1.4</v>
      </c>
      <c r="W93">
        <f t="shared" si="158"/>
        <v>-10.3</v>
      </c>
      <c r="X93">
        <f t="shared" si="158"/>
        <v>2.8</v>
      </c>
      <c r="Y93">
        <f t="shared" si="158"/>
        <v>-13.8</v>
      </c>
      <c r="Z93">
        <f t="shared" si="158"/>
        <v>-4.8</v>
      </c>
      <c r="AA93">
        <f t="shared" si="158"/>
        <v>-0.3</v>
      </c>
      <c r="AB93">
        <f t="shared" si="158"/>
        <v>9</v>
      </c>
      <c r="AC93">
        <f t="shared" si="158"/>
        <v>3.9</v>
      </c>
      <c r="AD93">
        <f t="shared" si="158"/>
        <v>8.1999999999999993</v>
      </c>
      <c r="AF93" t="s">
        <v>352</v>
      </c>
      <c r="AG93" t="s">
        <v>349</v>
      </c>
    </row>
    <row r="94" spans="2:33" x14ac:dyDescent="0.5">
      <c r="C94" s="4" t="s">
        <v>350</v>
      </c>
      <c r="D94">
        <f>STDEV(D68:D87)</f>
        <v>16.045576534228662</v>
      </c>
      <c r="E94">
        <f t="shared" ref="E94:O94" si="159">STDEV(E68:E87)</f>
        <v>8.7202124551617377</v>
      </c>
      <c r="F94">
        <f t="shared" si="159"/>
        <v>8.0387220770206351</v>
      </c>
      <c r="G94">
        <f t="shared" si="159"/>
        <v>7.8512486435698809</v>
      </c>
      <c r="H94">
        <f t="shared" si="159"/>
        <v>8.8162529336149209</v>
      </c>
      <c r="I94">
        <f t="shared" si="159"/>
        <v>7.0926203308717106</v>
      </c>
      <c r="J94">
        <f t="shared" si="159"/>
        <v>7.0606396012647021</v>
      </c>
      <c r="K94">
        <f t="shared" si="159"/>
        <v>11.124179449337044</v>
      </c>
      <c r="L94">
        <f t="shared" si="159"/>
        <v>6.5662614533449863</v>
      </c>
      <c r="M94">
        <f t="shared" si="159"/>
        <v>10.778145529386379</v>
      </c>
      <c r="N94">
        <f t="shared" si="159"/>
        <v>8.6053838716786704</v>
      </c>
      <c r="O94">
        <f t="shared" si="159"/>
        <v>9.7354479798528555</v>
      </c>
      <c r="R94" t="s">
        <v>350</v>
      </c>
      <c r="S94">
        <f>STDEV(S68:S87)</f>
        <v>5.9194149782060839</v>
      </c>
      <c r="T94">
        <f t="shared" ref="T94:AD94" si="160">STDEV(T68:T87)</f>
        <v>7.4966659255965258</v>
      </c>
      <c r="U94">
        <f t="shared" si="160"/>
        <v>9.9662588662684097</v>
      </c>
      <c r="V94">
        <f t="shared" si="160"/>
        <v>7.8028334934378671</v>
      </c>
      <c r="W94">
        <f t="shared" si="160"/>
        <v>7.4628906492126257</v>
      </c>
      <c r="X94">
        <f t="shared" si="160"/>
        <v>8.5569300938817392</v>
      </c>
      <c r="Y94">
        <f t="shared" si="160"/>
        <v>6.7558941127846204</v>
      </c>
      <c r="Z94">
        <f t="shared" si="160"/>
        <v>8.0236492550722236</v>
      </c>
      <c r="AA94">
        <f t="shared" si="160"/>
        <v>8.9976605146472437</v>
      </c>
      <c r="AB94">
        <f t="shared" si="160"/>
        <v>9.5366329708683146</v>
      </c>
      <c r="AC94">
        <f t="shared" si="160"/>
        <v>8.194349786349898</v>
      </c>
      <c r="AD94">
        <f t="shared" si="160"/>
        <v>8.2818762176339327</v>
      </c>
      <c r="AG94" t="s">
        <v>350</v>
      </c>
    </row>
    <row r="95" spans="2:33" x14ac:dyDescent="0.5">
      <c r="C95" s="4" t="s">
        <v>351</v>
      </c>
      <c r="D95">
        <f>D94/SQRT(20)</f>
        <v>3.5878999868710766</v>
      </c>
      <c r="E95">
        <f t="shared" ref="E95:O95" si="161">E94/SQRT(20)</f>
        <v>1.9498987827981982</v>
      </c>
      <c r="F95">
        <f t="shared" si="161"/>
        <v>1.7975129016446438</v>
      </c>
      <c r="G95">
        <f t="shared" si="161"/>
        <v>1.755592567527527</v>
      </c>
      <c r="H95">
        <f t="shared" si="161"/>
        <v>1.9713740866394902</v>
      </c>
      <c r="I95">
        <f t="shared" si="161"/>
        <v>1.5859581198426194</v>
      </c>
      <c r="J95">
        <f t="shared" si="161"/>
        <v>1.5788070113054884</v>
      </c>
      <c r="K95">
        <f t="shared" si="161"/>
        <v>2.4874421442623809</v>
      </c>
      <c r="L95">
        <f t="shared" si="161"/>
        <v>1.4682606967715952</v>
      </c>
      <c r="M95">
        <f t="shared" si="161"/>
        <v>2.4100666075093398</v>
      </c>
      <c r="N95">
        <f t="shared" si="161"/>
        <v>1.9242223309553834</v>
      </c>
      <c r="O95">
        <f t="shared" si="161"/>
        <v>2.1769123474363985</v>
      </c>
      <c r="R95" t="s">
        <v>351</v>
      </c>
      <c r="S95">
        <f>S94/SQRT(20)</f>
        <v>1.3236214278299239</v>
      </c>
      <c r="T95">
        <f t="shared" ref="T95" si="162">T94/SQRT(20)</f>
        <v>1.6763054614240211</v>
      </c>
      <c r="U95">
        <f t="shared" ref="U95" si="163">U94/SQRT(20)</f>
        <v>2.2285232306336149</v>
      </c>
      <c r="V95">
        <f t="shared" ref="V95" si="164">V94/SQRT(20)</f>
        <v>1.744766610843923</v>
      </c>
      <c r="W95">
        <f t="shared" ref="W95" si="165">W94/SQRT(20)</f>
        <v>1.6687530800286967</v>
      </c>
      <c r="X95">
        <f t="shared" ref="X95" si="166">X94/SQRT(20)</f>
        <v>1.9133877368633225</v>
      </c>
      <c r="Y95">
        <f t="shared" ref="Y95" si="167">Y94/SQRT(20)</f>
        <v>1.5106638484977042</v>
      </c>
      <c r="Z95">
        <f t="shared" ref="Z95" si="168">Z94/SQRT(20)</f>
        <v>1.7941425161957041</v>
      </c>
      <c r="AA95">
        <f t="shared" ref="AA95" si="169">AA94/SQRT(20)</f>
        <v>2.0119380549216976</v>
      </c>
      <c r="AB95">
        <f t="shared" ref="AB95" si="170">AB94/SQRT(20)</f>
        <v>2.1324559599327322</v>
      </c>
      <c r="AC95">
        <f t="shared" ref="AC95" si="171">AC94/SQRT(20)</f>
        <v>1.8323123153689249</v>
      </c>
      <c r="AD95">
        <f t="shared" ref="AD95" si="172">AD94/SQRT(20)</f>
        <v>1.8518838203868315</v>
      </c>
      <c r="AG95" t="s">
        <v>351</v>
      </c>
    </row>
    <row r="97" spans="1:33" x14ac:dyDescent="0.5">
      <c r="B97" t="s">
        <v>354</v>
      </c>
      <c r="C97" s="4" t="s">
        <v>353</v>
      </c>
      <c r="D97">
        <f>(D89-D93)/SQRT((D91*D91)+(D95*D95))</f>
        <v>0.88744873632896182</v>
      </c>
      <c r="E97">
        <f t="shared" ref="E97:O97" si="173">(E89-E93)/SQRT((E91*E91)+(E95*E95))</f>
        <v>0.18633521455361329</v>
      </c>
      <c r="F97">
        <f t="shared" si="173"/>
        <v>1.0274657595981296</v>
      </c>
      <c r="G97">
        <f t="shared" si="173"/>
        <v>-0.3729102793481035</v>
      </c>
      <c r="H97">
        <f t="shared" si="173"/>
        <v>1.1386980736800825</v>
      </c>
      <c r="I97">
        <f t="shared" si="173"/>
        <v>-0.73606106436799112</v>
      </c>
      <c r="J97">
        <f t="shared" si="173"/>
        <v>1.1224735852580772</v>
      </c>
      <c r="K97">
        <f t="shared" si="173"/>
        <v>0.59438302996856751</v>
      </c>
      <c r="L97">
        <f t="shared" si="173"/>
        <v>4.3102521038097572E-2</v>
      </c>
      <c r="M97">
        <f t="shared" si="173"/>
        <v>0.86808383231457842</v>
      </c>
      <c r="N97">
        <f t="shared" si="173"/>
        <v>-1.4036124174675324</v>
      </c>
      <c r="O97">
        <f t="shared" si="173"/>
        <v>-3.1557866810353743</v>
      </c>
      <c r="Q97" t="s">
        <v>354</v>
      </c>
      <c r="R97" t="s">
        <v>353</v>
      </c>
      <c r="S97">
        <f>(S89-S93)/SQRT((S91*S91)+(S95*S95))</f>
        <v>-0.59602847419701421</v>
      </c>
      <c r="T97">
        <f t="shared" ref="T97:AD97" si="174">(T89-T93)/SQRT((T91*T91)+(T95*T95))</f>
        <v>-1.6951413727191822</v>
      </c>
      <c r="U97">
        <f t="shared" si="174"/>
        <v>-0.4541505409569585</v>
      </c>
      <c r="V97">
        <f t="shared" si="174"/>
        <v>1.0339298762541826</v>
      </c>
      <c r="W97">
        <f t="shared" si="174"/>
        <v>-0.99667497001310423</v>
      </c>
      <c r="X97">
        <f t="shared" si="174"/>
        <v>-1.1896014876411625</v>
      </c>
      <c r="Y97">
        <f t="shared" si="174"/>
        <v>-1.7840489417194019</v>
      </c>
      <c r="Z97">
        <f t="shared" si="174"/>
        <v>0.12953575310905313</v>
      </c>
      <c r="AA97">
        <f t="shared" si="174"/>
        <v>-0.44489741111195474</v>
      </c>
      <c r="AB97">
        <f t="shared" si="174"/>
        <v>1.6188544268007592</v>
      </c>
      <c r="AC97">
        <f t="shared" si="174"/>
        <v>-1.5312491699774506</v>
      </c>
      <c r="AD97">
        <f t="shared" si="174"/>
        <v>0.2286317501249138</v>
      </c>
      <c r="AF97" t="s">
        <v>354</v>
      </c>
      <c r="AG97" t="s">
        <v>353</v>
      </c>
    </row>
    <row r="98" spans="1:33" x14ac:dyDescent="0.5">
      <c r="N98" s="4"/>
      <c r="O98" s="4"/>
    </row>
    <row r="99" spans="1:33" x14ac:dyDescent="0.5">
      <c r="N99" s="4"/>
      <c r="O99" s="4"/>
    </row>
    <row r="100" spans="1:33" x14ac:dyDescent="0.5">
      <c r="A100" t="s">
        <v>373</v>
      </c>
      <c r="B100" t="s">
        <v>356</v>
      </c>
      <c r="C100" t="s">
        <v>342</v>
      </c>
      <c r="E100" s="4">
        <v>1</v>
      </c>
      <c r="F100" s="4">
        <v>2</v>
      </c>
      <c r="G100" s="4">
        <v>3</v>
      </c>
      <c r="H100" s="4">
        <v>4</v>
      </c>
      <c r="I100" s="4">
        <v>5</v>
      </c>
      <c r="J100" s="4">
        <v>6</v>
      </c>
      <c r="K100" s="4">
        <v>7</v>
      </c>
      <c r="L100" s="4">
        <v>8</v>
      </c>
      <c r="M100" s="4">
        <v>9</v>
      </c>
      <c r="N100" s="4">
        <v>10</v>
      </c>
      <c r="O100" s="4">
        <v>11</v>
      </c>
      <c r="P100" s="4">
        <v>12</v>
      </c>
    </row>
    <row r="101" spans="1:33" x14ac:dyDescent="0.5">
      <c r="B101" t="s">
        <v>357</v>
      </c>
      <c r="C101" t="s">
        <v>362</v>
      </c>
      <c r="E101">
        <v>12.217419032378908</v>
      </c>
      <c r="F101">
        <v>-7.4685410597673947</v>
      </c>
      <c r="G101">
        <v>-5.0860301382829523</v>
      </c>
      <c r="H101">
        <v>0.23014928846614288</v>
      </c>
      <c r="I101">
        <v>-4.998214407431421</v>
      </c>
      <c r="J101">
        <v>0.5341410906376336</v>
      </c>
      <c r="K101">
        <v>-7.7424516315951983</v>
      </c>
      <c r="L101">
        <v>-2.2001937333230899</v>
      </c>
      <c r="M101">
        <v>-1.2531838646654043</v>
      </c>
      <c r="N101" s="4">
        <v>5.9494948240419641</v>
      </c>
      <c r="O101" s="4">
        <v>1.0862781997597679</v>
      </c>
      <c r="P101">
        <v>2.8654573724286845</v>
      </c>
    </row>
    <row r="102" spans="1:33" x14ac:dyDescent="0.5">
      <c r="C102" t="s">
        <v>363</v>
      </c>
      <c r="E102">
        <v>3</v>
      </c>
      <c r="F102">
        <v>2</v>
      </c>
      <c r="G102">
        <v>2</v>
      </c>
      <c r="H102">
        <v>1</v>
      </c>
      <c r="I102">
        <v>2</v>
      </c>
      <c r="J102">
        <v>1</v>
      </c>
      <c r="K102">
        <v>2</v>
      </c>
      <c r="L102">
        <v>1</v>
      </c>
      <c r="M102">
        <v>1</v>
      </c>
      <c r="N102">
        <v>0</v>
      </c>
      <c r="O102">
        <v>1</v>
      </c>
      <c r="P102">
        <v>0</v>
      </c>
    </row>
    <row r="103" spans="1:33" x14ac:dyDescent="0.5">
      <c r="J103" t="s">
        <v>342</v>
      </c>
      <c r="K103" t="s">
        <v>364</v>
      </c>
      <c r="L103" t="s">
        <v>365</v>
      </c>
      <c r="N103" s="4"/>
      <c r="O103" s="4"/>
    </row>
    <row r="104" spans="1:33" x14ac:dyDescent="0.5">
      <c r="E104">
        <v>1</v>
      </c>
      <c r="F104">
        <v>12.217419032378908</v>
      </c>
      <c r="G104">
        <v>3</v>
      </c>
      <c r="J104">
        <v>1</v>
      </c>
      <c r="K104">
        <v>12.217419032378908</v>
      </c>
      <c r="L104">
        <v>3</v>
      </c>
      <c r="N104" s="4"/>
      <c r="O104" s="4"/>
    </row>
    <row r="105" spans="1:33" x14ac:dyDescent="0.5">
      <c r="E105">
        <v>2</v>
      </c>
      <c r="F105">
        <v>-7.4685410597673947</v>
      </c>
      <c r="G105">
        <v>2</v>
      </c>
      <c r="J105">
        <v>2</v>
      </c>
      <c r="K105">
        <v>-7.4685410597673947</v>
      </c>
      <c r="L105">
        <v>2</v>
      </c>
      <c r="N105" s="4"/>
      <c r="O105" s="4"/>
    </row>
    <row r="106" spans="1:33" x14ac:dyDescent="0.5">
      <c r="E106">
        <v>3</v>
      </c>
      <c r="F106">
        <v>-5.0860301382829523</v>
      </c>
      <c r="G106">
        <v>2</v>
      </c>
      <c r="J106">
        <v>3</v>
      </c>
      <c r="K106">
        <v>-5.0860301382829523</v>
      </c>
      <c r="L106">
        <v>2</v>
      </c>
      <c r="N106" s="4"/>
      <c r="O106" s="4"/>
    </row>
    <row r="107" spans="1:33" x14ac:dyDescent="0.5">
      <c r="E107">
        <v>4</v>
      </c>
      <c r="F107">
        <v>0.23014928846614288</v>
      </c>
      <c r="G107">
        <v>1</v>
      </c>
      <c r="J107">
        <v>5</v>
      </c>
      <c r="K107">
        <v>-4.998214407431421</v>
      </c>
      <c r="L107">
        <v>2</v>
      </c>
      <c r="N107" s="4"/>
      <c r="O107" s="4"/>
    </row>
    <row r="108" spans="1:33" x14ac:dyDescent="0.5">
      <c r="E108">
        <v>5</v>
      </c>
      <c r="F108">
        <v>-4.998214407431421</v>
      </c>
      <c r="G108">
        <v>2</v>
      </c>
      <c r="J108">
        <v>7</v>
      </c>
      <c r="K108">
        <v>-7.7424516315951983</v>
      </c>
      <c r="L108">
        <v>2</v>
      </c>
      <c r="N108" s="4"/>
      <c r="O108" s="4"/>
    </row>
    <row r="109" spans="1:33" x14ac:dyDescent="0.5">
      <c r="E109">
        <v>6</v>
      </c>
      <c r="F109">
        <v>0.5341410906376336</v>
      </c>
      <c r="G109">
        <v>1</v>
      </c>
      <c r="J109">
        <v>4</v>
      </c>
      <c r="K109">
        <v>0.23014928846614288</v>
      </c>
      <c r="L109">
        <v>1</v>
      </c>
      <c r="N109" s="4"/>
      <c r="O109" s="4"/>
    </row>
    <row r="110" spans="1:33" x14ac:dyDescent="0.5">
      <c r="E110">
        <v>7</v>
      </c>
      <c r="F110">
        <v>-7.7424516315951983</v>
      </c>
      <c r="G110">
        <v>2</v>
      </c>
      <c r="J110">
        <v>6</v>
      </c>
      <c r="K110">
        <v>0.5341410906376336</v>
      </c>
      <c r="L110">
        <v>1</v>
      </c>
      <c r="N110" s="4"/>
      <c r="O110" s="4"/>
    </row>
    <row r="111" spans="1:33" x14ac:dyDescent="0.5">
      <c r="E111">
        <v>8</v>
      </c>
      <c r="F111">
        <v>-2.2001937333230899</v>
      </c>
      <c r="G111">
        <v>1</v>
      </c>
      <c r="J111">
        <v>8</v>
      </c>
      <c r="K111">
        <v>-2.2001937333230899</v>
      </c>
      <c r="L111">
        <v>1</v>
      </c>
      <c r="N111" s="4"/>
      <c r="O111" s="4"/>
    </row>
    <row r="112" spans="1:33" x14ac:dyDescent="0.5">
      <c r="A112" s="7" t="s">
        <v>365</v>
      </c>
      <c r="B112" s="6" t="s">
        <v>369</v>
      </c>
      <c r="C112" t="s">
        <v>367</v>
      </c>
      <c r="D112" t="s">
        <v>366</v>
      </c>
      <c r="E112">
        <v>9</v>
      </c>
      <c r="F112">
        <v>-1.2531838646654043</v>
      </c>
      <c r="G112">
        <v>1</v>
      </c>
      <c r="J112">
        <v>9</v>
      </c>
      <c r="K112">
        <v>-1.2531838646654043</v>
      </c>
      <c r="L112">
        <v>1</v>
      </c>
      <c r="N112" s="4"/>
      <c r="O112" s="4"/>
    </row>
    <row r="113" spans="1:33" x14ac:dyDescent="0.5">
      <c r="A113">
        <v>3</v>
      </c>
      <c r="B113">
        <v>12.217419032378908</v>
      </c>
      <c r="E113">
        <v>10</v>
      </c>
      <c r="F113">
        <v>5.9494948240419641</v>
      </c>
      <c r="G113">
        <v>0</v>
      </c>
      <c r="J113">
        <v>11</v>
      </c>
      <c r="K113">
        <v>1.0862781997597679</v>
      </c>
      <c r="L113">
        <v>1</v>
      </c>
      <c r="N113" s="4"/>
      <c r="O113" s="4"/>
    </row>
    <row r="114" spans="1:33" x14ac:dyDescent="0.5">
      <c r="A114" s="7">
        <v>2</v>
      </c>
      <c r="B114" s="6">
        <v>-7.8084255267026546</v>
      </c>
      <c r="D114" s="8">
        <v>-4.8391930918358277</v>
      </c>
      <c r="E114">
        <v>11</v>
      </c>
      <c r="F114">
        <v>1.0862781997597679</v>
      </c>
      <c r="G114">
        <v>1</v>
      </c>
      <c r="J114">
        <v>10</v>
      </c>
      <c r="K114">
        <v>5.9494948240419641</v>
      </c>
      <c r="L114">
        <v>0</v>
      </c>
      <c r="N114" s="4"/>
      <c r="O114" s="4"/>
      <c r="AF114" t="s">
        <v>342</v>
      </c>
      <c r="AG114" t="s">
        <v>344</v>
      </c>
    </row>
    <row r="115" spans="1:33" x14ac:dyDescent="0.5">
      <c r="A115" s="5">
        <v>2</v>
      </c>
      <c r="B115" s="6">
        <v>-6.3238093092692411</v>
      </c>
      <c r="C115" s="8">
        <v>-7.8084255267026546</v>
      </c>
      <c r="D115" s="8"/>
      <c r="E115">
        <v>12</v>
      </c>
      <c r="F115">
        <v>2.8654573724286845</v>
      </c>
      <c r="G115">
        <v>0</v>
      </c>
      <c r="J115">
        <v>12</v>
      </c>
      <c r="K115">
        <v>2.8654573724286845</v>
      </c>
      <c r="L115">
        <v>0</v>
      </c>
      <c r="N115" s="4"/>
      <c r="O115" s="4"/>
      <c r="AF115">
        <v>1</v>
      </c>
      <c r="AG115">
        <v>3</v>
      </c>
    </row>
    <row r="116" spans="1:33" x14ac:dyDescent="0.5">
      <c r="A116" s="5">
        <v>2</v>
      </c>
      <c r="B116" s="6">
        <v>-4.8391930918358277</v>
      </c>
      <c r="C116" s="8"/>
      <c r="D116" s="8"/>
      <c r="J116" s="4"/>
      <c r="K116" s="4"/>
      <c r="AB116">
        <v>2</v>
      </c>
      <c r="AC116">
        <v>2</v>
      </c>
    </row>
    <row r="117" spans="1:33" x14ac:dyDescent="0.5">
      <c r="A117" s="5">
        <v>1</v>
      </c>
      <c r="B117" s="6">
        <v>-1.6821600044165423</v>
      </c>
      <c r="C117" s="8"/>
      <c r="D117" s="8">
        <v>1.0410363967665623</v>
      </c>
    </row>
    <row r="118" spans="1:33" x14ac:dyDescent="0.5">
      <c r="A118" s="5">
        <v>1</v>
      </c>
      <c r="B118" s="6">
        <v>-0.32056180382498994</v>
      </c>
      <c r="C118" s="8">
        <v>-1.6821600044165423</v>
      </c>
      <c r="D118" s="8"/>
    </row>
    <row r="119" spans="1:33" x14ac:dyDescent="0.5">
      <c r="A119" s="5">
        <v>1</v>
      </c>
      <c r="B119" s="6">
        <v>1.0410363967665623</v>
      </c>
      <c r="C119" s="8"/>
      <c r="D119" s="8"/>
    </row>
    <row r="120" spans="1:33" x14ac:dyDescent="0.5">
      <c r="A120" s="5">
        <v>0</v>
      </c>
      <c r="B120" s="6">
        <v>2.2267323027662984</v>
      </c>
      <c r="C120" s="8"/>
      <c r="D120" s="8">
        <v>6.588219893704351</v>
      </c>
    </row>
    <row r="121" spans="1:33" x14ac:dyDescent="0.5">
      <c r="A121" s="5">
        <v>0</v>
      </c>
      <c r="B121" s="6">
        <v>4.4074760982353247</v>
      </c>
      <c r="C121" s="8">
        <v>2.2267323027662984</v>
      </c>
    </row>
    <row r="122" spans="1:33" x14ac:dyDescent="0.5">
      <c r="A122" s="5">
        <v>0</v>
      </c>
      <c r="B122" s="6">
        <v>6.588219893704351</v>
      </c>
    </row>
    <row r="133" ht="21" customHeight="1" x14ac:dyDescent="0.5"/>
  </sheetData>
  <sortState ref="F235:I246">
    <sortCondition descending="1" ref="I235:I246"/>
  </sortState>
  <mergeCells count="3">
    <mergeCell ref="CD1:CE1"/>
    <mergeCell ref="CF1:CH1"/>
    <mergeCell ref="CI1:CJ1"/>
  </mergeCells>
  <phoneticPr fontId="8" type="noConversion"/>
  <pageMargins left="0.75" right="0.75" top="1" bottom="1" header="0.5" footer="0.5"/>
  <pageSetup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13" sqref="G13"/>
    </sheetView>
  </sheetViews>
  <sheetFormatPr baseColWidth="10" defaultRowHeight="15.75" x14ac:dyDescent="0.5"/>
  <sheetData/>
  <phoneticPr fontId="8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24"/>
  <sheetViews>
    <sheetView topLeftCell="A6" workbookViewId="0">
      <selection activeCell="C25" sqref="C25"/>
    </sheetView>
  </sheetViews>
  <sheetFormatPr baseColWidth="10" defaultRowHeight="15.75" x14ac:dyDescent="0.5"/>
  <sheetData>
    <row r="1" spans="2:18" x14ac:dyDescent="0.5">
      <c r="B1" t="s">
        <v>370</v>
      </c>
      <c r="C1" s="2"/>
      <c r="D1" s="2" t="s">
        <v>11</v>
      </c>
      <c r="E1" s="2" t="s">
        <v>12</v>
      </c>
      <c r="F1" s="2" t="s">
        <v>33</v>
      </c>
      <c r="G1" s="2" t="s">
        <v>34</v>
      </c>
      <c r="H1" s="2" t="s">
        <v>35</v>
      </c>
      <c r="I1" s="2" t="s">
        <v>16</v>
      </c>
      <c r="J1" s="2" t="s">
        <v>17</v>
      </c>
      <c r="K1" s="2" t="s">
        <v>372</v>
      </c>
    </row>
    <row r="2" spans="2:18" x14ac:dyDescent="0.5">
      <c r="B2">
        <v>1</v>
      </c>
      <c r="C2" s="2" t="s">
        <v>30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-2</v>
      </c>
      <c r="J2" s="2">
        <v>2</v>
      </c>
      <c r="L2">
        <f>ABS(D2)</f>
        <v>0</v>
      </c>
      <c r="M2">
        <f t="shared" ref="M2:R17" si="0">ABS(E2)</f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2</v>
      </c>
      <c r="R2">
        <f t="shared" si="0"/>
        <v>2</v>
      </c>
    </row>
    <row r="3" spans="2:18" x14ac:dyDescent="0.5">
      <c r="B3">
        <v>2</v>
      </c>
      <c r="C3" s="2" t="s">
        <v>30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-2</v>
      </c>
      <c r="J3" s="2">
        <v>2</v>
      </c>
      <c r="L3">
        <f t="shared" ref="L3:L21" si="1">ABS(D3)</f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2</v>
      </c>
      <c r="R3">
        <f t="shared" si="0"/>
        <v>2</v>
      </c>
    </row>
    <row r="4" spans="2:18" x14ac:dyDescent="0.5">
      <c r="B4">
        <v>3</v>
      </c>
      <c r="C4" s="2" t="s">
        <v>30</v>
      </c>
      <c r="D4" s="2">
        <v>0</v>
      </c>
      <c r="E4" s="2">
        <v>0</v>
      </c>
      <c r="F4" s="2">
        <v>-2</v>
      </c>
      <c r="G4" s="2">
        <v>2</v>
      </c>
      <c r="H4" s="2">
        <v>0</v>
      </c>
      <c r="I4" s="2">
        <v>0</v>
      </c>
      <c r="J4" s="2">
        <v>0</v>
      </c>
      <c r="L4">
        <f t="shared" si="1"/>
        <v>0</v>
      </c>
      <c r="M4">
        <f t="shared" si="0"/>
        <v>0</v>
      </c>
      <c r="N4">
        <f t="shared" si="0"/>
        <v>2</v>
      </c>
      <c r="O4">
        <f t="shared" si="0"/>
        <v>2</v>
      </c>
      <c r="P4">
        <f t="shared" si="0"/>
        <v>0</v>
      </c>
      <c r="Q4">
        <f t="shared" si="0"/>
        <v>0</v>
      </c>
      <c r="R4">
        <f t="shared" si="0"/>
        <v>0</v>
      </c>
    </row>
    <row r="5" spans="2:18" x14ac:dyDescent="0.5">
      <c r="B5">
        <v>4</v>
      </c>
      <c r="C5" s="2" t="s">
        <v>30</v>
      </c>
      <c r="D5" s="2">
        <v>-2</v>
      </c>
      <c r="E5" s="2">
        <v>2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L5">
        <f t="shared" si="1"/>
        <v>2</v>
      </c>
      <c r="M5">
        <f t="shared" si="0"/>
        <v>2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</row>
    <row r="6" spans="2:18" x14ac:dyDescent="0.5">
      <c r="B6">
        <v>5</v>
      </c>
      <c r="C6" s="2" t="s">
        <v>30</v>
      </c>
      <c r="D6" s="2">
        <v>0</v>
      </c>
      <c r="E6" s="2">
        <v>0</v>
      </c>
      <c r="F6" s="2">
        <v>0</v>
      </c>
      <c r="G6" s="2">
        <v>-2</v>
      </c>
      <c r="H6" s="2">
        <v>2</v>
      </c>
      <c r="I6" s="2">
        <v>0</v>
      </c>
      <c r="J6" s="2">
        <v>0</v>
      </c>
      <c r="L6">
        <f t="shared" si="1"/>
        <v>0</v>
      </c>
      <c r="M6">
        <f t="shared" si="0"/>
        <v>0</v>
      </c>
      <c r="N6">
        <f t="shared" si="0"/>
        <v>0</v>
      </c>
      <c r="O6">
        <f t="shared" si="0"/>
        <v>2</v>
      </c>
      <c r="P6">
        <f t="shared" si="0"/>
        <v>2</v>
      </c>
      <c r="Q6">
        <f t="shared" si="0"/>
        <v>0</v>
      </c>
      <c r="R6">
        <f t="shared" si="0"/>
        <v>0</v>
      </c>
    </row>
    <row r="7" spans="2:18" x14ac:dyDescent="0.5">
      <c r="B7">
        <v>6</v>
      </c>
      <c r="C7" s="2" t="s">
        <v>30</v>
      </c>
      <c r="D7" s="2">
        <v>0</v>
      </c>
      <c r="E7" s="2">
        <v>0</v>
      </c>
      <c r="F7" s="2">
        <v>0</v>
      </c>
      <c r="G7" s="2">
        <v>2</v>
      </c>
      <c r="H7" s="2">
        <v>-2</v>
      </c>
      <c r="I7" s="2">
        <v>0</v>
      </c>
      <c r="J7" s="2">
        <v>0</v>
      </c>
      <c r="L7">
        <f t="shared" si="1"/>
        <v>0</v>
      </c>
      <c r="M7">
        <f t="shared" si="0"/>
        <v>0</v>
      </c>
      <c r="N7">
        <f t="shared" si="0"/>
        <v>0</v>
      </c>
      <c r="O7">
        <f t="shared" si="0"/>
        <v>2</v>
      </c>
      <c r="P7">
        <f t="shared" si="0"/>
        <v>2</v>
      </c>
      <c r="Q7">
        <f t="shared" si="0"/>
        <v>0</v>
      </c>
      <c r="R7">
        <f t="shared" si="0"/>
        <v>0</v>
      </c>
    </row>
    <row r="8" spans="2:18" x14ac:dyDescent="0.5">
      <c r="B8">
        <v>7</v>
      </c>
      <c r="C8" s="2" t="s">
        <v>30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L8">
        <f t="shared" si="1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</row>
    <row r="9" spans="2:18" x14ac:dyDescent="0.5">
      <c r="B9">
        <v>8</v>
      </c>
      <c r="C9" s="2" t="s">
        <v>30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L9">
        <f t="shared" si="1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0"/>
        <v>0</v>
      </c>
    </row>
    <row r="10" spans="2:18" x14ac:dyDescent="0.5">
      <c r="B10">
        <v>9</v>
      </c>
      <c r="C10" s="2" t="s">
        <v>30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L10">
        <f t="shared" si="1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0"/>
        <v>0</v>
      </c>
    </row>
    <row r="11" spans="2:18" x14ac:dyDescent="0.5">
      <c r="B11">
        <v>10</v>
      </c>
      <c r="C11" s="2" t="s">
        <v>30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-2</v>
      </c>
      <c r="J11" s="2">
        <v>2</v>
      </c>
      <c r="L11">
        <f t="shared" si="1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2</v>
      </c>
      <c r="R11">
        <f t="shared" si="0"/>
        <v>2</v>
      </c>
    </row>
    <row r="12" spans="2:18" x14ac:dyDescent="0.5">
      <c r="B12">
        <v>11</v>
      </c>
      <c r="C12" s="2" t="s">
        <v>30</v>
      </c>
      <c r="D12" s="2">
        <v>0</v>
      </c>
      <c r="E12" s="2">
        <v>0</v>
      </c>
      <c r="F12" s="2">
        <v>2</v>
      </c>
      <c r="G12" s="2">
        <v>0</v>
      </c>
      <c r="H12" s="2">
        <v>-2</v>
      </c>
      <c r="I12" s="2">
        <v>0</v>
      </c>
      <c r="J12" s="2">
        <v>0</v>
      </c>
      <c r="L12">
        <f t="shared" si="1"/>
        <v>0</v>
      </c>
      <c r="M12">
        <f t="shared" si="0"/>
        <v>0</v>
      </c>
      <c r="N12">
        <f t="shared" si="0"/>
        <v>2</v>
      </c>
      <c r="O12">
        <f t="shared" si="0"/>
        <v>0</v>
      </c>
      <c r="P12">
        <f t="shared" si="0"/>
        <v>2</v>
      </c>
      <c r="Q12">
        <f t="shared" si="0"/>
        <v>0</v>
      </c>
      <c r="R12">
        <f t="shared" si="0"/>
        <v>0</v>
      </c>
    </row>
    <row r="13" spans="2:18" x14ac:dyDescent="0.5">
      <c r="B13">
        <v>12</v>
      </c>
      <c r="C13" s="2" t="s">
        <v>30</v>
      </c>
      <c r="D13" s="2">
        <v>0</v>
      </c>
      <c r="E13" s="2">
        <v>-2</v>
      </c>
      <c r="F13" s="2">
        <v>0</v>
      </c>
      <c r="G13" s="2">
        <v>-2</v>
      </c>
      <c r="H13" s="2">
        <v>0</v>
      </c>
      <c r="I13" s="2">
        <v>-2</v>
      </c>
      <c r="J13" s="2">
        <v>0</v>
      </c>
      <c r="L13">
        <f t="shared" si="1"/>
        <v>0</v>
      </c>
      <c r="M13">
        <f t="shared" si="0"/>
        <v>2</v>
      </c>
      <c r="N13">
        <f t="shared" si="0"/>
        <v>0</v>
      </c>
      <c r="O13">
        <f t="shared" si="0"/>
        <v>2</v>
      </c>
      <c r="P13">
        <f t="shared" si="0"/>
        <v>0</v>
      </c>
      <c r="Q13">
        <f t="shared" si="0"/>
        <v>2</v>
      </c>
      <c r="R13">
        <f t="shared" si="0"/>
        <v>0</v>
      </c>
    </row>
    <row r="14" spans="2:18" x14ac:dyDescent="0.5">
      <c r="B14">
        <v>13</v>
      </c>
      <c r="C14" s="2" t="s">
        <v>30</v>
      </c>
      <c r="D14" s="2">
        <v>0</v>
      </c>
      <c r="E14" s="2">
        <v>-2</v>
      </c>
      <c r="F14" s="2">
        <v>0</v>
      </c>
      <c r="G14" s="2">
        <v>-2</v>
      </c>
      <c r="H14" s="2">
        <v>0</v>
      </c>
      <c r="I14" s="2">
        <v>-2</v>
      </c>
      <c r="J14" s="2">
        <v>0</v>
      </c>
      <c r="L14">
        <f t="shared" si="1"/>
        <v>0</v>
      </c>
      <c r="M14">
        <f t="shared" si="0"/>
        <v>2</v>
      </c>
      <c r="N14">
        <f t="shared" si="0"/>
        <v>0</v>
      </c>
      <c r="O14">
        <f t="shared" si="0"/>
        <v>2</v>
      </c>
      <c r="P14">
        <f t="shared" si="0"/>
        <v>0</v>
      </c>
      <c r="Q14">
        <f t="shared" si="0"/>
        <v>2</v>
      </c>
      <c r="R14">
        <f t="shared" si="0"/>
        <v>0</v>
      </c>
    </row>
    <row r="15" spans="2:18" x14ac:dyDescent="0.5">
      <c r="B15">
        <v>14</v>
      </c>
      <c r="C15" s="2" t="s">
        <v>30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-2</v>
      </c>
      <c r="J15" s="2">
        <v>2</v>
      </c>
      <c r="L15">
        <f t="shared" si="1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Q15">
        <f t="shared" si="0"/>
        <v>2</v>
      </c>
      <c r="R15">
        <f t="shared" si="0"/>
        <v>2</v>
      </c>
    </row>
    <row r="16" spans="2:18" x14ac:dyDescent="0.5">
      <c r="B16">
        <v>15</v>
      </c>
      <c r="C16" s="2" t="s">
        <v>30</v>
      </c>
      <c r="D16" s="2">
        <v>-2</v>
      </c>
      <c r="E16" s="2">
        <v>0</v>
      </c>
      <c r="F16" s="2">
        <v>-2</v>
      </c>
      <c r="G16" s="2">
        <v>0</v>
      </c>
      <c r="H16" s="2">
        <v>0</v>
      </c>
      <c r="I16" s="2">
        <v>0</v>
      </c>
      <c r="J16" s="2">
        <v>-2</v>
      </c>
      <c r="L16">
        <f t="shared" si="1"/>
        <v>2</v>
      </c>
      <c r="M16">
        <f t="shared" si="0"/>
        <v>0</v>
      </c>
      <c r="N16">
        <f t="shared" si="0"/>
        <v>2</v>
      </c>
      <c r="O16">
        <f t="shared" si="0"/>
        <v>0</v>
      </c>
      <c r="P16">
        <f t="shared" si="0"/>
        <v>0</v>
      </c>
      <c r="Q16">
        <f t="shared" si="0"/>
        <v>0</v>
      </c>
      <c r="R16">
        <f t="shared" si="0"/>
        <v>2</v>
      </c>
    </row>
    <row r="17" spans="2:18" x14ac:dyDescent="0.5">
      <c r="B17">
        <v>16</v>
      </c>
      <c r="C17" s="2" t="s">
        <v>30</v>
      </c>
      <c r="D17" s="2">
        <v>0</v>
      </c>
      <c r="E17" s="2">
        <v>0</v>
      </c>
      <c r="F17" s="2">
        <v>-2</v>
      </c>
      <c r="G17" s="2">
        <v>2</v>
      </c>
      <c r="H17" s="2">
        <v>0</v>
      </c>
      <c r="I17" s="2">
        <v>0</v>
      </c>
      <c r="J17" s="2">
        <v>0</v>
      </c>
      <c r="L17">
        <f t="shared" si="1"/>
        <v>0</v>
      </c>
      <c r="M17">
        <f t="shared" si="0"/>
        <v>0</v>
      </c>
      <c r="N17">
        <f t="shared" si="0"/>
        <v>2</v>
      </c>
      <c r="O17">
        <f t="shared" si="0"/>
        <v>2</v>
      </c>
      <c r="P17">
        <f t="shared" si="0"/>
        <v>0</v>
      </c>
      <c r="Q17">
        <f t="shared" si="0"/>
        <v>0</v>
      </c>
      <c r="R17">
        <f t="shared" si="0"/>
        <v>0</v>
      </c>
    </row>
    <row r="18" spans="2:18" x14ac:dyDescent="0.5">
      <c r="B18">
        <v>17</v>
      </c>
      <c r="C18" s="2" t="s">
        <v>30</v>
      </c>
      <c r="D18" s="2">
        <v>-1</v>
      </c>
      <c r="E18" s="2">
        <v>0</v>
      </c>
      <c r="F18" s="2">
        <v>1</v>
      </c>
      <c r="G18" s="2">
        <v>-2</v>
      </c>
      <c r="H18" s="2">
        <v>0</v>
      </c>
      <c r="I18" s="2">
        <v>1</v>
      </c>
      <c r="J18" s="2">
        <v>-2</v>
      </c>
      <c r="L18">
        <f t="shared" si="1"/>
        <v>1</v>
      </c>
      <c r="M18">
        <f t="shared" ref="M18:M21" si="2">ABS(E18)</f>
        <v>0</v>
      </c>
      <c r="N18">
        <f t="shared" ref="N18:N21" si="3">ABS(F18)</f>
        <v>1</v>
      </c>
      <c r="O18">
        <f t="shared" ref="O18:O21" si="4">ABS(G18)</f>
        <v>2</v>
      </c>
      <c r="P18">
        <f t="shared" ref="P18:P21" si="5">ABS(H18)</f>
        <v>0</v>
      </c>
      <c r="Q18">
        <f t="shared" ref="Q18:Q21" si="6">ABS(I18)</f>
        <v>1</v>
      </c>
      <c r="R18">
        <f t="shared" ref="R18:R21" si="7">ABS(J18)</f>
        <v>2</v>
      </c>
    </row>
    <row r="19" spans="2:18" x14ac:dyDescent="0.5">
      <c r="B19">
        <v>18</v>
      </c>
      <c r="C19" s="2" t="s">
        <v>30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2</v>
      </c>
      <c r="J19" s="2">
        <v>-2</v>
      </c>
      <c r="L19">
        <f t="shared" si="1"/>
        <v>0</v>
      </c>
      <c r="M19">
        <f t="shared" si="2"/>
        <v>0</v>
      </c>
      <c r="N19">
        <f t="shared" si="3"/>
        <v>0</v>
      </c>
      <c r="O19">
        <f t="shared" si="4"/>
        <v>0</v>
      </c>
      <c r="P19">
        <f t="shared" si="5"/>
        <v>0</v>
      </c>
      <c r="Q19">
        <f t="shared" si="6"/>
        <v>2</v>
      </c>
      <c r="R19">
        <f t="shared" si="7"/>
        <v>2</v>
      </c>
    </row>
    <row r="20" spans="2:18" x14ac:dyDescent="0.5">
      <c r="B20">
        <v>19</v>
      </c>
      <c r="C20" s="2" t="s">
        <v>30</v>
      </c>
      <c r="D20" s="2">
        <v>2</v>
      </c>
      <c r="E20" s="2">
        <v>-2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L20">
        <f t="shared" si="1"/>
        <v>2</v>
      </c>
      <c r="M20">
        <f t="shared" si="2"/>
        <v>2</v>
      </c>
      <c r="N20">
        <f t="shared" si="3"/>
        <v>0</v>
      </c>
      <c r="O20">
        <f t="shared" si="4"/>
        <v>0</v>
      </c>
      <c r="P20">
        <f t="shared" si="5"/>
        <v>0</v>
      </c>
      <c r="Q20">
        <f t="shared" si="6"/>
        <v>0</v>
      </c>
      <c r="R20">
        <f t="shared" si="7"/>
        <v>0</v>
      </c>
    </row>
    <row r="21" spans="2:18" x14ac:dyDescent="0.5">
      <c r="B21">
        <v>20</v>
      </c>
      <c r="C21" s="2" t="s">
        <v>30</v>
      </c>
      <c r="D21" s="2">
        <v>0</v>
      </c>
      <c r="E21" s="2">
        <v>0</v>
      </c>
      <c r="F21" s="2">
        <v>0</v>
      </c>
      <c r="G21" s="2">
        <v>-2</v>
      </c>
      <c r="H21" s="2">
        <v>2</v>
      </c>
      <c r="I21" s="2">
        <v>0</v>
      </c>
      <c r="J21" s="2">
        <v>0</v>
      </c>
      <c r="L21">
        <f t="shared" si="1"/>
        <v>0</v>
      </c>
      <c r="M21">
        <f t="shared" si="2"/>
        <v>0</v>
      </c>
      <c r="N21">
        <f t="shared" si="3"/>
        <v>0</v>
      </c>
      <c r="O21">
        <f t="shared" si="4"/>
        <v>2</v>
      </c>
      <c r="P21">
        <f t="shared" si="5"/>
        <v>2</v>
      </c>
      <c r="Q21">
        <f t="shared" si="6"/>
        <v>0</v>
      </c>
      <c r="R21">
        <f t="shared" si="7"/>
        <v>0</v>
      </c>
    </row>
    <row r="22" spans="2:18" x14ac:dyDescent="0.5">
      <c r="C22" s="2" t="s">
        <v>371</v>
      </c>
      <c r="D22">
        <f>AVERAGE(D2:D21)</f>
        <v>-0.15</v>
      </c>
      <c r="E22">
        <f t="shared" ref="E22:J22" si="8">AVERAGE(E2:E21)</f>
        <v>-0.2</v>
      </c>
      <c r="F22">
        <f t="shared" si="8"/>
        <v>-0.15</v>
      </c>
      <c r="G22">
        <f t="shared" si="8"/>
        <v>-0.2</v>
      </c>
      <c r="H22">
        <f t="shared" si="8"/>
        <v>0</v>
      </c>
      <c r="I22">
        <f t="shared" si="8"/>
        <v>-0.45</v>
      </c>
      <c r="J22">
        <f t="shared" si="8"/>
        <v>0.1</v>
      </c>
      <c r="K22" t="s">
        <v>371</v>
      </c>
      <c r="L22">
        <f>AVERAGE(L2:L21)</f>
        <v>0.35</v>
      </c>
      <c r="M22">
        <f t="shared" ref="M22" si="9">AVERAGE(M2:M21)</f>
        <v>0.4</v>
      </c>
      <c r="N22">
        <f t="shared" ref="N22" si="10">AVERAGE(N2:N21)</f>
        <v>0.45</v>
      </c>
      <c r="O22">
        <f t="shared" ref="O22" si="11">AVERAGE(O2:O21)</f>
        <v>0.8</v>
      </c>
      <c r="P22">
        <f t="shared" ref="P22" si="12">AVERAGE(P2:P21)</f>
        <v>0.4</v>
      </c>
      <c r="Q22">
        <f t="shared" ref="Q22" si="13">AVERAGE(Q2:Q21)</f>
        <v>0.75</v>
      </c>
      <c r="R22">
        <f t="shared" ref="R22" si="14">AVERAGE(R2:R21)</f>
        <v>0.7</v>
      </c>
    </row>
    <row r="23" spans="2:18" x14ac:dyDescent="0.5">
      <c r="C23" s="2" t="s">
        <v>350</v>
      </c>
      <c r="D23">
        <f>STDEV(D2:D21)</f>
        <v>0.81272770088724899</v>
      </c>
      <c r="E23">
        <f t="shared" ref="E23:J23" si="15">STDEV(E2:E21)</f>
        <v>0.89442719099991586</v>
      </c>
      <c r="F23">
        <f t="shared" si="15"/>
        <v>0.93330200448672962</v>
      </c>
      <c r="G23">
        <f t="shared" si="15"/>
        <v>1.2814465510343749</v>
      </c>
      <c r="H23">
        <f t="shared" si="15"/>
        <v>0.91766293548224709</v>
      </c>
      <c r="I23">
        <f t="shared" si="15"/>
        <v>1.145931016569864</v>
      </c>
      <c r="J23">
        <f t="shared" si="15"/>
        <v>1.2096106376585989</v>
      </c>
      <c r="K23" t="s">
        <v>350</v>
      </c>
      <c r="L23">
        <f>STDEV(L2:L21)</f>
        <v>0.74515982037059469</v>
      </c>
      <c r="M23">
        <f t="shared" ref="M23:R23" si="16">STDEV(M2:M21)</f>
        <v>0.82078268166812329</v>
      </c>
      <c r="N23">
        <f t="shared" si="16"/>
        <v>0.8255779474818965</v>
      </c>
      <c r="O23">
        <f t="shared" si="16"/>
        <v>1.0052493799000692</v>
      </c>
      <c r="P23">
        <f t="shared" si="16"/>
        <v>0.82078268166812329</v>
      </c>
      <c r="Q23">
        <f t="shared" si="16"/>
        <v>0.96654566695826094</v>
      </c>
      <c r="R23">
        <f t="shared" si="16"/>
        <v>0.97872096985918577</v>
      </c>
    </row>
    <row r="24" spans="2:18" x14ac:dyDescent="0.5">
      <c r="C24" s="2" t="s">
        <v>351</v>
      </c>
      <c r="D24">
        <f>D23/SQRT(20)</f>
        <v>0.18173143863810048</v>
      </c>
      <c r="E24">
        <f t="shared" ref="E24:J24" si="17">E23/SQRT(20)</f>
        <v>0.19999999999999998</v>
      </c>
      <c r="F24">
        <f t="shared" si="17"/>
        <v>0.20869267255691409</v>
      </c>
      <c r="G24">
        <f t="shared" si="17"/>
        <v>0.28654015976455155</v>
      </c>
      <c r="H24">
        <f t="shared" si="17"/>
        <v>0.20519567041703082</v>
      </c>
      <c r="I24">
        <f t="shared" si="17"/>
        <v>0.25623796505756535</v>
      </c>
      <c r="J24">
        <f t="shared" si="17"/>
        <v>0.2704771612111494</v>
      </c>
      <c r="K24" t="s">
        <v>351</v>
      </c>
      <c r="L24">
        <f>L23/SQRT(20)</f>
        <v>0.16662280124501821</v>
      </c>
      <c r="M24">
        <f t="shared" ref="M24" si="18">M23/SQRT(20)</f>
        <v>0.1835325870964494</v>
      </c>
      <c r="N24">
        <f t="shared" ref="N24" si="19">N23/SQRT(20)</f>
        <v>0.18460484112942718</v>
      </c>
      <c r="O24">
        <f t="shared" ref="O24" si="20">O23/SQRT(20)</f>
        <v>0.22478059477960655</v>
      </c>
      <c r="P24">
        <f t="shared" ref="P24" si="21">P23/SQRT(20)</f>
        <v>0.1835325870964494</v>
      </c>
      <c r="Q24">
        <f t="shared" ref="Q24" si="22">Q23/SQRT(20)</f>
        <v>0.21612618146765439</v>
      </c>
      <c r="R24">
        <f t="shared" ref="R24" si="23">R23/SQRT(20)</f>
        <v>0.2188486619609662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N19"/>
  <sheetViews>
    <sheetView topLeftCell="A19" workbookViewId="0">
      <selection activeCell="O30" sqref="O30"/>
    </sheetView>
  </sheetViews>
  <sheetFormatPr baseColWidth="10" defaultRowHeight="15.75" x14ac:dyDescent="0.5"/>
  <sheetData>
    <row r="4" spans="2:14" x14ac:dyDescent="0.5">
      <c r="B4" t="s">
        <v>342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</row>
    <row r="5" spans="2:14" x14ac:dyDescent="0.5">
      <c r="B5" t="s">
        <v>361</v>
      </c>
      <c r="C5">
        <v>1.3788183022436198</v>
      </c>
      <c r="D5">
        <v>-0.69184459974606216</v>
      </c>
      <c r="E5">
        <v>0.41069320566364337</v>
      </c>
      <c r="F5">
        <v>-0.20949764679061081</v>
      </c>
      <c r="G5">
        <v>-2.1931581809945166</v>
      </c>
      <c r="H5">
        <v>4.3554327282938406E-2</v>
      </c>
      <c r="I5">
        <v>-1.7154187628327013</v>
      </c>
      <c r="J5">
        <v>-0.11987465819442068</v>
      </c>
      <c r="K5">
        <v>1.0916227305134543</v>
      </c>
      <c r="L5">
        <v>-0.9869514242448969</v>
      </c>
      <c r="M5">
        <v>-0.29188926773765766</v>
      </c>
      <c r="N5">
        <v>2.2286414027124124</v>
      </c>
    </row>
    <row r="7" spans="2:14" x14ac:dyDescent="0.5">
      <c r="B7" t="s">
        <v>342</v>
      </c>
      <c r="C7" t="s">
        <v>361</v>
      </c>
      <c r="D7" t="s">
        <v>363</v>
      </c>
    </row>
    <row r="8" spans="2:14" x14ac:dyDescent="0.5">
      <c r="B8">
        <v>1</v>
      </c>
      <c r="C8">
        <v>1.3788183022436198</v>
      </c>
      <c r="D8">
        <v>3</v>
      </c>
    </row>
    <row r="9" spans="2:14" x14ac:dyDescent="0.5">
      <c r="B9">
        <v>2</v>
      </c>
      <c r="C9">
        <v>-0.69184459974606216</v>
      </c>
      <c r="D9">
        <v>2</v>
      </c>
    </row>
    <row r="10" spans="2:14" x14ac:dyDescent="0.5">
      <c r="B10">
        <v>3</v>
      </c>
      <c r="C10">
        <v>0.41069320566364337</v>
      </c>
      <c r="D10">
        <v>2</v>
      </c>
    </row>
    <row r="11" spans="2:14" x14ac:dyDescent="0.5">
      <c r="B11">
        <v>5</v>
      </c>
      <c r="C11">
        <v>-2.1931581809945166</v>
      </c>
      <c r="D11">
        <v>2</v>
      </c>
    </row>
    <row r="12" spans="2:14" x14ac:dyDescent="0.5">
      <c r="B12">
        <v>7</v>
      </c>
      <c r="C12">
        <v>-1.7154187628327013</v>
      </c>
      <c r="D12">
        <v>2</v>
      </c>
      <c r="E12">
        <f>AVERAGE(C9:C12)</f>
        <v>-1.0474320844774092</v>
      </c>
      <c r="F12">
        <f>STDEV(C9:C12)</f>
        <v>1.1563543735589823</v>
      </c>
    </row>
    <row r="13" spans="2:14" x14ac:dyDescent="0.5">
      <c r="B13">
        <v>4</v>
      </c>
      <c r="C13">
        <v>-0.20949764679061081</v>
      </c>
      <c r="D13">
        <v>1</v>
      </c>
    </row>
    <row r="14" spans="2:14" x14ac:dyDescent="0.5">
      <c r="B14">
        <v>6</v>
      </c>
      <c r="C14">
        <v>4.3554327282938406E-2</v>
      </c>
      <c r="D14">
        <v>1</v>
      </c>
    </row>
    <row r="15" spans="2:14" x14ac:dyDescent="0.5">
      <c r="B15">
        <v>8</v>
      </c>
      <c r="C15">
        <v>-0.11987465819442068</v>
      </c>
      <c r="D15">
        <v>1</v>
      </c>
    </row>
    <row r="16" spans="2:14" x14ac:dyDescent="0.5">
      <c r="B16">
        <v>9</v>
      </c>
      <c r="C16">
        <v>1.0916227305134543</v>
      </c>
      <c r="D16">
        <v>1</v>
      </c>
    </row>
    <row r="17" spans="2:6" x14ac:dyDescent="0.5">
      <c r="B17">
        <v>11</v>
      </c>
      <c r="C17">
        <v>-0.29188926773765766</v>
      </c>
      <c r="D17">
        <v>1</v>
      </c>
      <c r="E17">
        <f>AVERAGE(C13:C17)</f>
        <v>0.10278309701474071</v>
      </c>
      <c r="F17">
        <f>STDEV(C13:C17)</f>
        <v>0.56660698070785132</v>
      </c>
    </row>
    <row r="18" spans="2:6" x14ac:dyDescent="0.5">
      <c r="B18">
        <v>10</v>
      </c>
      <c r="C18">
        <v>-0.9869514242448969</v>
      </c>
      <c r="D18">
        <v>0</v>
      </c>
    </row>
    <row r="19" spans="2:6" x14ac:dyDescent="0.5">
      <c r="B19">
        <v>12</v>
      </c>
      <c r="C19">
        <v>2.2286414027124124</v>
      </c>
      <c r="D19">
        <v>0</v>
      </c>
      <c r="E19">
        <f>AVERAGE(C18:C19)</f>
        <v>0.62084498923375775</v>
      </c>
      <c r="F19">
        <f>STDEV(C18:C19)</f>
        <v>2.2737674934763339</v>
      </c>
    </row>
  </sheetData>
  <sortState ref="B8:D19">
    <sortCondition descending="1" ref="D8:D1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162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0</v>
      </c>
      <c r="H4" s="2">
        <v>1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333</v>
      </c>
      <c r="G13" s="2">
        <v>334</v>
      </c>
      <c r="H13" s="2">
        <v>333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331</v>
      </c>
      <c r="G23" s="2">
        <v>334</v>
      </c>
      <c r="H23" s="2">
        <v>335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38</v>
      </c>
      <c r="F31" s="2">
        <v>44</v>
      </c>
      <c r="G31" s="2">
        <v>44</v>
      </c>
      <c r="H31" s="2">
        <v>36</v>
      </c>
      <c r="I31" s="2">
        <v>35</v>
      </c>
      <c r="J31" s="2">
        <v>39</v>
      </c>
      <c r="K31" s="2">
        <v>44</v>
      </c>
      <c r="L31" s="2">
        <v>39</v>
      </c>
      <c r="M31" s="2">
        <v>39</v>
      </c>
      <c r="N31" s="2">
        <v>44</v>
      </c>
      <c r="O31" s="2">
        <v>42</v>
      </c>
      <c r="P31" s="2">
        <v>37</v>
      </c>
    </row>
    <row r="32" spans="4:16" x14ac:dyDescent="0.5">
      <c r="D32" s="2">
        <v>2</v>
      </c>
      <c r="E32" s="2">
        <v>39</v>
      </c>
      <c r="F32" s="2">
        <v>47</v>
      </c>
      <c r="G32" s="2">
        <v>41</v>
      </c>
      <c r="H32" s="2">
        <v>48</v>
      </c>
      <c r="I32" s="2">
        <v>49</v>
      </c>
      <c r="J32" s="2">
        <v>40</v>
      </c>
      <c r="K32" s="2">
        <v>42</v>
      </c>
      <c r="L32" s="2">
        <v>40</v>
      </c>
      <c r="M32" s="2">
        <v>41</v>
      </c>
      <c r="N32" s="2">
        <v>41</v>
      </c>
      <c r="O32" s="2">
        <v>47</v>
      </c>
      <c r="P32" s="2">
        <v>44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45</v>
      </c>
      <c r="F37" s="2">
        <v>39</v>
      </c>
      <c r="G37" s="2">
        <v>40</v>
      </c>
      <c r="H37" s="2">
        <v>47</v>
      </c>
      <c r="I37" s="2">
        <v>49</v>
      </c>
      <c r="J37" s="2">
        <v>44</v>
      </c>
      <c r="K37" s="2">
        <v>39</v>
      </c>
      <c r="L37" s="2">
        <v>44</v>
      </c>
      <c r="M37" s="2">
        <v>45</v>
      </c>
      <c r="N37" s="2">
        <v>39</v>
      </c>
      <c r="O37" s="2">
        <v>41</v>
      </c>
      <c r="P37" s="2">
        <v>47</v>
      </c>
    </row>
    <row r="38" spans="4:16" x14ac:dyDescent="0.5">
      <c r="D38" s="2">
        <v>2</v>
      </c>
      <c r="E38" s="2">
        <v>44</v>
      </c>
      <c r="F38" s="2">
        <v>36</v>
      </c>
      <c r="G38" s="2">
        <v>43</v>
      </c>
      <c r="H38" s="2">
        <v>35</v>
      </c>
      <c r="I38" s="2">
        <v>35</v>
      </c>
      <c r="J38" s="2">
        <v>43</v>
      </c>
      <c r="K38" s="2">
        <v>41</v>
      </c>
      <c r="L38" s="2">
        <v>43</v>
      </c>
      <c r="M38" s="2">
        <v>43</v>
      </c>
      <c r="N38" s="2">
        <v>42</v>
      </c>
      <c r="O38" s="2">
        <v>36</v>
      </c>
      <c r="P38" s="2">
        <v>40</v>
      </c>
    </row>
    <row r="39" spans="4:16" ht="17.649999999999999" x14ac:dyDescent="0.5">
      <c r="D39" s="3" t="s">
        <v>137</v>
      </c>
      <c r="E39">
        <f t="shared" ref="E39:P39" si="0">E31-E37</f>
        <v>-7</v>
      </c>
      <c r="F39">
        <f t="shared" si="0"/>
        <v>5</v>
      </c>
      <c r="G39">
        <f t="shared" si="0"/>
        <v>4</v>
      </c>
      <c r="H39">
        <f t="shared" si="0"/>
        <v>-11</v>
      </c>
      <c r="I39">
        <f t="shared" si="0"/>
        <v>-14</v>
      </c>
      <c r="J39">
        <f t="shared" si="0"/>
        <v>-5</v>
      </c>
      <c r="K39">
        <f t="shared" si="0"/>
        <v>5</v>
      </c>
      <c r="L39">
        <f t="shared" si="0"/>
        <v>-5</v>
      </c>
      <c r="M39">
        <f t="shared" si="0"/>
        <v>-6</v>
      </c>
      <c r="N39">
        <f t="shared" si="0"/>
        <v>5</v>
      </c>
      <c r="O39">
        <f t="shared" si="0"/>
        <v>1</v>
      </c>
      <c r="P39">
        <f t="shared" si="0"/>
        <v>-10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11</v>
      </c>
      <c r="G40">
        <f t="shared" si="1"/>
        <v>-2</v>
      </c>
      <c r="H40">
        <f t="shared" si="1"/>
        <v>13</v>
      </c>
      <c r="I40">
        <f t="shared" si="1"/>
        <v>14</v>
      </c>
      <c r="J40">
        <f t="shared" si="1"/>
        <v>-3</v>
      </c>
      <c r="K40">
        <f t="shared" si="1"/>
        <v>1</v>
      </c>
      <c r="L40">
        <f t="shared" si="1"/>
        <v>-3</v>
      </c>
      <c r="M40">
        <f t="shared" si="1"/>
        <v>-2</v>
      </c>
      <c r="N40">
        <f t="shared" si="1"/>
        <v>-1</v>
      </c>
      <c r="O40">
        <f t="shared" si="1"/>
        <v>11</v>
      </c>
      <c r="P40">
        <f t="shared" si="1"/>
        <v>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77</v>
      </c>
      <c r="F44" s="2">
        <v>91</v>
      </c>
      <c r="G44" s="2">
        <v>85</v>
      </c>
      <c r="H44" s="2">
        <v>84</v>
      </c>
      <c r="I44" s="2">
        <v>84</v>
      </c>
      <c r="J44" s="2">
        <v>79</v>
      </c>
      <c r="K44" s="2">
        <v>86</v>
      </c>
      <c r="L44" s="2">
        <v>79</v>
      </c>
      <c r="M44" s="2">
        <v>80</v>
      </c>
      <c r="N44" s="2">
        <v>85</v>
      </c>
      <c r="O44" s="2">
        <v>89</v>
      </c>
      <c r="P44" s="2">
        <v>81</v>
      </c>
    </row>
    <row r="45" spans="4:16" x14ac:dyDescent="0.5">
      <c r="D45" s="2" t="s">
        <v>28</v>
      </c>
      <c r="E45" s="2">
        <v>89</v>
      </c>
      <c r="F45" s="2">
        <v>75</v>
      </c>
      <c r="G45" s="2">
        <v>83</v>
      </c>
      <c r="H45" s="2">
        <v>82</v>
      </c>
      <c r="I45" s="2">
        <v>84</v>
      </c>
      <c r="J45" s="2">
        <v>87</v>
      </c>
      <c r="K45" s="2">
        <v>80</v>
      </c>
      <c r="L45" s="2">
        <v>87</v>
      </c>
      <c r="M45" s="2">
        <v>88</v>
      </c>
      <c r="N45" s="2">
        <v>81</v>
      </c>
      <c r="O45" s="2">
        <v>77</v>
      </c>
      <c r="P45" s="2">
        <v>87</v>
      </c>
    </row>
    <row r="46" spans="4:16" x14ac:dyDescent="0.5">
      <c r="D46" s="2" t="s">
        <v>30</v>
      </c>
      <c r="E46" s="2">
        <v>-12</v>
      </c>
      <c r="F46" s="2">
        <v>16</v>
      </c>
      <c r="G46" s="2">
        <v>2</v>
      </c>
      <c r="H46" s="2">
        <v>2</v>
      </c>
      <c r="I46" s="2">
        <v>0</v>
      </c>
      <c r="J46" s="2">
        <v>-8</v>
      </c>
      <c r="K46" s="2">
        <v>6</v>
      </c>
      <c r="L46" s="2">
        <v>-8</v>
      </c>
      <c r="M46" s="2">
        <v>-8</v>
      </c>
      <c r="N46" s="2">
        <v>4</v>
      </c>
      <c r="O46" s="2">
        <v>12</v>
      </c>
      <c r="P46" s="2">
        <v>-6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333</v>
      </c>
      <c r="H51" s="2">
        <v>334</v>
      </c>
      <c r="I51" s="2">
        <v>333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331</v>
      </c>
      <c r="H52" s="2">
        <v>334</v>
      </c>
      <c r="I52" s="2">
        <v>335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2</v>
      </c>
      <c r="H53" s="2">
        <v>0</v>
      </c>
      <c r="I53" s="2">
        <v>-2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1</v>
      </c>
      <c r="F56" s="2">
        <v>96</v>
      </c>
      <c r="G56" s="2">
        <v>495</v>
      </c>
      <c r="H56" s="2">
        <v>805</v>
      </c>
      <c r="I56" s="2">
        <v>502</v>
      </c>
      <c r="J56" s="2">
        <v>99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153</v>
      </c>
    </row>
    <row r="62" spans="4:11" ht="17.649999999999999" x14ac:dyDescent="0.5">
      <c r="D62" s="3" t="s">
        <v>67</v>
      </c>
    </row>
    <row r="63" spans="4:11" ht="17.649999999999999" x14ac:dyDescent="0.5">
      <c r="D63" s="3" t="s">
        <v>118</v>
      </c>
    </row>
    <row r="64" spans="4:11" ht="17.649999999999999" x14ac:dyDescent="0.5">
      <c r="D64" s="3" t="s">
        <v>112</v>
      </c>
    </row>
    <row r="65" spans="4:4" ht="17.649999999999999" x14ac:dyDescent="0.5">
      <c r="D65" s="3" t="s">
        <v>75</v>
      </c>
    </row>
    <row r="66" spans="4:4" ht="17.649999999999999" x14ac:dyDescent="0.5">
      <c r="D66" s="3" t="s">
        <v>65</v>
      </c>
    </row>
    <row r="67" spans="4:4" ht="17.649999999999999" x14ac:dyDescent="0.5">
      <c r="D67" s="3" t="s">
        <v>77</v>
      </c>
    </row>
    <row r="68" spans="4:4" ht="17.649999999999999" x14ac:dyDescent="0.5">
      <c r="D68" s="3" t="s">
        <v>103</v>
      </c>
    </row>
    <row r="69" spans="4:4" ht="17.649999999999999" x14ac:dyDescent="0.5">
      <c r="D69" s="3" t="s">
        <v>121</v>
      </c>
    </row>
    <row r="70" spans="4:4" ht="17.649999999999999" x14ac:dyDescent="0.5">
      <c r="D70" s="3" t="s">
        <v>91</v>
      </c>
    </row>
    <row r="71" spans="4:4" ht="17.649999999999999" x14ac:dyDescent="0.5">
      <c r="D71" s="3" t="s">
        <v>44</v>
      </c>
    </row>
    <row r="72" spans="4:4" ht="17.649999999999999" x14ac:dyDescent="0.5">
      <c r="D72" s="3" t="s">
        <v>94</v>
      </c>
    </row>
    <row r="73" spans="4:4" ht="17.649999999999999" x14ac:dyDescent="0.5">
      <c r="D73" s="3" t="s">
        <v>75</v>
      </c>
    </row>
    <row r="74" spans="4:4" ht="17.649999999999999" x14ac:dyDescent="0.5">
      <c r="D74" s="3" t="s">
        <v>107</v>
      </c>
    </row>
    <row r="75" spans="4:4" ht="17.649999999999999" x14ac:dyDescent="0.5">
      <c r="D75" s="3" t="s">
        <v>94</v>
      </c>
    </row>
    <row r="76" spans="4:4" ht="17.649999999999999" x14ac:dyDescent="0.5">
      <c r="D76" s="3" t="s">
        <v>130</v>
      </c>
    </row>
    <row r="77" spans="4:4" ht="17.649999999999999" x14ac:dyDescent="0.5">
      <c r="D77" s="3" t="s">
        <v>95</v>
      </c>
    </row>
    <row r="78" spans="4:4" ht="17.649999999999999" x14ac:dyDescent="0.5">
      <c r="D78" s="3" t="s">
        <v>64</v>
      </c>
    </row>
    <row r="79" spans="4:4" ht="17.649999999999999" x14ac:dyDescent="0.5">
      <c r="D79" s="3" t="s">
        <v>43</v>
      </c>
    </row>
    <row r="80" spans="4:4" ht="17.649999999999999" x14ac:dyDescent="0.5">
      <c r="D80" s="3" t="s">
        <v>76</v>
      </c>
    </row>
    <row r="81" spans="4:4" ht="17.649999999999999" x14ac:dyDescent="0.5">
      <c r="D81" s="3" t="s">
        <v>73</v>
      </c>
    </row>
    <row r="82" spans="4:4" ht="17.649999999999999" x14ac:dyDescent="0.5">
      <c r="D82" s="3" t="s">
        <v>84</v>
      </c>
    </row>
    <row r="83" spans="4:4" ht="17.649999999999999" x14ac:dyDescent="0.5">
      <c r="D83" s="3" t="s">
        <v>112</v>
      </c>
    </row>
    <row r="84" spans="4:4" ht="17.649999999999999" x14ac:dyDescent="0.5">
      <c r="D84" s="3" t="s">
        <v>62</v>
      </c>
    </row>
    <row r="85" spans="4:4" ht="17.649999999999999" x14ac:dyDescent="0.5">
      <c r="D85" s="3" t="s">
        <v>78</v>
      </c>
    </row>
    <row r="86" spans="4:4" ht="17.649999999999999" x14ac:dyDescent="0.5">
      <c r="D86" s="3" t="s">
        <v>45</v>
      </c>
    </row>
    <row r="87" spans="4:4" ht="17.649999999999999" x14ac:dyDescent="0.5">
      <c r="D87" s="3" t="s">
        <v>88</v>
      </c>
    </row>
    <row r="88" spans="4:4" ht="17.649999999999999" x14ac:dyDescent="0.5">
      <c r="D88" s="3" t="s">
        <v>106</v>
      </c>
    </row>
    <row r="89" spans="4:4" ht="17.649999999999999" x14ac:dyDescent="0.5">
      <c r="D89" s="3" t="s">
        <v>43</v>
      </c>
    </row>
    <row r="90" spans="4:4" ht="17.649999999999999" x14ac:dyDescent="0.5">
      <c r="D90" s="3" t="s">
        <v>54</v>
      </c>
    </row>
    <row r="91" spans="4:4" ht="17.649999999999999" x14ac:dyDescent="0.5">
      <c r="D91" s="3" t="s">
        <v>41</v>
      </c>
    </row>
    <row r="92" spans="4:4" ht="17.649999999999999" x14ac:dyDescent="0.5">
      <c r="D92" s="3" t="s">
        <v>107</v>
      </c>
    </row>
    <row r="93" spans="4:4" ht="17.649999999999999" x14ac:dyDescent="0.5">
      <c r="D93" s="3" t="s">
        <v>82</v>
      </c>
    </row>
    <row r="94" spans="4:4" ht="17.649999999999999" x14ac:dyDescent="0.5">
      <c r="D94" s="3" t="s">
        <v>52</v>
      </c>
    </row>
    <row r="95" spans="4:4" ht="17.649999999999999" x14ac:dyDescent="0.5">
      <c r="D95" s="3" t="s">
        <v>78</v>
      </c>
    </row>
    <row r="96" spans="4:4" ht="17.649999999999999" x14ac:dyDescent="0.5">
      <c r="D96" s="3" t="s">
        <v>49</v>
      </c>
    </row>
    <row r="97" spans="4:4" ht="17.649999999999999" x14ac:dyDescent="0.5">
      <c r="D97" s="3" t="s">
        <v>48</v>
      </c>
    </row>
    <row r="98" spans="4:4" ht="17.649999999999999" x14ac:dyDescent="0.5">
      <c r="D98" s="3" t="s">
        <v>98</v>
      </c>
    </row>
    <row r="99" spans="4:4" ht="17.649999999999999" x14ac:dyDescent="0.5">
      <c r="D99" s="3" t="s">
        <v>94</v>
      </c>
    </row>
    <row r="100" spans="4:4" ht="17.649999999999999" x14ac:dyDescent="0.5">
      <c r="D100" s="3" t="s">
        <v>101</v>
      </c>
    </row>
    <row r="101" spans="4:4" ht="17.649999999999999" x14ac:dyDescent="0.5">
      <c r="D101" s="3" t="s">
        <v>47</v>
      </c>
    </row>
    <row r="102" spans="4:4" ht="17.649999999999999" x14ac:dyDescent="0.5">
      <c r="D102" s="3" t="s">
        <v>81</v>
      </c>
    </row>
    <row r="103" spans="4:4" ht="17.649999999999999" x14ac:dyDescent="0.5">
      <c r="D103" s="3" t="s">
        <v>75</v>
      </c>
    </row>
    <row r="104" spans="4:4" ht="17.649999999999999" x14ac:dyDescent="0.5">
      <c r="D104" s="3" t="s">
        <v>101</v>
      </c>
    </row>
    <row r="105" spans="4:4" ht="17.649999999999999" x14ac:dyDescent="0.5">
      <c r="D105" s="3" t="s">
        <v>73</v>
      </c>
    </row>
    <row r="106" spans="4:4" ht="17.649999999999999" x14ac:dyDescent="0.5">
      <c r="D106" s="3" t="s">
        <v>42</v>
      </c>
    </row>
    <row r="107" spans="4:4" ht="17.649999999999999" x14ac:dyDescent="0.5">
      <c r="D107" s="3" t="s">
        <v>90</v>
      </c>
    </row>
    <row r="108" spans="4:4" ht="17.649999999999999" x14ac:dyDescent="0.5">
      <c r="D108" s="3" t="s">
        <v>74</v>
      </c>
    </row>
    <row r="109" spans="4:4" ht="17.649999999999999" x14ac:dyDescent="0.5">
      <c r="D109" s="3" t="s">
        <v>100</v>
      </c>
    </row>
    <row r="110" spans="4:4" ht="17.649999999999999" x14ac:dyDescent="0.5">
      <c r="D110" s="3" t="s">
        <v>54</v>
      </c>
    </row>
    <row r="111" spans="4:4" ht="17.649999999999999" x14ac:dyDescent="0.5">
      <c r="D111" s="3" t="s">
        <v>57</v>
      </c>
    </row>
    <row r="112" spans="4:4" ht="17.649999999999999" x14ac:dyDescent="0.5">
      <c r="D112" s="3" t="s">
        <v>60</v>
      </c>
    </row>
    <row r="113" spans="4:4" ht="17.649999999999999" x14ac:dyDescent="0.5">
      <c r="D113" s="3" t="s">
        <v>114</v>
      </c>
    </row>
    <row r="114" spans="4:4" ht="17.649999999999999" x14ac:dyDescent="0.5">
      <c r="D114" s="3" t="s">
        <v>112</v>
      </c>
    </row>
    <row r="115" spans="4:4" ht="17.649999999999999" x14ac:dyDescent="0.5">
      <c r="D115" s="3" t="s">
        <v>95</v>
      </c>
    </row>
    <row r="116" spans="4:4" ht="17.649999999999999" x14ac:dyDescent="0.5">
      <c r="D116" s="3" t="s">
        <v>65</v>
      </c>
    </row>
    <row r="117" spans="4:4" ht="17.649999999999999" x14ac:dyDescent="0.5">
      <c r="D117" s="3" t="s">
        <v>85</v>
      </c>
    </row>
    <row r="118" spans="4:4" ht="17.649999999999999" x14ac:dyDescent="0.5">
      <c r="D118" s="3" t="s">
        <v>115</v>
      </c>
    </row>
    <row r="119" spans="4:4" ht="17.649999999999999" x14ac:dyDescent="0.5">
      <c r="D119" s="3" t="s">
        <v>77</v>
      </c>
    </row>
    <row r="120" spans="4:4" ht="17.649999999999999" x14ac:dyDescent="0.5">
      <c r="D120" s="3" t="s">
        <v>74</v>
      </c>
    </row>
    <row r="121" spans="4:4" ht="17.649999999999999" x14ac:dyDescent="0.5">
      <c r="D121" s="3" t="s">
        <v>50</v>
      </c>
    </row>
    <row r="122" spans="4:4" ht="17.649999999999999" x14ac:dyDescent="0.5">
      <c r="D122" s="3" t="s">
        <v>55</v>
      </c>
    </row>
    <row r="123" spans="4:4" ht="17.649999999999999" x14ac:dyDescent="0.5">
      <c r="D123" s="3" t="s">
        <v>85</v>
      </c>
    </row>
    <row r="124" spans="4:4" ht="17.649999999999999" x14ac:dyDescent="0.5">
      <c r="D124" s="3" t="s">
        <v>107</v>
      </c>
    </row>
    <row r="125" spans="4:4" ht="17.649999999999999" x14ac:dyDescent="0.5">
      <c r="D125" s="3" t="s">
        <v>46</v>
      </c>
    </row>
    <row r="126" spans="4:4" ht="17.649999999999999" x14ac:dyDescent="0.5">
      <c r="D126" s="3" t="s">
        <v>47</v>
      </c>
    </row>
    <row r="127" spans="4:4" ht="17.649999999999999" x14ac:dyDescent="0.5">
      <c r="D127" s="3" t="s">
        <v>132</v>
      </c>
    </row>
    <row r="128" spans="4:4" ht="17.649999999999999" x14ac:dyDescent="0.5">
      <c r="D128" s="3" t="s">
        <v>65</v>
      </c>
    </row>
    <row r="129" spans="4:4" ht="17.649999999999999" x14ac:dyDescent="0.5">
      <c r="D129" s="3" t="s">
        <v>129</v>
      </c>
    </row>
    <row r="130" spans="4:4" ht="17.649999999999999" x14ac:dyDescent="0.5">
      <c r="D130" s="3" t="s">
        <v>99</v>
      </c>
    </row>
    <row r="131" spans="4:4" ht="17.649999999999999" x14ac:dyDescent="0.5">
      <c r="D131" s="3" t="s">
        <v>104</v>
      </c>
    </row>
    <row r="132" spans="4:4" ht="17.649999999999999" x14ac:dyDescent="0.5">
      <c r="D132" s="3" t="s">
        <v>51</v>
      </c>
    </row>
    <row r="133" spans="4:4" ht="17.649999999999999" x14ac:dyDescent="0.5">
      <c r="D133" s="3" t="s">
        <v>44</v>
      </c>
    </row>
    <row r="134" spans="4:4" ht="17.649999999999999" x14ac:dyDescent="0.5">
      <c r="D134" s="3" t="s">
        <v>136</v>
      </c>
    </row>
    <row r="135" spans="4:4" ht="17.649999999999999" x14ac:dyDescent="0.5">
      <c r="D135" s="3" t="s">
        <v>61</v>
      </c>
    </row>
    <row r="136" spans="4:4" ht="17.649999999999999" x14ac:dyDescent="0.5">
      <c r="D136" s="3" t="s">
        <v>125</v>
      </c>
    </row>
    <row r="137" spans="4:4" ht="17.649999999999999" x14ac:dyDescent="0.5">
      <c r="D137" s="3" t="s">
        <v>107</v>
      </c>
    </row>
    <row r="138" spans="4:4" ht="17.649999999999999" x14ac:dyDescent="0.5">
      <c r="D138" s="3" t="s">
        <v>65</v>
      </c>
    </row>
    <row r="139" spans="4:4" ht="17.649999999999999" x14ac:dyDescent="0.5">
      <c r="D139" s="3" t="s">
        <v>98</v>
      </c>
    </row>
    <row r="140" spans="4:4" ht="17.649999999999999" x14ac:dyDescent="0.5">
      <c r="D140" s="3" t="s">
        <v>96</v>
      </c>
    </row>
    <row r="141" spans="4:4" ht="17.649999999999999" x14ac:dyDescent="0.5">
      <c r="D141" s="3" t="s">
        <v>45</v>
      </c>
    </row>
    <row r="142" spans="4:4" ht="17.649999999999999" x14ac:dyDescent="0.5">
      <c r="D142" s="3" t="s">
        <v>57</v>
      </c>
    </row>
    <row r="143" spans="4:4" ht="17.649999999999999" x14ac:dyDescent="0.5">
      <c r="D143" s="3" t="s">
        <v>88</v>
      </c>
    </row>
    <row r="144" spans="4:4" ht="17.649999999999999" x14ac:dyDescent="0.5">
      <c r="D144" s="3" t="s">
        <v>64</v>
      </c>
    </row>
    <row r="145" spans="4:4" ht="17.649999999999999" x14ac:dyDescent="0.5">
      <c r="D145" s="3" t="s">
        <v>63</v>
      </c>
    </row>
    <row r="146" spans="4:4" ht="17.649999999999999" x14ac:dyDescent="0.5">
      <c r="D146" s="3" t="s">
        <v>92</v>
      </c>
    </row>
    <row r="147" spans="4:4" ht="17.649999999999999" x14ac:dyDescent="0.5">
      <c r="D147" s="3" t="s">
        <v>41</v>
      </c>
    </row>
    <row r="148" spans="4:4" ht="17.649999999999999" x14ac:dyDescent="0.5">
      <c r="D148" s="3" t="s">
        <v>97</v>
      </c>
    </row>
    <row r="149" spans="4:4" ht="17.649999999999999" x14ac:dyDescent="0.5">
      <c r="D149" s="3" t="s">
        <v>87</v>
      </c>
    </row>
    <row r="150" spans="4:4" ht="17.649999999999999" x14ac:dyDescent="0.5">
      <c r="D150" s="3" t="s">
        <v>69</v>
      </c>
    </row>
    <row r="151" spans="4:4" ht="17.649999999999999" x14ac:dyDescent="0.5">
      <c r="D151" s="3" t="s">
        <v>59</v>
      </c>
    </row>
    <row r="152" spans="4:4" ht="17.649999999999999" x14ac:dyDescent="0.5">
      <c r="D152" s="3" t="s">
        <v>90</v>
      </c>
    </row>
    <row r="153" spans="4:4" ht="17.649999999999999" x14ac:dyDescent="0.5">
      <c r="D153" s="3" t="s">
        <v>78</v>
      </c>
    </row>
    <row r="154" spans="4:4" ht="17.649999999999999" x14ac:dyDescent="0.5">
      <c r="D154" s="3" t="s">
        <v>135</v>
      </c>
    </row>
    <row r="155" spans="4:4" ht="17.649999999999999" x14ac:dyDescent="0.5">
      <c r="D155" s="3" t="s">
        <v>115</v>
      </c>
    </row>
    <row r="156" spans="4:4" ht="17.649999999999999" x14ac:dyDescent="0.5">
      <c r="D156" s="3" t="s">
        <v>47</v>
      </c>
    </row>
    <row r="157" spans="4:4" ht="17.649999999999999" x14ac:dyDescent="0.5">
      <c r="D157" s="3" t="s">
        <v>51</v>
      </c>
    </row>
    <row r="158" spans="4:4" ht="17.649999999999999" x14ac:dyDescent="0.5">
      <c r="D158" s="3" t="s">
        <v>111</v>
      </c>
    </row>
    <row r="159" spans="4:4" ht="17.649999999999999" x14ac:dyDescent="0.5">
      <c r="D159" s="3" t="s">
        <v>131</v>
      </c>
    </row>
    <row r="160" spans="4:4" ht="17.649999999999999" x14ac:dyDescent="0.5">
      <c r="D160" s="3" t="s">
        <v>73</v>
      </c>
    </row>
    <row r="161" spans="4:4" ht="17.649999999999999" x14ac:dyDescent="0.5">
      <c r="D161" s="3" t="s">
        <v>63</v>
      </c>
    </row>
    <row r="162" spans="4:4" ht="17.649999999999999" x14ac:dyDescent="0.5">
      <c r="D162" s="3" t="s">
        <v>111</v>
      </c>
    </row>
    <row r="163" spans="4:4" ht="17.649999999999999" x14ac:dyDescent="0.5">
      <c r="D163" s="3" t="s">
        <v>74</v>
      </c>
    </row>
    <row r="164" spans="4:4" ht="17.649999999999999" x14ac:dyDescent="0.5">
      <c r="D164" s="3" t="s">
        <v>121</v>
      </c>
    </row>
    <row r="165" spans="4:4" ht="17.649999999999999" x14ac:dyDescent="0.5">
      <c r="D165" s="3" t="s">
        <v>105</v>
      </c>
    </row>
    <row r="166" spans="4:4" ht="17.649999999999999" x14ac:dyDescent="0.5">
      <c r="D166" s="3" t="s">
        <v>75</v>
      </c>
    </row>
    <row r="167" spans="4:4" ht="17.649999999999999" x14ac:dyDescent="0.5">
      <c r="D167" s="3" t="s">
        <v>56</v>
      </c>
    </row>
    <row r="168" spans="4:4" ht="17.649999999999999" x14ac:dyDescent="0.5">
      <c r="D168" s="3" t="s">
        <v>83</v>
      </c>
    </row>
    <row r="169" spans="4:4" ht="17.649999999999999" x14ac:dyDescent="0.5">
      <c r="D169" s="3" t="s">
        <v>86</v>
      </c>
    </row>
    <row r="170" spans="4:4" ht="17.649999999999999" x14ac:dyDescent="0.5">
      <c r="D170" s="3" t="s">
        <v>56</v>
      </c>
    </row>
    <row r="171" spans="4:4" ht="17.649999999999999" x14ac:dyDescent="0.5">
      <c r="D171" s="3" t="s">
        <v>50</v>
      </c>
    </row>
    <row r="172" spans="4:4" ht="17.649999999999999" x14ac:dyDescent="0.5">
      <c r="D172" s="3" t="s">
        <v>69</v>
      </c>
    </row>
    <row r="173" spans="4:4" ht="17.649999999999999" x14ac:dyDescent="0.5">
      <c r="D173" s="3" t="s">
        <v>101</v>
      </c>
    </row>
    <row r="174" spans="4:4" ht="17.649999999999999" x14ac:dyDescent="0.5">
      <c r="D174" s="3" t="s">
        <v>68</v>
      </c>
    </row>
    <row r="175" spans="4:4" ht="17.649999999999999" x14ac:dyDescent="0.5">
      <c r="D175" s="3" t="s">
        <v>75</v>
      </c>
    </row>
    <row r="176" spans="4:4" ht="17.649999999999999" x14ac:dyDescent="0.5">
      <c r="D176" s="3" t="s">
        <v>57</v>
      </c>
    </row>
    <row r="177" spans="4:4" ht="17.649999999999999" x14ac:dyDescent="0.5">
      <c r="D177" s="3" t="s">
        <v>63</v>
      </c>
    </row>
    <row r="178" spans="4:4" ht="17.649999999999999" x14ac:dyDescent="0.5">
      <c r="D178" s="3" t="s">
        <v>99</v>
      </c>
    </row>
    <row r="179" spans="4:4" ht="17.649999999999999" x14ac:dyDescent="0.5">
      <c r="D179" s="3" t="s">
        <v>68</v>
      </c>
    </row>
    <row r="180" spans="4:4" ht="17.649999999999999" x14ac:dyDescent="0.5">
      <c r="D180" s="3" t="s">
        <v>74</v>
      </c>
    </row>
    <row r="181" spans="4:4" ht="17.649999999999999" x14ac:dyDescent="0.5">
      <c r="D181" s="3" t="s">
        <v>41</v>
      </c>
    </row>
    <row r="182" spans="4:4" ht="17.649999999999999" x14ac:dyDescent="0.5">
      <c r="D182" s="3" t="s">
        <v>77</v>
      </c>
    </row>
    <row r="183" spans="4:4" ht="17.649999999999999" x14ac:dyDescent="0.5">
      <c r="D183" s="3" t="s">
        <v>73</v>
      </c>
    </row>
    <row r="184" spans="4:4" ht="17.649999999999999" x14ac:dyDescent="0.5">
      <c r="D184" s="3" t="s">
        <v>67</v>
      </c>
    </row>
    <row r="185" spans="4:4" ht="17.649999999999999" x14ac:dyDescent="0.5">
      <c r="D185" s="3" t="s">
        <v>84</v>
      </c>
    </row>
    <row r="186" spans="4:4" ht="17.649999999999999" x14ac:dyDescent="0.5">
      <c r="D186" s="3" t="s">
        <v>68</v>
      </c>
    </row>
    <row r="187" spans="4:4" ht="17.649999999999999" x14ac:dyDescent="0.5">
      <c r="D187" s="3" t="s">
        <v>80</v>
      </c>
    </row>
    <row r="188" spans="4:4" ht="17.649999999999999" x14ac:dyDescent="0.5">
      <c r="D188" s="3" t="s">
        <v>61</v>
      </c>
    </row>
    <row r="189" spans="4:4" ht="17.649999999999999" x14ac:dyDescent="0.5">
      <c r="D189" s="3" t="s">
        <v>124</v>
      </c>
    </row>
    <row r="190" spans="4:4" ht="17.649999999999999" x14ac:dyDescent="0.5">
      <c r="D190" s="3" t="s">
        <v>48</v>
      </c>
    </row>
    <row r="191" spans="4:4" ht="17.649999999999999" x14ac:dyDescent="0.5">
      <c r="D191" s="3" t="s">
        <v>97</v>
      </c>
    </row>
    <row r="192" spans="4:4" ht="17.649999999999999" x14ac:dyDescent="0.5">
      <c r="D192" s="3" t="s">
        <v>53</v>
      </c>
    </row>
    <row r="193" spans="4:4" ht="17.649999999999999" x14ac:dyDescent="0.5">
      <c r="D193" s="3" t="s">
        <v>81</v>
      </c>
    </row>
    <row r="194" spans="4:4" ht="17.649999999999999" x14ac:dyDescent="0.5">
      <c r="D194" s="3" t="s">
        <v>65</v>
      </c>
    </row>
    <row r="195" spans="4:4" ht="17.649999999999999" x14ac:dyDescent="0.5">
      <c r="D195" s="3" t="s">
        <v>107</v>
      </c>
    </row>
    <row r="196" spans="4:4" ht="17.649999999999999" x14ac:dyDescent="0.5">
      <c r="D196" s="3" t="s">
        <v>65</v>
      </c>
    </row>
    <row r="197" spans="4:4" ht="17.649999999999999" x14ac:dyDescent="0.5">
      <c r="D197" s="3" t="s">
        <v>133</v>
      </c>
    </row>
    <row r="198" spans="4:4" ht="17.649999999999999" x14ac:dyDescent="0.5">
      <c r="D198" s="3" t="s">
        <v>47</v>
      </c>
    </row>
    <row r="199" spans="4:4" ht="17.649999999999999" x14ac:dyDescent="0.5">
      <c r="D199" s="3" t="s">
        <v>100</v>
      </c>
    </row>
    <row r="200" spans="4:4" ht="17.649999999999999" x14ac:dyDescent="0.5">
      <c r="D200" s="3" t="s">
        <v>59</v>
      </c>
    </row>
    <row r="201" spans="4:4" ht="17.649999999999999" x14ac:dyDescent="0.5">
      <c r="D201" s="3" t="s">
        <v>94</v>
      </c>
    </row>
    <row r="202" spans="4:4" ht="17.649999999999999" x14ac:dyDescent="0.5">
      <c r="D202" s="3" t="s">
        <v>112</v>
      </c>
    </row>
    <row r="203" spans="4:4" ht="17.649999999999999" x14ac:dyDescent="0.5">
      <c r="D203" s="3" t="s">
        <v>117</v>
      </c>
    </row>
    <row r="204" spans="4:4" ht="17.649999999999999" x14ac:dyDescent="0.5">
      <c r="D204" s="3" t="s">
        <v>62</v>
      </c>
    </row>
    <row r="205" spans="4:4" ht="17.649999999999999" x14ac:dyDescent="0.5">
      <c r="D205" s="3" t="s">
        <v>80</v>
      </c>
    </row>
    <row r="206" spans="4:4" ht="17.649999999999999" x14ac:dyDescent="0.5">
      <c r="D206" s="3" t="s">
        <v>108</v>
      </c>
    </row>
    <row r="207" spans="4:4" ht="17.649999999999999" x14ac:dyDescent="0.5">
      <c r="D207" s="3" t="s">
        <v>56</v>
      </c>
    </row>
    <row r="208" spans="4:4" ht="17.649999999999999" x14ac:dyDescent="0.5">
      <c r="D208" s="3" t="s">
        <v>90</v>
      </c>
    </row>
    <row r="209" spans="4:4" ht="17.649999999999999" x14ac:dyDescent="0.5">
      <c r="D209" s="3" t="s">
        <v>131</v>
      </c>
    </row>
    <row r="210" spans="4:4" ht="17.649999999999999" x14ac:dyDescent="0.5">
      <c r="D210" s="3" t="s">
        <v>67</v>
      </c>
    </row>
    <row r="211" spans="4:4" ht="17.649999999999999" x14ac:dyDescent="0.5">
      <c r="D211" s="3" t="s">
        <v>111</v>
      </c>
    </row>
    <row r="212" spans="4:4" ht="17.649999999999999" x14ac:dyDescent="0.5">
      <c r="D212" s="3" t="s">
        <v>120</v>
      </c>
    </row>
    <row r="213" spans="4:4" ht="17.649999999999999" x14ac:dyDescent="0.5">
      <c r="D213" s="3" t="s">
        <v>94</v>
      </c>
    </row>
    <row r="214" spans="4:4" ht="17.649999999999999" x14ac:dyDescent="0.5">
      <c r="D214" s="3" t="s">
        <v>99</v>
      </c>
    </row>
    <row r="215" spans="4:4" ht="17.649999999999999" x14ac:dyDescent="0.5">
      <c r="D215" s="3" t="s">
        <v>77</v>
      </c>
    </row>
    <row r="216" spans="4:4" ht="17.649999999999999" x14ac:dyDescent="0.5">
      <c r="D216" s="3" t="s">
        <v>132</v>
      </c>
    </row>
    <row r="217" spans="4:4" ht="17.649999999999999" x14ac:dyDescent="0.5">
      <c r="D217" s="3" t="s">
        <v>53</v>
      </c>
    </row>
    <row r="218" spans="4:4" ht="17.649999999999999" x14ac:dyDescent="0.5">
      <c r="D218" s="3" t="s">
        <v>55</v>
      </c>
    </row>
    <row r="219" spans="4:4" ht="17.649999999999999" x14ac:dyDescent="0.5">
      <c r="D219" s="3" t="s">
        <v>126</v>
      </c>
    </row>
    <row r="220" spans="4:4" ht="17.649999999999999" x14ac:dyDescent="0.5">
      <c r="D220" s="3" t="s">
        <v>94</v>
      </c>
    </row>
    <row r="221" spans="4:4" ht="17.649999999999999" x14ac:dyDescent="0.5">
      <c r="D221" s="3" t="s">
        <v>105</v>
      </c>
    </row>
    <row r="222" spans="4:4" ht="17.649999999999999" x14ac:dyDescent="0.5">
      <c r="D222" s="3" t="s">
        <v>52</v>
      </c>
    </row>
    <row r="223" spans="4:4" ht="17.649999999999999" x14ac:dyDescent="0.5">
      <c r="D223" s="3" t="s">
        <v>44</v>
      </c>
    </row>
    <row r="224" spans="4:4" ht="17.649999999999999" x14ac:dyDescent="0.5">
      <c r="D224" s="3" t="s">
        <v>41</v>
      </c>
    </row>
    <row r="225" spans="4:4" ht="17.649999999999999" x14ac:dyDescent="0.5">
      <c r="D225" s="3" t="s">
        <v>98</v>
      </c>
    </row>
    <row r="226" spans="4:4" ht="17.649999999999999" x14ac:dyDescent="0.5">
      <c r="D226" s="3" t="s">
        <v>78</v>
      </c>
    </row>
    <row r="227" spans="4:4" ht="17.649999999999999" x14ac:dyDescent="0.5">
      <c r="D227" s="3" t="s">
        <v>83</v>
      </c>
    </row>
    <row r="228" spans="4:4" ht="17.649999999999999" x14ac:dyDescent="0.5">
      <c r="D228" s="3" t="s">
        <v>123</v>
      </c>
    </row>
    <row r="229" spans="4:4" ht="17.649999999999999" x14ac:dyDescent="0.5">
      <c r="D229" s="3" t="s">
        <v>91</v>
      </c>
    </row>
    <row r="230" spans="4:4" ht="17.649999999999999" x14ac:dyDescent="0.5">
      <c r="D230" s="3" t="s">
        <v>115</v>
      </c>
    </row>
    <row r="231" spans="4:4" ht="17.649999999999999" x14ac:dyDescent="0.5">
      <c r="D231" s="3" t="s">
        <v>107</v>
      </c>
    </row>
    <row r="232" spans="4:4" ht="17.649999999999999" x14ac:dyDescent="0.5">
      <c r="D232" s="3" t="s">
        <v>61</v>
      </c>
    </row>
    <row r="233" spans="4:4" ht="17.649999999999999" x14ac:dyDescent="0.5">
      <c r="D233" s="3" t="s">
        <v>69</v>
      </c>
    </row>
    <row r="234" spans="4:4" ht="17.649999999999999" x14ac:dyDescent="0.5">
      <c r="D234" s="3" t="s">
        <v>66</v>
      </c>
    </row>
    <row r="235" spans="4:4" ht="17.649999999999999" x14ac:dyDescent="0.5">
      <c r="D235" s="3" t="s">
        <v>96</v>
      </c>
    </row>
    <row r="236" spans="4:4" ht="17.649999999999999" x14ac:dyDescent="0.5">
      <c r="D236" s="3" t="s">
        <v>84</v>
      </c>
    </row>
    <row r="237" spans="4:4" ht="17.649999999999999" x14ac:dyDescent="0.5">
      <c r="D237" s="3" t="s">
        <v>55</v>
      </c>
    </row>
    <row r="238" spans="4:4" ht="17.649999999999999" x14ac:dyDescent="0.5">
      <c r="D238" s="3" t="s">
        <v>110</v>
      </c>
    </row>
    <row r="239" spans="4:4" ht="17.649999999999999" x14ac:dyDescent="0.5">
      <c r="D239" s="3" t="s">
        <v>74</v>
      </c>
    </row>
    <row r="240" spans="4:4" ht="17.649999999999999" x14ac:dyDescent="0.5">
      <c r="D240" s="3" t="s">
        <v>52</v>
      </c>
    </row>
    <row r="241" spans="4:4" ht="17.649999999999999" x14ac:dyDescent="0.5">
      <c r="D241" s="3" t="s">
        <v>73</v>
      </c>
    </row>
    <row r="242" spans="4:4" ht="17.649999999999999" x14ac:dyDescent="0.5">
      <c r="D242" s="3" t="s">
        <v>90</v>
      </c>
    </row>
    <row r="243" spans="4:4" ht="17.649999999999999" x14ac:dyDescent="0.5">
      <c r="D243" s="3" t="s">
        <v>101</v>
      </c>
    </row>
    <row r="244" spans="4:4" ht="17.649999999999999" x14ac:dyDescent="0.5">
      <c r="D244" s="3" t="s">
        <v>107</v>
      </c>
    </row>
    <row r="245" spans="4:4" ht="17.649999999999999" x14ac:dyDescent="0.5">
      <c r="D245" s="3" t="s">
        <v>77</v>
      </c>
    </row>
    <row r="246" spans="4:4" ht="17.649999999999999" x14ac:dyDescent="0.5">
      <c r="D246" s="3" t="s">
        <v>70</v>
      </c>
    </row>
    <row r="247" spans="4:4" ht="17.649999999999999" x14ac:dyDescent="0.5">
      <c r="D247" s="3" t="s">
        <v>117</v>
      </c>
    </row>
    <row r="248" spans="4:4" ht="17.649999999999999" x14ac:dyDescent="0.5">
      <c r="D248" s="3" t="s">
        <v>78</v>
      </c>
    </row>
    <row r="249" spans="4:4" ht="17.649999999999999" x14ac:dyDescent="0.5">
      <c r="D249" s="3" t="s">
        <v>41</v>
      </c>
    </row>
    <row r="250" spans="4:4" ht="17.649999999999999" x14ac:dyDescent="0.5">
      <c r="D250" s="3" t="s">
        <v>66</v>
      </c>
    </row>
    <row r="251" spans="4:4" ht="17.649999999999999" x14ac:dyDescent="0.5">
      <c r="D251" s="3" t="s">
        <v>74</v>
      </c>
    </row>
    <row r="252" spans="4:4" ht="17.649999999999999" x14ac:dyDescent="0.5">
      <c r="D252" s="3" t="s">
        <v>83</v>
      </c>
    </row>
    <row r="253" spans="4:4" ht="17.649999999999999" x14ac:dyDescent="0.5">
      <c r="D253" s="3" t="s">
        <v>107</v>
      </c>
    </row>
    <row r="254" spans="4:4" ht="17.649999999999999" x14ac:dyDescent="0.5">
      <c r="D254" s="3" t="s">
        <v>95</v>
      </c>
    </row>
    <row r="255" spans="4:4" ht="17.649999999999999" x14ac:dyDescent="0.5">
      <c r="D255" s="3" t="s">
        <v>44</v>
      </c>
    </row>
    <row r="256" spans="4:4" ht="17.649999999999999" x14ac:dyDescent="0.5">
      <c r="D256" s="3" t="s">
        <v>54</v>
      </c>
    </row>
    <row r="257" spans="4:4" ht="17.649999999999999" x14ac:dyDescent="0.5">
      <c r="D257" s="3" t="s">
        <v>61</v>
      </c>
    </row>
    <row r="258" spans="4:4" ht="17.649999999999999" x14ac:dyDescent="0.5">
      <c r="D258" s="3" t="s">
        <v>94</v>
      </c>
    </row>
    <row r="259" spans="4:4" ht="17.649999999999999" x14ac:dyDescent="0.5">
      <c r="D259" s="3" t="s">
        <v>46</v>
      </c>
    </row>
    <row r="260" spans="4:4" ht="17.649999999999999" x14ac:dyDescent="0.5">
      <c r="D260" s="3" t="s">
        <v>70</v>
      </c>
    </row>
    <row r="261" spans="4:4" ht="17.649999999999999" x14ac:dyDescent="0.5">
      <c r="D261" s="3" t="s">
        <v>77</v>
      </c>
    </row>
    <row r="262" spans="4:4" ht="17.649999999999999" x14ac:dyDescent="0.5">
      <c r="D262" s="3" t="s">
        <v>59</v>
      </c>
    </row>
    <row r="263" spans="4:4" ht="17.649999999999999" x14ac:dyDescent="0.5">
      <c r="D263" s="3" t="s">
        <v>134</v>
      </c>
    </row>
    <row r="264" spans="4:4" ht="17.649999999999999" x14ac:dyDescent="0.5">
      <c r="D264" s="3" t="s">
        <v>56</v>
      </c>
    </row>
    <row r="265" spans="4:4" ht="17.649999999999999" x14ac:dyDescent="0.5">
      <c r="D265" s="3" t="s">
        <v>90</v>
      </c>
    </row>
    <row r="266" spans="4:4" ht="17.649999999999999" x14ac:dyDescent="0.5">
      <c r="D266" s="3" t="s">
        <v>96</v>
      </c>
    </row>
    <row r="267" spans="4:4" ht="17.649999999999999" x14ac:dyDescent="0.5">
      <c r="D267" s="3" t="s">
        <v>64</v>
      </c>
    </row>
    <row r="268" spans="4:4" ht="17.649999999999999" x14ac:dyDescent="0.5">
      <c r="D268" s="3" t="s">
        <v>92</v>
      </c>
    </row>
    <row r="269" spans="4:4" ht="17.649999999999999" x14ac:dyDescent="0.5">
      <c r="D269" s="3" t="s">
        <v>47</v>
      </c>
    </row>
    <row r="270" spans="4:4" ht="17.649999999999999" x14ac:dyDescent="0.5">
      <c r="D270" s="3" t="s">
        <v>65</v>
      </c>
    </row>
    <row r="271" spans="4:4" ht="17.649999999999999" x14ac:dyDescent="0.5">
      <c r="D271" s="3" t="s">
        <v>44</v>
      </c>
    </row>
    <row r="272" spans="4:4" ht="17.649999999999999" x14ac:dyDescent="0.5">
      <c r="D272" s="3" t="s">
        <v>129</v>
      </c>
    </row>
    <row r="273" spans="4:4" ht="17.649999999999999" x14ac:dyDescent="0.5">
      <c r="D273" s="3" t="s">
        <v>75</v>
      </c>
    </row>
    <row r="274" spans="4:4" ht="17.649999999999999" x14ac:dyDescent="0.5">
      <c r="D274" s="3" t="s">
        <v>123</v>
      </c>
    </row>
    <row r="275" spans="4:4" ht="17.649999999999999" x14ac:dyDescent="0.5">
      <c r="D275" s="3" t="s">
        <v>101</v>
      </c>
    </row>
    <row r="276" spans="4:4" ht="17.649999999999999" x14ac:dyDescent="0.5">
      <c r="D276" s="3" t="s">
        <v>51</v>
      </c>
    </row>
    <row r="277" spans="4:4" ht="17.649999999999999" x14ac:dyDescent="0.5">
      <c r="D277" s="3" t="s">
        <v>79</v>
      </c>
    </row>
    <row r="278" spans="4:4" ht="17.649999999999999" x14ac:dyDescent="0.5">
      <c r="D278" s="3" t="s">
        <v>43</v>
      </c>
    </row>
    <row r="279" spans="4:4" ht="17.649999999999999" x14ac:dyDescent="0.5">
      <c r="D279" s="3" t="s">
        <v>47</v>
      </c>
    </row>
    <row r="280" spans="4:4" ht="17.649999999999999" x14ac:dyDescent="0.5">
      <c r="D280" s="3" t="s">
        <v>68</v>
      </c>
    </row>
    <row r="281" spans="4:4" ht="17.649999999999999" x14ac:dyDescent="0.5">
      <c r="D281" s="3" t="s">
        <v>41</v>
      </c>
    </row>
    <row r="282" spans="4:4" ht="17.649999999999999" x14ac:dyDescent="0.5">
      <c r="D282" s="3" t="s">
        <v>97</v>
      </c>
    </row>
    <row r="283" spans="4:4" ht="17.649999999999999" x14ac:dyDescent="0.5">
      <c r="D283" s="3" t="s">
        <v>78</v>
      </c>
    </row>
    <row r="284" spans="4:4" ht="17.649999999999999" x14ac:dyDescent="0.5">
      <c r="D284" s="3" t="s">
        <v>121</v>
      </c>
    </row>
    <row r="285" spans="4:4" ht="17.649999999999999" x14ac:dyDescent="0.5">
      <c r="D285" s="3" t="s">
        <v>84</v>
      </c>
    </row>
    <row r="286" spans="4:4" ht="17.649999999999999" x14ac:dyDescent="0.5">
      <c r="D286" s="3" t="s">
        <v>61</v>
      </c>
    </row>
    <row r="287" spans="4:4" ht="17.649999999999999" x14ac:dyDescent="0.5">
      <c r="D287" s="3" t="s">
        <v>103</v>
      </c>
    </row>
    <row r="288" spans="4:4" ht="17.649999999999999" x14ac:dyDescent="0.5">
      <c r="D288" s="3" t="s">
        <v>112</v>
      </c>
    </row>
    <row r="289" spans="4:4" ht="17.649999999999999" x14ac:dyDescent="0.5">
      <c r="D289" s="3" t="s">
        <v>96</v>
      </c>
    </row>
    <row r="290" spans="4:4" ht="17.649999999999999" x14ac:dyDescent="0.5">
      <c r="D290" s="3" t="s">
        <v>69</v>
      </c>
    </row>
    <row r="291" spans="4:4" ht="17.649999999999999" x14ac:dyDescent="0.5">
      <c r="D291" s="3" t="s">
        <v>53</v>
      </c>
    </row>
    <row r="292" spans="4:4" ht="17.649999999999999" x14ac:dyDescent="0.5">
      <c r="D292" s="3" t="s">
        <v>74</v>
      </c>
    </row>
    <row r="293" spans="4:4" ht="17.649999999999999" x14ac:dyDescent="0.5">
      <c r="D293" s="3" t="s">
        <v>105</v>
      </c>
    </row>
    <row r="294" spans="4:4" ht="17.649999999999999" x14ac:dyDescent="0.5">
      <c r="D294" s="3" t="s">
        <v>75</v>
      </c>
    </row>
    <row r="295" spans="4:4" ht="17.649999999999999" x14ac:dyDescent="0.5">
      <c r="D295" s="3" t="s">
        <v>84</v>
      </c>
    </row>
    <row r="296" spans="4:4" ht="17.649999999999999" x14ac:dyDescent="0.5">
      <c r="D296" s="3" t="s">
        <v>78</v>
      </c>
    </row>
    <row r="297" spans="4:4" ht="17.649999999999999" x14ac:dyDescent="0.5">
      <c r="D297" s="3" t="s">
        <v>53</v>
      </c>
    </row>
    <row r="298" spans="4:4" ht="17.649999999999999" x14ac:dyDescent="0.5">
      <c r="D298" s="3" t="s">
        <v>44</v>
      </c>
    </row>
    <row r="299" spans="4:4" ht="17.649999999999999" x14ac:dyDescent="0.5">
      <c r="D299" s="3" t="s">
        <v>56</v>
      </c>
    </row>
    <row r="300" spans="4:4" ht="17.649999999999999" x14ac:dyDescent="0.5">
      <c r="D300" s="3" t="s">
        <v>115</v>
      </c>
    </row>
    <row r="301" spans="4:4" ht="17.649999999999999" x14ac:dyDescent="0.5">
      <c r="D301" s="3" t="s">
        <v>54</v>
      </c>
    </row>
    <row r="302" spans="4:4" ht="17.649999999999999" x14ac:dyDescent="0.5">
      <c r="D302" s="3" t="s">
        <v>65</v>
      </c>
    </row>
    <row r="303" spans="4:4" ht="17.649999999999999" x14ac:dyDescent="0.5">
      <c r="D303" s="3" t="s">
        <v>75</v>
      </c>
    </row>
    <row r="304" spans="4:4" ht="17.649999999999999" x14ac:dyDescent="0.5">
      <c r="D304" s="3" t="s">
        <v>85</v>
      </c>
    </row>
    <row r="305" spans="4:4" ht="17.649999999999999" x14ac:dyDescent="0.5">
      <c r="D305" s="3" t="s">
        <v>122</v>
      </c>
    </row>
    <row r="306" spans="4:4" ht="17.649999999999999" x14ac:dyDescent="0.5">
      <c r="D306" s="3" t="s">
        <v>55</v>
      </c>
    </row>
    <row r="307" spans="4:4" ht="17.649999999999999" x14ac:dyDescent="0.5">
      <c r="D307" s="3" t="s">
        <v>115</v>
      </c>
    </row>
    <row r="308" spans="4:4" ht="17.649999999999999" x14ac:dyDescent="0.5">
      <c r="D308" s="3" t="s">
        <v>71</v>
      </c>
    </row>
    <row r="309" spans="4:4" ht="17.649999999999999" x14ac:dyDescent="0.5">
      <c r="D309" s="3" t="s">
        <v>43</v>
      </c>
    </row>
    <row r="310" spans="4:4" ht="17.649999999999999" x14ac:dyDescent="0.5">
      <c r="D310" s="3" t="s">
        <v>55</v>
      </c>
    </row>
    <row r="311" spans="4:4" ht="17.649999999999999" x14ac:dyDescent="0.5">
      <c r="D311" s="3" t="s">
        <v>91</v>
      </c>
    </row>
    <row r="312" spans="4:4" ht="17.649999999999999" x14ac:dyDescent="0.5">
      <c r="D312" s="3" t="s">
        <v>72</v>
      </c>
    </row>
    <row r="313" spans="4:4" ht="17.649999999999999" x14ac:dyDescent="0.5">
      <c r="D313" s="3" t="s">
        <v>96</v>
      </c>
    </row>
    <row r="314" spans="4:4" ht="17.649999999999999" x14ac:dyDescent="0.5">
      <c r="D314" s="3" t="s">
        <v>123</v>
      </c>
    </row>
    <row r="315" spans="4:4" ht="17.649999999999999" x14ac:dyDescent="0.5">
      <c r="D315" s="3" t="s">
        <v>49</v>
      </c>
    </row>
    <row r="316" spans="4:4" ht="17.649999999999999" x14ac:dyDescent="0.5">
      <c r="D316" s="3" t="s">
        <v>66</v>
      </c>
    </row>
    <row r="317" spans="4:4" ht="17.649999999999999" x14ac:dyDescent="0.5">
      <c r="D317" s="3" t="s">
        <v>68</v>
      </c>
    </row>
    <row r="318" spans="4:4" ht="17.649999999999999" x14ac:dyDescent="0.5">
      <c r="D318" s="3" t="s">
        <v>61</v>
      </c>
    </row>
    <row r="319" spans="4:4" ht="17.649999999999999" x14ac:dyDescent="0.5">
      <c r="D319" s="3" t="s">
        <v>98</v>
      </c>
    </row>
    <row r="320" spans="4:4" ht="17.649999999999999" x14ac:dyDescent="0.5">
      <c r="D320" s="3" t="s">
        <v>96</v>
      </c>
    </row>
    <row r="321" spans="4:4" ht="17.649999999999999" x14ac:dyDescent="0.5">
      <c r="D321" s="3" t="s">
        <v>49</v>
      </c>
    </row>
    <row r="322" spans="4:4" ht="17.649999999999999" x14ac:dyDescent="0.5">
      <c r="D322" s="3" t="s">
        <v>63</v>
      </c>
    </row>
    <row r="323" spans="4:4" ht="17.649999999999999" x14ac:dyDescent="0.5">
      <c r="D323" s="3" t="s">
        <v>79</v>
      </c>
    </row>
    <row r="324" spans="4:4" ht="17.649999999999999" x14ac:dyDescent="0.5">
      <c r="D324" s="3" t="s">
        <v>82</v>
      </c>
    </row>
    <row r="325" spans="4:4" ht="17.649999999999999" x14ac:dyDescent="0.5">
      <c r="D325" s="3" t="s">
        <v>84</v>
      </c>
    </row>
    <row r="326" spans="4:4" ht="17.649999999999999" x14ac:dyDescent="0.5">
      <c r="D326" s="3" t="s">
        <v>91</v>
      </c>
    </row>
    <row r="327" spans="4:4" ht="17.649999999999999" x14ac:dyDescent="0.5">
      <c r="D327" s="3" t="s">
        <v>86</v>
      </c>
    </row>
    <row r="328" spans="4:4" ht="17.649999999999999" x14ac:dyDescent="0.5">
      <c r="D328" s="3" t="s">
        <v>105</v>
      </c>
    </row>
    <row r="329" spans="4:4" ht="17.649999999999999" x14ac:dyDescent="0.5">
      <c r="D329" s="3" t="s">
        <v>46</v>
      </c>
    </row>
    <row r="330" spans="4:4" ht="17.649999999999999" x14ac:dyDescent="0.5">
      <c r="D330" s="3" t="s">
        <v>47</v>
      </c>
    </row>
    <row r="331" spans="4:4" ht="17.649999999999999" x14ac:dyDescent="0.5">
      <c r="D331" s="3" t="s">
        <v>67</v>
      </c>
    </row>
    <row r="332" spans="4:4" ht="17.649999999999999" x14ac:dyDescent="0.5">
      <c r="D332" s="3" t="s">
        <v>91</v>
      </c>
    </row>
    <row r="333" spans="4:4" ht="17.649999999999999" x14ac:dyDescent="0.5">
      <c r="D333" s="3" t="s">
        <v>41</v>
      </c>
    </row>
    <row r="334" spans="4:4" ht="17.649999999999999" x14ac:dyDescent="0.5">
      <c r="D334" s="3" t="s">
        <v>57</v>
      </c>
    </row>
    <row r="335" spans="4:4" ht="17.649999999999999" x14ac:dyDescent="0.5">
      <c r="D335" s="3" t="s">
        <v>82</v>
      </c>
    </row>
    <row r="336" spans="4:4" ht="17.649999999999999" x14ac:dyDescent="0.5">
      <c r="D336" s="3" t="s">
        <v>92</v>
      </c>
    </row>
    <row r="337" spans="4:4" ht="17.649999999999999" x14ac:dyDescent="0.5">
      <c r="D337" s="3" t="s">
        <v>73</v>
      </c>
    </row>
    <row r="338" spans="4:4" ht="17.649999999999999" x14ac:dyDescent="0.5">
      <c r="D338" s="3" t="s">
        <v>129</v>
      </c>
    </row>
    <row r="339" spans="4:4" ht="17.649999999999999" x14ac:dyDescent="0.5">
      <c r="D339" s="3" t="s">
        <v>97</v>
      </c>
    </row>
    <row r="340" spans="4:4" ht="17.649999999999999" x14ac:dyDescent="0.5">
      <c r="D340" s="3" t="s">
        <v>73</v>
      </c>
    </row>
    <row r="341" spans="4:4" ht="17.649999999999999" x14ac:dyDescent="0.5">
      <c r="D341" s="3" t="s">
        <v>55</v>
      </c>
    </row>
    <row r="342" spans="4:4" ht="17.649999999999999" x14ac:dyDescent="0.5">
      <c r="D342" s="3" t="s">
        <v>87</v>
      </c>
    </row>
    <row r="343" spans="4:4" ht="17.649999999999999" x14ac:dyDescent="0.5">
      <c r="D343" s="3" t="s">
        <v>64</v>
      </c>
    </row>
    <row r="344" spans="4:4" ht="17.649999999999999" x14ac:dyDescent="0.5">
      <c r="D344" s="3" t="s">
        <v>71</v>
      </c>
    </row>
    <row r="345" spans="4:4" ht="17.649999999999999" x14ac:dyDescent="0.5">
      <c r="D345" s="3" t="s">
        <v>51</v>
      </c>
    </row>
    <row r="346" spans="4:4" ht="17.649999999999999" x14ac:dyDescent="0.5">
      <c r="D346" s="3" t="s">
        <v>86</v>
      </c>
    </row>
    <row r="347" spans="4:4" ht="17.649999999999999" x14ac:dyDescent="0.5">
      <c r="D347" s="3" t="s">
        <v>49</v>
      </c>
    </row>
    <row r="348" spans="4:4" ht="17.649999999999999" x14ac:dyDescent="0.5">
      <c r="D348" s="3" t="s">
        <v>66</v>
      </c>
    </row>
    <row r="349" spans="4:4" ht="17.649999999999999" x14ac:dyDescent="0.5">
      <c r="D349" s="3" t="s">
        <v>69</v>
      </c>
    </row>
    <row r="350" spans="4:4" ht="17.649999999999999" x14ac:dyDescent="0.5">
      <c r="D350" s="3" t="s">
        <v>65</v>
      </c>
    </row>
    <row r="351" spans="4:4" ht="17.649999999999999" x14ac:dyDescent="0.5">
      <c r="D351" s="3" t="s">
        <v>114</v>
      </c>
    </row>
    <row r="352" spans="4:4" ht="17.649999999999999" x14ac:dyDescent="0.5">
      <c r="D352" s="3" t="s">
        <v>68</v>
      </c>
    </row>
    <row r="353" spans="4:4" ht="17.649999999999999" x14ac:dyDescent="0.5">
      <c r="D353" s="3" t="s">
        <v>111</v>
      </c>
    </row>
    <row r="354" spans="4:4" ht="17.649999999999999" x14ac:dyDescent="0.5">
      <c r="D354" s="3" t="s">
        <v>91</v>
      </c>
    </row>
    <row r="355" spans="4:4" ht="17.649999999999999" x14ac:dyDescent="0.5">
      <c r="D355" s="3" t="s">
        <v>76</v>
      </c>
    </row>
    <row r="356" spans="4:4" ht="17.649999999999999" x14ac:dyDescent="0.5">
      <c r="D356" s="3" t="s">
        <v>80</v>
      </c>
    </row>
    <row r="357" spans="4:4" ht="17.649999999999999" x14ac:dyDescent="0.5">
      <c r="D357" s="3" t="s">
        <v>56</v>
      </c>
    </row>
    <row r="358" spans="4:4" ht="17.649999999999999" x14ac:dyDescent="0.5">
      <c r="D358" s="3" t="s">
        <v>51</v>
      </c>
    </row>
    <row r="359" spans="4:4" ht="17.649999999999999" x14ac:dyDescent="0.5">
      <c r="D359" s="3" t="s">
        <v>132</v>
      </c>
    </row>
    <row r="360" spans="4:4" ht="17.649999999999999" x14ac:dyDescent="0.5">
      <c r="D360" s="3" t="s">
        <v>81</v>
      </c>
    </row>
    <row r="361" spans="4:4" ht="17.649999999999999" x14ac:dyDescent="0.5">
      <c r="D361" s="3" t="s">
        <v>112</v>
      </c>
    </row>
    <row r="362" spans="4:4" ht="17.649999999999999" x14ac:dyDescent="0.5">
      <c r="D362" s="3" t="s">
        <v>63</v>
      </c>
    </row>
    <row r="363" spans="4:4" ht="17.649999999999999" x14ac:dyDescent="0.5">
      <c r="D363" s="3" t="s">
        <v>51</v>
      </c>
    </row>
    <row r="364" spans="4:4" ht="17.649999999999999" x14ac:dyDescent="0.5">
      <c r="D364" s="3" t="s">
        <v>123</v>
      </c>
    </row>
    <row r="365" spans="4:4" ht="17.649999999999999" x14ac:dyDescent="0.5">
      <c r="D365" s="3" t="s">
        <v>63</v>
      </c>
    </row>
    <row r="366" spans="4:4" ht="17.649999999999999" x14ac:dyDescent="0.5">
      <c r="D366" s="3" t="s">
        <v>85</v>
      </c>
    </row>
    <row r="367" spans="4:4" ht="17.649999999999999" x14ac:dyDescent="0.5">
      <c r="D367" s="3" t="s">
        <v>49</v>
      </c>
    </row>
    <row r="368" spans="4:4" ht="17.649999999999999" x14ac:dyDescent="0.5">
      <c r="D368" s="3" t="s">
        <v>130</v>
      </c>
    </row>
    <row r="369" spans="4:4" ht="17.649999999999999" x14ac:dyDescent="0.5">
      <c r="D369" s="3" t="s">
        <v>91</v>
      </c>
    </row>
    <row r="370" spans="4:4" ht="17.649999999999999" x14ac:dyDescent="0.5">
      <c r="D370" s="3" t="s">
        <v>73</v>
      </c>
    </row>
    <row r="371" spans="4:4" ht="17.649999999999999" x14ac:dyDescent="0.5">
      <c r="D371" s="3" t="s">
        <v>59</v>
      </c>
    </row>
    <row r="372" spans="4:4" ht="17.649999999999999" x14ac:dyDescent="0.5">
      <c r="D372" s="3" t="s">
        <v>89</v>
      </c>
    </row>
    <row r="373" spans="4:4" ht="17.649999999999999" x14ac:dyDescent="0.5">
      <c r="D373" s="3" t="s">
        <v>96</v>
      </c>
    </row>
    <row r="374" spans="4:4" ht="17.649999999999999" x14ac:dyDescent="0.5">
      <c r="D374" s="3" t="s">
        <v>75</v>
      </c>
    </row>
    <row r="375" spans="4:4" ht="17.649999999999999" x14ac:dyDescent="0.5">
      <c r="D375" s="3" t="s">
        <v>52</v>
      </c>
    </row>
    <row r="376" spans="4:4" ht="17.649999999999999" x14ac:dyDescent="0.5">
      <c r="D376" s="3" t="s">
        <v>128</v>
      </c>
    </row>
    <row r="377" spans="4:4" ht="17.649999999999999" x14ac:dyDescent="0.5">
      <c r="D377" s="3" t="s">
        <v>46</v>
      </c>
    </row>
    <row r="378" spans="4:4" ht="17.649999999999999" x14ac:dyDescent="0.5">
      <c r="D378" s="3" t="s">
        <v>58</v>
      </c>
    </row>
    <row r="379" spans="4:4" ht="17.649999999999999" x14ac:dyDescent="0.5">
      <c r="D379" s="3" t="s">
        <v>74</v>
      </c>
    </row>
    <row r="380" spans="4:4" ht="17.649999999999999" x14ac:dyDescent="0.5">
      <c r="D380" s="3" t="s">
        <v>54</v>
      </c>
    </row>
    <row r="381" spans="4:4" ht="17.649999999999999" x14ac:dyDescent="0.5">
      <c r="D381" s="3" t="s">
        <v>58</v>
      </c>
    </row>
    <row r="382" spans="4:4" ht="17.649999999999999" x14ac:dyDescent="0.5">
      <c r="D382" s="3" t="s">
        <v>102</v>
      </c>
    </row>
    <row r="383" spans="4:4" ht="17.649999999999999" x14ac:dyDescent="0.5">
      <c r="D383" s="3" t="s">
        <v>118</v>
      </c>
    </row>
    <row r="384" spans="4:4" ht="17.649999999999999" x14ac:dyDescent="0.5">
      <c r="D384" s="3" t="s">
        <v>101</v>
      </c>
    </row>
    <row r="385" spans="4:4" ht="17.649999999999999" x14ac:dyDescent="0.5">
      <c r="D385" s="3" t="s">
        <v>75</v>
      </c>
    </row>
    <row r="386" spans="4:4" ht="17.649999999999999" x14ac:dyDescent="0.5">
      <c r="D386" s="3" t="s">
        <v>56</v>
      </c>
    </row>
    <row r="387" spans="4:4" ht="17.649999999999999" x14ac:dyDescent="0.5">
      <c r="D387" s="3" t="s">
        <v>106</v>
      </c>
    </row>
    <row r="388" spans="4:4" ht="17.649999999999999" x14ac:dyDescent="0.5">
      <c r="D388" s="3" t="s">
        <v>87</v>
      </c>
    </row>
    <row r="389" spans="4:4" ht="17.649999999999999" x14ac:dyDescent="0.5">
      <c r="D389" s="3" t="s">
        <v>63</v>
      </c>
    </row>
    <row r="390" spans="4:4" ht="17.649999999999999" x14ac:dyDescent="0.5">
      <c r="D390" s="3" t="s">
        <v>57</v>
      </c>
    </row>
    <row r="391" spans="4:4" ht="17.649999999999999" x14ac:dyDescent="0.5">
      <c r="D391" s="3" t="s">
        <v>91</v>
      </c>
    </row>
    <row r="392" spans="4:4" ht="17.649999999999999" x14ac:dyDescent="0.5">
      <c r="D392" s="3" t="s">
        <v>76</v>
      </c>
    </row>
    <row r="393" spans="4:4" ht="17.649999999999999" x14ac:dyDescent="0.5">
      <c r="D393" s="3" t="s">
        <v>115</v>
      </c>
    </row>
    <row r="394" spans="4:4" ht="17.649999999999999" x14ac:dyDescent="0.5">
      <c r="D394" s="3" t="s">
        <v>94</v>
      </c>
    </row>
    <row r="395" spans="4:4" ht="17.649999999999999" x14ac:dyDescent="0.5">
      <c r="D395" s="3" t="s">
        <v>131</v>
      </c>
    </row>
    <row r="396" spans="4:4" ht="17.649999999999999" x14ac:dyDescent="0.5">
      <c r="D396" s="3" t="s">
        <v>98</v>
      </c>
    </row>
    <row r="397" spans="4:4" ht="17.649999999999999" x14ac:dyDescent="0.5">
      <c r="D397" s="3" t="s">
        <v>101</v>
      </c>
    </row>
    <row r="398" spans="4:4" ht="17.649999999999999" x14ac:dyDescent="0.5">
      <c r="D398" s="3" t="s">
        <v>117</v>
      </c>
    </row>
    <row r="399" spans="4:4" ht="17.649999999999999" x14ac:dyDescent="0.5">
      <c r="D399" s="3" t="s">
        <v>129</v>
      </c>
    </row>
    <row r="400" spans="4:4" ht="17.649999999999999" x14ac:dyDescent="0.5">
      <c r="D400" s="3" t="s">
        <v>91</v>
      </c>
    </row>
    <row r="401" spans="4:4" ht="17.649999999999999" x14ac:dyDescent="0.5">
      <c r="D401" s="3" t="s">
        <v>106</v>
      </c>
    </row>
    <row r="402" spans="4:4" ht="17.649999999999999" x14ac:dyDescent="0.5">
      <c r="D402" s="3" t="s">
        <v>117</v>
      </c>
    </row>
    <row r="403" spans="4:4" ht="17.649999999999999" x14ac:dyDescent="0.5">
      <c r="D403" s="3" t="s">
        <v>79</v>
      </c>
    </row>
    <row r="404" spans="4:4" ht="17.649999999999999" x14ac:dyDescent="0.5">
      <c r="D404" s="3" t="s">
        <v>56</v>
      </c>
    </row>
    <row r="405" spans="4:4" ht="17.649999999999999" x14ac:dyDescent="0.5">
      <c r="D405" s="3" t="s">
        <v>61</v>
      </c>
    </row>
    <row r="406" spans="4:4" ht="17.649999999999999" x14ac:dyDescent="0.5">
      <c r="D406" s="3" t="s">
        <v>69</v>
      </c>
    </row>
    <row r="407" spans="4:4" ht="17.649999999999999" x14ac:dyDescent="0.5">
      <c r="D407" s="3" t="s">
        <v>107</v>
      </c>
    </row>
    <row r="408" spans="4:4" ht="17.649999999999999" x14ac:dyDescent="0.5">
      <c r="D408" s="3" t="s">
        <v>109</v>
      </c>
    </row>
    <row r="409" spans="4:4" ht="17.649999999999999" x14ac:dyDescent="0.5">
      <c r="D409" s="3" t="s">
        <v>77</v>
      </c>
    </row>
    <row r="410" spans="4:4" ht="17.649999999999999" x14ac:dyDescent="0.5">
      <c r="D410" s="3" t="s">
        <v>113</v>
      </c>
    </row>
    <row r="411" spans="4:4" ht="17.649999999999999" x14ac:dyDescent="0.5">
      <c r="D411" s="3" t="s">
        <v>92</v>
      </c>
    </row>
    <row r="412" spans="4:4" ht="17.649999999999999" x14ac:dyDescent="0.5">
      <c r="D412" s="3" t="s">
        <v>64</v>
      </c>
    </row>
    <row r="413" spans="4:4" ht="17.649999999999999" x14ac:dyDescent="0.5">
      <c r="D413" s="3" t="s">
        <v>78</v>
      </c>
    </row>
    <row r="414" spans="4:4" ht="17.649999999999999" x14ac:dyDescent="0.5">
      <c r="D414" s="3" t="s">
        <v>112</v>
      </c>
    </row>
    <row r="415" spans="4:4" ht="17.649999999999999" x14ac:dyDescent="0.5">
      <c r="D415" s="3" t="s">
        <v>115</v>
      </c>
    </row>
    <row r="416" spans="4:4" ht="17.649999999999999" x14ac:dyDescent="0.5">
      <c r="D416" s="3" t="s">
        <v>89</v>
      </c>
    </row>
    <row r="417" spans="4:4" ht="17.649999999999999" x14ac:dyDescent="0.5">
      <c r="D417" s="3" t="s">
        <v>83</v>
      </c>
    </row>
    <row r="418" spans="4:4" ht="17.649999999999999" x14ac:dyDescent="0.5">
      <c r="D418" s="3" t="s">
        <v>53</v>
      </c>
    </row>
    <row r="419" spans="4:4" ht="17.649999999999999" x14ac:dyDescent="0.5">
      <c r="D419" s="3" t="s">
        <v>70</v>
      </c>
    </row>
    <row r="420" spans="4:4" ht="17.649999999999999" x14ac:dyDescent="0.5">
      <c r="D420" s="3" t="s">
        <v>126</v>
      </c>
    </row>
    <row r="421" spans="4:4" ht="17.649999999999999" x14ac:dyDescent="0.5">
      <c r="D421" s="3" t="s">
        <v>45</v>
      </c>
    </row>
    <row r="422" spans="4:4" ht="17.649999999999999" x14ac:dyDescent="0.5">
      <c r="D422" s="3" t="s">
        <v>50</v>
      </c>
    </row>
    <row r="423" spans="4:4" ht="17.649999999999999" x14ac:dyDescent="0.5">
      <c r="D423" s="3" t="s">
        <v>41</v>
      </c>
    </row>
    <row r="424" spans="4:4" ht="17.649999999999999" x14ac:dyDescent="0.5">
      <c r="D424" s="3" t="s">
        <v>111</v>
      </c>
    </row>
    <row r="425" spans="4:4" ht="17.649999999999999" x14ac:dyDescent="0.5">
      <c r="D425" s="3" t="s">
        <v>89</v>
      </c>
    </row>
    <row r="426" spans="4:4" ht="17.649999999999999" x14ac:dyDescent="0.5">
      <c r="D426" s="3" t="s">
        <v>81</v>
      </c>
    </row>
    <row r="427" spans="4:4" ht="17.649999999999999" x14ac:dyDescent="0.5">
      <c r="D427" s="3" t="s">
        <v>134</v>
      </c>
    </row>
    <row r="428" spans="4:4" ht="17.649999999999999" x14ac:dyDescent="0.5">
      <c r="D428" s="3" t="s">
        <v>59</v>
      </c>
    </row>
    <row r="429" spans="4:4" ht="17.649999999999999" x14ac:dyDescent="0.5">
      <c r="D429" s="3" t="s">
        <v>53</v>
      </c>
    </row>
    <row r="430" spans="4:4" ht="17.649999999999999" x14ac:dyDescent="0.5">
      <c r="D430" s="3" t="s">
        <v>81</v>
      </c>
    </row>
    <row r="431" spans="4:4" ht="17.649999999999999" x14ac:dyDescent="0.5">
      <c r="D431" s="3" t="s">
        <v>112</v>
      </c>
    </row>
    <row r="432" spans="4:4" ht="17.649999999999999" x14ac:dyDescent="0.5">
      <c r="D432" s="3" t="s">
        <v>112</v>
      </c>
    </row>
    <row r="433" spans="4:4" ht="17.649999999999999" x14ac:dyDescent="0.5">
      <c r="D433" s="3" t="s">
        <v>71</v>
      </c>
    </row>
    <row r="434" spans="4:4" ht="17.649999999999999" x14ac:dyDescent="0.5">
      <c r="D434" s="3" t="s">
        <v>95</v>
      </c>
    </row>
    <row r="435" spans="4:4" ht="17.649999999999999" x14ac:dyDescent="0.5">
      <c r="D435" s="3" t="s">
        <v>88</v>
      </c>
    </row>
    <row r="436" spans="4:4" ht="17.649999999999999" x14ac:dyDescent="0.5">
      <c r="D436" s="3" t="s">
        <v>67</v>
      </c>
    </row>
    <row r="437" spans="4:4" ht="17.649999999999999" x14ac:dyDescent="0.5">
      <c r="D437" s="3" t="s">
        <v>85</v>
      </c>
    </row>
    <row r="438" spans="4:4" ht="17.649999999999999" x14ac:dyDescent="0.5">
      <c r="D438" s="3" t="s">
        <v>96</v>
      </c>
    </row>
    <row r="439" spans="4:4" ht="17.649999999999999" x14ac:dyDescent="0.5">
      <c r="D439" s="3" t="s">
        <v>120</v>
      </c>
    </row>
    <row r="440" spans="4:4" ht="17.649999999999999" x14ac:dyDescent="0.5">
      <c r="D440" s="3" t="s">
        <v>87</v>
      </c>
    </row>
    <row r="441" spans="4:4" ht="17.649999999999999" x14ac:dyDescent="0.5">
      <c r="D441" s="3" t="s">
        <v>50</v>
      </c>
    </row>
    <row r="442" spans="4:4" ht="17.649999999999999" x14ac:dyDescent="0.5">
      <c r="D442" s="3" t="s">
        <v>51</v>
      </c>
    </row>
    <row r="443" spans="4:4" ht="17.649999999999999" x14ac:dyDescent="0.5">
      <c r="D443" s="3" t="s">
        <v>129</v>
      </c>
    </row>
    <row r="444" spans="4:4" ht="17.649999999999999" x14ac:dyDescent="0.5">
      <c r="D444" s="3" t="s">
        <v>98</v>
      </c>
    </row>
    <row r="445" spans="4:4" ht="17.649999999999999" x14ac:dyDescent="0.5">
      <c r="D445" s="3" t="s">
        <v>106</v>
      </c>
    </row>
    <row r="446" spans="4:4" ht="17.649999999999999" x14ac:dyDescent="0.5">
      <c r="D446" s="3" t="s">
        <v>47</v>
      </c>
    </row>
    <row r="447" spans="4:4" ht="17.649999999999999" x14ac:dyDescent="0.5">
      <c r="D447" s="3" t="s">
        <v>53</v>
      </c>
    </row>
    <row r="448" spans="4:4" ht="17.649999999999999" x14ac:dyDescent="0.5">
      <c r="D448" s="3" t="s">
        <v>55</v>
      </c>
    </row>
    <row r="449" spans="4:4" ht="17.649999999999999" x14ac:dyDescent="0.5">
      <c r="D449" s="3" t="s">
        <v>71</v>
      </c>
    </row>
    <row r="450" spans="4:4" ht="17.649999999999999" x14ac:dyDescent="0.5">
      <c r="D450" s="3" t="s">
        <v>64</v>
      </c>
    </row>
    <row r="451" spans="4:4" ht="17.649999999999999" x14ac:dyDescent="0.5">
      <c r="D451" s="3" t="s">
        <v>106</v>
      </c>
    </row>
    <row r="452" spans="4:4" ht="17.649999999999999" x14ac:dyDescent="0.5">
      <c r="D452" s="3" t="s">
        <v>69</v>
      </c>
    </row>
    <row r="453" spans="4:4" ht="17.649999999999999" x14ac:dyDescent="0.5">
      <c r="D453" s="3" t="s">
        <v>101</v>
      </c>
    </row>
    <row r="454" spans="4:4" ht="17.649999999999999" x14ac:dyDescent="0.5">
      <c r="D454" s="3" t="s">
        <v>94</v>
      </c>
    </row>
    <row r="455" spans="4:4" ht="17.649999999999999" x14ac:dyDescent="0.5">
      <c r="D455" s="3" t="s">
        <v>61</v>
      </c>
    </row>
    <row r="456" spans="4:4" ht="17.649999999999999" x14ac:dyDescent="0.5">
      <c r="D456" s="3" t="s">
        <v>56</v>
      </c>
    </row>
    <row r="457" spans="4:4" ht="17.649999999999999" x14ac:dyDescent="0.5">
      <c r="D457" s="3" t="s">
        <v>47</v>
      </c>
    </row>
    <row r="458" spans="4:4" ht="17.649999999999999" x14ac:dyDescent="0.5">
      <c r="D458" s="3" t="s">
        <v>64</v>
      </c>
    </row>
    <row r="459" spans="4:4" ht="17.649999999999999" x14ac:dyDescent="0.5">
      <c r="D459" s="3" t="s">
        <v>100</v>
      </c>
    </row>
    <row r="460" spans="4:4" ht="17.649999999999999" x14ac:dyDescent="0.5">
      <c r="D460" s="3" t="s">
        <v>83</v>
      </c>
    </row>
    <row r="461" spans="4:4" ht="17.649999999999999" x14ac:dyDescent="0.5">
      <c r="D461" s="3" t="s">
        <v>81</v>
      </c>
    </row>
    <row r="462" spans="4:4" ht="17.649999999999999" x14ac:dyDescent="0.5">
      <c r="D462" s="3" t="s">
        <v>117</v>
      </c>
    </row>
    <row r="463" spans="4:4" ht="17.649999999999999" x14ac:dyDescent="0.5">
      <c r="D463" s="3" t="s">
        <v>43</v>
      </c>
    </row>
    <row r="464" spans="4:4" ht="17.649999999999999" x14ac:dyDescent="0.5">
      <c r="D464" s="3" t="s">
        <v>85</v>
      </c>
    </row>
    <row r="465" spans="4:4" ht="17.649999999999999" x14ac:dyDescent="0.5">
      <c r="D465" s="3" t="s">
        <v>96</v>
      </c>
    </row>
    <row r="466" spans="4:4" ht="17.649999999999999" x14ac:dyDescent="0.5">
      <c r="D466" s="3" t="s">
        <v>51</v>
      </c>
    </row>
    <row r="467" spans="4:4" ht="17.649999999999999" x14ac:dyDescent="0.5">
      <c r="D467" s="3" t="s">
        <v>105</v>
      </c>
    </row>
    <row r="468" spans="4:4" ht="17.649999999999999" x14ac:dyDescent="0.5">
      <c r="D468" s="3" t="s">
        <v>64</v>
      </c>
    </row>
    <row r="469" spans="4:4" ht="17.649999999999999" x14ac:dyDescent="0.5">
      <c r="D469" s="3" t="s">
        <v>69</v>
      </c>
    </row>
    <row r="470" spans="4:4" ht="17.649999999999999" x14ac:dyDescent="0.5">
      <c r="D470" s="3" t="s">
        <v>116</v>
      </c>
    </row>
    <row r="471" spans="4:4" ht="17.649999999999999" x14ac:dyDescent="0.5">
      <c r="D471" s="3" t="s">
        <v>117</v>
      </c>
    </row>
    <row r="472" spans="4:4" ht="17.649999999999999" x14ac:dyDescent="0.5">
      <c r="D472" s="3" t="s">
        <v>57</v>
      </c>
    </row>
    <row r="473" spans="4:4" ht="17.649999999999999" x14ac:dyDescent="0.5">
      <c r="D473" s="3" t="s">
        <v>78</v>
      </c>
    </row>
    <row r="474" spans="4:4" ht="17.649999999999999" x14ac:dyDescent="0.5">
      <c r="D474" s="3" t="s">
        <v>84</v>
      </c>
    </row>
    <row r="475" spans="4:4" ht="17.649999999999999" x14ac:dyDescent="0.5">
      <c r="D475" s="3" t="s">
        <v>68</v>
      </c>
    </row>
    <row r="476" spans="4:4" ht="17.649999999999999" x14ac:dyDescent="0.5">
      <c r="D476" s="3" t="s">
        <v>52</v>
      </c>
    </row>
    <row r="477" spans="4:4" ht="17.649999999999999" x14ac:dyDescent="0.5">
      <c r="D477" s="3" t="s">
        <v>46</v>
      </c>
    </row>
    <row r="478" spans="4:4" ht="17.649999999999999" x14ac:dyDescent="0.5">
      <c r="D478" s="3" t="s">
        <v>83</v>
      </c>
    </row>
    <row r="479" spans="4:4" ht="17.649999999999999" x14ac:dyDescent="0.5">
      <c r="D479" s="3" t="s">
        <v>75</v>
      </c>
    </row>
    <row r="480" spans="4:4" ht="17.649999999999999" x14ac:dyDescent="0.5">
      <c r="D480" s="3" t="s">
        <v>69</v>
      </c>
    </row>
    <row r="481" spans="4:4" ht="17.649999999999999" x14ac:dyDescent="0.5">
      <c r="D481" s="3" t="s">
        <v>92</v>
      </c>
    </row>
    <row r="482" spans="4:4" ht="17.649999999999999" x14ac:dyDescent="0.5">
      <c r="D482" s="3" t="s">
        <v>115</v>
      </c>
    </row>
    <row r="483" spans="4:4" ht="17.649999999999999" x14ac:dyDescent="0.5">
      <c r="D483" s="3" t="s">
        <v>75</v>
      </c>
    </row>
    <row r="484" spans="4:4" ht="17.649999999999999" x14ac:dyDescent="0.5">
      <c r="D484" s="3" t="s">
        <v>57</v>
      </c>
    </row>
    <row r="485" spans="4:4" ht="17.649999999999999" x14ac:dyDescent="0.5">
      <c r="D485" s="3" t="s">
        <v>61</v>
      </c>
    </row>
    <row r="486" spans="4:4" ht="17.649999999999999" x14ac:dyDescent="0.5">
      <c r="D486" s="3" t="s">
        <v>73</v>
      </c>
    </row>
    <row r="487" spans="4:4" ht="17.649999999999999" x14ac:dyDescent="0.5">
      <c r="D487" s="3" t="s">
        <v>54</v>
      </c>
    </row>
    <row r="488" spans="4:4" ht="17.649999999999999" x14ac:dyDescent="0.5">
      <c r="D488" s="3" t="s">
        <v>73</v>
      </c>
    </row>
    <row r="489" spans="4:4" ht="17.649999999999999" x14ac:dyDescent="0.5">
      <c r="D489" s="3" t="s">
        <v>101</v>
      </c>
    </row>
    <row r="490" spans="4:4" ht="17.649999999999999" x14ac:dyDescent="0.5">
      <c r="D490" s="3" t="s">
        <v>80</v>
      </c>
    </row>
    <row r="491" spans="4:4" ht="17.649999999999999" x14ac:dyDescent="0.5">
      <c r="D491" s="3" t="s">
        <v>79</v>
      </c>
    </row>
    <row r="492" spans="4:4" ht="17.649999999999999" x14ac:dyDescent="0.5">
      <c r="D492" s="3" t="s">
        <v>88</v>
      </c>
    </row>
    <row r="493" spans="4:4" ht="17.649999999999999" x14ac:dyDescent="0.5">
      <c r="D493" s="3" t="s">
        <v>90</v>
      </c>
    </row>
    <row r="494" spans="4:4" ht="17.649999999999999" x14ac:dyDescent="0.5">
      <c r="D494" s="3" t="s">
        <v>77</v>
      </c>
    </row>
    <row r="495" spans="4:4" ht="17.649999999999999" x14ac:dyDescent="0.5">
      <c r="D495" s="3" t="s">
        <v>75</v>
      </c>
    </row>
    <row r="496" spans="4:4" ht="17.649999999999999" x14ac:dyDescent="0.5">
      <c r="D496" s="3" t="s">
        <v>48</v>
      </c>
    </row>
    <row r="497" spans="4:4" ht="17.649999999999999" x14ac:dyDescent="0.5">
      <c r="D497" s="3" t="s">
        <v>54</v>
      </c>
    </row>
    <row r="498" spans="4:4" ht="17.649999999999999" x14ac:dyDescent="0.5">
      <c r="D498" s="3" t="s">
        <v>50</v>
      </c>
    </row>
    <row r="499" spans="4:4" ht="17.649999999999999" x14ac:dyDescent="0.5">
      <c r="D499" s="3" t="s">
        <v>78</v>
      </c>
    </row>
    <row r="500" spans="4:4" ht="17.649999999999999" x14ac:dyDescent="0.5">
      <c r="D500" s="3" t="s">
        <v>57</v>
      </c>
    </row>
    <row r="501" spans="4:4" ht="17.649999999999999" x14ac:dyDescent="0.5">
      <c r="D501" s="3" t="s">
        <v>111</v>
      </c>
    </row>
    <row r="502" spans="4:4" ht="17.649999999999999" x14ac:dyDescent="0.5">
      <c r="D502" s="3" t="s">
        <v>92</v>
      </c>
    </row>
    <row r="503" spans="4:4" ht="17.649999999999999" x14ac:dyDescent="0.5">
      <c r="D503" s="3" t="s">
        <v>89</v>
      </c>
    </row>
    <row r="504" spans="4:4" ht="17.649999999999999" x14ac:dyDescent="0.5">
      <c r="D504" s="3" t="s">
        <v>107</v>
      </c>
    </row>
    <row r="505" spans="4:4" ht="17.649999999999999" x14ac:dyDescent="0.5">
      <c r="D505" s="3" t="s">
        <v>96</v>
      </c>
    </row>
    <row r="506" spans="4:4" ht="17.649999999999999" x14ac:dyDescent="0.5">
      <c r="D506" s="3" t="s">
        <v>130</v>
      </c>
    </row>
    <row r="507" spans="4:4" ht="17.649999999999999" x14ac:dyDescent="0.5">
      <c r="D507" s="3" t="s">
        <v>91</v>
      </c>
    </row>
    <row r="508" spans="4:4" ht="17.649999999999999" x14ac:dyDescent="0.5">
      <c r="D508" s="3" t="s">
        <v>97</v>
      </c>
    </row>
    <row r="509" spans="4:4" ht="17.649999999999999" x14ac:dyDescent="0.5">
      <c r="D509" s="3" t="s">
        <v>117</v>
      </c>
    </row>
    <row r="510" spans="4:4" ht="17.649999999999999" x14ac:dyDescent="0.5">
      <c r="D510" s="3" t="s">
        <v>87</v>
      </c>
    </row>
    <row r="511" spans="4:4" ht="17.649999999999999" x14ac:dyDescent="0.5">
      <c r="D511" s="3" t="s">
        <v>116</v>
      </c>
    </row>
    <row r="512" spans="4:4" ht="17.649999999999999" x14ac:dyDescent="0.5">
      <c r="D512" s="3" t="s">
        <v>81</v>
      </c>
    </row>
    <row r="513" spans="4:4" ht="17.649999999999999" x14ac:dyDescent="0.5">
      <c r="D513" s="3" t="s">
        <v>68</v>
      </c>
    </row>
    <row r="514" spans="4:4" ht="17.649999999999999" x14ac:dyDescent="0.5">
      <c r="D514" s="3" t="s">
        <v>73</v>
      </c>
    </row>
    <row r="515" spans="4:4" ht="17.649999999999999" x14ac:dyDescent="0.5">
      <c r="D515" s="3" t="s">
        <v>90</v>
      </c>
    </row>
    <row r="516" spans="4:4" ht="17.649999999999999" x14ac:dyDescent="0.5">
      <c r="D516" s="3" t="s">
        <v>49</v>
      </c>
    </row>
    <row r="517" spans="4:4" ht="17.649999999999999" x14ac:dyDescent="0.5">
      <c r="D517" s="3" t="s">
        <v>69</v>
      </c>
    </row>
    <row r="518" spans="4:4" ht="17.649999999999999" x14ac:dyDescent="0.5">
      <c r="D518" s="3" t="s">
        <v>107</v>
      </c>
    </row>
    <row r="519" spans="4:4" ht="17.649999999999999" x14ac:dyDescent="0.5">
      <c r="D519" s="3" t="s">
        <v>86</v>
      </c>
    </row>
    <row r="520" spans="4:4" ht="17.649999999999999" x14ac:dyDescent="0.5">
      <c r="D520" s="3" t="s">
        <v>54</v>
      </c>
    </row>
    <row r="521" spans="4:4" ht="17.649999999999999" x14ac:dyDescent="0.5">
      <c r="D521" s="3" t="s">
        <v>90</v>
      </c>
    </row>
    <row r="522" spans="4:4" ht="17.649999999999999" x14ac:dyDescent="0.5">
      <c r="D522" s="3" t="s">
        <v>77</v>
      </c>
    </row>
    <row r="523" spans="4:4" ht="17.649999999999999" x14ac:dyDescent="0.5">
      <c r="D523" s="3" t="s">
        <v>47</v>
      </c>
    </row>
    <row r="524" spans="4:4" ht="17.649999999999999" x14ac:dyDescent="0.5">
      <c r="D524" s="3" t="s">
        <v>121</v>
      </c>
    </row>
    <row r="525" spans="4:4" ht="17.649999999999999" x14ac:dyDescent="0.5">
      <c r="D525" s="3" t="s">
        <v>90</v>
      </c>
    </row>
    <row r="526" spans="4:4" ht="17.649999999999999" x14ac:dyDescent="0.5">
      <c r="D526" s="3" t="s">
        <v>64</v>
      </c>
    </row>
    <row r="527" spans="4:4" ht="17.649999999999999" x14ac:dyDescent="0.5">
      <c r="D527" s="3" t="s">
        <v>86</v>
      </c>
    </row>
    <row r="528" spans="4:4" ht="17.649999999999999" x14ac:dyDescent="0.5">
      <c r="D528" s="3" t="s">
        <v>75</v>
      </c>
    </row>
    <row r="529" spans="4:4" ht="17.649999999999999" x14ac:dyDescent="0.5">
      <c r="D529" s="3" t="s">
        <v>73</v>
      </c>
    </row>
    <row r="530" spans="4:4" ht="17.649999999999999" x14ac:dyDescent="0.5">
      <c r="D530" s="3" t="s">
        <v>75</v>
      </c>
    </row>
    <row r="531" spans="4:4" ht="17.649999999999999" x14ac:dyDescent="0.5">
      <c r="D531" s="3" t="s">
        <v>57</v>
      </c>
    </row>
    <row r="532" spans="4:4" ht="17.649999999999999" x14ac:dyDescent="0.5">
      <c r="D532" s="3" t="s">
        <v>109</v>
      </c>
    </row>
    <row r="533" spans="4:4" ht="17.649999999999999" x14ac:dyDescent="0.5">
      <c r="D533" s="3" t="s">
        <v>51</v>
      </c>
    </row>
    <row r="534" spans="4:4" ht="17.649999999999999" x14ac:dyDescent="0.5">
      <c r="D534" s="3" t="s">
        <v>130</v>
      </c>
    </row>
    <row r="535" spans="4:4" ht="17.649999999999999" x14ac:dyDescent="0.5">
      <c r="D535" s="3" t="s">
        <v>103</v>
      </c>
    </row>
    <row r="536" spans="4:4" ht="17.649999999999999" x14ac:dyDescent="0.5">
      <c r="D536" s="3" t="s">
        <v>101</v>
      </c>
    </row>
    <row r="537" spans="4:4" ht="17.649999999999999" x14ac:dyDescent="0.5">
      <c r="D537" s="3" t="s">
        <v>57</v>
      </c>
    </row>
    <row r="538" spans="4:4" ht="17.649999999999999" x14ac:dyDescent="0.5">
      <c r="D538" s="3" t="s">
        <v>80</v>
      </c>
    </row>
    <row r="539" spans="4:4" ht="17.649999999999999" x14ac:dyDescent="0.5">
      <c r="D539" s="3" t="s">
        <v>108</v>
      </c>
    </row>
    <row r="540" spans="4:4" ht="17.649999999999999" x14ac:dyDescent="0.5">
      <c r="D540" s="3" t="s">
        <v>52</v>
      </c>
    </row>
    <row r="541" spans="4:4" ht="17.649999999999999" x14ac:dyDescent="0.5">
      <c r="D541" s="3" t="s">
        <v>43</v>
      </c>
    </row>
    <row r="542" spans="4:4" ht="17.649999999999999" x14ac:dyDescent="0.5">
      <c r="D542" s="3" t="s">
        <v>76</v>
      </c>
    </row>
    <row r="543" spans="4:4" ht="17.649999999999999" x14ac:dyDescent="0.5">
      <c r="D543" s="3" t="s">
        <v>55</v>
      </c>
    </row>
    <row r="544" spans="4:4" ht="17.649999999999999" x14ac:dyDescent="0.5">
      <c r="D544" s="3" t="s">
        <v>54</v>
      </c>
    </row>
    <row r="545" spans="4:4" ht="17.649999999999999" x14ac:dyDescent="0.5">
      <c r="D545" s="3" t="s">
        <v>82</v>
      </c>
    </row>
    <row r="546" spans="4:4" ht="17.649999999999999" x14ac:dyDescent="0.5">
      <c r="D546" s="3" t="s">
        <v>103</v>
      </c>
    </row>
    <row r="547" spans="4:4" ht="17.649999999999999" x14ac:dyDescent="0.5">
      <c r="D547" s="3" t="s">
        <v>86</v>
      </c>
    </row>
    <row r="548" spans="4:4" ht="17.649999999999999" x14ac:dyDescent="0.5">
      <c r="D548" s="3" t="s">
        <v>78</v>
      </c>
    </row>
    <row r="549" spans="4:4" ht="17.649999999999999" x14ac:dyDescent="0.5">
      <c r="D549" s="3" t="s">
        <v>131</v>
      </c>
    </row>
    <row r="550" spans="4:4" ht="17.649999999999999" x14ac:dyDescent="0.5">
      <c r="D550" s="3" t="s">
        <v>56</v>
      </c>
    </row>
    <row r="551" spans="4:4" ht="17.649999999999999" x14ac:dyDescent="0.5">
      <c r="D551" s="3" t="s">
        <v>61</v>
      </c>
    </row>
    <row r="552" spans="4:4" ht="17.649999999999999" x14ac:dyDescent="0.5">
      <c r="D552" s="3" t="s">
        <v>81</v>
      </c>
    </row>
    <row r="553" spans="4:4" ht="17.649999999999999" x14ac:dyDescent="0.5">
      <c r="D553" s="3" t="s">
        <v>101</v>
      </c>
    </row>
    <row r="554" spans="4:4" ht="17.649999999999999" x14ac:dyDescent="0.5">
      <c r="D554" s="3" t="s">
        <v>59</v>
      </c>
    </row>
    <row r="555" spans="4:4" ht="17.649999999999999" x14ac:dyDescent="0.5">
      <c r="D555" s="3" t="s">
        <v>98</v>
      </c>
    </row>
    <row r="556" spans="4:4" ht="17.649999999999999" x14ac:dyDescent="0.5">
      <c r="D556" s="3" t="s">
        <v>108</v>
      </c>
    </row>
    <row r="557" spans="4:4" ht="17.649999999999999" x14ac:dyDescent="0.5">
      <c r="D557" s="3" t="s">
        <v>128</v>
      </c>
    </row>
    <row r="558" spans="4:4" ht="17.649999999999999" x14ac:dyDescent="0.5">
      <c r="D558" s="3" t="s">
        <v>101</v>
      </c>
    </row>
    <row r="559" spans="4:4" ht="17.649999999999999" x14ac:dyDescent="0.5">
      <c r="D559" s="3" t="s">
        <v>52</v>
      </c>
    </row>
    <row r="560" spans="4:4" ht="17.649999999999999" x14ac:dyDescent="0.5">
      <c r="D560" s="3" t="s">
        <v>51</v>
      </c>
    </row>
    <row r="561" spans="4:4" ht="17.649999999999999" x14ac:dyDescent="0.5">
      <c r="D561" s="3" t="s">
        <v>96</v>
      </c>
    </row>
    <row r="562" spans="4:4" ht="17.649999999999999" x14ac:dyDescent="0.5">
      <c r="D562" s="3" t="s">
        <v>62</v>
      </c>
    </row>
    <row r="563" spans="4:4" ht="17.649999999999999" x14ac:dyDescent="0.5">
      <c r="D563" s="3" t="s">
        <v>66</v>
      </c>
    </row>
    <row r="564" spans="4:4" ht="17.649999999999999" x14ac:dyDescent="0.5">
      <c r="D564" s="3" t="s">
        <v>50</v>
      </c>
    </row>
    <row r="565" spans="4:4" ht="17.649999999999999" x14ac:dyDescent="0.5">
      <c r="D565" s="3" t="s">
        <v>51</v>
      </c>
    </row>
    <row r="566" spans="4:4" ht="17.649999999999999" x14ac:dyDescent="0.5">
      <c r="D566" s="3" t="s">
        <v>85</v>
      </c>
    </row>
    <row r="567" spans="4:4" ht="17.649999999999999" x14ac:dyDescent="0.5">
      <c r="D567" s="3" t="s">
        <v>127</v>
      </c>
    </row>
    <row r="568" spans="4:4" ht="17.649999999999999" x14ac:dyDescent="0.5">
      <c r="D568" s="3" t="s">
        <v>112</v>
      </c>
    </row>
    <row r="569" spans="4:4" ht="17.649999999999999" x14ac:dyDescent="0.5">
      <c r="D569" s="3" t="s">
        <v>62</v>
      </c>
    </row>
    <row r="570" spans="4:4" ht="17.649999999999999" x14ac:dyDescent="0.5">
      <c r="D570" s="3" t="s">
        <v>112</v>
      </c>
    </row>
    <row r="571" spans="4:4" ht="17.649999999999999" x14ac:dyDescent="0.5">
      <c r="D571" s="3" t="s">
        <v>79</v>
      </c>
    </row>
    <row r="572" spans="4:4" ht="17.649999999999999" x14ac:dyDescent="0.5">
      <c r="D572" s="3" t="s">
        <v>47</v>
      </c>
    </row>
    <row r="573" spans="4:4" ht="17.649999999999999" x14ac:dyDescent="0.5">
      <c r="D573" s="3" t="s">
        <v>112</v>
      </c>
    </row>
    <row r="574" spans="4:4" ht="17.649999999999999" x14ac:dyDescent="0.5">
      <c r="D574" s="3" t="s">
        <v>92</v>
      </c>
    </row>
    <row r="575" spans="4:4" ht="17.649999999999999" x14ac:dyDescent="0.5">
      <c r="D575" s="3" t="s">
        <v>103</v>
      </c>
    </row>
    <row r="576" spans="4:4" ht="17.649999999999999" x14ac:dyDescent="0.5">
      <c r="D576" s="3" t="s">
        <v>52</v>
      </c>
    </row>
    <row r="577" spans="4:4" ht="17.649999999999999" x14ac:dyDescent="0.5">
      <c r="D577" s="3" t="s">
        <v>121</v>
      </c>
    </row>
    <row r="578" spans="4:4" ht="17.649999999999999" x14ac:dyDescent="0.5">
      <c r="D578" s="3" t="s">
        <v>91</v>
      </c>
    </row>
    <row r="579" spans="4:4" ht="17.649999999999999" x14ac:dyDescent="0.5">
      <c r="D579" s="3" t="s">
        <v>51</v>
      </c>
    </row>
    <row r="580" spans="4:4" ht="17.649999999999999" x14ac:dyDescent="0.5">
      <c r="D580" s="3" t="s">
        <v>51</v>
      </c>
    </row>
    <row r="581" spans="4:4" ht="17.649999999999999" x14ac:dyDescent="0.5">
      <c r="D581" s="3" t="s">
        <v>74</v>
      </c>
    </row>
    <row r="582" spans="4:4" ht="17.649999999999999" x14ac:dyDescent="0.5">
      <c r="D582" s="3" t="s">
        <v>69</v>
      </c>
    </row>
    <row r="583" spans="4:4" ht="17.649999999999999" x14ac:dyDescent="0.5">
      <c r="D583" s="3" t="s">
        <v>76</v>
      </c>
    </row>
    <row r="584" spans="4:4" ht="17.649999999999999" x14ac:dyDescent="0.5">
      <c r="D584" s="3" t="s">
        <v>44</v>
      </c>
    </row>
    <row r="585" spans="4:4" ht="17.649999999999999" x14ac:dyDescent="0.5">
      <c r="D585" s="3" t="s">
        <v>87</v>
      </c>
    </row>
    <row r="586" spans="4:4" ht="17.649999999999999" x14ac:dyDescent="0.5">
      <c r="D586" s="3" t="s">
        <v>67</v>
      </c>
    </row>
    <row r="587" spans="4:4" ht="17.649999999999999" x14ac:dyDescent="0.5">
      <c r="D587" s="3" t="s">
        <v>43</v>
      </c>
    </row>
    <row r="588" spans="4:4" ht="17.649999999999999" x14ac:dyDescent="0.5">
      <c r="D588" s="3" t="s">
        <v>111</v>
      </c>
    </row>
    <row r="589" spans="4:4" ht="17.649999999999999" x14ac:dyDescent="0.5">
      <c r="D589" s="3" t="s">
        <v>73</v>
      </c>
    </row>
    <row r="590" spans="4:4" ht="17.649999999999999" x14ac:dyDescent="0.5">
      <c r="D590" s="3" t="s">
        <v>50</v>
      </c>
    </row>
    <row r="591" spans="4:4" ht="17.649999999999999" x14ac:dyDescent="0.5">
      <c r="D591" s="3" t="s">
        <v>98</v>
      </c>
    </row>
    <row r="592" spans="4:4" ht="17.649999999999999" x14ac:dyDescent="0.5">
      <c r="D592" s="3" t="s">
        <v>96</v>
      </c>
    </row>
    <row r="593" spans="4:4" ht="17.649999999999999" x14ac:dyDescent="0.5">
      <c r="D593" s="3" t="s">
        <v>62</v>
      </c>
    </row>
    <row r="594" spans="4:4" ht="17.649999999999999" x14ac:dyDescent="0.5">
      <c r="D594" s="3" t="s">
        <v>56</v>
      </c>
    </row>
    <row r="595" spans="4:4" ht="17.649999999999999" x14ac:dyDescent="0.5">
      <c r="D595" s="3" t="s">
        <v>72</v>
      </c>
    </row>
    <row r="596" spans="4:4" ht="17.649999999999999" x14ac:dyDescent="0.5">
      <c r="D596" s="3" t="s">
        <v>47</v>
      </c>
    </row>
    <row r="597" spans="4:4" ht="17.649999999999999" x14ac:dyDescent="0.5">
      <c r="D597" s="3" t="s">
        <v>54</v>
      </c>
    </row>
    <row r="598" spans="4:4" ht="17.649999999999999" x14ac:dyDescent="0.5">
      <c r="D598" s="3" t="s">
        <v>135</v>
      </c>
    </row>
    <row r="599" spans="4:4" ht="17.649999999999999" x14ac:dyDescent="0.5">
      <c r="D599" s="3" t="s">
        <v>67</v>
      </c>
    </row>
    <row r="600" spans="4:4" ht="17.649999999999999" x14ac:dyDescent="0.5">
      <c r="D600" s="3" t="s">
        <v>41</v>
      </c>
    </row>
    <row r="601" spans="4:4" ht="17.649999999999999" x14ac:dyDescent="0.5">
      <c r="D601" s="3" t="s">
        <v>84</v>
      </c>
    </row>
    <row r="602" spans="4:4" ht="17.649999999999999" x14ac:dyDescent="0.5">
      <c r="D602" s="3" t="s">
        <v>93</v>
      </c>
    </row>
    <row r="603" spans="4:4" ht="17.649999999999999" x14ac:dyDescent="0.5">
      <c r="D603" s="3" t="s">
        <v>58</v>
      </c>
    </row>
    <row r="604" spans="4:4" ht="17.649999999999999" x14ac:dyDescent="0.5">
      <c r="D604" s="3" t="s">
        <v>85</v>
      </c>
    </row>
    <row r="605" spans="4:4" ht="17.649999999999999" x14ac:dyDescent="0.5">
      <c r="D605" s="3" t="s">
        <v>46</v>
      </c>
    </row>
    <row r="606" spans="4:4" ht="17.649999999999999" x14ac:dyDescent="0.5">
      <c r="D606" s="3" t="s">
        <v>68</v>
      </c>
    </row>
    <row r="607" spans="4:4" ht="17.649999999999999" x14ac:dyDescent="0.5">
      <c r="D607" s="3" t="s">
        <v>69</v>
      </c>
    </row>
    <row r="608" spans="4:4" ht="17.649999999999999" x14ac:dyDescent="0.5">
      <c r="D608" s="3" t="s">
        <v>78</v>
      </c>
    </row>
    <row r="609" spans="4:4" ht="17.649999999999999" x14ac:dyDescent="0.5">
      <c r="D609" s="3" t="s">
        <v>85</v>
      </c>
    </row>
    <row r="610" spans="4:4" ht="17.649999999999999" x14ac:dyDescent="0.5">
      <c r="D610" s="3" t="s">
        <v>67</v>
      </c>
    </row>
    <row r="611" spans="4:4" ht="17.649999999999999" x14ac:dyDescent="0.5">
      <c r="D611" s="3" t="s">
        <v>52</v>
      </c>
    </row>
    <row r="612" spans="4:4" ht="17.649999999999999" x14ac:dyDescent="0.5">
      <c r="D612" s="3" t="s">
        <v>105</v>
      </c>
    </row>
    <row r="613" spans="4:4" ht="17.649999999999999" x14ac:dyDescent="0.5">
      <c r="D613" s="3" t="s">
        <v>100</v>
      </c>
    </row>
    <row r="614" spans="4:4" ht="17.649999999999999" x14ac:dyDescent="0.5">
      <c r="D614" s="3" t="s">
        <v>59</v>
      </c>
    </row>
    <row r="615" spans="4:4" ht="17.649999999999999" x14ac:dyDescent="0.5">
      <c r="D615" s="3" t="s">
        <v>46</v>
      </c>
    </row>
    <row r="616" spans="4:4" ht="17.649999999999999" x14ac:dyDescent="0.5">
      <c r="D616" s="3" t="s">
        <v>51</v>
      </c>
    </row>
    <row r="617" spans="4:4" ht="17.649999999999999" x14ac:dyDescent="0.5">
      <c r="D617" s="3" t="s">
        <v>85</v>
      </c>
    </row>
    <row r="618" spans="4:4" ht="17.649999999999999" x14ac:dyDescent="0.5">
      <c r="D618" s="3" t="s">
        <v>114</v>
      </c>
    </row>
    <row r="619" spans="4:4" ht="17.649999999999999" x14ac:dyDescent="0.5">
      <c r="D619" s="3" t="s">
        <v>126</v>
      </c>
    </row>
    <row r="620" spans="4:4" ht="17.649999999999999" x14ac:dyDescent="0.5">
      <c r="D620" s="3" t="s">
        <v>120</v>
      </c>
    </row>
    <row r="621" spans="4:4" ht="17.649999999999999" x14ac:dyDescent="0.5">
      <c r="D621" s="3" t="s">
        <v>67</v>
      </c>
    </row>
    <row r="622" spans="4:4" ht="17.649999999999999" x14ac:dyDescent="0.5">
      <c r="D622" s="3" t="s">
        <v>114</v>
      </c>
    </row>
    <row r="623" spans="4:4" ht="17.649999999999999" x14ac:dyDescent="0.5">
      <c r="D623" s="3" t="s">
        <v>118</v>
      </c>
    </row>
    <row r="624" spans="4:4" ht="17.649999999999999" x14ac:dyDescent="0.5">
      <c r="D624" s="3" t="s">
        <v>135</v>
      </c>
    </row>
    <row r="625" spans="4:4" ht="17.649999999999999" x14ac:dyDescent="0.5">
      <c r="D625" s="3" t="s">
        <v>81</v>
      </c>
    </row>
    <row r="626" spans="4:4" ht="17.649999999999999" x14ac:dyDescent="0.5">
      <c r="D626" s="3" t="s">
        <v>80</v>
      </c>
    </row>
    <row r="627" spans="4:4" ht="17.649999999999999" x14ac:dyDescent="0.5">
      <c r="D627" s="3" t="s">
        <v>50</v>
      </c>
    </row>
    <row r="628" spans="4:4" ht="17.649999999999999" x14ac:dyDescent="0.5">
      <c r="D628" s="3" t="s">
        <v>105</v>
      </c>
    </row>
    <row r="629" spans="4:4" ht="17.649999999999999" x14ac:dyDescent="0.5">
      <c r="D629" s="3" t="s">
        <v>63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64</v>
      </c>
    </row>
    <row r="632" spans="4:4" ht="17.649999999999999" x14ac:dyDescent="0.5">
      <c r="D632" s="3" t="s">
        <v>96</v>
      </c>
    </row>
    <row r="633" spans="4:4" ht="17.649999999999999" x14ac:dyDescent="0.5">
      <c r="D633" s="3" t="s">
        <v>59</v>
      </c>
    </row>
    <row r="634" spans="4:4" ht="17.649999999999999" x14ac:dyDescent="0.5">
      <c r="D634" s="3" t="s">
        <v>88</v>
      </c>
    </row>
    <row r="635" spans="4:4" ht="17.649999999999999" x14ac:dyDescent="0.5">
      <c r="D635" s="3" t="s">
        <v>57</v>
      </c>
    </row>
    <row r="636" spans="4:4" ht="17.649999999999999" x14ac:dyDescent="0.5">
      <c r="D636" s="3" t="s">
        <v>98</v>
      </c>
    </row>
    <row r="637" spans="4:4" ht="17.649999999999999" x14ac:dyDescent="0.5">
      <c r="D637" s="3" t="s">
        <v>51</v>
      </c>
    </row>
    <row r="638" spans="4:4" ht="17.649999999999999" x14ac:dyDescent="0.5">
      <c r="D638" s="3" t="s">
        <v>56</v>
      </c>
    </row>
    <row r="639" spans="4:4" ht="17.649999999999999" x14ac:dyDescent="0.5">
      <c r="D639" s="3" t="s">
        <v>50</v>
      </c>
    </row>
    <row r="640" spans="4:4" ht="17.649999999999999" x14ac:dyDescent="0.5">
      <c r="D640" s="3" t="s">
        <v>47</v>
      </c>
    </row>
    <row r="641" spans="4:4" ht="17.649999999999999" x14ac:dyDescent="0.5">
      <c r="D641" s="3" t="s">
        <v>73</v>
      </c>
    </row>
    <row r="642" spans="4:4" ht="17.649999999999999" x14ac:dyDescent="0.5">
      <c r="D642" s="3" t="s">
        <v>57</v>
      </c>
    </row>
    <row r="643" spans="4:4" ht="17.649999999999999" x14ac:dyDescent="0.5">
      <c r="D643" s="3" t="s">
        <v>61</v>
      </c>
    </row>
    <row r="644" spans="4:4" ht="17.649999999999999" x14ac:dyDescent="0.5">
      <c r="D644" s="3" t="s">
        <v>46</v>
      </c>
    </row>
    <row r="645" spans="4:4" ht="17.649999999999999" x14ac:dyDescent="0.5">
      <c r="D645" s="3" t="s">
        <v>103</v>
      </c>
    </row>
    <row r="646" spans="4:4" ht="17.649999999999999" x14ac:dyDescent="0.5">
      <c r="D646" s="3" t="s">
        <v>48</v>
      </c>
    </row>
    <row r="647" spans="4:4" ht="17.649999999999999" x14ac:dyDescent="0.5">
      <c r="D647" s="3" t="s">
        <v>96</v>
      </c>
    </row>
    <row r="648" spans="4:4" ht="17.649999999999999" x14ac:dyDescent="0.5">
      <c r="D648" s="3" t="s">
        <v>107</v>
      </c>
    </row>
    <row r="649" spans="4:4" ht="17.649999999999999" x14ac:dyDescent="0.5">
      <c r="D649" s="3" t="s">
        <v>54</v>
      </c>
    </row>
    <row r="650" spans="4:4" ht="17.649999999999999" x14ac:dyDescent="0.5">
      <c r="D650" s="3" t="s">
        <v>43</v>
      </c>
    </row>
    <row r="651" spans="4:4" ht="17.649999999999999" x14ac:dyDescent="0.5">
      <c r="D651" s="3" t="s">
        <v>114</v>
      </c>
    </row>
    <row r="652" spans="4:4" ht="17.649999999999999" x14ac:dyDescent="0.5">
      <c r="D652" s="3" t="s">
        <v>83</v>
      </c>
    </row>
    <row r="653" spans="4:4" ht="17.649999999999999" x14ac:dyDescent="0.5">
      <c r="D653" s="3" t="s">
        <v>77</v>
      </c>
    </row>
    <row r="654" spans="4:4" ht="17.649999999999999" x14ac:dyDescent="0.5">
      <c r="D654" s="3" t="s">
        <v>66</v>
      </c>
    </row>
    <row r="655" spans="4:4" ht="17.649999999999999" x14ac:dyDescent="0.5">
      <c r="D655" s="3" t="s">
        <v>50</v>
      </c>
    </row>
    <row r="656" spans="4:4" ht="17.649999999999999" x14ac:dyDescent="0.5">
      <c r="D656" s="3" t="s">
        <v>65</v>
      </c>
    </row>
    <row r="657" spans="4:4" ht="17.649999999999999" x14ac:dyDescent="0.5">
      <c r="D657" s="3" t="s">
        <v>47</v>
      </c>
    </row>
    <row r="658" spans="4:4" ht="17.649999999999999" x14ac:dyDescent="0.5">
      <c r="D658" s="3" t="s">
        <v>94</v>
      </c>
    </row>
    <row r="659" spans="4:4" ht="17.649999999999999" x14ac:dyDescent="0.5">
      <c r="D659" s="3" t="s">
        <v>69</v>
      </c>
    </row>
    <row r="660" spans="4:4" ht="17.649999999999999" x14ac:dyDescent="0.5">
      <c r="D660" s="3" t="s">
        <v>135</v>
      </c>
    </row>
    <row r="661" spans="4:4" ht="17.649999999999999" x14ac:dyDescent="0.5">
      <c r="D661" s="3" t="s">
        <v>103</v>
      </c>
    </row>
    <row r="662" spans="4:4" ht="17.649999999999999" x14ac:dyDescent="0.5">
      <c r="D662" s="3" t="s">
        <v>108</v>
      </c>
    </row>
    <row r="663" spans="4:4" ht="17.649999999999999" x14ac:dyDescent="0.5">
      <c r="D663" s="3" t="s">
        <v>51</v>
      </c>
    </row>
    <row r="664" spans="4:4" ht="17.649999999999999" x14ac:dyDescent="0.5">
      <c r="D664" s="3" t="s">
        <v>136</v>
      </c>
    </row>
    <row r="665" spans="4:4" ht="17.649999999999999" x14ac:dyDescent="0.5">
      <c r="D665" s="3" t="s">
        <v>120</v>
      </c>
    </row>
    <row r="666" spans="4:4" ht="17.649999999999999" x14ac:dyDescent="0.5">
      <c r="D666" s="3" t="s">
        <v>85</v>
      </c>
    </row>
    <row r="667" spans="4:4" ht="17.649999999999999" x14ac:dyDescent="0.5">
      <c r="D667" s="3" t="s">
        <v>48</v>
      </c>
    </row>
    <row r="668" spans="4:4" ht="17.649999999999999" x14ac:dyDescent="0.5">
      <c r="D668" s="3" t="s">
        <v>119</v>
      </c>
    </row>
    <row r="669" spans="4:4" ht="17.649999999999999" x14ac:dyDescent="0.5">
      <c r="D669" s="3" t="s">
        <v>84</v>
      </c>
    </row>
    <row r="670" spans="4:4" ht="17.649999999999999" x14ac:dyDescent="0.5">
      <c r="D670" s="3" t="s">
        <v>100</v>
      </c>
    </row>
    <row r="671" spans="4:4" ht="17.649999999999999" x14ac:dyDescent="0.5">
      <c r="D671" s="3" t="s">
        <v>112</v>
      </c>
    </row>
    <row r="672" spans="4:4" ht="17.649999999999999" x14ac:dyDescent="0.5">
      <c r="D672" s="3" t="s">
        <v>85</v>
      </c>
    </row>
    <row r="673" spans="4:4" ht="17.649999999999999" x14ac:dyDescent="0.5">
      <c r="D673" s="3" t="s">
        <v>117</v>
      </c>
    </row>
    <row r="674" spans="4:4" ht="17.649999999999999" x14ac:dyDescent="0.5">
      <c r="D674" s="3" t="s">
        <v>77</v>
      </c>
    </row>
    <row r="675" spans="4:4" ht="17.649999999999999" x14ac:dyDescent="0.5">
      <c r="D675" s="3" t="s">
        <v>63</v>
      </c>
    </row>
    <row r="676" spans="4:4" ht="17.649999999999999" x14ac:dyDescent="0.5">
      <c r="D676" s="3" t="s">
        <v>78</v>
      </c>
    </row>
    <row r="677" spans="4:4" ht="17.649999999999999" x14ac:dyDescent="0.5">
      <c r="D677" s="3" t="s">
        <v>55</v>
      </c>
    </row>
    <row r="678" spans="4:4" ht="17.649999999999999" x14ac:dyDescent="0.5">
      <c r="D678" s="3" t="s">
        <v>85</v>
      </c>
    </row>
    <row r="679" spans="4:4" ht="17.649999999999999" x14ac:dyDescent="0.5">
      <c r="D679" s="3" t="s">
        <v>125</v>
      </c>
    </row>
    <row r="680" spans="4:4" ht="17.649999999999999" x14ac:dyDescent="0.5">
      <c r="D680" s="3" t="s">
        <v>89</v>
      </c>
    </row>
    <row r="681" spans="4:4" ht="17.649999999999999" x14ac:dyDescent="0.5">
      <c r="D681" s="3" t="s">
        <v>67</v>
      </c>
    </row>
    <row r="682" spans="4:4" ht="17.649999999999999" x14ac:dyDescent="0.5">
      <c r="D682" s="3" t="s">
        <v>87</v>
      </c>
    </row>
    <row r="683" spans="4:4" ht="17.649999999999999" x14ac:dyDescent="0.5">
      <c r="D683" s="3" t="s">
        <v>73</v>
      </c>
    </row>
    <row r="684" spans="4:4" ht="17.649999999999999" x14ac:dyDescent="0.5">
      <c r="D684" s="3" t="s">
        <v>87</v>
      </c>
    </row>
    <row r="685" spans="4:4" ht="17.649999999999999" x14ac:dyDescent="0.5">
      <c r="D685" s="3" t="s">
        <v>128</v>
      </c>
    </row>
    <row r="686" spans="4:4" ht="17.649999999999999" x14ac:dyDescent="0.5">
      <c r="D686" s="3" t="s">
        <v>69</v>
      </c>
    </row>
    <row r="687" spans="4:4" ht="17.649999999999999" x14ac:dyDescent="0.5">
      <c r="D687" s="3" t="s">
        <v>46</v>
      </c>
    </row>
    <row r="688" spans="4:4" ht="17.649999999999999" x14ac:dyDescent="0.5">
      <c r="D688" s="3" t="s">
        <v>107</v>
      </c>
    </row>
    <row r="689" spans="4:4" ht="17.649999999999999" x14ac:dyDescent="0.5">
      <c r="D689" s="3" t="s">
        <v>55</v>
      </c>
    </row>
    <row r="690" spans="4:4" ht="17.649999999999999" x14ac:dyDescent="0.5">
      <c r="D690" s="3" t="s">
        <v>66</v>
      </c>
    </row>
    <row r="691" spans="4:4" ht="17.649999999999999" x14ac:dyDescent="0.5">
      <c r="D691" s="3" t="s">
        <v>73</v>
      </c>
    </row>
    <row r="692" spans="4:4" ht="17.649999999999999" x14ac:dyDescent="0.5">
      <c r="D692" s="3" t="s">
        <v>57</v>
      </c>
    </row>
    <row r="693" spans="4:4" ht="17.649999999999999" x14ac:dyDescent="0.5">
      <c r="D693" s="3" t="s">
        <v>128</v>
      </c>
    </row>
    <row r="694" spans="4:4" ht="17.649999999999999" x14ac:dyDescent="0.5">
      <c r="D694" s="3" t="s">
        <v>57</v>
      </c>
    </row>
    <row r="695" spans="4:4" ht="17.649999999999999" x14ac:dyDescent="0.5">
      <c r="D695" s="3" t="s">
        <v>61</v>
      </c>
    </row>
    <row r="696" spans="4:4" ht="17.649999999999999" x14ac:dyDescent="0.5">
      <c r="D696" s="3" t="s">
        <v>78</v>
      </c>
    </row>
    <row r="697" spans="4:4" ht="17.649999999999999" x14ac:dyDescent="0.5">
      <c r="D697" s="3" t="s">
        <v>93</v>
      </c>
    </row>
    <row r="698" spans="4:4" ht="17.649999999999999" x14ac:dyDescent="0.5">
      <c r="D698" s="3" t="s">
        <v>49</v>
      </c>
    </row>
    <row r="699" spans="4:4" ht="17.649999999999999" x14ac:dyDescent="0.5">
      <c r="D699" s="3" t="s">
        <v>66</v>
      </c>
    </row>
    <row r="700" spans="4:4" ht="17.649999999999999" x14ac:dyDescent="0.5">
      <c r="D700" s="3" t="s">
        <v>58</v>
      </c>
    </row>
    <row r="701" spans="4:4" ht="17.649999999999999" x14ac:dyDescent="0.5">
      <c r="D701" s="3" t="s">
        <v>83</v>
      </c>
    </row>
    <row r="702" spans="4:4" ht="17.649999999999999" x14ac:dyDescent="0.5">
      <c r="D702" s="3" t="s">
        <v>123</v>
      </c>
    </row>
    <row r="703" spans="4:4" ht="17.649999999999999" x14ac:dyDescent="0.5">
      <c r="D703" s="3" t="s">
        <v>78</v>
      </c>
    </row>
    <row r="704" spans="4:4" ht="17.649999999999999" x14ac:dyDescent="0.5">
      <c r="D704" s="3" t="s">
        <v>101</v>
      </c>
    </row>
    <row r="705" spans="4:4" ht="17.649999999999999" x14ac:dyDescent="0.5">
      <c r="D705" s="3" t="s">
        <v>127</v>
      </c>
    </row>
    <row r="706" spans="4:4" ht="17.649999999999999" x14ac:dyDescent="0.5">
      <c r="D706" s="3" t="s">
        <v>114</v>
      </c>
    </row>
    <row r="707" spans="4:4" ht="17.649999999999999" x14ac:dyDescent="0.5">
      <c r="D707" s="3" t="s">
        <v>75</v>
      </c>
    </row>
    <row r="708" spans="4:4" ht="17.649999999999999" x14ac:dyDescent="0.5">
      <c r="D708" s="3" t="s">
        <v>68</v>
      </c>
    </row>
    <row r="709" spans="4:4" ht="17.649999999999999" x14ac:dyDescent="0.5">
      <c r="D709" s="3" t="s">
        <v>59</v>
      </c>
    </row>
    <row r="710" spans="4:4" ht="17.649999999999999" x14ac:dyDescent="0.5">
      <c r="D710" s="3" t="s">
        <v>81</v>
      </c>
    </row>
    <row r="711" spans="4:4" ht="17.649999999999999" x14ac:dyDescent="0.5">
      <c r="D711" s="3" t="s">
        <v>91</v>
      </c>
    </row>
    <row r="712" spans="4:4" ht="17.649999999999999" x14ac:dyDescent="0.5">
      <c r="D712" s="3" t="s">
        <v>88</v>
      </c>
    </row>
    <row r="713" spans="4:4" ht="17.649999999999999" x14ac:dyDescent="0.5">
      <c r="D713" s="3" t="s">
        <v>109</v>
      </c>
    </row>
    <row r="714" spans="4:4" ht="17.649999999999999" x14ac:dyDescent="0.5">
      <c r="D714" s="3" t="s">
        <v>56</v>
      </c>
    </row>
    <row r="715" spans="4:4" ht="17.649999999999999" x14ac:dyDescent="0.5">
      <c r="D715" s="3" t="s">
        <v>56</v>
      </c>
    </row>
    <row r="716" spans="4:4" ht="17.649999999999999" x14ac:dyDescent="0.5">
      <c r="D716" s="3" t="s">
        <v>46</v>
      </c>
    </row>
    <row r="717" spans="4:4" ht="17.649999999999999" x14ac:dyDescent="0.5">
      <c r="D717" s="3" t="s">
        <v>58</v>
      </c>
    </row>
    <row r="718" spans="4:4" ht="17.649999999999999" x14ac:dyDescent="0.5">
      <c r="D718" s="3" t="s">
        <v>64</v>
      </c>
    </row>
    <row r="719" spans="4:4" ht="17.649999999999999" x14ac:dyDescent="0.5">
      <c r="D719" s="3" t="s">
        <v>67</v>
      </c>
    </row>
    <row r="720" spans="4:4" ht="17.649999999999999" x14ac:dyDescent="0.5">
      <c r="D720" s="3" t="s">
        <v>83</v>
      </c>
    </row>
    <row r="721" spans="4:4" ht="17.649999999999999" x14ac:dyDescent="0.5">
      <c r="D721" s="3" t="s">
        <v>98</v>
      </c>
    </row>
    <row r="722" spans="4:4" ht="17.649999999999999" x14ac:dyDescent="0.5">
      <c r="D722" s="3" t="s">
        <v>96</v>
      </c>
    </row>
    <row r="723" spans="4:4" ht="17.649999999999999" x14ac:dyDescent="0.5">
      <c r="D723" s="3" t="s">
        <v>94</v>
      </c>
    </row>
    <row r="724" spans="4:4" ht="17.649999999999999" x14ac:dyDescent="0.5">
      <c r="D724" s="3" t="s">
        <v>77</v>
      </c>
    </row>
    <row r="725" spans="4:4" ht="17.649999999999999" x14ac:dyDescent="0.5">
      <c r="D725" s="3" t="s">
        <v>62</v>
      </c>
    </row>
    <row r="726" spans="4:4" ht="17.649999999999999" x14ac:dyDescent="0.5">
      <c r="D726" s="3" t="s">
        <v>69</v>
      </c>
    </row>
    <row r="727" spans="4:4" ht="17.649999999999999" x14ac:dyDescent="0.5">
      <c r="D727" s="3" t="s">
        <v>84</v>
      </c>
    </row>
    <row r="728" spans="4:4" ht="17.649999999999999" x14ac:dyDescent="0.5">
      <c r="D728" s="3" t="s">
        <v>67</v>
      </c>
    </row>
    <row r="729" spans="4:4" ht="17.649999999999999" x14ac:dyDescent="0.5">
      <c r="D729" s="3" t="s">
        <v>108</v>
      </c>
    </row>
    <row r="730" spans="4:4" ht="17.649999999999999" x14ac:dyDescent="0.5">
      <c r="D730" s="3" t="s">
        <v>111</v>
      </c>
    </row>
    <row r="731" spans="4:4" ht="17.649999999999999" x14ac:dyDescent="0.5">
      <c r="D731" s="3" t="s">
        <v>63</v>
      </c>
    </row>
    <row r="732" spans="4:4" ht="17.649999999999999" x14ac:dyDescent="0.5">
      <c r="D732" s="3" t="s">
        <v>45</v>
      </c>
    </row>
    <row r="733" spans="4:4" ht="17.649999999999999" x14ac:dyDescent="0.5">
      <c r="D733" s="3" t="s">
        <v>87</v>
      </c>
    </row>
    <row r="734" spans="4:4" ht="17.649999999999999" x14ac:dyDescent="0.5">
      <c r="D734" s="3" t="s">
        <v>106</v>
      </c>
    </row>
    <row r="735" spans="4:4" ht="17.649999999999999" x14ac:dyDescent="0.5">
      <c r="D735" s="3" t="s">
        <v>83</v>
      </c>
    </row>
    <row r="736" spans="4:4" ht="17.649999999999999" x14ac:dyDescent="0.5">
      <c r="D736" s="3" t="s">
        <v>85</v>
      </c>
    </row>
    <row r="737" spans="4:4" ht="17.649999999999999" x14ac:dyDescent="0.5">
      <c r="D737" s="3" t="s">
        <v>44</v>
      </c>
    </row>
    <row r="738" spans="4:4" ht="17.649999999999999" x14ac:dyDescent="0.5">
      <c r="D738" s="3" t="s">
        <v>66</v>
      </c>
    </row>
    <row r="739" spans="4:4" ht="17.649999999999999" x14ac:dyDescent="0.5">
      <c r="D739" s="3" t="s">
        <v>73</v>
      </c>
    </row>
    <row r="740" spans="4:4" ht="17.649999999999999" x14ac:dyDescent="0.5">
      <c r="D740" s="3" t="s">
        <v>91</v>
      </c>
    </row>
    <row r="741" spans="4:4" ht="17.649999999999999" x14ac:dyDescent="0.5">
      <c r="D741" s="3" t="s">
        <v>48</v>
      </c>
    </row>
    <row r="742" spans="4:4" ht="17.649999999999999" x14ac:dyDescent="0.5">
      <c r="D742" s="3" t="s">
        <v>92</v>
      </c>
    </row>
    <row r="743" spans="4:4" ht="17.649999999999999" x14ac:dyDescent="0.5">
      <c r="D743" s="3" t="s">
        <v>50</v>
      </c>
    </row>
    <row r="744" spans="4:4" ht="17.649999999999999" x14ac:dyDescent="0.5">
      <c r="D744" s="3" t="s">
        <v>107</v>
      </c>
    </row>
    <row r="745" spans="4:4" ht="17.649999999999999" x14ac:dyDescent="0.5">
      <c r="D745" s="3" t="s">
        <v>118</v>
      </c>
    </row>
    <row r="746" spans="4:4" ht="17.649999999999999" x14ac:dyDescent="0.5">
      <c r="D746" s="3" t="s">
        <v>50</v>
      </c>
    </row>
    <row r="747" spans="4:4" ht="17.649999999999999" x14ac:dyDescent="0.5">
      <c r="D747" s="3" t="s">
        <v>47</v>
      </c>
    </row>
    <row r="748" spans="4:4" ht="17.649999999999999" x14ac:dyDescent="0.5">
      <c r="D748" s="3" t="s">
        <v>105</v>
      </c>
    </row>
    <row r="749" spans="4:4" ht="17.649999999999999" x14ac:dyDescent="0.5">
      <c r="D749" s="3" t="s">
        <v>55</v>
      </c>
    </row>
    <row r="750" spans="4:4" ht="17.649999999999999" x14ac:dyDescent="0.5">
      <c r="D750" s="3" t="s">
        <v>78</v>
      </c>
    </row>
    <row r="751" spans="4:4" ht="17.649999999999999" x14ac:dyDescent="0.5">
      <c r="D751" s="3" t="s">
        <v>133</v>
      </c>
    </row>
    <row r="752" spans="4:4" ht="17.649999999999999" x14ac:dyDescent="0.5">
      <c r="D752" s="3" t="s">
        <v>125</v>
      </c>
    </row>
    <row r="753" spans="4:4" ht="17.649999999999999" x14ac:dyDescent="0.5">
      <c r="D753" s="3" t="s">
        <v>86</v>
      </c>
    </row>
    <row r="754" spans="4:4" ht="17.649999999999999" x14ac:dyDescent="0.5">
      <c r="D754" s="3" t="s">
        <v>41</v>
      </c>
    </row>
    <row r="755" spans="4:4" ht="17.649999999999999" x14ac:dyDescent="0.5">
      <c r="D755" s="3" t="s">
        <v>84</v>
      </c>
    </row>
    <row r="756" spans="4:4" ht="17.649999999999999" x14ac:dyDescent="0.5">
      <c r="D756" s="3" t="s">
        <v>112</v>
      </c>
    </row>
    <row r="757" spans="4:4" ht="17.649999999999999" x14ac:dyDescent="0.5">
      <c r="D757" s="3" t="s">
        <v>50</v>
      </c>
    </row>
    <row r="758" spans="4:4" ht="17.649999999999999" x14ac:dyDescent="0.5">
      <c r="D758" s="3" t="s">
        <v>56</v>
      </c>
    </row>
    <row r="759" spans="4:4" ht="17.649999999999999" x14ac:dyDescent="0.5">
      <c r="D759" s="3" t="s">
        <v>42</v>
      </c>
    </row>
    <row r="760" spans="4:4" ht="17.649999999999999" x14ac:dyDescent="0.5">
      <c r="D760" s="3" t="s">
        <v>65</v>
      </c>
    </row>
    <row r="761" spans="4:4" ht="17.649999999999999" x14ac:dyDescent="0.5">
      <c r="D761" s="3" t="s">
        <v>66</v>
      </c>
    </row>
    <row r="762" spans="4:4" ht="17.649999999999999" x14ac:dyDescent="0.5">
      <c r="D762" s="3" t="s">
        <v>54</v>
      </c>
    </row>
    <row r="763" spans="4:4" ht="17.649999999999999" x14ac:dyDescent="0.5">
      <c r="D763" s="3" t="s">
        <v>90</v>
      </c>
    </row>
    <row r="764" spans="4:4" ht="17.649999999999999" x14ac:dyDescent="0.5">
      <c r="D764" s="3" t="s">
        <v>101</v>
      </c>
    </row>
    <row r="765" spans="4:4" ht="17.649999999999999" x14ac:dyDescent="0.5">
      <c r="D765" s="3" t="s">
        <v>80</v>
      </c>
    </row>
    <row r="766" spans="4:4" ht="17.649999999999999" x14ac:dyDescent="0.5">
      <c r="D766" s="3" t="s">
        <v>92</v>
      </c>
    </row>
    <row r="767" spans="4:4" ht="17.649999999999999" x14ac:dyDescent="0.5">
      <c r="D767" s="3" t="s">
        <v>59</v>
      </c>
    </row>
    <row r="768" spans="4:4" ht="17.649999999999999" x14ac:dyDescent="0.5">
      <c r="D768" s="3" t="s">
        <v>63</v>
      </c>
    </row>
    <row r="769" spans="4:4" ht="17.649999999999999" x14ac:dyDescent="0.5">
      <c r="D769" s="3" t="s">
        <v>120</v>
      </c>
    </row>
    <row r="770" spans="4:4" ht="17.649999999999999" x14ac:dyDescent="0.5">
      <c r="D770" s="3" t="s">
        <v>105</v>
      </c>
    </row>
    <row r="771" spans="4:4" ht="17.649999999999999" x14ac:dyDescent="0.5">
      <c r="D771" s="3" t="s">
        <v>46</v>
      </c>
    </row>
    <row r="772" spans="4:4" ht="17.649999999999999" x14ac:dyDescent="0.5">
      <c r="D772" s="3" t="s">
        <v>81</v>
      </c>
    </row>
    <row r="773" spans="4:4" ht="17.649999999999999" x14ac:dyDescent="0.5">
      <c r="D773" s="3" t="s">
        <v>54</v>
      </c>
    </row>
    <row r="774" spans="4:4" ht="17.649999999999999" x14ac:dyDescent="0.5">
      <c r="D774" s="3" t="s">
        <v>116</v>
      </c>
    </row>
    <row r="775" spans="4:4" ht="17.649999999999999" x14ac:dyDescent="0.5">
      <c r="D775" s="3" t="s">
        <v>92</v>
      </c>
    </row>
    <row r="776" spans="4:4" ht="17.649999999999999" x14ac:dyDescent="0.5">
      <c r="D776" s="3" t="s">
        <v>83</v>
      </c>
    </row>
    <row r="777" spans="4:4" ht="17.649999999999999" x14ac:dyDescent="0.5">
      <c r="D777" s="3" t="s">
        <v>117</v>
      </c>
    </row>
    <row r="778" spans="4:4" ht="17.649999999999999" x14ac:dyDescent="0.5">
      <c r="D778" s="3" t="s">
        <v>91</v>
      </c>
    </row>
    <row r="779" spans="4:4" ht="17.649999999999999" x14ac:dyDescent="0.5">
      <c r="D779" s="3" t="s">
        <v>77</v>
      </c>
    </row>
    <row r="780" spans="4:4" ht="17.649999999999999" x14ac:dyDescent="0.5">
      <c r="D780" s="3" t="s">
        <v>46</v>
      </c>
    </row>
    <row r="781" spans="4:4" ht="17.649999999999999" x14ac:dyDescent="0.5">
      <c r="D781" s="3" t="s">
        <v>123</v>
      </c>
    </row>
    <row r="782" spans="4:4" ht="17.649999999999999" x14ac:dyDescent="0.5">
      <c r="D782" s="3" t="s">
        <v>90</v>
      </c>
    </row>
    <row r="783" spans="4:4" ht="17.649999999999999" x14ac:dyDescent="0.5">
      <c r="D783" s="3" t="s">
        <v>49</v>
      </c>
    </row>
    <row r="784" spans="4:4" ht="17.649999999999999" x14ac:dyDescent="0.5">
      <c r="D784" s="3" t="s">
        <v>101</v>
      </c>
    </row>
    <row r="785" spans="4:4" ht="17.649999999999999" x14ac:dyDescent="0.5">
      <c r="D785" s="3" t="s">
        <v>54</v>
      </c>
    </row>
    <row r="786" spans="4:4" ht="17.649999999999999" x14ac:dyDescent="0.5">
      <c r="D786" s="3" t="s">
        <v>136</v>
      </c>
    </row>
    <row r="787" spans="4:4" ht="17.649999999999999" x14ac:dyDescent="0.5">
      <c r="D787" s="3" t="s">
        <v>107</v>
      </c>
    </row>
    <row r="788" spans="4:4" ht="17.649999999999999" x14ac:dyDescent="0.5">
      <c r="D788" s="3" t="s">
        <v>69</v>
      </c>
    </row>
    <row r="789" spans="4:4" ht="17.649999999999999" x14ac:dyDescent="0.5">
      <c r="D789" s="3" t="s">
        <v>109</v>
      </c>
    </row>
    <row r="790" spans="4:4" ht="17.649999999999999" x14ac:dyDescent="0.5">
      <c r="D790" s="3" t="s">
        <v>94</v>
      </c>
    </row>
    <row r="791" spans="4:4" ht="17.649999999999999" x14ac:dyDescent="0.5">
      <c r="D791" s="3" t="s">
        <v>78</v>
      </c>
    </row>
    <row r="792" spans="4:4" ht="17.649999999999999" x14ac:dyDescent="0.5">
      <c r="D792" s="3" t="s">
        <v>48</v>
      </c>
    </row>
    <row r="793" spans="4:4" ht="17.649999999999999" x14ac:dyDescent="0.5">
      <c r="D793" s="3" t="s">
        <v>64</v>
      </c>
    </row>
    <row r="794" spans="4:4" ht="17.649999999999999" x14ac:dyDescent="0.5">
      <c r="D794" s="3" t="s">
        <v>47</v>
      </c>
    </row>
    <row r="795" spans="4:4" ht="17.649999999999999" x14ac:dyDescent="0.5">
      <c r="D795" s="3" t="s">
        <v>135</v>
      </c>
    </row>
    <row r="796" spans="4:4" ht="17.649999999999999" x14ac:dyDescent="0.5">
      <c r="D796" s="3" t="s">
        <v>44</v>
      </c>
    </row>
    <row r="797" spans="4:4" ht="17.649999999999999" x14ac:dyDescent="0.5">
      <c r="D797" s="3" t="s">
        <v>61</v>
      </c>
    </row>
    <row r="798" spans="4:4" ht="17.649999999999999" x14ac:dyDescent="0.5">
      <c r="D798" s="3" t="s">
        <v>136</v>
      </c>
    </row>
    <row r="799" spans="4:4" ht="17.649999999999999" x14ac:dyDescent="0.5">
      <c r="D799" s="3" t="s">
        <v>92</v>
      </c>
    </row>
    <row r="800" spans="4:4" ht="17.649999999999999" x14ac:dyDescent="0.5">
      <c r="D800" s="3" t="s">
        <v>75</v>
      </c>
    </row>
    <row r="801" spans="4:4" ht="17.649999999999999" x14ac:dyDescent="0.5">
      <c r="D801" s="3" t="s">
        <v>83</v>
      </c>
    </row>
    <row r="802" spans="4:4" ht="17.649999999999999" x14ac:dyDescent="0.5">
      <c r="D802" s="3" t="s">
        <v>107</v>
      </c>
    </row>
    <row r="803" spans="4:4" ht="17.649999999999999" x14ac:dyDescent="0.5">
      <c r="D803" s="3" t="s">
        <v>120</v>
      </c>
    </row>
    <row r="804" spans="4:4" ht="17.649999999999999" x14ac:dyDescent="0.5">
      <c r="D804" s="3" t="s">
        <v>130</v>
      </c>
    </row>
    <row r="805" spans="4:4" ht="17.649999999999999" x14ac:dyDescent="0.5">
      <c r="D805" s="3" t="s">
        <v>89</v>
      </c>
    </row>
    <row r="806" spans="4:4" ht="17.649999999999999" x14ac:dyDescent="0.5">
      <c r="D806" s="3" t="s">
        <v>55</v>
      </c>
    </row>
    <row r="807" spans="4:4" ht="17.649999999999999" x14ac:dyDescent="0.5">
      <c r="D807" s="3" t="s">
        <v>118</v>
      </c>
    </row>
    <row r="808" spans="4:4" ht="17.649999999999999" x14ac:dyDescent="0.5">
      <c r="D808" s="3" t="s">
        <v>57</v>
      </c>
    </row>
    <row r="809" spans="4:4" ht="17.649999999999999" x14ac:dyDescent="0.5">
      <c r="D809" s="3" t="s">
        <v>104</v>
      </c>
    </row>
    <row r="810" spans="4:4" ht="17.649999999999999" x14ac:dyDescent="0.5">
      <c r="D810" s="3" t="s">
        <v>96</v>
      </c>
    </row>
    <row r="811" spans="4:4" ht="17.649999999999999" x14ac:dyDescent="0.5">
      <c r="D811" s="3" t="s">
        <v>87</v>
      </c>
    </row>
    <row r="812" spans="4:4" ht="17.649999999999999" x14ac:dyDescent="0.5">
      <c r="D812" s="3" t="s">
        <v>101</v>
      </c>
    </row>
    <row r="813" spans="4:4" ht="17.649999999999999" x14ac:dyDescent="0.5">
      <c r="D813" s="3" t="s">
        <v>97</v>
      </c>
    </row>
    <row r="814" spans="4:4" ht="17.649999999999999" x14ac:dyDescent="0.5">
      <c r="D814" s="3" t="s">
        <v>116</v>
      </c>
    </row>
    <row r="815" spans="4:4" ht="17.649999999999999" x14ac:dyDescent="0.5">
      <c r="D815" s="3" t="s">
        <v>62</v>
      </c>
    </row>
    <row r="816" spans="4:4" ht="17.649999999999999" x14ac:dyDescent="0.5">
      <c r="D816" s="3" t="s">
        <v>55</v>
      </c>
    </row>
    <row r="817" spans="4:4" ht="17.649999999999999" x14ac:dyDescent="0.5">
      <c r="D817" s="3" t="s">
        <v>93</v>
      </c>
    </row>
    <row r="818" spans="4:4" ht="17.649999999999999" x14ac:dyDescent="0.5">
      <c r="D818" s="3" t="s">
        <v>53</v>
      </c>
    </row>
    <row r="819" spans="4:4" ht="17.649999999999999" x14ac:dyDescent="0.5">
      <c r="D819" s="3" t="s">
        <v>50</v>
      </c>
    </row>
    <row r="820" spans="4:4" ht="17.649999999999999" x14ac:dyDescent="0.5">
      <c r="D820" s="3" t="s">
        <v>129</v>
      </c>
    </row>
    <row r="821" spans="4:4" ht="17.649999999999999" x14ac:dyDescent="0.5">
      <c r="D821" s="3" t="s">
        <v>54</v>
      </c>
    </row>
    <row r="822" spans="4:4" ht="17.649999999999999" x14ac:dyDescent="0.5">
      <c r="D822" s="3" t="s">
        <v>65</v>
      </c>
    </row>
    <row r="823" spans="4:4" ht="17.649999999999999" x14ac:dyDescent="0.5">
      <c r="D823" s="3" t="s">
        <v>57</v>
      </c>
    </row>
    <row r="824" spans="4:4" ht="17.649999999999999" x14ac:dyDescent="0.5">
      <c r="D824" s="3" t="s">
        <v>61</v>
      </c>
    </row>
    <row r="825" spans="4:4" ht="17.649999999999999" x14ac:dyDescent="0.5">
      <c r="D825" s="3" t="s">
        <v>65</v>
      </c>
    </row>
    <row r="826" spans="4:4" ht="17.649999999999999" x14ac:dyDescent="0.5">
      <c r="D826" s="3" t="s">
        <v>93</v>
      </c>
    </row>
    <row r="827" spans="4:4" ht="17.649999999999999" x14ac:dyDescent="0.5">
      <c r="D827" s="3" t="s">
        <v>56</v>
      </c>
    </row>
    <row r="828" spans="4:4" ht="17.649999999999999" x14ac:dyDescent="0.5">
      <c r="D828" s="3" t="s">
        <v>121</v>
      </c>
    </row>
    <row r="829" spans="4:4" ht="17.649999999999999" x14ac:dyDescent="0.5">
      <c r="D829" s="3" t="s">
        <v>80</v>
      </c>
    </row>
    <row r="830" spans="4:4" ht="17.649999999999999" x14ac:dyDescent="0.5">
      <c r="D830" s="3" t="s">
        <v>91</v>
      </c>
    </row>
    <row r="831" spans="4:4" ht="17.649999999999999" x14ac:dyDescent="0.5">
      <c r="D831" s="3" t="s">
        <v>77</v>
      </c>
    </row>
    <row r="832" spans="4:4" ht="17.649999999999999" x14ac:dyDescent="0.5">
      <c r="D832" s="3" t="s">
        <v>101</v>
      </c>
    </row>
    <row r="833" spans="4:4" ht="17.649999999999999" x14ac:dyDescent="0.5">
      <c r="D833" s="3" t="s">
        <v>110</v>
      </c>
    </row>
    <row r="834" spans="4:4" ht="17.649999999999999" x14ac:dyDescent="0.5">
      <c r="D834" s="3" t="s">
        <v>91</v>
      </c>
    </row>
    <row r="835" spans="4:4" ht="17.649999999999999" x14ac:dyDescent="0.5">
      <c r="D835" s="3" t="s">
        <v>55</v>
      </c>
    </row>
    <row r="836" spans="4:4" ht="17.649999999999999" x14ac:dyDescent="0.5">
      <c r="D836" s="3" t="s">
        <v>81</v>
      </c>
    </row>
    <row r="837" spans="4:4" ht="17.649999999999999" x14ac:dyDescent="0.5">
      <c r="D837" s="3" t="s">
        <v>117</v>
      </c>
    </row>
    <row r="838" spans="4:4" ht="17.649999999999999" x14ac:dyDescent="0.5">
      <c r="D838" s="3" t="s">
        <v>85</v>
      </c>
    </row>
    <row r="839" spans="4:4" ht="17.649999999999999" x14ac:dyDescent="0.5">
      <c r="D839" s="3" t="s">
        <v>96</v>
      </c>
    </row>
    <row r="840" spans="4:4" ht="17.649999999999999" x14ac:dyDescent="0.5">
      <c r="D840" s="3" t="s">
        <v>61</v>
      </c>
    </row>
    <row r="841" spans="4:4" ht="17.649999999999999" x14ac:dyDescent="0.5">
      <c r="D841" s="3" t="s">
        <v>77</v>
      </c>
    </row>
    <row r="842" spans="4:4" ht="17.649999999999999" x14ac:dyDescent="0.5">
      <c r="D842" s="3" t="s">
        <v>105</v>
      </c>
    </row>
    <row r="843" spans="4:4" ht="17.649999999999999" x14ac:dyDescent="0.5">
      <c r="D843" s="3" t="s">
        <v>46</v>
      </c>
    </row>
    <row r="844" spans="4:4" ht="17.649999999999999" x14ac:dyDescent="0.5">
      <c r="D844" s="3" t="s">
        <v>67</v>
      </c>
    </row>
    <row r="845" spans="4:4" ht="17.649999999999999" x14ac:dyDescent="0.5">
      <c r="D845" s="3" t="s">
        <v>87</v>
      </c>
    </row>
    <row r="846" spans="4:4" ht="17.649999999999999" x14ac:dyDescent="0.5">
      <c r="D846" s="3" t="s">
        <v>48</v>
      </c>
    </row>
    <row r="847" spans="4:4" ht="17.649999999999999" x14ac:dyDescent="0.5">
      <c r="D847" s="3" t="s">
        <v>52</v>
      </c>
    </row>
    <row r="848" spans="4:4" ht="17.649999999999999" x14ac:dyDescent="0.5">
      <c r="D848" s="3" t="s">
        <v>74</v>
      </c>
    </row>
    <row r="849" spans="4:4" ht="17.649999999999999" x14ac:dyDescent="0.5">
      <c r="D849" s="3" t="s">
        <v>101</v>
      </c>
    </row>
    <row r="850" spans="4:4" ht="17.649999999999999" x14ac:dyDescent="0.5">
      <c r="D850" s="3" t="s">
        <v>48</v>
      </c>
    </row>
    <row r="851" spans="4:4" ht="17.649999999999999" x14ac:dyDescent="0.5">
      <c r="D851" s="3" t="s">
        <v>105</v>
      </c>
    </row>
    <row r="852" spans="4:4" ht="17.649999999999999" x14ac:dyDescent="0.5">
      <c r="D852" s="3" t="s">
        <v>119</v>
      </c>
    </row>
    <row r="853" spans="4:4" ht="17.649999999999999" x14ac:dyDescent="0.5">
      <c r="D853" s="3" t="s">
        <v>114</v>
      </c>
    </row>
    <row r="854" spans="4:4" ht="17.649999999999999" x14ac:dyDescent="0.5">
      <c r="D854" s="3" t="s">
        <v>91</v>
      </c>
    </row>
    <row r="855" spans="4:4" ht="17.649999999999999" x14ac:dyDescent="0.5">
      <c r="D855" s="3" t="s">
        <v>110</v>
      </c>
    </row>
    <row r="856" spans="4:4" ht="17.649999999999999" x14ac:dyDescent="0.5">
      <c r="D856" s="3" t="s">
        <v>85</v>
      </c>
    </row>
    <row r="857" spans="4:4" ht="17.649999999999999" x14ac:dyDescent="0.5">
      <c r="D857" s="3" t="s">
        <v>60</v>
      </c>
    </row>
    <row r="858" spans="4:4" ht="17.649999999999999" x14ac:dyDescent="0.5">
      <c r="D858" s="3" t="s">
        <v>83</v>
      </c>
    </row>
    <row r="859" spans="4:4" ht="17.649999999999999" x14ac:dyDescent="0.5">
      <c r="D859" s="3" t="s">
        <v>103</v>
      </c>
    </row>
    <row r="860" spans="4:4" ht="17.649999999999999" x14ac:dyDescent="0.5">
      <c r="D860" s="3" t="s">
        <v>98</v>
      </c>
    </row>
    <row r="861" spans="4:4" ht="17.649999999999999" x14ac:dyDescent="0.5">
      <c r="D861" s="3" t="s">
        <v>50</v>
      </c>
    </row>
    <row r="862" spans="4:4" ht="17.649999999999999" x14ac:dyDescent="0.5">
      <c r="D862" s="3" t="s">
        <v>44</v>
      </c>
    </row>
    <row r="863" spans="4:4" ht="17.649999999999999" x14ac:dyDescent="0.5">
      <c r="D863" s="3" t="s">
        <v>79</v>
      </c>
    </row>
    <row r="864" spans="4:4" ht="17.649999999999999" x14ac:dyDescent="0.5">
      <c r="D864" s="3" t="s">
        <v>48</v>
      </c>
    </row>
    <row r="865" spans="4:4" ht="17.649999999999999" x14ac:dyDescent="0.5">
      <c r="D865" s="3" t="s">
        <v>56</v>
      </c>
    </row>
    <row r="866" spans="4:4" ht="17.649999999999999" x14ac:dyDescent="0.5">
      <c r="D866" s="3" t="s">
        <v>75</v>
      </c>
    </row>
    <row r="867" spans="4:4" ht="17.649999999999999" x14ac:dyDescent="0.5">
      <c r="D867" s="3" t="s">
        <v>94</v>
      </c>
    </row>
    <row r="868" spans="4:4" ht="17.649999999999999" x14ac:dyDescent="0.5">
      <c r="D868" s="3" t="s">
        <v>103</v>
      </c>
    </row>
    <row r="869" spans="4:4" ht="17.649999999999999" x14ac:dyDescent="0.5">
      <c r="D869" s="3" t="s">
        <v>58</v>
      </c>
    </row>
    <row r="870" spans="4:4" ht="17.649999999999999" x14ac:dyDescent="0.5">
      <c r="D870" s="3" t="s">
        <v>75</v>
      </c>
    </row>
    <row r="871" spans="4:4" ht="17.649999999999999" x14ac:dyDescent="0.5">
      <c r="D871" s="3" t="s">
        <v>77</v>
      </c>
    </row>
    <row r="872" spans="4:4" ht="17.649999999999999" x14ac:dyDescent="0.5">
      <c r="D872" s="3" t="s">
        <v>128</v>
      </c>
    </row>
    <row r="873" spans="4:4" ht="17.649999999999999" x14ac:dyDescent="0.5">
      <c r="D873" s="3" t="s">
        <v>72</v>
      </c>
    </row>
    <row r="874" spans="4:4" ht="17.649999999999999" x14ac:dyDescent="0.5">
      <c r="D874" s="3" t="s">
        <v>59</v>
      </c>
    </row>
    <row r="875" spans="4:4" ht="17.649999999999999" x14ac:dyDescent="0.5">
      <c r="D875" s="3" t="s">
        <v>87</v>
      </c>
    </row>
    <row r="876" spans="4:4" ht="17.649999999999999" x14ac:dyDescent="0.5">
      <c r="D876" s="3" t="s">
        <v>65</v>
      </c>
    </row>
    <row r="877" spans="4:4" ht="17.649999999999999" x14ac:dyDescent="0.5">
      <c r="D877" s="3" t="s">
        <v>55</v>
      </c>
    </row>
    <row r="878" spans="4:4" ht="17.649999999999999" x14ac:dyDescent="0.5">
      <c r="D878" s="3" t="s">
        <v>77</v>
      </c>
    </row>
    <row r="879" spans="4:4" ht="17.649999999999999" x14ac:dyDescent="0.5">
      <c r="D879" s="3" t="s">
        <v>103</v>
      </c>
    </row>
    <row r="880" spans="4:4" ht="17.649999999999999" x14ac:dyDescent="0.5">
      <c r="D880" s="3" t="s">
        <v>104</v>
      </c>
    </row>
    <row r="881" spans="4:4" ht="17.649999999999999" x14ac:dyDescent="0.5">
      <c r="D881" s="3" t="s">
        <v>112</v>
      </c>
    </row>
    <row r="882" spans="4:4" ht="17.649999999999999" x14ac:dyDescent="0.5">
      <c r="D882" s="3" t="s">
        <v>75</v>
      </c>
    </row>
    <row r="883" spans="4:4" ht="17.649999999999999" x14ac:dyDescent="0.5">
      <c r="D883" s="3" t="s">
        <v>51</v>
      </c>
    </row>
    <row r="884" spans="4:4" ht="17.649999999999999" x14ac:dyDescent="0.5">
      <c r="D884" s="3" t="s">
        <v>61</v>
      </c>
    </row>
    <row r="885" spans="4:4" ht="17.649999999999999" x14ac:dyDescent="0.5">
      <c r="D885" s="3" t="s">
        <v>56</v>
      </c>
    </row>
    <row r="886" spans="4:4" ht="17.649999999999999" x14ac:dyDescent="0.5">
      <c r="D886" s="3" t="s">
        <v>66</v>
      </c>
    </row>
    <row r="887" spans="4:4" ht="17.649999999999999" x14ac:dyDescent="0.5">
      <c r="D887" s="3" t="s">
        <v>74</v>
      </c>
    </row>
    <row r="888" spans="4:4" ht="17.649999999999999" x14ac:dyDescent="0.5">
      <c r="D888" s="3" t="s">
        <v>53</v>
      </c>
    </row>
    <row r="889" spans="4:4" ht="17.649999999999999" x14ac:dyDescent="0.5">
      <c r="D889" s="3" t="s">
        <v>53</v>
      </c>
    </row>
    <row r="890" spans="4:4" ht="17.649999999999999" x14ac:dyDescent="0.5">
      <c r="D890" s="3" t="s">
        <v>120</v>
      </c>
    </row>
    <row r="891" spans="4:4" ht="17.649999999999999" x14ac:dyDescent="0.5">
      <c r="D891" s="3" t="s">
        <v>112</v>
      </c>
    </row>
    <row r="892" spans="4:4" ht="17.649999999999999" x14ac:dyDescent="0.5">
      <c r="D892" s="3" t="s">
        <v>130</v>
      </c>
    </row>
    <row r="893" spans="4:4" ht="17.649999999999999" x14ac:dyDescent="0.5">
      <c r="D893" s="3" t="s">
        <v>64</v>
      </c>
    </row>
    <row r="894" spans="4:4" ht="17.649999999999999" x14ac:dyDescent="0.5">
      <c r="D894" s="3" t="s">
        <v>79</v>
      </c>
    </row>
    <row r="895" spans="4:4" ht="17.649999999999999" x14ac:dyDescent="0.5">
      <c r="D895" s="3" t="s">
        <v>83</v>
      </c>
    </row>
    <row r="896" spans="4:4" ht="17.649999999999999" x14ac:dyDescent="0.5">
      <c r="D896" s="3" t="s">
        <v>69</v>
      </c>
    </row>
    <row r="897" spans="4:4" ht="17.649999999999999" x14ac:dyDescent="0.5">
      <c r="D897" s="3" t="s">
        <v>107</v>
      </c>
    </row>
    <row r="898" spans="4:4" ht="17.649999999999999" x14ac:dyDescent="0.5">
      <c r="D898" s="3" t="s">
        <v>63</v>
      </c>
    </row>
    <row r="899" spans="4:4" ht="17.649999999999999" x14ac:dyDescent="0.5">
      <c r="D899" s="3" t="s">
        <v>72</v>
      </c>
    </row>
    <row r="900" spans="4:4" ht="17.649999999999999" x14ac:dyDescent="0.5">
      <c r="D900" s="3" t="s">
        <v>59</v>
      </c>
    </row>
    <row r="901" spans="4:4" ht="17.649999999999999" x14ac:dyDescent="0.5">
      <c r="D901" s="3" t="s">
        <v>78</v>
      </c>
    </row>
    <row r="902" spans="4:4" ht="17.649999999999999" x14ac:dyDescent="0.5">
      <c r="D902" s="3" t="s">
        <v>48</v>
      </c>
    </row>
    <row r="903" spans="4:4" ht="17.649999999999999" x14ac:dyDescent="0.5">
      <c r="D903" s="3" t="s">
        <v>98</v>
      </c>
    </row>
    <row r="904" spans="4:4" ht="17.649999999999999" x14ac:dyDescent="0.5">
      <c r="D904" s="3" t="s">
        <v>68</v>
      </c>
    </row>
    <row r="905" spans="4:4" ht="17.649999999999999" x14ac:dyDescent="0.5">
      <c r="D905" s="3" t="s">
        <v>57</v>
      </c>
    </row>
    <row r="906" spans="4:4" ht="17.649999999999999" x14ac:dyDescent="0.5">
      <c r="D906" s="3" t="s">
        <v>75</v>
      </c>
    </row>
    <row r="907" spans="4:4" ht="17.649999999999999" x14ac:dyDescent="0.5">
      <c r="D907" s="3" t="s">
        <v>65</v>
      </c>
    </row>
    <row r="908" spans="4:4" ht="17.649999999999999" x14ac:dyDescent="0.5">
      <c r="D908" s="3" t="s">
        <v>44</v>
      </c>
    </row>
    <row r="909" spans="4:4" ht="17.649999999999999" x14ac:dyDescent="0.5">
      <c r="D909" s="3" t="s">
        <v>66</v>
      </c>
    </row>
    <row r="910" spans="4:4" ht="17.649999999999999" x14ac:dyDescent="0.5">
      <c r="D910" s="3" t="s">
        <v>107</v>
      </c>
    </row>
    <row r="911" spans="4:4" ht="17.649999999999999" x14ac:dyDescent="0.5">
      <c r="D911" s="3" t="s">
        <v>43</v>
      </c>
    </row>
    <row r="912" spans="4:4" ht="17.649999999999999" x14ac:dyDescent="0.5">
      <c r="D912" s="3" t="s">
        <v>101</v>
      </c>
    </row>
    <row r="913" spans="4:4" ht="17.649999999999999" x14ac:dyDescent="0.5">
      <c r="D913" s="3" t="s">
        <v>114</v>
      </c>
    </row>
    <row r="914" spans="4:4" ht="17.649999999999999" x14ac:dyDescent="0.5">
      <c r="D914" s="3" t="s">
        <v>49</v>
      </c>
    </row>
    <row r="915" spans="4:4" ht="17.649999999999999" x14ac:dyDescent="0.5">
      <c r="D915" s="3" t="s">
        <v>78</v>
      </c>
    </row>
    <row r="916" spans="4:4" ht="17.649999999999999" x14ac:dyDescent="0.5">
      <c r="D916" s="3" t="s">
        <v>44</v>
      </c>
    </row>
    <row r="917" spans="4:4" ht="17.649999999999999" x14ac:dyDescent="0.5">
      <c r="D917" s="3" t="s">
        <v>75</v>
      </c>
    </row>
    <row r="918" spans="4:4" ht="17.649999999999999" x14ac:dyDescent="0.5">
      <c r="D918" s="3" t="s">
        <v>43</v>
      </c>
    </row>
    <row r="919" spans="4:4" ht="17.649999999999999" x14ac:dyDescent="0.5">
      <c r="D919" s="3" t="s">
        <v>59</v>
      </c>
    </row>
    <row r="920" spans="4:4" ht="17.649999999999999" x14ac:dyDescent="0.5">
      <c r="D920" s="3" t="s">
        <v>53</v>
      </c>
    </row>
    <row r="921" spans="4:4" ht="17.649999999999999" x14ac:dyDescent="0.5">
      <c r="D921" s="3" t="s">
        <v>101</v>
      </c>
    </row>
    <row r="922" spans="4:4" ht="17.649999999999999" x14ac:dyDescent="0.5">
      <c r="D922" s="3" t="s">
        <v>69</v>
      </c>
    </row>
    <row r="923" spans="4:4" ht="17.649999999999999" x14ac:dyDescent="0.5">
      <c r="D923" s="3" t="s">
        <v>53</v>
      </c>
    </row>
    <row r="924" spans="4:4" ht="17.649999999999999" x14ac:dyDescent="0.5">
      <c r="D924" s="3" t="s">
        <v>84</v>
      </c>
    </row>
    <row r="925" spans="4:4" ht="17.649999999999999" x14ac:dyDescent="0.5">
      <c r="D925" s="3" t="s">
        <v>96</v>
      </c>
    </row>
    <row r="926" spans="4:4" ht="17.649999999999999" x14ac:dyDescent="0.5">
      <c r="D926" s="3" t="s">
        <v>74</v>
      </c>
    </row>
    <row r="927" spans="4:4" ht="17.649999999999999" x14ac:dyDescent="0.5">
      <c r="D927" s="3" t="s">
        <v>44</v>
      </c>
    </row>
    <row r="928" spans="4:4" ht="17.649999999999999" x14ac:dyDescent="0.5">
      <c r="D928" s="3" t="s">
        <v>103</v>
      </c>
    </row>
    <row r="929" spans="4:4" ht="17.649999999999999" x14ac:dyDescent="0.5">
      <c r="D929" s="3" t="s">
        <v>132</v>
      </c>
    </row>
    <row r="930" spans="4:4" ht="17.649999999999999" x14ac:dyDescent="0.5">
      <c r="D930" s="3" t="s">
        <v>69</v>
      </c>
    </row>
    <row r="931" spans="4:4" ht="17.649999999999999" x14ac:dyDescent="0.5">
      <c r="D931" s="3" t="s">
        <v>122</v>
      </c>
    </row>
    <row r="932" spans="4:4" ht="17.649999999999999" x14ac:dyDescent="0.5">
      <c r="D932" s="3" t="s">
        <v>105</v>
      </c>
    </row>
    <row r="933" spans="4:4" ht="17.649999999999999" x14ac:dyDescent="0.5">
      <c r="D933" s="3" t="s">
        <v>135</v>
      </c>
    </row>
    <row r="934" spans="4:4" ht="17.649999999999999" x14ac:dyDescent="0.5">
      <c r="D934" s="3" t="s">
        <v>66</v>
      </c>
    </row>
    <row r="935" spans="4:4" ht="17.649999999999999" x14ac:dyDescent="0.5">
      <c r="D935" s="3" t="s">
        <v>83</v>
      </c>
    </row>
    <row r="936" spans="4:4" ht="17.649999999999999" x14ac:dyDescent="0.5">
      <c r="D936" s="3" t="s">
        <v>84</v>
      </c>
    </row>
    <row r="937" spans="4:4" ht="17.649999999999999" x14ac:dyDescent="0.5">
      <c r="D937" s="3" t="s">
        <v>78</v>
      </c>
    </row>
    <row r="938" spans="4:4" ht="17.649999999999999" x14ac:dyDescent="0.5">
      <c r="D938" s="3" t="s">
        <v>41</v>
      </c>
    </row>
    <row r="939" spans="4:4" ht="17.649999999999999" x14ac:dyDescent="0.5">
      <c r="D939" s="3" t="s">
        <v>115</v>
      </c>
    </row>
    <row r="940" spans="4:4" ht="17.649999999999999" x14ac:dyDescent="0.5">
      <c r="D940" s="3" t="s">
        <v>123</v>
      </c>
    </row>
    <row r="941" spans="4:4" ht="17.649999999999999" x14ac:dyDescent="0.5">
      <c r="D941" s="3" t="s">
        <v>87</v>
      </c>
    </row>
    <row r="942" spans="4:4" ht="17.649999999999999" x14ac:dyDescent="0.5">
      <c r="D942" s="3" t="s">
        <v>52</v>
      </c>
    </row>
    <row r="943" spans="4:4" ht="17.649999999999999" x14ac:dyDescent="0.5">
      <c r="D943" s="3" t="s">
        <v>130</v>
      </c>
    </row>
    <row r="944" spans="4:4" ht="17.649999999999999" x14ac:dyDescent="0.5">
      <c r="D944" s="3" t="s">
        <v>69</v>
      </c>
    </row>
    <row r="945" spans="4:4" ht="17.649999999999999" x14ac:dyDescent="0.5">
      <c r="D945" s="3" t="s">
        <v>76</v>
      </c>
    </row>
    <row r="946" spans="4:4" ht="17.649999999999999" x14ac:dyDescent="0.5">
      <c r="D946" s="3" t="s">
        <v>63</v>
      </c>
    </row>
    <row r="947" spans="4:4" ht="17.649999999999999" x14ac:dyDescent="0.5">
      <c r="D947" s="3" t="s">
        <v>47</v>
      </c>
    </row>
    <row r="948" spans="4:4" ht="17.649999999999999" x14ac:dyDescent="0.5">
      <c r="D948" s="3" t="s">
        <v>67</v>
      </c>
    </row>
    <row r="949" spans="4:4" ht="17.649999999999999" x14ac:dyDescent="0.5">
      <c r="D949" s="3" t="s">
        <v>57</v>
      </c>
    </row>
    <row r="950" spans="4:4" ht="17.649999999999999" x14ac:dyDescent="0.5">
      <c r="D950" s="3" t="s">
        <v>63</v>
      </c>
    </row>
    <row r="951" spans="4:4" ht="17.649999999999999" x14ac:dyDescent="0.5">
      <c r="D951" s="3" t="s">
        <v>74</v>
      </c>
    </row>
    <row r="952" spans="4:4" ht="17.649999999999999" x14ac:dyDescent="0.5">
      <c r="D952" s="3" t="s">
        <v>66</v>
      </c>
    </row>
    <row r="953" spans="4:4" ht="17.649999999999999" x14ac:dyDescent="0.5">
      <c r="D953" s="3" t="s">
        <v>117</v>
      </c>
    </row>
    <row r="954" spans="4:4" ht="17.649999999999999" x14ac:dyDescent="0.5">
      <c r="D954" s="3" t="s">
        <v>83</v>
      </c>
    </row>
    <row r="955" spans="4:4" ht="17.649999999999999" x14ac:dyDescent="0.5">
      <c r="D955" s="3" t="s">
        <v>126</v>
      </c>
    </row>
    <row r="956" spans="4:4" ht="17.649999999999999" x14ac:dyDescent="0.5">
      <c r="D956" s="3" t="s">
        <v>43</v>
      </c>
    </row>
    <row r="957" spans="4:4" ht="17.649999999999999" x14ac:dyDescent="0.5">
      <c r="D957" s="3" t="s">
        <v>117</v>
      </c>
    </row>
    <row r="958" spans="4:4" ht="17.649999999999999" x14ac:dyDescent="0.5">
      <c r="D958" s="3" t="s">
        <v>81</v>
      </c>
    </row>
    <row r="959" spans="4:4" ht="17.649999999999999" x14ac:dyDescent="0.5">
      <c r="D959" s="3" t="s">
        <v>92</v>
      </c>
    </row>
    <row r="960" spans="4:4" ht="17.649999999999999" x14ac:dyDescent="0.5">
      <c r="D960" s="3" t="s">
        <v>83</v>
      </c>
    </row>
    <row r="961" spans="4:4" ht="17.649999999999999" x14ac:dyDescent="0.5">
      <c r="D961" s="3" t="s">
        <v>111</v>
      </c>
    </row>
    <row r="962" spans="4:4" ht="17.649999999999999" x14ac:dyDescent="0.5">
      <c r="D962" s="3" t="s">
        <v>49</v>
      </c>
    </row>
    <row r="963" spans="4:4" ht="17.649999999999999" x14ac:dyDescent="0.5">
      <c r="D963" s="3" t="s">
        <v>87</v>
      </c>
    </row>
    <row r="964" spans="4:4" ht="17.649999999999999" x14ac:dyDescent="0.5">
      <c r="D964" s="3" t="s">
        <v>116</v>
      </c>
    </row>
    <row r="965" spans="4:4" ht="17.649999999999999" x14ac:dyDescent="0.5">
      <c r="D965" s="3" t="s">
        <v>72</v>
      </c>
    </row>
    <row r="966" spans="4:4" ht="17.649999999999999" x14ac:dyDescent="0.5">
      <c r="D966" s="3" t="s">
        <v>54</v>
      </c>
    </row>
    <row r="967" spans="4:4" ht="17.649999999999999" x14ac:dyDescent="0.5">
      <c r="D967" s="3" t="s">
        <v>82</v>
      </c>
    </row>
    <row r="968" spans="4:4" ht="17.649999999999999" x14ac:dyDescent="0.5">
      <c r="D968" s="3" t="s">
        <v>90</v>
      </c>
    </row>
    <row r="969" spans="4:4" ht="17.649999999999999" x14ac:dyDescent="0.5">
      <c r="D969" s="3" t="s">
        <v>103</v>
      </c>
    </row>
    <row r="970" spans="4:4" ht="17.649999999999999" x14ac:dyDescent="0.5">
      <c r="D970" s="3" t="s">
        <v>102</v>
      </c>
    </row>
    <row r="971" spans="4:4" ht="17.649999999999999" x14ac:dyDescent="0.5">
      <c r="D971" s="3" t="s">
        <v>59</v>
      </c>
    </row>
    <row r="972" spans="4:4" ht="17.649999999999999" x14ac:dyDescent="0.5">
      <c r="D972" s="3" t="s">
        <v>87</v>
      </c>
    </row>
    <row r="973" spans="4:4" ht="17.649999999999999" x14ac:dyDescent="0.5">
      <c r="D973" s="3" t="s">
        <v>60</v>
      </c>
    </row>
    <row r="974" spans="4:4" ht="17.649999999999999" x14ac:dyDescent="0.5">
      <c r="D974" s="3" t="s">
        <v>53</v>
      </c>
    </row>
    <row r="975" spans="4:4" ht="17.649999999999999" x14ac:dyDescent="0.5">
      <c r="D975" s="3" t="s">
        <v>41</v>
      </c>
    </row>
    <row r="976" spans="4:4" ht="17.649999999999999" x14ac:dyDescent="0.5">
      <c r="D976" s="3" t="s">
        <v>74</v>
      </c>
    </row>
    <row r="977" spans="4:4" ht="17.649999999999999" x14ac:dyDescent="0.5">
      <c r="D977" s="3" t="s">
        <v>119</v>
      </c>
    </row>
    <row r="978" spans="4:4" ht="17.649999999999999" x14ac:dyDescent="0.5">
      <c r="D978" s="3" t="s">
        <v>123</v>
      </c>
    </row>
    <row r="979" spans="4:4" ht="17.649999999999999" x14ac:dyDescent="0.5">
      <c r="D979" s="3" t="s">
        <v>44</v>
      </c>
    </row>
    <row r="980" spans="4:4" ht="17.649999999999999" x14ac:dyDescent="0.5">
      <c r="D980" s="3" t="s">
        <v>101</v>
      </c>
    </row>
    <row r="981" spans="4:4" ht="17.649999999999999" x14ac:dyDescent="0.5">
      <c r="D981" s="3" t="s">
        <v>87</v>
      </c>
    </row>
    <row r="982" spans="4:4" ht="17.649999999999999" x14ac:dyDescent="0.5">
      <c r="D982" s="3" t="s">
        <v>50</v>
      </c>
    </row>
    <row r="983" spans="4:4" ht="17.649999999999999" x14ac:dyDescent="0.5">
      <c r="D983" s="3" t="s">
        <v>71</v>
      </c>
    </row>
    <row r="984" spans="4:4" ht="17.649999999999999" x14ac:dyDescent="0.5">
      <c r="D984" s="3" t="s">
        <v>74</v>
      </c>
    </row>
    <row r="985" spans="4:4" ht="17.649999999999999" x14ac:dyDescent="0.5">
      <c r="D985" s="3" t="s">
        <v>55</v>
      </c>
    </row>
    <row r="986" spans="4:4" ht="17.649999999999999" x14ac:dyDescent="0.5">
      <c r="D986" s="3" t="s">
        <v>92</v>
      </c>
    </row>
    <row r="987" spans="4:4" ht="17.649999999999999" x14ac:dyDescent="0.5">
      <c r="D987" s="3" t="s">
        <v>97</v>
      </c>
    </row>
    <row r="988" spans="4:4" ht="17.649999999999999" x14ac:dyDescent="0.5">
      <c r="D988" s="3" t="s">
        <v>65</v>
      </c>
    </row>
    <row r="989" spans="4:4" ht="17.649999999999999" x14ac:dyDescent="0.5">
      <c r="D989" s="3" t="s">
        <v>59</v>
      </c>
    </row>
    <row r="990" spans="4:4" ht="17.649999999999999" x14ac:dyDescent="0.5">
      <c r="D990" s="3" t="s">
        <v>53</v>
      </c>
    </row>
    <row r="991" spans="4:4" ht="17.649999999999999" x14ac:dyDescent="0.5">
      <c r="D991" s="3" t="s">
        <v>87</v>
      </c>
    </row>
    <row r="992" spans="4:4" ht="17.649999999999999" x14ac:dyDescent="0.5">
      <c r="D992" s="3" t="s">
        <v>52</v>
      </c>
    </row>
    <row r="993" spans="4:4" ht="17.649999999999999" x14ac:dyDescent="0.5">
      <c r="D993" s="3" t="s">
        <v>63</v>
      </c>
    </row>
    <row r="994" spans="4:4" ht="17.649999999999999" x14ac:dyDescent="0.5">
      <c r="D994" s="3" t="s">
        <v>107</v>
      </c>
    </row>
    <row r="995" spans="4:4" ht="17.649999999999999" x14ac:dyDescent="0.5">
      <c r="D995" s="3" t="s">
        <v>44</v>
      </c>
    </row>
    <row r="996" spans="4:4" ht="17.649999999999999" x14ac:dyDescent="0.5">
      <c r="D996" s="3" t="s">
        <v>101</v>
      </c>
    </row>
    <row r="997" spans="4:4" ht="17.649999999999999" x14ac:dyDescent="0.5">
      <c r="D997" s="3" t="s">
        <v>41</v>
      </c>
    </row>
    <row r="998" spans="4:4" ht="17.649999999999999" x14ac:dyDescent="0.5">
      <c r="D998" s="3" t="s">
        <v>93</v>
      </c>
    </row>
    <row r="999" spans="4:4" ht="17.649999999999999" x14ac:dyDescent="0.5">
      <c r="D999" s="3" t="s">
        <v>89</v>
      </c>
    </row>
    <row r="1000" spans="4:4" ht="17.649999999999999" x14ac:dyDescent="0.5">
      <c r="D1000" s="3" t="s">
        <v>64</v>
      </c>
    </row>
    <row r="1001" spans="4:4" ht="17.649999999999999" x14ac:dyDescent="0.5">
      <c r="D1001" s="3" t="s">
        <v>117</v>
      </c>
    </row>
    <row r="1002" spans="4:4" ht="17.649999999999999" x14ac:dyDescent="0.5">
      <c r="D1002" s="3" t="s">
        <v>110</v>
      </c>
    </row>
    <row r="1003" spans="4:4" ht="17.649999999999999" x14ac:dyDescent="0.5">
      <c r="D1003" s="3" t="s">
        <v>99</v>
      </c>
    </row>
    <row r="1004" spans="4:4" ht="17.649999999999999" x14ac:dyDescent="0.5">
      <c r="D1004" s="3" t="s">
        <v>51</v>
      </c>
    </row>
    <row r="1005" spans="4:4" ht="17.649999999999999" x14ac:dyDescent="0.5">
      <c r="D1005" s="3" t="s">
        <v>75</v>
      </c>
    </row>
    <row r="1006" spans="4:4" ht="17.649999999999999" x14ac:dyDescent="0.5">
      <c r="D1006" s="3" t="s">
        <v>56</v>
      </c>
    </row>
    <row r="1007" spans="4:4" ht="17.649999999999999" x14ac:dyDescent="0.5">
      <c r="D1007" s="3" t="s">
        <v>105</v>
      </c>
    </row>
    <row r="1008" spans="4:4" ht="17.649999999999999" x14ac:dyDescent="0.5">
      <c r="D1008" s="3" t="s">
        <v>72</v>
      </c>
    </row>
    <row r="1009" spans="4:4" ht="17.649999999999999" x14ac:dyDescent="0.5">
      <c r="D1009" s="3" t="s">
        <v>41</v>
      </c>
    </row>
    <row r="1010" spans="4:4" ht="17.649999999999999" x14ac:dyDescent="0.5">
      <c r="D1010" s="3" t="s">
        <v>105</v>
      </c>
    </row>
    <row r="1011" spans="4:4" ht="17.649999999999999" x14ac:dyDescent="0.5">
      <c r="D1011" s="3" t="s">
        <v>128</v>
      </c>
    </row>
    <row r="1012" spans="4:4" ht="17.649999999999999" x14ac:dyDescent="0.5">
      <c r="D1012" s="3" t="s">
        <v>65</v>
      </c>
    </row>
    <row r="1013" spans="4:4" ht="17.649999999999999" x14ac:dyDescent="0.5">
      <c r="D1013" s="3" t="s">
        <v>53</v>
      </c>
    </row>
    <row r="1014" spans="4:4" ht="17.649999999999999" x14ac:dyDescent="0.5">
      <c r="D1014" s="3" t="s">
        <v>85</v>
      </c>
    </row>
    <row r="1015" spans="4:4" ht="17.649999999999999" x14ac:dyDescent="0.5">
      <c r="D1015" s="3" t="s">
        <v>59</v>
      </c>
    </row>
    <row r="1016" spans="4:4" ht="17.649999999999999" x14ac:dyDescent="0.5">
      <c r="D1016" s="3" t="s">
        <v>107</v>
      </c>
    </row>
    <row r="1017" spans="4:4" ht="17.649999999999999" x14ac:dyDescent="0.5">
      <c r="D1017" s="3" t="s">
        <v>114</v>
      </c>
    </row>
    <row r="1018" spans="4:4" ht="17.649999999999999" x14ac:dyDescent="0.5">
      <c r="D1018" s="3" t="s">
        <v>134</v>
      </c>
    </row>
    <row r="1019" spans="4:4" ht="17.649999999999999" x14ac:dyDescent="0.5">
      <c r="D1019" s="3" t="s">
        <v>117</v>
      </c>
    </row>
    <row r="1020" spans="4:4" ht="17.649999999999999" x14ac:dyDescent="0.5">
      <c r="D1020" s="3" t="s">
        <v>129</v>
      </c>
    </row>
    <row r="1021" spans="4:4" ht="17.649999999999999" x14ac:dyDescent="0.5">
      <c r="D1021" s="3" t="s">
        <v>47</v>
      </c>
    </row>
    <row r="1022" spans="4:4" ht="17.649999999999999" x14ac:dyDescent="0.5">
      <c r="D1022" s="3" t="s">
        <v>46</v>
      </c>
    </row>
    <row r="1023" spans="4:4" ht="17.649999999999999" x14ac:dyDescent="0.5">
      <c r="D1023" s="3" t="s">
        <v>52</v>
      </c>
    </row>
    <row r="1024" spans="4:4" ht="17.649999999999999" x14ac:dyDescent="0.5">
      <c r="D1024" s="3" t="s">
        <v>59</v>
      </c>
    </row>
    <row r="1025" spans="4:4" ht="17.649999999999999" x14ac:dyDescent="0.5">
      <c r="D1025" s="3" t="s">
        <v>87</v>
      </c>
    </row>
    <row r="1026" spans="4:4" ht="17.649999999999999" x14ac:dyDescent="0.5">
      <c r="D1026" s="3" t="s">
        <v>83</v>
      </c>
    </row>
    <row r="1027" spans="4:4" ht="17.649999999999999" x14ac:dyDescent="0.5">
      <c r="D1027" s="3" t="s">
        <v>88</v>
      </c>
    </row>
    <row r="1028" spans="4:4" ht="17.649999999999999" x14ac:dyDescent="0.5">
      <c r="D1028" s="3" t="s">
        <v>61</v>
      </c>
    </row>
    <row r="1029" spans="4:4" ht="17.649999999999999" x14ac:dyDescent="0.5">
      <c r="D1029" s="3" t="s">
        <v>44</v>
      </c>
    </row>
    <row r="1030" spans="4:4" ht="17.649999999999999" x14ac:dyDescent="0.5">
      <c r="D1030" s="3" t="s">
        <v>111</v>
      </c>
    </row>
    <row r="1031" spans="4:4" ht="17.649999999999999" x14ac:dyDescent="0.5">
      <c r="D1031" s="3" t="s">
        <v>74</v>
      </c>
    </row>
    <row r="1032" spans="4:4" ht="17.649999999999999" x14ac:dyDescent="0.5">
      <c r="D1032" s="3" t="s">
        <v>84</v>
      </c>
    </row>
    <row r="1033" spans="4:4" ht="17.649999999999999" x14ac:dyDescent="0.5">
      <c r="D1033" s="3" t="s">
        <v>112</v>
      </c>
    </row>
    <row r="1034" spans="4:4" ht="17.649999999999999" x14ac:dyDescent="0.5">
      <c r="D1034" s="3" t="s">
        <v>46</v>
      </c>
    </row>
    <row r="1035" spans="4:4" ht="17.649999999999999" x14ac:dyDescent="0.5">
      <c r="D1035" s="3" t="s">
        <v>49</v>
      </c>
    </row>
    <row r="1036" spans="4:4" ht="17.649999999999999" x14ac:dyDescent="0.5">
      <c r="D1036" s="3" t="s">
        <v>87</v>
      </c>
    </row>
    <row r="1037" spans="4:4" ht="17.649999999999999" x14ac:dyDescent="0.5">
      <c r="D1037" s="3" t="s">
        <v>115</v>
      </c>
    </row>
    <row r="1038" spans="4:4" ht="17.649999999999999" x14ac:dyDescent="0.5">
      <c r="D1038" s="3" t="s">
        <v>110</v>
      </c>
    </row>
    <row r="1039" spans="4:4" ht="17.649999999999999" x14ac:dyDescent="0.5">
      <c r="D1039" s="3" t="s">
        <v>71</v>
      </c>
    </row>
    <row r="1040" spans="4:4" ht="17.649999999999999" x14ac:dyDescent="0.5">
      <c r="D1040" s="3" t="s">
        <v>98</v>
      </c>
    </row>
    <row r="1041" spans="4:4" ht="17.649999999999999" x14ac:dyDescent="0.5">
      <c r="D1041" s="3" t="s">
        <v>65</v>
      </c>
    </row>
    <row r="1042" spans="4:4" ht="17.649999999999999" x14ac:dyDescent="0.5">
      <c r="D1042" s="3" t="s">
        <v>63</v>
      </c>
    </row>
    <row r="1043" spans="4:4" ht="17.649999999999999" x14ac:dyDescent="0.5">
      <c r="D1043" s="3" t="s">
        <v>91</v>
      </c>
    </row>
    <row r="1044" spans="4:4" ht="17.649999999999999" x14ac:dyDescent="0.5">
      <c r="D1044" s="3" t="s">
        <v>112</v>
      </c>
    </row>
    <row r="1045" spans="4:4" ht="17.649999999999999" x14ac:dyDescent="0.5">
      <c r="D1045" s="3" t="s">
        <v>54</v>
      </c>
    </row>
    <row r="1046" spans="4:4" ht="17.649999999999999" x14ac:dyDescent="0.5">
      <c r="D1046" s="3" t="s">
        <v>41</v>
      </c>
    </row>
    <row r="1047" spans="4:4" ht="17.649999999999999" x14ac:dyDescent="0.5">
      <c r="D1047" s="3" t="s">
        <v>43</v>
      </c>
    </row>
    <row r="1048" spans="4:4" ht="17.649999999999999" x14ac:dyDescent="0.5">
      <c r="D1048" s="3" t="s">
        <v>115</v>
      </c>
    </row>
    <row r="1049" spans="4:4" ht="17.649999999999999" x14ac:dyDescent="0.5">
      <c r="D1049" s="3" t="s">
        <v>103</v>
      </c>
    </row>
    <row r="1050" spans="4:4" ht="17.649999999999999" x14ac:dyDescent="0.5">
      <c r="D1050" s="3" t="s">
        <v>66</v>
      </c>
    </row>
    <row r="1051" spans="4:4" ht="17.649999999999999" x14ac:dyDescent="0.5">
      <c r="D1051" s="3" t="s">
        <v>63</v>
      </c>
    </row>
    <row r="1052" spans="4:4" ht="17.649999999999999" x14ac:dyDescent="0.5">
      <c r="D1052" s="3" t="s">
        <v>68</v>
      </c>
    </row>
    <row r="1053" spans="4:4" ht="17.649999999999999" x14ac:dyDescent="0.5">
      <c r="D1053" s="3" t="s">
        <v>123</v>
      </c>
    </row>
    <row r="1054" spans="4:4" ht="17.649999999999999" x14ac:dyDescent="0.5">
      <c r="D1054" s="3" t="s">
        <v>54</v>
      </c>
    </row>
    <row r="1055" spans="4:4" ht="17.649999999999999" x14ac:dyDescent="0.5">
      <c r="D1055" s="3" t="s">
        <v>63</v>
      </c>
    </row>
    <row r="1056" spans="4:4" ht="17.649999999999999" x14ac:dyDescent="0.5">
      <c r="D1056" s="3" t="s">
        <v>84</v>
      </c>
    </row>
    <row r="1057" spans="4:4" ht="17.649999999999999" x14ac:dyDescent="0.5">
      <c r="D1057" s="3" t="s">
        <v>94</v>
      </c>
    </row>
    <row r="1058" spans="4:4" ht="17.649999999999999" x14ac:dyDescent="0.5">
      <c r="D1058" s="3" t="s">
        <v>64</v>
      </c>
    </row>
    <row r="1059" spans="4:4" ht="17.649999999999999" x14ac:dyDescent="0.5">
      <c r="D1059" s="3" t="s">
        <v>68</v>
      </c>
    </row>
    <row r="1060" spans="4:4" ht="17.649999999999999" x14ac:dyDescent="0.5">
      <c r="D1060" s="3" t="s">
        <v>88</v>
      </c>
    </row>
    <row r="1061" spans="4:4" ht="17.649999999999999" x14ac:dyDescent="0.5">
      <c r="D1061" s="3" t="s">
        <v>131</v>
      </c>
    </row>
    <row r="1062" spans="4:4" ht="17.649999999999999" x14ac:dyDescent="0.5">
      <c r="D1062" s="3" t="s">
        <v>52</v>
      </c>
    </row>
    <row r="1063" spans="4:4" ht="17.649999999999999" x14ac:dyDescent="0.5">
      <c r="D1063" s="3" t="s">
        <v>61</v>
      </c>
    </row>
    <row r="1064" spans="4:4" ht="17.649999999999999" x14ac:dyDescent="0.5">
      <c r="D1064" s="3" t="s">
        <v>85</v>
      </c>
    </row>
    <row r="1065" spans="4:4" ht="17.649999999999999" x14ac:dyDescent="0.5">
      <c r="D1065" s="3" t="s">
        <v>92</v>
      </c>
    </row>
    <row r="1066" spans="4:4" ht="17.649999999999999" x14ac:dyDescent="0.5">
      <c r="D1066" s="3" t="s">
        <v>73</v>
      </c>
    </row>
    <row r="1067" spans="4:4" ht="17.649999999999999" x14ac:dyDescent="0.5">
      <c r="D1067" s="3" t="s">
        <v>64</v>
      </c>
    </row>
    <row r="1068" spans="4:4" ht="17.649999999999999" x14ac:dyDescent="0.5">
      <c r="D1068" s="3" t="s">
        <v>106</v>
      </c>
    </row>
    <row r="1069" spans="4:4" ht="17.649999999999999" x14ac:dyDescent="0.5">
      <c r="D1069" s="3" t="s">
        <v>43</v>
      </c>
    </row>
    <row r="1070" spans="4:4" ht="17.649999999999999" x14ac:dyDescent="0.5">
      <c r="D1070" s="3" t="s">
        <v>68</v>
      </c>
    </row>
    <row r="1071" spans="4:4" ht="17.649999999999999" x14ac:dyDescent="0.5">
      <c r="D1071" s="3" t="s">
        <v>59</v>
      </c>
    </row>
    <row r="1072" spans="4:4" ht="17.649999999999999" x14ac:dyDescent="0.5">
      <c r="D1072" s="3" t="s">
        <v>64</v>
      </c>
    </row>
    <row r="1073" spans="4:4" ht="17.649999999999999" x14ac:dyDescent="0.5">
      <c r="D1073" s="3" t="s">
        <v>69</v>
      </c>
    </row>
    <row r="1074" spans="4:4" ht="17.649999999999999" x14ac:dyDescent="0.5">
      <c r="D1074" s="3" t="s">
        <v>48</v>
      </c>
    </row>
    <row r="1075" spans="4:4" ht="17.649999999999999" x14ac:dyDescent="0.5">
      <c r="D1075" s="3" t="s">
        <v>76</v>
      </c>
    </row>
    <row r="1076" spans="4:4" ht="17.649999999999999" x14ac:dyDescent="0.5">
      <c r="D1076" s="3" t="s">
        <v>63</v>
      </c>
    </row>
    <row r="1077" spans="4:4" ht="17.649999999999999" x14ac:dyDescent="0.5">
      <c r="D1077" s="3" t="s">
        <v>43</v>
      </c>
    </row>
    <row r="1078" spans="4:4" ht="17.649999999999999" x14ac:dyDescent="0.5">
      <c r="D1078" s="3" t="s">
        <v>98</v>
      </c>
    </row>
    <row r="1079" spans="4:4" ht="17.649999999999999" x14ac:dyDescent="0.5">
      <c r="D1079" s="3" t="s">
        <v>117</v>
      </c>
    </row>
    <row r="1080" spans="4:4" ht="17.649999999999999" x14ac:dyDescent="0.5">
      <c r="D1080" s="3" t="s">
        <v>41</v>
      </c>
    </row>
    <row r="1081" spans="4:4" ht="17.649999999999999" x14ac:dyDescent="0.5">
      <c r="D1081" s="3" t="s">
        <v>66</v>
      </c>
    </row>
    <row r="1082" spans="4:4" ht="17.649999999999999" x14ac:dyDescent="0.5">
      <c r="D1082" s="3" t="s">
        <v>92</v>
      </c>
    </row>
    <row r="1083" spans="4:4" ht="17.649999999999999" x14ac:dyDescent="0.5">
      <c r="D1083" s="3" t="s">
        <v>68</v>
      </c>
    </row>
    <row r="1084" spans="4:4" ht="17.649999999999999" x14ac:dyDescent="0.5">
      <c r="D1084" s="3" t="s">
        <v>120</v>
      </c>
    </row>
    <row r="1085" spans="4:4" ht="17.649999999999999" x14ac:dyDescent="0.5">
      <c r="D1085" s="3" t="s">
        <v>101</v>
      </c>
    </row>
    <row r="1086" spans="4:4" ht="17.649999999999999" x14ac:dyDescent="0.5">
      <c r="D1086" s="3" t="s">
        <v>74</v>
      </c>
    </row>
    <row r="1087" spans="4:4" ht="17.649999999999999" x14ac:dyDescent="0.5">
      <c r="D1087" s="3" t="s">
        <v>126</v>
      </c>
    </row>
    <row r="1088" spans="4:4" ht="17.649999999999999" x14ac:dyDescent="0.5">
      <c r="D1088" s="3" t="s">
        <v>101</v>
      </c>
    </row>
    <row r="1089" spans="4:4" ht="17.649999999999999" x14ac:dyDescent="0.5">
      <c r="D1089" s="3" t="s">
        <v>74</v>
      </c>
    </row>
    <row r="1090" spans="4:4" ht="17.649999999999999" x14ac:dyDescent="0.5">
      <c r="D1090" s="3" t="s">
        <v>64</v>
      </c>
    </row>
    <row r="1091" spans="4:4" ht="17.649999999999999" x14ac:dyDescent="0.5">
      <c r="D1091" s="3" t="s">
        <v>65</v>
      </c>
    </row>
    <row r="1092" spans="4:4" ht="17.649999999999999" x14ac:dyDescent="0.5">
      <c r="D1092" s="3" t="s">
        <v>112</v>
      </c>
    </row>
    <row r="1093" spans="4:4" ht="17.649999999999999" x14ac:dyDescent="0.5">
      <c r="D1093" s="3" t="s">
        <v>77</v>
      </c>
    </row>
    <row r="1094" spans="4:4" ht="17.649999999999999" x14ac:dyDescent="0.5">
      <c r="D1094" s="3" t="s">
        <v>90</v>
      </c>
    </row>
    <row r="1095" spans="4:4" ht="17.649999999999999" x14ac:dyDescent="0.5">
      <c r="D1095" s="3" t="s">
        <v>117</v>
      </c>
    </row>
    <row r="1096" spans="4:4" ht="17.649999999999999" x14ac:dyDescent="0.5">
      <c r="D1096" s="3" t="s">
        <v>75</v>
      </c>
    </row>
    <row r="1097" spans="4:4" ht="17.649999999999999" x14ac:dyDescent="0.5">
      <c r="D1097" s="3" t="s">
        <v>69</v>
      </c>
    </row>
    <row r="1098" spans="4:4" ht="17.649999999999999" x14ac:dyDescent="0.5">
      <c r="D1098" s="3" t="s">
        <v>78</v>
      </c>
    </row>
    <row r="1099" spans="4:4" ht="17.649999999999999" x14ac:dyDescent="0.5">
      <c r="D1099" s="3" t="s">
        <v>101</v>
      </c>
    </row>
    <row r="1100" spans="4:4" ht="17.649999999999999" x14ac:dyDescent="0.5">
      <c r="D1100" s="3" t="s">
        <v>43</v>
      </c>
    </row>
    <row r="1101" spans="4:4" ht="17.649999999999999" x14ac:dyDescent="0.5">
      <c r="D1101" s="3" t="s">
        <v>73</v>
      </c>
    </row>
    <row r="1102" spans="4:4" ht="17.649999999999999" x14ac:dyDescent="0.5">
      <c r="D1102" s="3" t="s">
        <v>52</v>
      </c>
    </row>
    <row r="1103" spans="4:4" ht="17.649999999999999" x14ac:dyDescent="0.5">
      <c r="D1103" s="3" t="s">
        <v>79</v>
      </c>
    </row>
    <row r="1104" spans="4:4" ht="17.649999999999999" x14ac:dyDescent="0.5">
      <c r="D1104" s="3" t="s">
        <v>51</v>
      </c>
    </row>
    <row r="1105" spans="4:4" ht="17.649999999999999" x14ac:dyDescent="0.5">
      <c r="D1105" s="3" t="s">
        <v>54</v>
      </c>
    </row>
    <row r="1106" spans="4:4" ht="17.649999999999999" x14ac:dyDescent="0.5">
      <c r="D1106" s="3" t="s">
        <v>48</v>
      </c>
    </row>
    <row r="1107" spans="4:4" ht="17.649999999999999" x14ac:dyDescent="0.5">
      <c r="D1107" s="3" t="s">
        <v>47</v>
      </c>
    </row>
    <row r="1108" spans="4:4" ht="17.649999999999999" x14ac:dyDescent="0.5">
      <c r="D1108" s="3" t="s">
        <v>96</v>
      </c>
    </row>
    <row r="1109" spans="4:4" ht="17.649999999999999" x14ac:dyDescent="0.5">
      <c r="D1109" s="3" t="s">
        <v>93</v>
      </c>
    </row>
    <row r="1110" spans="4:4" ht="17.649999999999999" x14ac:dyDescent="0.5">
      <c r="D1110" s="3" t="s">
        <v>107</v>
      </c>
    </row>
    <row r="1111" spans="4:4" ht="17.649999999999999" x14ac:dyDescent="0.5">
      <c r="D1111" s="3" t="s">
        <v>121</v>
      </c>
    </row>
    <row r="1112" spans="4:4" ht="17.649999999999999" x14ac:dyDescent="0.5">
      <c r="D1112" s="3" t="s">
        <v>61</v>
      </c>
    </row>
    <row r="1113" spans="4:4" ht="17.649999999999999" x14ac:dyDescent="0.5">
      <c r="D1113" s="3" t="s">
        <v>57</v>
      </c>
    </row>
    <row r="1114" spans="4:4" ht="17.649999999999999" x14ac:dyDescent="0.5">
      <c r="D1114" s="3" t="s">
        <v>94</v>
      </c>
    </row>
    <row r="1115" spans="4:4" ht="17.649999999999999" x14ac:dyDescent="0.5">
      <c r="D1115" s="3" t="s">
        <v>74</v>
      </c>
    </row>
    <row r="1116" spans="4:4" ht="17.649999999999999" x14ac:dyDescent="0.5">
      <c r="D1116" s="3" t="s">
        <v>101</v>
      </c>
    </row>
    <row r="1117" spans="4:4" ht="17.649999999999999" x14ac:dyDescent="0.5">
      <c r="D1117" s="3" t="s">
        <v>107</v>
      </c>
    </row>
    <row r="1118" spans="4:4" ht="17.649999999999999" x14ac:dyDescent="0.5">
      <c r="D1118" s="3" t="s">
        <v>91</v>
      </c>
    </row>
    <row r="1119" spans="4:4" ht="17.649999999999999" x14ac:dyDescent="0.5">
      <c r="D1119" s="3" t="s">
        <v>61</v>
      </c>
    </row>
    <row r="1120" spans="4:4" ht="17.649999999999999" x14ac:dyDescent="0.5">
      <c r="D1120" s="3" t="s">
        <v>64</v>
      </c>
    </row>
    <row r="1121" spans="4:4" ht="17.649999999999999" x14ac:dyDescent="0.5">
      <c r="D1121" s="3" t="s">
        <v>115</v>
      </c>
    </row>
    <row r="1122" spans="4:4" ht="17.649999999999999" x14ac:dyDescent="0.5">
      <c r="D1122" s="3" t="s">
        <v>77</v>
      </c>
    </row>
    <row r="1123" spans="4:4" ht="17.649999999999999" x14ac:dyDescent="0.5">
      <c r="D1123" s="3" t="s">
        <v>68</v>
      </c>
    </row>
    <row r="1124" spans="4:4" ht="17.649999999999999" x14ac:dyDescent="0.5">
      <c r="D1124" s="3" t="s">
        <v>53</v>
      </c>
    </row>
    <row r="1125" spans="4:4" ht="17.649999999999999" x14ac:dyDescent="0.5">
      <c r="D1125" s="3" t="s">
        <v>42</v>
      </c>
    </row>
    <row r="1126" spans="4:4" ht="17.649999999999999" x14ac:dyDescent="0.5">
      <c r="D1126" s="3" t="s">
        <v>69</v>
      </c>
    </row>
    <row r="1127" spans="4:4" ht="17.649999999999999" x14ac:dyDescent="0.5">
      <c r="D1127" s="3" t="s">
        <v>73</v>
      </c>
    </row>
    <row r="1128" spans="4:4" ht="17.649999999999999" x14ac:dyDescent="0.5">
      <c r="D1128" s="3" t="s">
        <v>66</v>
      </c>
    </row>
    <row r="1129" spans="4:4" ht="17.649999999999999" x14ac:dyDescent="0.5">
      <c r="D1129" s="3" t="s">
        <v>50</v>
      </c>
    </row>
    <row r="1130" spans="4:4" ht="17.649999999999999" x14ac:dyDescent="0.5">
      <c r="D1130" s="3" t="s">
        <v>48</v>
      </c>
    </row>
    <row r="1131" spans="4:4" ht="17.649999999999999" x14ac:dyDescent="0.5">
      <c r="D1131" s="3" t="s">
        <v>95</v>
      </c>
    </row>
    <row r="1132" spans="4:4" ht="17.649999999999999" x14ac:dyDescent="0.5">
      <c r="D1132" s="3" t="s">
        <v>87</v>
      </c>
    </row>
    <row r="1133" spans="4:4" ht="17.649999999999999" x14ac:dyDescent="0.5">
      <c r="D1133" s="3" t="s">
        <v>73</v>
      </c>
    </row>
    <row r="1134" spans="4:4" ht="17.649999999999999" x14ac:dyDescent="0.5">
      <c r="D1134" s="3" t="s">
        <v>69</v>
      </c>
    </row>
    <row r="1135" spans="4:4" ht="17.649999999999999" x14ac:dyDescent="0.5">
      <c r="D1135" s="3" t="s">
        <v>46</v>
      </c>
    </row>
    <row r="1136" spans="4:4" ht="17.649999999999999" x14ac:dyDescent="0.5">
      <c r="D1136" s="3" t="s">
        <v>66</v>
      </c>
    </row>
    <row r="1137" spans="4:4" ht="17.649999999999999" x14ac:dyDescent="0.5">
      <c r="D1137" s="3" t="s">
        <v>100</v>
      </c>
    </row>
    <row r="1138" spans="4:4" ht="17.649999999999999" x14ac:dyDescent="0.5">
      <c r="D1138" s="3" t="s">
        <v>61</v>
      </c>
    </row>
    <row r="1139" spans="4:4" ht="17.649999999999999" x14ac:dyDescent="0.5">
      <c r="D1139" s="3" t="s">
        <v>50</v>
      </c>
    </row>
    <row r="1140" spans="4:4" ht="17.649999999999999" x14ac:dyDescent="0.5">
      <c r="D1140" s="3" t="s">
        <v>85</v>
      </c>
    </row>
    <row r="1141" spans="4:4" ht="17.649999999999999" x14ac:dyDescent="0.5">
      <c r="D1141" s="3" t="s">
        <v>68</v>
      </c>
    </row>
    <row r="1142" spans="4:4" ht="17.649999999999999" x14ac:dyDescent="0.5">
      <c r="D1142" s="3" t="s">
        <v>131</v>
      </c>
    </row>
    <row r="1143" spans="4:4" ht="17.649999999999999" x14ac:dyDescent="0.5">
      <c r="D1143" s="3" t="s">
        <v>120</v>
      </c>
    </row>
    <row r="1144" spans="4:4" ht="17.649999999999999" x14ac:dyDescent="0.5">
      <c r="D1144" s="3" t="s">
        <v>55</v>
      </c>
    </row>
    <row r="1145" spans="4:4" ht="17.649999999999999" x14ac:dyDescent="0.5">
      <c r="D1145" s="3" t="s">
        <v>52</v>
      </c>
    </row>
    <row r="1146" spans="4:4" ht="17.649999999999999" x14ac:dyDescent="0.5">
      <c r="D1146" s="3" t="s">
        <v>98</v>
      </c>
    </row>
    <row r="1147" spans="4:4" ht="17.649999999999999" x14ac:dyDescent="0.5">
      <c r="D1147" s="3" t="s">
        <v>106</v>
      </c>
    </row>
    <row r="1148" spans="4:4" ht="17.649999999999999" x14ac:dyDescent="0.5">
      <c r="D1148" s="3" t="s">
        <v>105</v>
      </c>
    </row>
    <row r="1149" spans="4:4" ht="17.649999999999999" x14ac:dyDescent="0.5">
      <c r="D1149" s="3" t="s">
        <v>121</v>
      </c>
    </row>
    <row r="1150" spans="4:4" ht="17.649999999999999" x14ac:dyDescent="0.5">
      <c r="D1150" s="3" t="s">
        <v>56</v>
      </c>
    </row>
    <row r="1151" spans="4:4" ht="17.649999999999999" x14ac:dyDescent="0.5">
      <c r="D1151" s="3" t="s">
        <v>109</v>
      </c>
    </row>
    <row r="1152" spans="4:4" ht="17.649999999999999" x14ac:dyDescent="0.5">
      <c r="D1152" s="3" t="s">
        <v>107</v>
      </c>
    </row>
    <row r="1153" spans="4:4" ht="17.649999999999999" x14ac:dyDescent="0.5">
      <c r="D1153" s="3" t="s">
        <v>90</v>
      </c>
    </row>
    <row r="1154" spans="4:4" ht="17.649999999999999" x14ac:dyDescent="0.5">
      <c r="D1154" s="3" t="s">
        <v>64</v>
      </c>
    </row>
    <row r="1155" spans="4:4" ht="17.649999999999999" x14ac:dyDescent="0.5">
      <c r="D1155" s="3" t="s">
        <v>92</v>
      </c>
    </row>
    <row r="1156" spans="4:4" ht="17.649999999999999" x14ac:dyDescent="0.5">
      <c r="D1156" s="3" t="s">
        <v>44</v>
      </c>
    </row>
    <row r="1157" spans="4:4" ht="17.649999999999999" x14ac:dyDescent="0.5">
      <c r="D1157" s="3" t="s">
        <v>68</v>
      </c>
    </row>
    <row r="1158" spans="4:4" ht="17.649999999999999" x14ac:dyDescent="0.5">
      <c r="D1158" s="3" t="s">
        <v>70</v>
      </c>
    </row>
    <row r="1159" spans="4:4" ht="17.649999999999999" x14ac:dyDescent="0.5">
      <c r="D1159" s="3" t="s">
        <v>107</v>
      </c>
    </row>
    <row r="1160" spans="4:4" ht="17.649999999999999" x14ac:dyDescent="0.5">
      <c r="D1160" s="3" t="s">
        <v>51</v>
      </c>
    </row>
    <row r="1161" spans="4:4" ht="17.649999999999999" x14ac:dyDescent="0.5">
      <c r="D1161" s="3" t="s">
        <v>74</v>
      </c>
    </row>
    <row r="1162" spans="4:4" ht="17.649999999999999" x14ac:dyDescent="0.5">
      <c r="D1162" s="3" t="s">
        <v>84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58</v>
      </c>
    </row>
    <row r="1165" spans="4:4" ht="17.649999999999999" x14ac:dyDescent="0.5">
      <c r="D1165" s="3" t="s">
        <v>43</v>
      </c>
    </row>
    <row r="1166" spans="4:4" ht="17.649999999999999" x14ac:dyDescent="0.5">
      <c r="D1166" s="3" t="s">
        <v>61</v>
      </c>
    </row>
    <row r="1167" spans="4:4" ht="17.649999999999999" x14ac:dyDescent="0.5">
      <c r="D1167" s="3" t="s">
        <v>104</v>
      </c>
    </row>
    <row r="1168" spans="4:4" ht="17.649999999999999" x14ac:dyDescent="0.5">
      <c r="D1168" s="3" t="s">
        <v>63</v>
      </c>
    </row>
    <row r="1169" spans="4:4" ht="17.649999999999999" x14ac:dyDescent="0.5">
      <c r="D1169" s="3" t="s">
        <v>49</v>
      </c>
    </row>
    <row r="1170" spans="4:4" ht="17.649999999999999" x14ac:dyDescent="0.5">
      <c r="D1170" s="3" t="s">
        <v>117</v>
      </c>
    </row>
    <row r="1171" spans="4:4" ht="17.649999999999999" x14ac:dyDescent="0.5">
      <c r="D1171" s="3" t="s">
        <v>115</v>
      </c>
    </row>
    <row r="1172" spans="4:4" ht="17.649999999999999" x14ac:dyDescent="0.5">
      <c r="D1172" s="3" t="s">
        <v>111</v>
      </c>
    </row>
    <row r="1173" spans="4:4" ht="17.649999999999999" x14ac:dyDescent="0.5">
      <c r="D1173" s="3" t="s">
        <v>64</v>
      </c>
    </row>
    <row r="1174" spans="4:4" ht="17.649999999999999" x14ac:dyDescent="0.5">
      <c r="D1174" s="3" t="s">
        <v>81</v>
      </c>
    </row>
    <row r="1175" spans="4:4" ht="17.649999999999999" x14ac:dyDescent="0.5">
      <c r="D1175" s="3" t="s">
        <v>91</v>
      </c>
    </row>
    <row r="1176" spans="4:4" ht="17.649999999999999" x14ac:dyDescent="0.5">
      <c r="D1176" s="3" t="s">
        <v>82</v>
      </c>
    </row>
    <row r="1177" spans="4:4" ht="17.649999999999999" x14ac:dyDescent="0.5">
      <c r="D1177" s="3" t="s">
        <v>41</v>
      </c>
    </row>
    <row r="1178" spans="4:4" ht="17.649999999999999" x14ac:dyDescent="0.5">
      <c r="D1178" s="3" t="s">
        <v>51</v>
      </c>
    </row>
    <row r="1179" spans="4:4" ht="17.649999999999999" x14ac:dyDescent="0.5">
      <c r="D1179" s="3" t="s">
        <v>57</v>
      </c>
    </row>
    <row r="1180" spans="4:4" ht="17.649999999999999" x14ac:dyDescent="0.5">
      <c r="D1180" s="3" t="s">
        <v>98</v>
      </c>
    </row>
    <row r="1181" spans="4:4" ht="17.649999999999999" x14ac:dyDescent="0.5">
      <c r="D1181" s="3" t="s">
        <v>115</v>
      </c>
    </row>
    <row r="1182" spans="4:4" ht="17.649999999999999" x14ac:dyDescent="0.5">
      <c r="D1182" s="3" t="s">
        <v>130</v>
      </c>
    </row>
    <row r="1183" spans="4:4" ht="17.649999999999999" x14ac:dyDescent="0.5">
      <c r="D1183" s="3" t="s">
        <v>49</v>
      </c>
    </row>
    <row r="1184" spans="4:4" ht="17.649999999999999" x14ac:dyDescent="0.5">
      <c r="D1184" s="3" t="s">
        <v>59</v>
      </c>
    </row>
    <row r="1185" spans="4:4" ht="17.649999999999999" x14ac:dyDescent="0.5">
      <c r="D1185" s="3" t="s">
        <v>73</v>
      </c>
    </row>
    <row r="1186" spans="4:4" ht="17.649999999999999" x14ac:dyDescent="0.5">
      <c r="D1186" s="3" t="s">
        <v>46</v>
      </c>
    </row>
    <row r="1187" spans="4:4" ht="17.649999999999999" x14ac:dyDescent="0.5">
      <c r="D1187" s="3" t="s">
        <v>49</v>
      </c>
    </row>
    <row r="1188" spans="4:4" ht="17.649999999999999" x14ac:dyDescent="0.5">
      <c r="D1188" s="3" t="s">
        <v>74</v>
      </c>
    </row>
    <row r="1189" spans="4:4" ht="17.649999999999999" x14ac:dyDescent="0.5">
      <c r="D1189" s="3" t="s">
        <v>98</v>
      </c>
    </row>
    <row r="1190" spans="4:4" ht="17.649999999999999" x14ac:dyDescent="0.5">
      <c r="D1190" s="3" t="s">
        <v>88</v>
      </c>
    </row>
    <row r="1191" spans="4:4" ht="17.649999999999999" x14ac:dyDescent="0.5">
      <c r="D1191" s="3" t="s">
        <v>66</v>
      </c>
    </row>
    <row r="1192" spans="4:4" ht="17.649999999999999" x14ac:dyDescent="0.5">
      <c r="D1192" s="3" t="s">
        <v>104</v>
      </c>
    </row>
    <row r="1193" spans="4:4" ht="17.649999999999999" x14ac:dyDescent="0.5">
      <c r="D1193" s="3" t="s">
        <v>48</v>
      </c>
    </row>
    <row r="1194" spans="4:4" ht="17.649999999999999" x14ac:dyDescent="0.5">
      <c r="D1194" s="3" t="s">
        <v>64</v>
      </c>
    </row>
    <row r="1195" spans="4:4" ht="17.649999999999999" x14ac:dyDescent="0.5">
      <c r="D1195" s="3" t="s">
        <v>110</v>
      </c>
    </row>
    <row r="1196" spans="4:4" ht="17.649999999999999" x14ac:dyDescent="0.5">
      <c r="D1196" s="3" t="s">
        <v>91</v>
      </c>
    </row>
    <row r="1197" spans="4:4" ht="17.649999999999999" x14ac:dyDescent="0.5">
      <c r="D1197" s="3" t="s">
        <v>114</v>
      </c>
    </row>
    <row r="1198" spans="4:4" ht="17.649999999999999" x14ac:dyDescent="0.5">
      <c r="D1198" s="3" t="s">
        <v>130</v>
      </c>
    </row>
    <row r="1199" spans="4:4" ht="17.649999999999999" x14ac:dyDescent="0.5">
      <c r="D1199" s="3" t="s">
        <v>47</v>
      </c>
    </row>
    <row r="1200" spans="4:4" ht="17.649999999999999" x14ac:dyDescent="0.5">
      <c r="D1200" s="3" t="s">
        <v>90</v>
      </c>
    </row>
    <row r="1201" spans="4:4" ht="17.649999999999999" x14ac:dyDescent="0.5">
      <c r="D1201" s="3" t="s">
        <v>111</v>
      </c>
    </row>
    <row r="1202" spans="4:4" ht="17.649999999999999" x14ac:dyDescent="0.5">
      <c r="D1202" s="3" t="s">
        <v>55</v>
      </c>
    </row>
    <row r="1203" spans="4:4" ht="17.649999999999999" x14ac:dyDescent="0.5">
      <c r="D1203" s="3" t="s">
        <v>69</v>
      </c>
    </row>
    <row r="1204" spans="4:4" ht="17.649999999999999" x14ac:dyDescent="0.5">
      <c r="D1204" s="3" t="s">
        <v>57</v>
      </c>
    </row>
    <row r="1205" spans="4:4" ht="17.649999999999999" x14ac:dyDescent="0.5">
      <c r="D1205" s="3" t="s">
        <v>98</v>
      </c>
    </row>
    <row r="1206" spans="4:4" ht="17.649999999999999" x14ac:dyDescent="0.5">
      <c r="D1206" s="3" t="s">
        <v>65</v>
      </c>
    </row>
    <row r="1207" spans="4:4" ht="17.649999999999999" x14ac:dyDescent="0.5">
      <c r="D1207" s="3" t="s">
        <v>107</v>
      </c>
    </row>
    <row r="1208" spans="4:4" ht="17.649999999999999" x14ac:dyDescent="0.5">
      <c r="D1208" s="3" t="s">
        <v>104</v>
      </c>
    </row>
    <row r="1209" spans="4:4" ht="17.649999999999999" x14ac:dyDescent="0.5">
      <c r="D1209" s="3" t="s">
        <v>115</v>
      </c>
    </row>
    <row r="1210" spans="4:4" ht="17.649999999999999" x14ac:dyDescent="0.5">
      <c r="D1210" s="3" t="s">
        <v>61</v>
      </c>
    </row>
    <row r="1211" spans="4:4" ht="17.649999999999999" x14ac:dyDescent="0.5">
      <c r="D1211" s="3" t="s">
        <v>93</v>
      </c>
    </row>
    <row r="1212" spans="4:4" ht="17.649999999999999" x14ac:dyDescent="0.5">
      <c r="D1212" s="3" t="s">
        <v>107</v>
      </c>
    </row>
    <row r="1213" spans="4:4" ht="17.649999999999999" x14ac:dyDescent="0.5">
      <c r="D1213" s="3" t="s">
        <v>73</v>
      </c>
    </row>
    <row r="1214" spans="4:4" ht="17.649999999999999" x14ac:dyDescent="0.5">
      <c r="D1214" s="3" t="s">
        <v>56</v>
      </c>
    </row>
    <row r="1215" spans="4:4" ht="17.649999999999999" x14ac:dyDescent="0.5">
      <c r="D1215" s="3" t="s">
        <v>63</v>
      </c>
    </row>
    <row r="1216" spans="4:4" ht="17.649999999999999" x14ac:dyDescent="0.5">
      <c r="D1216" s="3" t="s">
        <v>92</v>
      </c>
    </row>
    <row r="1217" spans="4:4" ht="17.649999999999999" x14ac:dyDescent="0.5">
      <c r="D1217" s="3" t="s">
        <v>55</v>
      </c>
    </row>
    <row r="1218" spans="4:4" ht="17.649999999999999" x14ac:dyDescent="0.5">
      <c r="D1218" s="3" t="s">
        <v>136</v>
      </c>
    </row>
    <row r="1219" spans="4:4" ht="17.649999999999999" x14ac:dyDescent="0.5">
      <c r="D1219" s="3" t="s">
        <v>41</v>
      </c>
    </row>
    <row r="1220" spans="4:4" ht="17.649999999999999" x14ac:dyDescent="0.5">
      <c r="D1220" s="3" t="s">
        <v>59</v>
      </c>
    </row>
    <row r="1221" spans="4:4" ht="17.649999999999999" x14ac:dyDescent="0.5">
      <c r="D1221" s="3" t="s">
        <v>49</v>
      </c>
    </row>
    <row r="1222" spans="4:4" ht="17.649999999999999" x14ac:dyDescent="0.5">
      <c r="D1222" s="3" t="s">
        <v>92</v>
      </c>
    </row>
    <row r="1223" spans="4:4" ht="17.649999999999999" x14ac:dyDescent="0.5">
      <c r="D1223" s="3" t="s">
        <v>50</v>
      </c>
    </row>
    <row r="1224" spans="4:4" ht="17.649999999999999" x14ac:dyDescent="0.5">
      <c r="D1224" s="3" t="s">
        <v>74</v>
      </c>
    </row>
    <row r="1225" spans="4:4" ht="17.649999999999999" x14ac:dyDescent="0.5">
      <c r="D1225" s="3" t="s">
        <v>111</v>
      </c>
    </row>
    <row r="1226" spans="4:4" ht="17.649999999999999" x14ac:dyDescent="0.5">
      <c r="D1226" s="3" t="s">
        <v>61</v>
      </c>
    </row>
    <row r="1227" spans="4:4" ht="17.649999999999999" x14ac:dyDescent="0.5">
      <c r="D1227" s="3" t="s">
        <v>87</v>
      </c>
    </row>
    <row r="1228" spans="4:4" ht="17.649999999999999" x14ac:dyDescent="0.5">
      <c r="D1228" s="3" t="s">
        <v>64</v>
      </c>
    </row>
    <row r="1229" spans="4:4" ht="17.649999999999999" x14ac:dyDescent="0.5">
      <c r="D1229" s="3" t="s">
        <v>48</v>
      </c>
    </row>
    <row r="1230" spans="4:4" ht="17.649999999999999" x14ac:dyDescent="0.5">
      <c r="D1230" s="3" t="s">
        <v>116</v>
      </c>
    </row>
    <row r="1231" spans="4:4" ht="17.649999999999999" x14ac:dyDescent="0.5">
      <c r="D1231" s="3" t="s">
        <v>43</v>
      </c>
    </row>
    <row r="1232" spans="4:4" ht="17.649999999999999" x14ac:dyDescent="0.5">
      <c r="D1232" s="3" t="s">
        <v>50</v>
      </c>
    </row>
    <row r="1233" spans="4:4" ht="17.649999999999999" x14ac:dyDescent="0.5">
      <c r="D1233" s="3" t="s">
        <v>125</v>
      </c>
    </row>
    <row r="1234" spans="4:4" ht="17.649999999999999" x14ac:dyDescent="0.5">
      <c r="D1234" s="3" t="s">
        <v>80</v>
      </c>
    </row>
    <row r="1235" spans="4:4" ht="17.649999999999999" x14ac:dyDescent="0.5">
      <c r="D1235" s="3" t="s">
        <v>61</v>
      </c>
    </row>
    <row r="1236" spans="4:4" ht="17.649999999999999" x14ac:dyDescent="0.5">
      <c r="D1236" s="3" t="s">
        <v>50</v>
      </c>
    </row>
    <row r="1237" spans="4:4" ht="17.649999999999999" x14ac:dyDescent="0.5">
      <c r="D1237" s="3" t="s">
        <v>93</v>
      </c>
    </row>
    <row r="1238" spans="4:4" ht="17.649999999999999" x14ac:dyDescent="0.5">
      <c r="D1238" s="3" t="s">
        <v>81</v>
      </c>
    </row>
    <row r="1239" spans="4:4" ht="17.649999999999999" x14ac:dyDescent="0.5">
      <c r="D1239" s="3" t="s">
        <v>65</v>
      </c>
    </row>
    <row r="1240" spans="4:4" ht="17.649999999999999" x14ac:dyDescent="0.5">
      <c r="D1240" s="3" t="s">
        <v>80</v>
      </c>
    </row>
    <row r="1241" spans="4:4" ht="17.649999999999999" x14ac:dyDescent="0.5">
      <c r="D1241" s="3" t="s">
        <v>128</v>
      </c>
    </row>
    <row r="1242" spans="4:4" ht="17.649999999999999" x14ac:dyDescent="0.5">
      <c r="D1242" s="3" t="s">
        <v>54</v>
      </c>
    </row>
    <row r="1243" spans="4:4" ht="17.649999999999999" x14ac:dyDescent="0.5">
      <c r="D1243" s="3" t="s">
        <v>51</v>
      </c>
    </row>
    <row r="1244" spans="4:4" ht="17.649999999999999" x14ac:dyDescent="0.5">
      <c r="D1244" s="3" t="s">
        <v>44</v>
      </c>
    </row>
    <row r="1245" spans="4:4" ht="17.649999999999999" x14ac:dyDescent="0.5">
      <c r="D1245" s="3" t="s">
        <v>47</v>
      </c>
    </row>
    <row r="1246" spans="4:4" ht="17.649999999999999" x14ac:dyDescent="0.5">
      <c r="D1246" s="3" t="s">
        <v>64</v>
      </c>
    </row>
    <row r="1247" spans="4:4" ht="17.649999999999999" x14ac:dyDescent="0.5">
      <c r="D1247" s="3" t="s">
        <v>56</v>
      </c>
    </row>
    <row r="1248" spans="4:4" ht="17.649999999999999" x14ac:dyDescent="0.5">
      <c r="D1248" s="3" t="s">
        <v>117</v>
      </c>
    </row>
    <row r="1249" spans="4:4" ht="17.649999999999999" x14ac:dyDescent="0.5">
      <c r="D1249" s="3" t="s">
        <v>53</v>
      </c>
    </row>
    <row r="1250" spans="4:4" ht="17.649999999999999" x14ac:dyDescent="0.5">
      <c r="D1250" s="3" t="s">
        <v>81</v>
      </c>
    </row>
    <row r="1251" spans="4:4" ht="17.649999999999999" x14ac:dyDescent="0.5">
      <c r="D1251" s="3" t="s">
        <v>61</v>
      </c>
    </row>
    <row r="1252" spans="4:4" ht="17.649999999999999" x14ac:dyDescent="0.5">
      <c r="D1252" s="3" t="s">
        <v>54</v>
      </c>
    </row>
    <row r="1253" spans="4:4" ht="17.649999999999999" x14ac:dyDescent="0.5">
      <c r="D1253" s="3" t="s">
        <v>92</v>
      </c>
    </row>
    <row r="1254" spans="4:4" ht="17.649999999999999" x14ac:dyDescent="0.5">
      <c r="D1254" s="3" t="s">
        <v>106</v>
      </c>
    </row>
    <row r="1255" spans="4:4" ht="17.649999999999999" x14ac:dyDescent="0.5">
      <c r="D1255" s="3" t="s">
        <v>71</v>
      </c>
    </row>
    <row r="1256" spans="4:4" ht="17.649999999999999" x14ac:dyDescent="0.5">
      <c r="D1256" s="3" t="s">
        <v>48</v>
      </c>
    </row>
    <row r="1257" spans="4:4" ht="17.649999999999999" x14ac:dyDescent="0.5">
      <c r="D1257" s="3" t="s">
        <v>77</v>
      </c>
    </row>
    <row r="1258" spans="4:4" ht="17.649999999999999" x14ac:dyDescent="0.5">
      <c r="D1258" s="3" t="s">
        <v>87</v>
      </c>
    </row>
    <row r="1259" spans="4:4" ht="17.649999999999999" x14ac:dyDescent="0.5">
      <c r="D1259" s="3" t="s">
        <v>83</v>
      </c>
    </row>
    <row r="1260" spans="4:4" ht="17.649999999999999" x14ac:dyDescent="0.5">
      <c r="D1260" s="3" t="s">
        <v>56</v>
      </c>
    </row>
    <row r="1261" spans="4:4" ht="17.649999999999999" x14ac:dyDescent="0.5">
      <c r="D1261" s="3" t="s">
        <v>51</v>
      </c>
    </row>
    <row r="1262" spans="4:4" ht="17.649999999999999" x14ac:dyDescent="0.5">
      <c r="D1262" s="3" t="s">
        <v>78</v>
      </c>
    </row>
    <row r="1263" spans="4:4" ht="17.649999999999999" x14ac:dyDescent="0.5">
      <c r="D1263" s="3" t="s">
        <v>125</v>
      </c>
    </row>
    <row r="1264" spans="4:4" ht="17.649999999999999" x14ac:dyDescent="0.5">
      <c r="D1264" s="3" t="s">
        <v>86</v>
      </c>
    </row>
    <row r="1265" spans="4:4" ht="17.649999999999999" x14ac:dyDescent="0.5">
      <c r="D1265" s="3" t="s">
        <v>81</v>
      </c>
    </row>
    <row r="1266" spans="4:4" ht="17.649999999999999" x14ac:dyDescent="0.5">
      <c r="D1266" s="3" t="s">
        <v>66</v>
      </c>
    </row>
    <row r="1267" spans="4:4" ht="17.649999999999999" x14ac:dyDescent="0.5">
      <c r="D1267" s="3" t="s">
        <v>67</v>
      </c>
    </row>
    <row r="1268" spans="4:4" ht="17.649999999999999" x14ac:dyDescent="0.5">
      <c r="D1268" s="3" t="s">
        <v>105</v>
      </c>
    </row>
    <row r="1269" spans="4:4" ht="17.649999999999999" x14ac:dyDescent="0.5">
      <c r="D1269" s="3" t="s">
        <v>116</v>
      </c>
    </row>
    <row r="1270" spans="4:4" ht="17.649999999999999" x14ac:dyDescent="0.5">
      <c r="D1270" s="3" t="s">
        <v>115</v>
      </c>
    </row>
    <row r="1271" spans="4:4" ht="17.649999999999999" x14ac:dyDescent="0.5">
      <c r="D1271" s="3" t="s">
        <v>59</v>
      </c>
    </row>
    <row r="1272" spans="4:4" ht="17.649999999999999" x14ac:dyDescent="0.5">
      <c r="D1272" s="3" t="s">
        <v>87</v>
      </c>
    </row>
    <row r="1273" spans="4:4" ht="17.649999999999999" x14ac:dyDescent="0.5">
      <c r="D1273" s="3" t="s">
        <v>91</v>
      </c>
    </row>
    <row r="1274" spans="4:4" ht="17.649999999999999" x14ac:dyDescent="0.5">
      <c r="D1274" s="3" t="s">
        <v>115</v>
      </c>
    </row>
    <row r="1275" spans="4:4" ht="17.649999999999999" x14ac:dyDescent="0.5">
      <c r="D1275" s="3" t="s">
        <v>83</v>
      </c>
    </row>
    <row r="1276" spans="4:4" ht="17.649999999999999" x14ac:dyDescent="0.5">
      <c r="D1276" s="3" t="s">
        <v>115</v>
      </c>
    </row>
    <row r="1277" spans="4:4" ht="17.649999999999999" x14ac:dyDescent="0.5">
      <c r="D1277" s="3" t="s">
        <v>96</v>
      </c>
    </row>
    <row r="1278" spans="4:4" ht="17.649999999999999" x14ac:dyDescent="0.5">
      <c r="D1278" s="3" t="s">
        <v>119</v>
      </c>
    </row>
    <row r="1279" spans="4:4" ht="17.649999999999999" x14ac:dyDescent="0.5">
      <c r="D1279" s="3" t="s">
        <v>57</v>
      </c>
    </row>
    <row r="1280" spans="4:4" ht="17.649999999999999" x14ac:dyDescent="0.5">
      <c r="D1280" s="3" t="s">
        <v>53</v>
      </c>
    </row>
    <row r="1281" spans="4:4" ht="17.649999999999999" x14ac:dyDescent="0.5">
      <c r="D1281" s="3" t="s">
        <v>133</v>
      </c>
    </row>
    <row r="1282" spans="4:4" ht="17.649999999999999" x14ac:dyDescent="0.5">
      <c r="D1282" s="3" t="s">
        <v>94</v>
      </c>
    </row>
    <row r="1283" spans="4:4" ht="17.649999999999999" x14ac:dyDescent="0.5">
      <c r="D1283" s="3" t="s">
        <v>99</v>
      </c>
    </row>
    <row r="1284" spans="4:4" ht="17.649999999999999" x14ac:dyDescent="0.5">
      <c r="D1284" s="3" t="s">
        <v>62</v>
      </c>
    </row>
    <row r="1285" spans="4:4" ht="17.649999999999999" x14ac:dyDescent="0.5">
      <c r="D1285" s="3" t="s">
        <v>112</v>
      </c>
    </row>
    <row r="1286" spans="4:4" ht="17.649999999999999" x14ac:dyDescent="0.5">
      <c r="D1286" s="3" t="s">
        <v>41</v>
      </c>
    </row>
    <row r="1287" spans="4:4" ht="17.649999999999999" x14ac:dyDescent="0.5">
      <c r="D1287" s="3" t="s">
        <v>42</v>
      </c>
    </row>
    <row r="1288" spans="4:4" ht="17.649999999999999" x14ac:dyDescent="0.5">
      <c r="D1288" s="3" t="s">
        <v>85</v>
      </c>
    </row>
    <row r="1289" spans="4:4" ht="17.649999999999999" x14ac:dyDescent="0.5">
      <c r="D1289" s="3" t="s">
        <v>95</v>
      </c>
    </row>
    <row r="1290" spans="4:4" ht="17.649999999999999" x14ac:dyDescent="0.5">
      <c r="D1290" s="3" t="s">
        <v>128</v>
      </c>
    </row>
    <row r="1291" spans="4:4" ht="17.649999999999999" x14ac:dyDescent="0.5">
      <c r="D1291" s="3" t="s">
        <v>109</v>
      </c>
    </row>
    <row r="1292" spans="4:4" ht="17.649999999999999" x14ac:dyDescent="0.5">
      <c r="D1292" s="3" t="s">
        <v>61</v>
      </c>
    </row>
    <row r="1293" spans="4:4" ht="17.649999999999999" x14ac:dyDescent="0.5">
      <c r="D1293" s="3" t="s">
        <v>95</v>
      </c>
    </row>
    <row r="1294" spans="4:4" ht="17.649999999999999" x14ac:dyDescent="0.5">
      <c r="D1294" s="3" t="s">
        <v>68</v>
      </c>
    </row>
    <row r="1295" spans="4:4" ht="17.649999999999999" x14ac:dyDescent="0.5">
      <c r="D1295" s="3" t="s">
        <v>93</v>
      </c>
    </row>
    <row r="1296" spans="4:4" ht="17.649999999999999" x14ac:dyDescent="0.5">
      <c r="D1296" s="3" t="s">
        <v>63</v>
      </c>
    </row>
    <row r="1297" spans="4:4" ht="17.649999999999999" x14ac:dyDescent="0.5">
      <c r="D1297" s="3" t="s">
        <v>75</v>
      </c>
    </row>
    <row r="1298" spans="4:4" ht="17.649999999999999" x14ac:dyDescent="0.5">
      <c r="D1298" s="3" t="s">
        <v>90</v>
      </c>
    </row>
    <row r="1299" spans="4:4" ht="17.649999999999999" x14ac:dyDescent="0.5">
      <c r="D1299" s="3" t="s">
        <v>111</v>
      </c>
    </row>
    <row r="1300" spans="4:4" ht="17.649999999999999" x14ac:dyDescent="0.5">
      <c r="D1300" s="3" t="s">
        <v>115</v>
      </c>
    </row>
    <row r="1301" spans="4:4" ht="17.649999999999999" x14ac:dyDescent="0.5">
      <c r="D1301" s="3" t="s">
        <v>95</v>
      </c>
    </row>
    <row r="1302" spans="4:4" ht="17.649999999999999" x14ac:dyDescent="0.5">
      <c r="D1302" s="3" t="s">
        <v>135</v>
      </c>
    </row>
    <row r="1303" spans="4:4" ht="17.649999999999999" x14ac:dyDescent="0.5">
      <c r="D1303" s="3" t="s">
        <v>64</v>
      </c>
    </row>
    <row r="1304" spans="4:4" ht="17.649999999999999" x14ac:dyDescent="0.5">
      <c r="D1304" s="3" t="s">
        <v>68</v>
      </c>
    </row>
    <row r="1305" spans="4:4" ht="17.649999999999999" x14ac:dyDescent="0.5">
      <c r="D1305" s="3" t="s">
        <v>66</v>
      </c>
    </row>
    <row r="1306" spans="4:4" ht="17.649999999999999" x14ac:dyDescent="0.5">
      <c r="D1306" s="3" t="s">
        <v>54</v>
      </c>
    </row>
    <row r="1307" spans="4:4" ht="17.649999999999999" x14ac:dyDescent="0.5">
      <c r="D1307" s="3" t="s">
        <v>134</v>
      </c>
    </row>
    <row r="1308" spans="4:4" ht="17.649999999999999" x14ac:dyDescent="0.5">
      <c r="D1308" s="3" t="s">
        <v>52</v>
      </c>
    </row>
    <row r="1309" spans="4:4" ht="17.649999999999999" x14ac:dyDescent="0.5">
      <c r="D1309" s="3" t="s">
        <v>90</v>
      </c>
    </row>
    <row r="1310" spans="4:4" ht="17.649999999999999" x14ac:dyDescent="0.5">
      <c r="D1310" s="3" t="s">
        <v>61</v>
      </c>
    </row>
    <row r="1311" spans="4:4" ht="17.649999999999999" x14ac:dyDescent="0.5">
      <c r="D1311" s="3" t="s">
        <v>105</v>
      </c>
    </row>
    <row r="1312" spans="4:4" ht="17.649999999999999" x14ac:dyDescent="0.5">
      <c r="D1312" s="3" t="s">
        <v>117</v>
      </c>
    </row>
    <row r="1313" spans="4:4" ht="17.649999999999999" x14ac:dyDescent="0.5">
      <c r="D1313" s="3" t="s">
        <v>98</v>
      </c>
    </row>
    <row r="1314" spans="4:4" ht="17.649999999999999" x14ac:dyDescent="0.5">
      <c r="D1314" s="3" t="s">
        <v>41</v>
      </c>
    </row>
    <row r="1315" spans="4:4" ht="17.649999999999999" x14ac:dyDescent="0.5">
      <c r="D1315" s="3" t="s">
        <v>87</v>
      </c>
    </row>
    <row r="1316" spans="4:4" ht="17.649999999999999" x14ac:dyDescent="0.5">
      <c r="D1316" s="3" t="s">
        <v>115</v>
      </c>
    </row>
    <row r="1317" spans="4:4" ht="17.649999999999999" x14ac:dyDescent="0.5">
      <c r="D1317" s="3" t="s">
        <v>74</v>
      </c>
    </row>
    <row r="1318" spans="4:4" ht="17.649999999999999" x14ac:dyDescent="0.5">
      <c r="D1318" s="3" t="s">
        <v>96</v>
      </c>
    </row>
    <row r="1319" spans="4:4" ht="17.649999999999999" x14ac:dyDescent="0.5">
      <c r="D1319" s="3" t="s">
        <v>52</v>
      </c>
    </row>
    <row r="1320" spans="4:4" ht="17.649999999999999" x14ac:dyDescent="0.5">
      <c r="D1320" s="3" t="s">
        <v>68</v>
      </c>
    </row>
    <row r="1321" spans="4:4" ht="17.649999999999999" x14ac:dyDescent="0.5">
      <c r="D1321" s="3" t="s">
        <v>105</v>
      </c>
    </row>
    <row r="1322" spans="4:4" ht="17.649999999999999" x14ac:dyDescent="0.5">
      <c r="D1322" s="3" t="s">
        <v>124</v>
      </c>
    </row>
    <row r="1323" spans="4:4" ht="17.649999999999999" x14ac:dyDescent="0.5">
      <c r="D1323" s="3" t="s">
        <v>96</v>
      </c>
    </row>
    <row r="1324" spans="4:4" ht="17.649999999999999" x14ac:dyDescent="0.5">
      <c r="D1324" s="3" t="s">
        <v>52</v>
      </c>
    </row>
    <row r="1325" spans="4:4" ht="17.649999999999999" x14ac:dyDescent="0.5">
      <c r="D1325" s="3" t="s">
        <v>55</v>
      </c>
    </row>
    <row r="1326" spans="4:4" ht="17.649999999999999" x14ac:dyDescent="0.5">
      <c r="D1326" s="3" t="s">
        <v>66</v>
      </c>
    </row>
    <row r="1327" spans="4:4" ht="17.649999999999999" x14ac:dyDescent="0.5">
      <c r="D1327" s="3" t="s">
        <v>96</v>
      </c>
    </row>
    <row r="1328" spans="4:4" ht="17.649999999999999" x14ac:dyDescent="0.5">
      <c r="D1328" s="3" t="s">
        <v>75</v>
      </c>
    </row>
    <row r="1329" spans="4:4" ht="17.649999999999999" x14ac:dyDescent="0.5">
      <c r="D1329" s="3" t="s">
        <v>50</v>
      </c>
    </row>
    <row r="1330" spans="4:4" ht="17.649999999999999" x14ac:dyDescent="0.5">
      <c r="D1330" s="3" t="s">
        <v>61</v>
      </c>
    </row>
    <row r="1331" spans="4:4" ht="17.649999999999999" x14ac:dyDescent="0.5">
      <c r="D1331" s="3" t="s">
        <v>120</v>
      </c>
    </row>
    <row r="1332" spans="4:4" ht="17.649999999999999" x14ac:dyDescent="0.5">
      <c r="D1332" s="3" t="s">
        <v>43</v>
      </c>
    </row>
    <row r="1333" spans="4:4" ht="17.649999999999999" x14ac:dyDescent="0.5">
      <c r="D1333" s="3" t="s">
        <v>104</v>
      </c>
    </row>
    <row r="1334" spans="4:4" ht="17.649999999999999" x14ac:dyDescent="0.5">
      <c r="D1334" s="3" t="s">
        <v>46</v>
      </c>
    </row>
    <row r="1335" spans="4:4" ht="17.649999999999999" x14ac:dyDescent="0.5">
      <c r="D1335" s="3" t="s">
        <v>68</v>
      </c>
    </row>
    <row r="1336" spans="4:4" ht="17.649999999999999" x14ac:dyDescent="0.5">
      <c r="D1336" s="3" t="s">
        <v>95</v>
      </c>
    </row>
    <row r="1337" spans="4:4" ht="17.649999999999999" x14ac:dyDescent="0.5">
      <c r="D1337" s="3" t="s">
        <v>87</v>
      </c>
    </row>
    <row r="1338" spans="4:4" ht="17.649999999999999" x14ac:dyDescent="0.5">
      <c r="D1338" s="3" t="s">
        <v>101</v>
      </c>
    </row>
    <row r="1339" spans="4:4" ht="17.649999999999999" x14ac:dyDescent="0.5">
      <c r="D1339" s="3" t="s">
        <v>99</v>
      </c>
    </row>
    <row r="1340" spans="4:4" ht="17.649999999999999" x14ac:dyDescent="0.5">
      <c r="D1340" s="3" t="s">
        <v>109</v>
      </c>
    </row>
    <row r="1341" spans="4:4" ht="17.649999999999999" x14ac:dyDescent="0.5">
      <c r="D1341" s="3" t="s">
        <v>131</v>
      </c>
    </row>
    <row r="1342" spans="4:4" ht="17.649999999999999" x14ac:dyDescent="0.5">
      <c r="D1342" s="3" t="s">
        <v>65</v>
      </c>
    </row>
    <row r="1343" spans="4:4" ht="17.649999999999999" x14ac:dyDescent="0.5">
      <c r="D1343" s="3" t="s">
        <v>49</v>
      </c>
    </row>
    <row r="1344" spans="4:4" ht="17.649999999999999" x14ac:dyDescent="0.5">
      <c r="D1344" s="3" t="s">
        <v>46</v>
      </c>
    </row>
    <row r="1345" spans="4:4" ht="17.649999999999999" x14ac:dyDescent="0.5">
      <c r="D1345" s="3" t="s">
        <v>56</v>
      </c>
    </row>
    <row r="1346" spans="4:4" ht="17.649999999999999" x14ac:dyDescent="0.5">
      <c r="D1346" s="3" t="s">
        <v>126</v>
      </c>
    </row>
    <row r="1347" spans="4:4" ht="17.649999999999999" x14ac:dyDescent="0.5">
      <c r="D1347" s="3" t="s">
        <v>59</v>
      </c>
    </row>
    <row r="1348" spans="4:4" ht="17.649999999999999" x14ac:dyDescent="0.5">
      <c r="D1348" s="3" t="s">
        <v>67</v>
      </c>
    </row>
    <row r="1349" spans="4:4" ht="17.649999999999999" x14ac:dyDescent="0.5">
      <c r="D1349" s="3" t="s">
        <v>107</v>
      </c>
    </row>
    <row r="1350" spans="4:4" ht="17.649999999999999" x14ac:dyDescent="0.5">
      <c r="D1350" s="3" t="s">
        <v>61</v>
      </c>
    </row>
    <row r="1351" spans="4:4" ht="17.649999999999999" x14ac:dyDescent="0.5">
      <c r="D1351" s="3" t="s">
        <v>65</v>
      </c>
    </row>
    <row r="1352" spans="4:4" ht="17.649999999999999" x14ac:dyDescent="0.5">
      <c r="D1352" s="3" t="s">
        <v>84</v>
      </c>
    </row>
    <row r="1353" spans="4:4" ht="17.649999999999999" x14ac:dyDescent="0.5">
      <c r="D1353" s="3" t="s">
        <v>112</v>
      </c>
    </row>
    <row r="1354" spans="4:4" ht="17.649999999999999" x14ac:dyDescent="0.5">
      <c r="D1354" s="3" t="s">
        <v>92</v>
      </c>
    </row>
    <row r="1355" spans="4:4" ht="17.649999999999999" x14ac:dyDescent="0.5">
      <c r="D1355" s="3" t="s">
        <v>129</v>
      </c>
    </row>
    <row r="1356" spans="4:4" ht="17.649999999999999" x14ac:dyDescent="0.5">
      <c r="D1356" s="3" t="s">
        <v>60</v>
      </c>
    </row>
    <row r="1357" spans="4:4" ht="17.649999999999999" x14ac:dyDescent="0.5">
      <c r="D1357" s="3" t="s">
        <v>80</v>
      </c>
    </row>
    <row r="1358" spans="4:4" ht="17.649999999999999" x14ac:dyDescent="0.5">
      <c r="D1358" s="3" t="s">
        <v>54</v>
      </c>
    </row>
    <row r="1359" spans="4:4" ht="17.649999999999999" x14ac:dyDescent="0.5">
      <c r="D1359" s="3" t="s">
        <v>98</v>
      </c>
    </row>
    <row r="1360" spans="4:4" ht="17.649999999999999" x14ac:dyDescent="0.5">
      <c r="D1360" s="3" t="s">
        <v>114</v>
      </c>
    </row>
    <row r="1361" spans="4:4" ht="17.649999999999999" x14ac:dyDescent="0.5">
      <c r="D1361" s="3" t="s">
        <v>116</v>
      </c>
    </row>
    <row r="1362" spans="4:4" ht="17.649999999999999" x14ac:dyDescent="0.5">
      <c r="D1362" s="3" t="s">
        <v>49</v>
      </c>
    </row>
    <row r="1363" spans="4:4" ht="17.649999999999999" x14ac:dyDescent="0.5">
      <c r="D1363" s="3" t="s">
        <v>81</v>
      </c>
    </row>
    <row r="1364" spans="4:4" ht="17.649999999999999" x14ac:dyDescent="0.5">
      <c r="D1364" s="3" t="s">
        <v>106</v>
      </c>
    </row>
    <row r="1365" spans="4:4" ht="17.649999999999999" x14ac:dyDescent="0.5">
      <c r="D1365" s="3" t="s">
        <v>73</v>
      </c>
    </row>
    <row r="1366" spans="4:4" ht="17.649999999999999" x14ac:dyDescent="0.5">
      <c r="D1366" s="3" t="s">
        <v>42</v>
      </c>
    </row>
    <row r="1367" spans="4:4" ht="17.649999999999999" x14ac:dyDescent="0.5">
      <c r="D1367" s="3" t="s">
        <v>50</v>
      </c>
    </row>
    <row r="1368" spans="4:4" ht="17.649999999999999" x14ac:dyDescent="0.5">
      <c r="D1368" s="3" t="s">
        <v>69</v>
      </c>
    </row>
    <row r="1369" spans="4:4" ht="17.649999999999999" x14ac:dyDescent="0.5">
      <c r="D1369" s="3" t="s">
        <v>109</v>
      </c>
    </row>
    <row r="1370" spans="4:4" ht="17.649999999999999" x14ac:dyDescent="0.5">
      <c r="D1370" s="3" t="s">
        <v>62</v>
      </c>
    </row>
    <row r="1371" spans="4:4" ht="17.649999999999999" x14ac:dyDescent="0.5">
      <c r="D1371" s="3" t="s">
        <v>84</v>
      </c>
    </row>
    <row r="1372" spans="4:4" ht="17.649999999999999" x14ac:dyDescent="0.5">
      <c r="D1372" s="3" t="s">
        <v>109</v>
      </c>
    </row>
    <row r="1373" spans="4:4" ht="17.649999999999999" x14ac:dyDescent="0.5">
      <c r="D1373" s="3" t="s">
        <v>105</v>
      </c>
    </row>
    <row r="1374" spans="4:4" ht="17.649999999999999" x14ac:dyDescent="0.5">
      <c r="D1374" s="3" t="s">
        <v>112</v>
      </c>
    </row>
    <row r="1375" spans="4:4" ht="17.649999999999999" x14ac:dyDescent="0.5">
      <c r="D1375" s="3" t="s">
        <v>66</v>
      </c>
    </row>
    <row r="1376" spans="4:4" ht="17.649999999999999" x14ac:dyDescent="0.5">
      <c r="D1376" s="3" t="s">
        <v>53</v>
      </c>
    </row>
    <row r="1377" spans="4:4" ht="17.649999999999999" x14ac:dyDescent="0.5">
      <c r="D1377" s="3" t="s">
        <v>134</v>
      </c>
    </row>
    <row r="1378" spans="4:4" ht="17.649999999999999" x14ac:dyDescent="0.5">
      <c r="D1378" s="3" t="s">
        <v>98</v>
      </c>
    </row>
    <row r="1379" spans="4:4" ht="17.649999999999999" x14ac:dyDescent="0.5">
      <c r="D1379" s="3" t="s">
        <v>100</v>
      </c>
    </row>
    <row r="1380" spans="4:4" ht="17.649999999999999" x14ac:dyDescent="0.5">
      <c r="D1380" s="3" t="s">
        <v>118</v>
      </c>
    </row>
    <row r="1381" spans="4:4" ht="17.649999999999999" x14ac:dyDescent="0.5">
      <c r="D1381" s="3" t="s">
        <v>86</v>
      </c>
    </row>
    <row r="1382" spans="4:4" ht="17.649999999999999" x14ac:dyDescent="0.5">
      <c r="D1382" s="3" t="s">
        <v>106</v>
      </c>
    </row>
    <row r="1383" spans="4:4" ht="17.649999999999999" x14ac:dyDescent="0.5">
      <c r="D1383" s="3" t="s">
        <v>87</v>
      </c>
    </row>
    <row r="1384" spans="4:4" ht="17.649999999999999" x14ac:dyDescent="0.5">
      <c r="D1384" s="3" t="s">
        <v>110</v>
      </c>
    </row>
    <row r="1385" spans="4:4" ht="17.649999999999999" x14ac:dyDescent="0.5">
      <c r="D1385" s="3" t="s">
        <v>57</v>
      </c>
    </row>
    <row r="1386" spans="4:4" ht="17.649999999999999" x14ac:dyDescent="0.5">
      <c r="D1386" s="3" t="s">
        <v>103</v>
      </c>
    </row>
    <row r="1387" spans="4:4" ht="17.649999999999999" x14ac:dyDescent="0.5">
      <c r="D1387" s="3" t="s">
        <v>83</v>
      </c>
    </row>
    <row r="1388" spans="4:4" ht="17.649999999999999" x14ac:dyDescent="0.5">
      <c r="D1388" s="3" t="s">
        <v>85</v>
      </c>
    </row>
    <row r="1389" spans="4:4" ht="17.649999999999999" x14ac:dyDescent="0.5">
      <c r="D1389" s="3" t="s">
        <v>65</v>
      </c>
    </row>
    <row r="1390" spans="4:4" ht="17.649999999999999" x14ac:dyDescent="0.5">
      <c r="D1390" s="3" t="s">
        <v>44</v>
      </c>
    </row>
    <row r="1391" spans="4:4" ht="17.649999999999999" x14ac:dyDescent="0.5">
      <c r="D1391" s="3" t="s">
        <v>66</v>
      </c>
    </row>
    <row r="1392" spans="4:4" ht="17.649999999999999" x14ac:dyDescent="0.5">
      <c r="D1392" s="3" t="s">
        <v>41</v>
      </c>
    </row>
    <row r="1393" spans="4:4" ht="17.649999999999999" x14ac:dyDescent="0.5">
      <c r="D1393" s="3" t="s">
        <v>124</v>
      </c>
    </row>
    <row r="1394" spans="4:4" ht="17.649999999999999" x14ac:dyDescent="0.5">
      <c r="D1394" s="3" t="s">
        <v>68</v>
      </c>
    </row>
    <row r="1395" spans="4:4" ht="17.649999999999999" x14ac:dyDescent="0.5">
      <c r="D1395" s="3" t="s">
        <v>85</v>
      </c>
    </row>
    <row r="1396" spans="4:4" ht="17.649999999999999" x14ac:dyDescent="0.5">
      <c r="D1396" s="3" t="s">
        <v>103</v>
      </c>
    </row>
    <row r="1397" spans="4:4" ht="17.649999999999999" x14ac:dyDescent="0.5">
      <c r="D1397" s="3" t="s">
        <v>114</v>
      </c>
    </row>
    <row r="1398" spans="4:4" ht="17.649999999999999" x14ac:dyDescent="0.5">
      <c r="D1398" s="3" t="s">
        <v>73</v>
      </c>
    </row>
    <row r="1399" spans="4:4" ht="17.649999999999999" x14ac:dyDescent="0.5">
      <c r="D1399" s="3" t="s">
        <v>74</v>
      </c>
    </row>
    <row r="1400" spans="4:4" ht="17.649999999999999" x14ac:dyDescent="0.5">
      <c r="D1400" s="3" t="s">
        <v>112</v>
      </c>
    </row>
    <row r="1401" spans="4:4" ht="17.649999999999999" x14ac:dyDescent="0.5">
      <c r="D1401" s="3" t="s">
        <v>48</v>
      </c>
    </row>
    <row r="1402" spans="4:4" ht="17.649999999999999" x14ac:dyDescent="0.5">
      <c r="D1402" s="3" t="s">
        <v>118</v>
      </c>
    </row>
    <row r="1403" spans="4:4" ht="17.649999999999999" x14ac:dyDescent="0.5">
      <c r="D1403" s="3" t="s">
        <v>117</v>
      </c>
    </row>
    <row r="1404" spans="4:4" ht="17.649999999999999" x14ac:dyDescent="0.5">
      <c r="D1404" s="3" t="s">
        <v>62</v>
      </c>
    </row>
    <row r="1405" spans="4:4" ht="17.649999999999999" x14ac:dyDescent="0.5">
      <c r="D1405" s="3" t="s">
        <v>107</v>
      </c>
    </row>
    <row r="1406" spans="4:4" ht="17.649999999999999" x14ac:dyDescent="0.5">
      <c r="D1406" s="3" t="s">
        <v>54</v>
      </c>
    </row>
    <row r="1407" spans="4:4" ht="17.649999999999999" x14ac:dyDescent="0.5">
      <c r="D1407" s="3" t="s">
        <v>96</v>
      </c>
    </row>
    <row r="1408" spans="4:4" ht="17.649999999999999" x14ac:dyDescent="0.5">
      <c r="D1408" s="3" t="s">
        <v>84</v>
      </c>
    </row>
    <row r="1409" spans="4:4" ht="17.649999999999999" x14ac:dyDescent="0.5">
      <c r="D1409" s="3" t="s">
        <v>74</v>
      </c>
    </row>
    <row r="1410" spans="4:4" ht="17.649999999999999" x14ac:dyDescent="0.5">
      <c r="D1410" s="3" t="s">
        <v>112</v>
      </c>
    </row>
    <row r="1411" spans="4:4" ht="17.649999999999999" x14ac:dyDescent="0.5">
      <c r="D1411" s="3" t="s">
        <v>86</v>
      </c>
    </row>
    <row r="1412" spans="4:4" ht="17.649999999999999" x14ac:dyDescent="0.5">
      <c r="D1412" s="3" t="s">
        <v>92</v>
      </c>
    </row>
    <row r="1413" spans="4:4" ht="17.649999999999999" x14ac:dyDescent="0.5">
      <c r="D1413" s="3" t="s">
        <v>103</v>
      </c>
    </row>
    <row r="1414" spans="4:4" ht="17.649999999999999" x14ac:dyDescent="0.5">
      <c r="D1414" s="3" t="s">
        <v>61</v>
      </c>
    </row>
    <row r="1415" spans="4:4" ht="17.649999999999999" x14ac:dyDescent="0.5">
      <c r="D1415" s="3" t="s">
        <v>57</v>
      </c>
    </row>
    <row r="1416" spans="4:4" ht="17.649999999999999" x14ac:dyDescent="0.5">
      <c r="D1416" s="3" t="s">
        <v>44</v>
      </c>
    </row>
    <row r="1417" spans="4:4" ht="17.649999999999999" x14ac:dyDescent="0.5">
      <c r="D1417" s="3" t="s">
        <v>77</v>
      </c>
    </row>
    <row r="1418" spans="4:4" ht="17.649999999999999" x14ac:dyDescent="0.5">
      <c r="D1418" s="3" t="s">
        <v>66</v>
      </c>
    </row>
    <row r="1419" spans="4:4" ht="17.649999999999999" x14ac:dyDescent="0.5">
      <c r="D1419" s="3" t="s">
        <v>78</v>
      </c>
    </row>
    <row r="1420" spans="4:4" ht="17.649999999999999" x14ac:dyDescent="0.5">
      <c r="D1420" s="3" t="s">
        <v>105</v>
      </c>
    </row>
    <row r="1421" spans="4:4" ht="17.649999999999999" x14ac:dyDescent="0.5">
      <c r="D1421" s="3" t="s">
        <v>112</v>
      </c>
    </row>
    <row r="1422" spans="4:4" ht="17.649999999999999" x14ac:dyDescent="0.5">
      <c r="D1422" s="3" t="s">
        <v>74</v>
      </c>
    </row>
    <row r="1423" spans="4:4" ht="17.649999999999999" x14ac:dyDescent="0.5">
      <c r="D1423" s="3" t="s">
        <v>68</v>
      </c>
    </row>
    <row r="1424" spans="4:4" ht="17.649999999999999" x14ac:dyDescent="0.5">
      <c r="D1424" s="3" t="s">
        <v>50</v>
      </c>
    </row>
    <row r="1425" spans="4:4" ht="17.649999999999999" x14ac:dyDescent="0.5">
      <c r="D1425" s="3" t="s">
        <v>47</v>
      </c>
    </row>
    <row r="1426" spans="4:4" ht="17.649999999999999" x14ac:dyDescent="0.5">
      <c r="D1426" s="3" t="s">
        <v>44</v>
      </c>
    </row>
    <row r="1427" spans="4:4" ht="17.649999999999999" x14ac:dyDescent="0.5">
      <c r="D1427" s="3" t="s">
        <v>74</v>
      </c>
    </row>
    <row r="1428" spans="4:4" ht="17.649999999999999" x14ac:dyDescent="0.5">
      <c r="D1428" s="3" t="s">
        <v>52</v>
      </c>
    </row>
    <row r="1429" spans="4:4" ht="17.649999999999999" x14ac:dyDescent="0.5">
      <c r="D1429" s="3" t="s">
        <v>58</v>
      </c>
    </row>
    <row r="1430" spans="4:4" ht="17.649999999999999" x14ac:dyDescent="0.5">
      <c r="D1430" s="3" t="s">
        <v>46</v>
      </c>
    </row>
    <row r="1431" spans="4:4" ht="17.649999999999999" x14ac:dyDescent="0.5">
      <c r="D1431" s="3" t="s">
        <v>91</v>
      </c>
    </row>
    <row r="1432" spans="4:4" ht="17.649999999999999" x14ac:dyDescent="0.5">
      <c r="D1432" s="3" t="s">
        <v>72</v>
      </c>
    </row>
    <row r="1433" spans="4:4" ht="17.649999999999999" x14ac:dyDescent="0.5">
      <c r="D1433" s="3" t="s">
        <v>64</v>
      </c>
    </row>
    <row r="1434" spans="4:4" ht="17.649999999999999" x14ac:dyDescent="0.5">
      <c r="D1434" s="3" t="s">
        <v>69</v>
      </c>
    </row>
    <row r="1435" spans="4:4" ht="17.649999999999999" x14ac:dyDescent="0.5">
      <c r="D1435" s="3" t="s">
        <v>60</v>
      </c>
    </row>
    <row r="1436" spans="4:4" ht="17.649999999999999" x14ac:dyDescent="0.5">
      <c r="D1436" s="3" t="s">
        <v>85</v>
      </c>
    </row>
    <row r="1437" spans="4:4" ht="17.649999999999999" x14ac:dyDescent="0.5">
      <c r="D1437" s="3" t="s">
        <v>65</v>
      </c>
    </row>
    <row r="1438" spans="4:4" ht="17.649999999999999" x14ac:dyDescent="0.5">
      <c r="D1438" s="3" t="s">
        <v>92</v>
      </c>
    </row>
    <row r="1439" spans="4:4" ht="17.649999999999999" x14ac:dyDescent="0.5">
      <c r="D1439" s="3" t="s">
        <v>105</v>
      </c>
    </row>
    <row r="1440" spans="4:4" ht="17.649999999999999" x14ac:dyDescent="0.5">
      <c r="D1440" s="3" t="s">
        <v>115</v>
      </c>
    </row>
    <row r="1441" spans="4:4" ht="17.649999999999999" x14ac:dyDescent="0.5">
      <c r="D1441" s="3" t="s">
        <v>52</v>
      </c>
    </row>
    <row r="1442" spans="4:4" ht="17.649999999999999" x14ac:dyDescent="0.5">
      <c r="D1442" s="3" t="s">
        <v>112</v>
      </c>
    </row>
    <row r="1443" spans="4:4" ht="17.649999999999999" x14ac:dyDescent="0.5">
      <c r="D1443" s="3" t="s">
        <v>103</v>
      </c>
    </row>
    <row r="1444" spans="4:4" ht="17.649999999999999" x14ac:dyDescent="0.5">
      <c r="D1444" s="3" t="s">
        <v>41</v>
      </c>
    </row>
    <row r="1445" spans="4:4" ht="17.649999999999999" x14ac:dyDescent="0.5">
      <c r="D1445" s="3" t="s">
        <v>107</v>
      </c>
    </row>
    <row r="1446" spans="4:4" ht="17.649999999999999" x14ac:dyDescent="0.5">
      <c r="D1446" s="3" t="s">
        <v>64</v>
      </c>
    </row>
    <row r="1447" spans="4:4" ht="17.649999999999999" x14ac:dyDescent="0.5">
      <c r="D1447" s="3" t="s">
        <v>92</v>
      </c>
    </row>
    <row r="1448" spans="4:4" ht="17.649999999999999" x14ac:dyDescent="0.5">
      <c r="D1448" s="3" t="s">
        <v>50</v>
      </c>
    </row>
    <row r="1449" spans="4:4" ht="17.649999999999999" x14ac:dyDescent="0.5">
      <c r="D1449" s="3" t="s">
        <v>41</v>
      </c>
    </row>
    <row r="1450" spans="4:4" ht="17.649999999999999" x14ac:dyDescent="0.5">
      <c r="D1450" s="3" t="s">
        <v>98</v>
      </c>
    </row>
    <row r="1451" spans="4:4" ht="17.649999999999999" x14ac:dyDescent="0.5">
      <c r="D1451" s="3" t="s">
        <v>52</v>
      </c>
    </row>
    <row r="1452" spans="4:4" ht="17.649999999999999" x14ac:dyDescent="0.5">
      <c r="D1452" s="3" t="s">
        <v>57</v>
      </c>
    </row>
    <row r="1453" spans="4:4" ht="17.649999999999999" x14ac:dyDescent="0.5">
      <c r="D1453" s="3" t="s">
        <v>112</v>
      </c>
    </row>
    <row r="1454" spans="4:4" ht="17.649999999999999" x14ac:dyDescent="0.5">
      <c r="D1454" s="3" t="s">
        <v>67</v>
      </c>
    </row>
    <row r="1455" spans="4:4" ht="17.649999999999999" x14ac:dyDescent="0.5">
      <c r="D1455" s="3" t="s">
        <v>70</v>
      </c>
    </row>
    <row r="1456" spans="4:4" ht="17.649999999999999" x14ac:dyDescent="0.5">
      <c r="D1456" s="3" t="s">
        <v>126</v>
      </c>
    </row>
    <row r="1457" spans="4:4" ht="17.649999999999999" x14ac:dyDescent="0.5">
      <c r="D1457" s="3" t="s">
        <v>41</v>
      </c>
    </row>
    <row r="1458" spans="4:4" ht="17.649999999999999" x14ac:dyDescent="0.5">
      <c r="D1458" s="3" t="s">
        <v>52</v>
      </c>
    </row>
    <row r="1459" spans="4:4" ht="17.649999999999999" x14ac:dyDescent="0.5">
      <c r="D1459" s="3" t="s">
        <v>63</v>
      </c>
    </row>
    <row r="1460" spans="4:4" ht="17.649999999999999" x14ac:dyDescent="0.5">
      <c r="D1460" s="3" t="s">
        <v>58</v>
      </c>
    </row>
    <row r="1461" spans="4:4" ht="17.649999999999999" x14ac:dyDescent="0.5">
      <c r="D1461" s="3" t="s">
        <v>54</v>
      </c>
    </row>
    <row r="1462" spans="4:4" ht="17.649999999999999" x14ac:dyDescent="0.5">
      <c r="D1462" s="3" t="s">
        <v>105</v>
      </c>
    </row>
    <row r="1463" spans="4:4" ht="17.649999999999999" x14ac:dyDescent="0.5">
      <c r="D1463" s="3" t="s">
        <v>51</v>
      </c>
    </row>
    <row r="1464" spans="4:4" ht="17.649999999999999" x14ac:dyDescent="0.5">
      <c r="D1464" s="3" t="s">
        <v>75</v>
      </c>
    </row>
    <row r="1465" spans="4:4" ht="17.649999999999999" x14ac:dyDescent="0.5">
      <c r="D1465" s="3" t="s">
        <v>130</v>
      </c>
    </row>
    <row r="1466" spans="4:4" ht="17.649999999999999" x14ac:dyDescent="0.5">
      <c r="D1466" s="3" t="s">
        <v>98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65</v>
      </c>
    </row>
    <row r="1469" spans="4:4" ht="17.649999999999999" x14ac:dyDescent="0.5">
      <c r="D1469" s="3" t="s">
        <v>93</v>
      </c>
    </row>
    <row r="1470" spans="4:4" ht="17.649999999999999" x14ac:dyDescent="0.5">
      <c r="D1470" s="3" t="s">
        <v>73</v>
      </c>
    </row>
    <row r="1471" spans="4:4" ht="17.649999999999999" x14ac:dyDescent="0.5">
      <c r="D1471" s="3" t="s">
        <v>103</v>
      </c>
    </row>
    <row r="1472" spans="4:4" ht="17.649999999999999" x14ac:dyDescent="0.5">
      <c r="D1472" s="3" t="s">
        <v>105</v>
      </c>
    </row>
    <row r="1473" spans="4:4" ht="17.649999999999999" x14ac:dyDescent="0.5">
      <c r="D1473" s="3" t="s">
        <v>106</v>
      </c>
    </row>
    <row r="1474" spans="4:4" ht="17.649999999999999" x14ac:dyDescent="0.5">
      <c r="D1474" s="3" t="s">
        <v>87</v>
      </c>
    </row>
    <row r="1475" spans="4:4" ht="17.649999999999999" x14ac:dyDescent="0.5">
      <c r="D1475" s="3" t="s">
        <v>114</v>
      </c>
    </row>
    <row r="1476" spans="4:4" ht="17.649999999999999" x14ac:dyDescent="0.5">
      <c r="D1476" s="3" t="s">
        <v>73</v>
      </c>
    </row>
    <row r="1477" spans="4:4" ht="17.649999999999999" x14ac:dyDescent="0.5">
      <c r="D1477" s="3" t="s">
        <v>87</v>
      </c>
    </row>
    <row r="1478" spans="4:4" ht="17.649999999999999" x14ac:dyDescent="0.5">
      <c r="D1478" s="3" t="s">
        <v>53</v>
      </c>
    </row>
    <row r="1479" spans="4:4" ht="17.649999999999999" x14ac:dyDescent="0.5">
      <c r="D1479" s="3" t="s">
        <v>43</v>
      </c>
    </row>
    <row r="1480" spans="4:4" ht="17.649999999999999" x14ac:dyDescent="0.5">
      <c r="D1480" s="3" t="s">
        <v>83</v>
      </c>
    </row>
    <row r="1481" spans="4:4" ht="17.649999999999999" x14ac:dyDescent="0.5">
      <c r="D1481" s="3" t="s">
        <v>111</v>
      </c>
    </row>
    <row r="1482" spans="4:4" ht="17.649999999999999" x14ac:dyDescent="0.5">
      <c r="D1482" s="3" t="s">
        <v>112</v>
      </c>
    </row>
    <row r="1483" spans="4:4" ht="17.649999999999999" x14ac:dyDescent="0.5">
      <c r="D1483" s="3" t="s">
        <v>97</v>
      </c>
    </row>
    <row r="1484" spans="4:4" ht="17.649999999999999" x14ac:dyDescent="0.5">
      <c r="D1484" s="3" t="s">
        <v>55</v>
      </c>
    </row>
    <row r="1485" spans="4:4" ht="17.649999999999999" x14ac:dyDescent="0.5">
      <c r="D1485" s="3" t="s">
        <v>64</v>
      </c>
    </row>
    <row r="1486" spans="4:4" ht="17.649999999999999" x14ac:dyDescent="0.5">
      <c r="D1486" s="3" t="s">
        <v>103</v>
      </c>
    </row>
    <row r="1487" spans="4:4" ht="17.649999999999999" x14ac:dyDescent="0.5">
      <c r="D1487" s="3" t="s">
        <v>61</v>
      </c>
    </row>
    <row r="1488" spans="4:4" ht="17.649999999999999" x14ac:dyDescent="0.5">
      <c r="D1488" s="3" t="s">
        <v>98</v>
      </c>
    </row>
    <row r="1489" spans="4:4" ht="17.649999999999999" x14ac:dyDescent="0.5">
      <c r="D1489" s="3" t="s">
        <v>96</v>
      </c>
    </row>
    <row r="1490" spans="4:4" ht="17.649999999999999" x14ac:dyDescent="0.5">
      <c r="D1490" s="3" t="s">
        <v>49</v>
      </c>
    </row>
    <row r="1491" spans="4:4" ht="17.649999999999999" x14ac:dyDescent="0.5">
      <c r="D1491" s="3" t="s">
        <v>112</v>
      </c>
    </row>
    <row r="1492" spans="4:4" ht="17.649999999999999" x14ac:dyDescent="0.5">
      <c r="D1492" s="3" t="s">
        <v>105</v>
      </c>
    </row>
    <row r="1493" spans="4:4" ht="17.649999999999999" x14ac:dyDescent="0.5">
      <c r="D1493" s="3" t="s">
        <v>61</v>
      </c>
    </row>
    <row r="1494" spans="4:4" ht="17.649999999999999" x14ac:dyDescent="0.5">
      <c r="D1494" s="3" t="s">
        <v>62</v>
      </c>
    </row>
    <row r="1495" spans="4:4" ht="17.649999999999999" x14ac:dyDescent="0.5">
      <c r="D1495" s="3" t="s">
        <v>113</v>
      </c>
    </row>
    <row r="1496" spans="4:4" ht="17.649999999999999" x14ac:dyDescent="0.5">
      <c r="D1496" s="3" t="s">
        <v>125</v>
      </c>
    </row>
    <row r="1497" spans="4:4" ht="17.649999999999999" x14ac:dyDescent="0.5">
      <c r="D1497" s="3" t="s">
        <v>130</v>
      </c>
    </row>
    <row r="1498" spans="4:4" ht="17.649999999999999" x14ac:dyDescent="0.5">
      <c r="D1498" s="3" t="s">
        <v>52</v>
      </c>
    </row>
    <row r="1499" spans="4:4" ht="17.649999999999999" x14ac:dyDescent="0.5">
      <c r="D1499" s="3" t="s">
        <v>116</v>
      </c>
    </row>
    <row r="1500" spans="4:4" ht="17.649999999999999" x14ac:dyDescent="0.5">
      <c r="D1500" s="3" t="s">
        <v>94</v>
      </c>
    </row>
    <row r="1501" spans="4:4" ht="17.649999999999999" x14ac:dyDescent="0.5">
      <c r="D1501" s="3" t="s">
        <v>125</v>
      </c>
    </row>
    <row r="1502" spans="4:4" ht="17.649999999999999" x14ac:dyDescent="0.5">
      <c r="D1502" s="3" t="s">
        <v>107</v>
      </c>
    </row>
    <row r="1503" spans="4:4" ht="17.649999999999999" x14ac:dyDescent="0.5">
      <c r="D1503" s="3" t="s">
        <v>52</v>
      </c>
    </row>
    <row r="1504" spans="4:4" ht="17.649999999999999" x14ac:dyDescent="0.5">
      <c r="D1504" s="3" t="s">
        <v>90</v>
      </c>
    </row>
    <row r="1505" spans="4:4" ht="17.649999999999999" x14ac:dyDescent="0.5">
      <c r="D1505" s="3" t="s">
        <v>134</v>
      </c>
    </row>
    <row r="1506" spans="4:4" ht="17.649999999999999" x14ac:dyDescent="0.5">
      <c r="D1506" s="3" t="s">
        <v>76</v>
      </c>
    </row>
    <row r="1507" spans="4:4" ht="17.649999999999999" x14ac:dyDescent="0.5">
      <c r="D1507" s="3" t="s">
        <v>99</v>
      </c>
    </row>
    <row r="1508" spans="4:4" ht="17.649999999999999" x14ac:dyDescent="0.5">
      <c r="D1508" s="3" t="s">
        <v>48</v>
      </c>
    </row>
    <row r="1509" spans="4:4" ht="17.649999999999999" x14ac:dyDescent="0.5">
      <c r="D1509" s="3" t="s">
        <v>77</v>
      </c>
    </row>
    <row r="1510" spans="4:4" ht="17.649999999999999" x14ac:dyDescent="0.5">
      <c r="D1510" s="3" t="s">
        <v>92</v>
      </c>
    </row>
    <row r="1511" spans="4:4" ht="17.649999999999999" x14ac:dyDescent="0.5">
      <c r="D1511" s="3" t="s">
        <v>63</v>
      </c>
    </row>
    <row r="1512" spans="4:4" ht="17.649999999999999" x14ac:dyDescent="0.5">
      <c r="D1512" s="3" t="s">
        <v>123</v>
      </c>
    </row>
    <row r="1513" spans="4:4" ht="17.649999999999999" x14ac:dyDescent="0.5">
      <c r="D1513" s="3" t="s">
        <v>57</v>
      </c>
    </row>
    <row r="1514" spans="4:4" ht="17.649999999999999" x14ac:dyDescent="0.5">
      <c r="D1514" s="3" t="s">
        <v>85</v>
      </c>
    </row>
    <row r="1515" spans="4:4" ht="17.649999999999999" x14ac:dyDescent="0.5">
      <c r="D1515" s="3" t="s">
        <v>83</v>
      </c>
    </row>
    <row r="1516" spans="4:4" ht="17.649999999999999" x14ac:dyDescent="0.5">
      <c r="D1516" s="3" t="s">
        <v>103</v>
      </c>
    </row>
    <row r="1517" spans="4:4" ht="17.649999999999999" x14ac:dyDescent="0.5">
      <c r="D1517" s="3" t="s">
        <v>102</v>
      </c>
    </row>
    <row r="1518" spans="4:4" ht="17.649999999999999" x14ac:dyDescent="0.5">
      <c r="D1518" s="3" t="s">
        <v>57</v>
      </c>
    </row>
    <row r="1519" spans="4:4" ht="17.649999999999999" x14ac:dyDescent="0.5">
      <c r="D1519" s="3" t="s">
        <v>101</v>
      </c>
    </row>
    <row r="1520" spans="4:4" ht="17.649999999999999" x14ac:dyDescent="0.5">
      <c r="D1520" s="3" t="s">
        <v>75</v>
      </c>
    </row>
    <row r="1521" spans="4:4" ht="17.649999999999999" x14ac:dyDescent="0.5">
      <c r="D1521" s="3" t="s">
        <v>128</v>
      </c>
    </row>
    <row r="1522" spans="4:4" ht="17.649999999999999" x14ac:dyDescent="0.5">
      <c r="D1522" s="3" t="s">
        <v>85</v>
      </c>
    </row>
    <row r="1523" spans="4:4" ht="17.649999999999999" x14ac:dyDescent="0.5">
      <c r="D1523" s="3" t="s">
        <v>83</v>
      </c>
    </row>
    <row r="1524" spans="4:4" ht="17.649999999999999" x14ac:dyDescent="0.5">
      <c r="D1524" s="3" t="s">
        <v>67</v>
      </c>
    </row>
    <row r="1525" spans="4:4" ht="17.649999999999999" x14ac:dyDescent="0.5">
      <c r="D1525" s="3" t="s">
        <v>65</v>
      </c>
    </row>
    <row r="1526" spans="4:4" ht="17.649999999999999" x14ac:dyDescent="0.5">
      <c r="D1526" s="3" t="s">
        <v>120</v>
      </c>
    </row>
    <row r="1527" spans="4:4" ht="17.649999999999999" x14ac:dyDescent="0.5">
      <c r="D1527" s="3" t="s">
        <v>44</v>
      </c>
    </row>
    <row r="1528" spans="4:4" ht="17.649999999999999" x14ac:dyDescent="0.5">
      <c r="D1528" s="3" t="s">
        <v>127</v>
      </c>
    </row>
    <row r="1529" spans="4:4" ht="17.649999999999999" x14ac:dyDescent="0.5">
      <c r="D1529" s="3" t="s">
        <v>90</v>
      </c>
    </row>
    <row r="1530" spans="4:4" ht="17.649999999999999" x14ac:dyDescent="0.5">
      <c r="D1530" s="3" t="s">
        <v>124</v>
      </c>
    </row>
    <row r="1531" spans="4:4" ht="17.649999999999999" x14ac:dyDescent="0.5">
      <c r="D1531" s="3" t="s">
        <v>85</v>
      </c>
    </row>
    <row r="1532" spans="4:4" ht="17.649999999999999" x14ac:dyDescent="0.5">
      <c r="D1532" s="3" t="s">
        <v>84</v>
      </c>
    </row>
    <row r="1533" spans="4:4" ht="17.649999999999999" x14ac:dyDescent="0.5">
      <c r="D1533" s="3" t="s">
        <v>65</v>
      </c>
    </row>
    <row r="1534" spans="4:4" ht="17.649999999999999" x14ac:dyDescent="0.5">
      <c r="D1534" s="3" t="s">
        <v>87</v>
      </c>
    </row>
    <row r="1535" spans="4:4" ht="17.649999999999999" x14ac:dyDescent="0.5">
      <c r="D1535" s="3" t="s">
        <v>55</v>
      </c>
    </row>
    <row r="1536" spans="4:4" ht="17.649999999999999" x14ac:dyDescent="0.5">
      <c r="D1536" s="3" t="s">
        <v>59</v>
      </c>
    </row>
    <row r="1537" spans="4:4" ht="17.649999999999999" x14ac:dyDescent="0.5">
      <c r="D1537" s="3" t="s">
        <v>77</v>
      </c>
    </row>
    <row r="1538" spans="4:4" ht="17.649999999999999" x14ac:dyDescent="0.5">
      <c r="D1538" s="3" t="s">
        <v>128</v>
      </c>
    </row>
    <row r="1539" spans="4:4" ht="17.649999999999999" x14ac:dyDescent="0.5">
      <c r="D1539" s="3" t="s">
        <v>102</v>
      </c>
    </row>
    <row r="1540" spans="4:4" ht="17.649999999999999" x14ac:dyDescent="0.5">
      <c r="D1540" s="3" t="s">
        <v>107</v>
      </c>
    </row>
    <row r="1541" spans="4:4" ht="17.649999999999999" x14ac:dyDescent="0.5">
      <c r="D1541" s="3" t="s">
        <v>48</v>
      </c>
    </row>
    <row r="1542" spans="4:4" ht="17.649999999999999" x14ac:dyDescent="0.5">
      <c r="D1542" s="3" t="s">
        <v>54</v>
      </c>
    </row>
    <row r="1543" spans="4:4" ht="17.649999999999999" x14ac:dyDescent="0.5">
      <c r="D1543" s="3" t="s">
        <v>113</v>
      </c>
    </row>
    <row r="1544" spans="4:4" ht="17.649999999999999" x14ac:dyDescent="0.5">
      <c r="D1544" s="3" t="s">
        <v>102</v>
      </c>
    </row>
    <row r="1545" spans="4:4" ht="17.649999999999999" x14ac:dyDescent="0.5">
      <c r="D1545" s="3" t="s">
        <v>111</v>
      </c>
    </row>
    <row r="1546" spans="4:4" ht="17.649999999999999" x14ac:dyDescent="0.5">
      <c r="D1546" s="3" t="s">
        <v>98</v>
      </c>
    </row>
    <row r="1547" spans="4:4" ht="17.649999999999999" x14ac:dyDescent="0.5">
      <c r="D1547" s="3" t="s">
        <v>53</v>
      </c>
    </row>
    <row r="1548" spans="4:4" ht="17.649999999999999" x14ac:dyDescent="0.5">
      <c r="D1548" s="3" t="s">
        <v>50</v>
      </c>
    </row>
    <row r="1549" spans="4:4" ht="17.649999999999999" x14ac:dyDescent="0.5">
      <c r="D1549" s="3" t="s">
        <v>54</v>
      </c>
    </row>
    <row r="1550" spans="4:4" ht="17.649999999999999" x14ac:dyDescent="0.5">
      <c r="D1550" s="3" t="s">
        <v>68</v>
      </c>
    </row>
    <row r="1551" spans="4:4" ht="17.649999999999999" x14ac:dyDescent="0.5">
      <c r="D1551" s="3" t="s">
        <v>93</v>
      </c>
    </row>
    <row r="1552" spans="4:4" ht="17.649999999999999" x14ac:dyDescent="0.5">
      <c r="D1552" s="3" t="s">
        <v>68</v>
      </c>
    </row>
    <row r="1553" spans="4:4" ht="17.649999999999999" x14ac:dyDescent="0.5">
      <c r="D1553" s="3" t="s">
        <v>81</v>
      </c>
    </row>
    <row r="1554" spans="4:4" ht="17.649999999999999" x14ac:dyDescent="0.5">
      <c r="D1554" s="3" t="s">
        <v>52</v>
      </c>
    </row>
    <row r="1555" spans="4:4" ht="17.649999999999999" x14ac:dyDescent="0.5">
      <c r="D1555" s="3" t="s">
        <v>61</v>
      </c>
    </row>
    <row r="1556" spans="4:4" ht="17.649999999999999" x14ac:dyDescent="0.5">
      <c r="D1556" s="3" t="s">
        <v>49</v>
      </c>
    </row>
    <row r="1557" spans="4:4" ht="17.649999999999999" x14ac:dyDescent="0.5">
      <c r="D1557" s="3" t="s">
        <v>66</v>
      </c>
    </row>
    <row r="1558" spans="4:4" ht="17.649999999999999" x14ac:dyDescent="0.5">
      <c r="D1558" s="3" t="s">
        <v>50</v>
      </c>
    </row>
    <row r="1559" spans="4:4" ht="17.649999999999999" x14ac:dyDescent="0.5">
      <c r="D1559" s="3" t="s">
        <v>92</v>
      </c>
    </row>
    <row r="1560" spans="4:4" ht="17.649999999999999" x14ac:dyDescent="0.5">
      <c r="D1560" s="3" t="s">
        <v>59</v>
      </c>
    </row>
    <row r="1561" spans="4:4" ht="17.649999999999999" x14ac:dyDescent="0.5">
      <c r="D1561" s="3" t="s">
        <v>83</v>
      </c>
    </row>
    <row r="1562" spans="4:4" ht="17.649999999999999" x14ac:dyDescent="0.5">
      <c r="D1562" s="3" t="s">
        <v>94</v>
      </c>
    </row>
    <row r="1563" spans="4:4" ht="17.649999999999999" x14ac:dyDescent="0.5">
      <c r="D1563" s="3" t="s">
        <v>115</v>
      </c>
    </row>
    <row r="1564" spans="4:4" ht="17.649999999999999" x14ac:dyDescent="0.5">
      <c r="D1564" s="3" t="s">
        <v>136</v>
      </c>
    </row>
    <row r="1565" spans="4:4" ht="17.649999999999999" x14ac:dyDescent="0.5">
      <c r="D1565" s="3" t="s">
        <v>77</v>
      </c>
    </row>
    <row r="1566" spans="4:4" ht="17.649999999999999" x14ac:dyDescent="0.5">
      <c r="D1566" s="3" t="s">
        <v>78</v>
      </c>
    </row>
    <row r="1567" spans="4:4" ht="17.649999999999999" x14ac:dyDescent="0.5">
      <c r="D1567" s="3" t="s">
        <v>43</v>
      </c>
    </row>
    <row r="1568" spans="4:4" ht="17.649999999999999" x14ac:dyDescent="0.5">
      <c r="D1568" s="3" t="s">
        <v>51</v>
      </c>
    </row>
    <row r="1569" spans="4:4" ht="17.649999999999999" x14ac:dyDescent="0.5">
      <c r="D1569" s="3" t="s">
        <v>49</v>
      </c>
    </row>
    <row r="1570" spans="4:4" ht="17.649999999999999" x14ac:dyDescent="0.5">
      <c r="D1570" s="3" t="s">
        <v>56</v>
      </c>
    </row>
    <row r="1571" spans="4:4" ht="17.649999999999999" x14ac:dyDescent="0.5">
      <c r="D1571" s="3" t="s">
        <v>72</v>
      </c>
    </row>
    <row r="1572" spans="4:4" ht="17.649999999999999" x14ac:dyDescent="0.5">
      <c r="D1572" s="3" t="s">
        <v>73</v>
      </c>
    </row>
    <row r="1573" spans="4:4" ht="17.649999999999999" x14ac:dyDescent="0.5">
      <c r="D1573" s="3" t="s">
        <v>52</v>
      </c>
    </row>
    <row r="1574" spans="4:4" ht="17.649999999999999" x14ac:dyDescent="0.5">
      <c r="D1574" s="3" t="s">
        <v>67</v>
      </c>
    </row>
    <row r="1575" spans="4:4" ht="17.649999999999999" x14ac:dyDescent="0.5">
      <c r="D1575" s="3" t="s">
        <v>48</v>
      </c>
    </row>
    <row r="1576" spans="4:4" ht="17.649999999999999" x14ac:dyDescent="0.5">
      <c r="D1576" s="3" t="s">
        <v>42</v>
      </c>
    </row>
    <row r="1577" spans="4:4" ht="17.649999999999999" x14ac:dyDescent="0.5">
      <c r="D1577" s="3" t="s">
        <v>56</v>
      </c>
    </row>
    <row r="1578" spans="4:4" ht="17.649999999999999" x14ac:dyDescent="0.5">
      <c r="D1578" s="3" t="s">
        <v>77</v>
      </c>
    </row>
    <row r="1579" spans="4:4" ht="17.649999999999999" x14ac:dyDescent="0.5">
      <c r="D1579" s="3" t="s">
        <v>73</v>
      </c>
    </row>
    <row r="1580" spans="4:4" ht="17.649999999999999" x14ac:dyDescent="0.5">
      <c r="D1580" s="3" t="s">
        <v>105</v>
      </c>
    </row>
    <row r="1581" spans="4:4" ht="17.649999999999999" x14ac:dyDescent="0.5">
      <c r="D1581" s="3" t="s">
        <v>78</v>
      </c>
    </row>
    <row r="1582" spans="4:4" ht="17.649999999999999" x14ac:dyDescent="0.5">
      <c r="D1582" s="3" t="s">
        <v>47</v>
      </c>
    </row>
    <row r="1583" spans="4:4" ht="17.649999999999999" x14ac:dyDescent="0.5">
      <c r="D1583" s="3" t="s">
        <v>55</v>
      </c>
    </row>
    <row r="1584" spans="4:4" ht="17.649999999999999" x14ac:dyDescent="0.5">
      <c r="D1584" s="3" t="s">
        <v>115</v>
      </c>
    </row>
    <row r="1585" spans="4:4" ht="17.649999999999999" x14ac:dyDescent="0.5">
      <c r="D1585" s="3" t="s">
        <v>107</v>
      </c>
    </row>
    <row r="1586" spans="4:4" ht="17.649999999999999" x14ac:dyDescent="0.5">
      <c r="D1586" s="3" t="s">
        <v>81</v>
      </c>
    </row>
    <row r="1587" spans="4:4" ht="17.649999999999999" x14ac:dyDescent="0.5">
      <c r="D1587" s="3" t="s">
        <v>102</v>
      </c>
    </row>
    <row r="1588" spans="4:4" ht="17.649999999999999" x14ac:dyDescent="0.5">
      <c r="D1588" s="3" t="s">
        <v>61</v>
      </c>
    </row>
    <row r="1589" spans="4:4" ht="17.649999999999999" x14ac:dyDescent="0.5">
      <c r="D1589" s="3" t="s">
        <v>83</v>
      </c>
    </row>
    <row r="1590" spans="4:4" ht="17.649999999999999" x14ac:dyDescent="0.5">
      <c r="D1590" s="3" t="s">
        <v>107</v>
      </c>
    </row>
    <row r="1591" spans="4:4" ht="17.649999999999999" x14ac:dyDescent="0.5">
      <c r="D1591" s="3" t="s">
        <v>70</v>
      </c>
    </row>
    <row r="1592" spans="4:4" ht="17.649999999999999" x14ac:dyDescent="0.5">
      <c r="D1592" s="3" t="s">
        <v>50</v>
      </c>
    </row>
    <row r="1593" spans="4:4" ht="17.649999999999999" x14ac:dyDescent="0.5">
      <c r="D1593" s="3" t="s">
        <v>117</v>
      </c>
    </row>
    <row r="1594" spans="4:4" ht="17.649999999999999" x14ac:dyDescent="0.5">
      <c r="D1594" s="3" t="s">
        <v>99</v>
      </c>
    </row>
    <row r="1595" spans="4:4" ht="17.649999999999999" x14ac:dyDescent="0.5">
      <c r="D1595" s="3" t="s">
        <v>91</v>
      </c>
    </row>
    <row r="1596" spans="4:4" ht="17.649999999999999" x14ac:dyDescent="0.5">
      <c r="D1596" s="3" t="s">
        <v>65</v>
      </c>
    </row>
    <row r="1597" spans="4:4" ht="17.649999999999999" x14ac:dyDescent="0.5">
      <c r="D1597" s="3" t="s">
        <v>87</v>
      </c>
    </row>
    <row r="1598" spans="4:4" ht="17.649999999999999" x14ac:dyDescent="0.5">
      <c r="D1598" s="3" t="s">
        <v>53</v>
      </c>
    </row>
    <row r="1599" spans="4:4" ht="17.649999999999999" x14ac:dyDescent="0.5">
      <c r="D1599" s="3" t="s">
        <v>43</v>
      </c>
    </row>
    <row r="1600" spans="4:4" ht="17.649999999999999" x14ac:dyDescent="0.5">
      <c r="D1600" s="3" t="s">
        <v>73</v>
      </c>
    </row>
    <row r="1601" spans="4:4" ht="17.649999999999999" x14ac:dyDescent="0.5">
      <c r="D1601" s="3" t="s">
        <v>52</v>
      </c>
    </row>
    <row r="1602" spans="4:4" ht="17.649999999999999" x14ac:dyDescent="0.5">
      <c r="D1602" s="3" t="s">
        <v>64</v>
      </c>
    </row>
    <row r="1603" spans="4:4" ht="17.649999999999999" x14ac:dyDescent="0.5">
      <c r="D1603" s="3" t="s">
        <v>61</v>
      </c>
    </row>
    <row r="1604" spans="4:4" ht="17.649999999999999" x14ac:dyDescent="0.5">
      <c r="D1604" s="3" t="s">
        <v>47</v>
      </c>
    </row>
    <row r="1605" spans="4:4" ht="17.649999999999999" x14ac:dyDescent="0.5">
      <c r="D1605" s="3" t="s">
        <v>66</v>
      </c>
    </row>
    <row r="1606" spans="4:4" ht="17.649999999999999" x14ac:dyDescent="0.5">
      <c r="D1606" s="3" t="s">
        <v>135</v>
      </c>
    </row>
    <row r="1607" spans="4:4" ht="17.649999999999999" x14ac:dyDescent="0.5">
      <c r="D1607" s="3" t="s">
        <v>113</v>
      </c>
    </row>
    <row r="1608" spans="4:4" ht="17.649999999999999" x14ac:dyDescent="0.5">
      <c r="D1608" s="3" t="s">
        <v>57</v>
      </c>
    </row>
    <row r="1609" spans="4:4" ht="17.649999999999999" x14ac:dyDescent="0.5">
      <c r="D1609" s="3" t="s">
        <v>80</v>
      </c>
    </row>
    <row r="1610" spans="4:4" ht="17.649999999999999" x14ac:dyDescent="0.5">
      <c r="D1610" s="3" t="s">
        <v>90</v>
      </c>
    </row>
    <row r="1611" spans="4:4" ht="17.649999999999999" x14ac:dyDescent="0.5">
      <c r="D1611" s="3" t="s">
        <v>121</v>
      </c>
    </row>
    <row r="1612" spans="4:4" ht="17.649999999999999" x14ac:dyDescent="0.5">
      <c r="D1612" s="3" t="s">
        <v>107</v>
      </c>
    </row>
    <row r="1613" spans="4:4" ht="17.649999999999999" x14ac:dyDescent="0.5">
      <c r="D1613" s="3" t="s">
        <v>54</v>
      </c>
    </row>
    <row r="1614" spans="4:4" ht="17.649999999999999" x14ac:dyDescent="0.5">
      <c r="D1614" s="3" t="s">
        <v>61</v>
      </c>
    </row>
    <row r="1615" spans="4:4" ht="17.649999999999999" x14ac:dyDescent="0.5">
      <c r="D1615" s="3" t="s">
        <v>60</v>
      </c>
    </row>
    <row r="1616" spans="4:4" ht="17.649999999999999" x14ac:dyDescent="0.5">
      <c r="D1616" s="3" t="s">
        <v>56</v>
      </c>
    </row>
    <row r="1617" spans="4:4" ht="17.649999999999999" x14ac:dyDescent="0.5">
      <c r="D1617" s="3" t="s">
        <v>92</v>
      </c>
    </row>
    <row r="1618" spans="4:4" ht="17.649999999999999" x14ac:dyDescent="0.5">
      <c r="D1618" s="3" t="s">
        <v>44</v>
      </c>
    </row>
    <row r="1619" spans="4:4" ht="17.649999999999999" x14ac:dyDescent="0.5">
      <c r="D1619" s="3" t="s">
        <v>126</v>
      </c>
    </row>
    <row r="1620" spans="4:4" ht="17.649999999999999" x14ac:dyDescent="0.5">
      <c r="D1620" s="3" t="s">
        <v>51</v>
      </c>
    </row>
    <row r="1621" spans="4:4" ht="17.649999999999999" x14ac:dyDescent="0.5">
      <c r="D1621" s="3" t="s">
        <v>56</v>
      </c>
    </row>
    <row r="1622" spans="4:4" ht="17.649999999999999" x14ac:dyDescent="0.5">
      <c r="D1622" s="3" t="s">
        <v>103</v>
      </c>
    </row>
    <row r="1623" spans="4:4" ht="17.649999999999999" x14ac:dyDescent="0.5">
      <c r="D1623" s="3" t="s">
        <v>51</v>
      </c>
    </row>
    <row r="1624" spans="4:4" ht="17.649999999999999" x14ac:dyDescent="0.5">
      <c r="D1624" s="3" t="s">
        <v>44</v>
      </c>
    </row>
    <row r="1625" spans="4:4" ht="17.649999999999999" x14ac:dyDescent="0.5">
      <c r="D1625" s="3" t="s">
        <v>59</v>
      </c>
    </row>
    <row r="1626" spans="4:4" ht="17.649999999999999" x14ac:dyDescent="0.5">
      <c r="D1626" s="3" t="s">
        <v>94</v>
      </c>
    </row>
    <row r="1627" spans="4:4" ht="17.649999999999999" x14ac:dyDescent="0.5">
      <c r="D1627" s="3" t="s">
        <v>61</v>
      </c>
    </row>
    <row r="1628" spans="4:4" ht="17.649999999999999" x14ac:dyDescent="0.5">
      <c r="D1628" s="3" t="s">
        <v>89</v>
      </c>
    </row>
    <row r="1629" spans="4:4" ht="17.649999999999999" x14ac:dyDescent="0.5">
      <c r="D1629" s="3" t="s">
        <v>47</v>
      </c>
    </row>
    <row r="1630" spans="4:4" ht="17.649999999999999" x14ac:dyDescent="0.5">
      <c r="D1630" s="3" t="s">
        <v>115</v>
      </c>
    </row>
    <row r="1631" spans="4:4" ht="17.649999999999999" x14ac:dyDescent="0.5">
      <c r="D1631" s="3" t="s">
        <v>68</v>
      </c>
    </row>
    <row r="1632" spans="4:4" ht="17.649999999999999" x14ac:dyDescent="0.5">
      <c r="D1632" s="3" t="s">
        <v>120</v>
      </c>
    </row>
    <row r="1633" spans="4:4" ht="17.649999999999999" x14ac:dyDescent="0.5">
      <c r="D1633" s="3" t="s">
        <v>127</v>
      </c>
    </row>
    <row r="1634" spans="4:4" ht="17.649999999999999" x14ac:dyDescent="0.5">
      <c r="D1634" s="3" t="s">
        <v>65</v>
      </c>
    </row>
    <row r="1635" spans="4:4" ht="17.649999999999999" x14ac:dyDescent="0.5">
      <c r="D1635" s="3" t="s">
        <v>119</v>
      </c>
    </row>
    <row r="1636" spans="4:4" ht="17.649999999999999" x14ac:dyDescent="0.5">
      <c r="D1636" s="3" t="s">
        <v>43</v>
      </c>
    </row>
    <row r="1637" spans="4:4" ht="17.649999999999999" x14ac:dyDescent="0.5">
      <c r="D1637" s="3" t="s">
        <v>85</v>
      </c>
    </row>
    <row r="1638" spans="4:4" ht="17.649999999999999" x14ac:dyDescent="0.5">
      <c r="D1638" s="3" t="s">
        <v>86</v>
      </c>
    </row>
    <row r="1639" spans="4:4" ht="17.649999999999999" x14ac:dyDescent="0.5">
      <c r="D1639" s="3" t="s">
        <v>83</v>
      </c>
    </row>
    <row r="1640" spans="4:4" ht="17.649999999999999" x14ac:dyDescent="0.5">
      <c r="D1640" s="3" t="s">
        <v>46</v>
      </c>
    </row>
    <row r="1641" spans="4:4" ht="17.649999999999999" x14ac:dyDescent="0.5">
      <c r="D1641" s="3" t="s">
        <v>74</v>
      </c>
    </row>
    <row r="1642" spans="4:4" ht="17.649999999999999" x14ac:dyDescent="0.5">
      <c r="D1642" s="3" t="s">
        <v>80</v>
      </c>
    </row>
    <row r="1643" spans="4:4" ht="17.649999999999999" x14ac:dyDescent="0.5">
      <c r="D1643" s="3" t="s">
        <v>102</v>
      </c>
    </row>
    <row r="1644" spans="4:4" ht="17.649999999999999" x14ac:dyDescent="0.5">
      <c r="D1644" s="3" t="s">
        <v>117</v>
      </c>
    </row>
    <row r="1645" spans="4:4" ht="17.649999999999999" x14ac:dyDescent="0.5">
      <c r="D1645" s="3" t="s">
        <v>118</v>
      </c>
    </row>
    <row r="1646" spans="4:4" ht="17.649999999999999" x14ac:dyDescent="0.5">
      <c r="D1646" s="3" t="s">
        <v>81</v>
      </c>
    </row>
    <row r="1647" spans="4:4" ht="17.649999999999999" x14ac:dyDescent="0.5">
      <c r="D1647" s="3" t="s">
        <v>55</v>
      </c>
    </row>
    <row r="1648" spans="4:4" ht="17.649999999999999" x14ac:dyDescent="0.5">
      <c r="D1648" s="3" t="s">
        <v>105</v>
      </c>
    </row>
    <row r="1649" spans="4:4" ht="17.649999999999999" x14ac:dyDescent="0.5">
      <c r="D1649" s="3" t="s">
        <v>115</v>
      </c>
    </row>
    <row r="1650" spans="4:4" ht="17.649999999999999" x14ac:dyDescent="0.5">
      <c r="D1650" s="3" t="s">
        <v>90</v>
      </c>
    </row>
    <row r="1651" spans="4:4" ht="17.649999999999999" x14ac:dyDescent="0.5">
      <c r="D1651" s="3" t="s">
        <v>78</v>
      </c>
    </row>
    <row r="1652" spans="4:4" ht="17.649999999999999" x14ac:dyDescent="0.5">
      <c r="D1652" s="3" t="s">
        <v>99</v>
      </c>
    </row>
    <row r="1653" spans="4:4" ht="17.649999999999999" x14ac:dyDescent="0.5">
      <c r="D1653" s="3" t="s">
        <v>42</v>
      </c>
    </row>
    <row r="1654" spans="4:4" ht="17.649999999999999" x14ac:dyDescent="0.5">
      <c r="D1654" s="3" t="s">
        <v>44</v>
      </c>
    </row>
    <row r="1655" spans="4:4" ht="17.649999999999999" x14ac:dyDescent="0.5">
      <c r="D1655" s="3" t="s">
        <v>111</v>
      </c>
    </row>
    <row r="1656" spans="4:4" ht="17.649999999999999" x14ac:dyDescent="0.5">
      <c r="D1656" s="3" t="s">
        <v>85</v>
      </c>
    </row>
    <row r="1657" spans="4:4" ht="17.649999999999999" x14ac:dyDescent="0.5">
      <c r="D1657" s="3" t="s">
        <v>91</v>
      </c>
    </row>
    <row r="1658" spans="4:4" ht="17.649999999999999" x14ac:dyDescent="0.5">
      <c r="D1658" s="3" t="s">
        <v>67</v>
      </c>
    </row>
    <row r="1659" spans="4:4" ht="17.649999999999999" x14ac:dyDescent="0.5">
      <c r="D1659" s="3" t="s">
        <v>121</v>
      </c>
    </row>
    <row r="1660" spans="4:4" ht="17.649999999999999" x14ac:dyDescent="0.5">
      <c r="D1660" s="3" t="s">
        <v>46</v>
      </c>
    </row>
    <row r="1661" spans="4:4" ht="17.649999999999999" x14ac:dyDescent="0.5">
      <c r="D1661" s="3" t="s">
        <v>59</v>
      </c>
    </row>
    <row r="1662" spans="4:4" ht="17.649999999999999" x14ac:dyDescent="0.5">
      <c r="D1662" s="3" t="s">
        <v>44</v>
      </c>
    </row>
    <row r="1663" spans="4:4" ht="17.649999999999999" x14ac:dyDescent="0.5">
      <c r="D1663" s="3" t="s">
        <v>47</v>
      </c>
    </row>
    <row r="1664" spans="4:4" ht="17.649999999999999" x14ac:dyDescent="0.5">
      <c r="D1664" s="3" t="s">
        <v>98</v>
      </c>
    </row>
    <row r="1665" spans="4:4" ht="17.649999999999999" x14ac:dyDescent="0.5">
      <c r="D1665" s="3" t="s">
        <v>112</v>
      </c>
    </row>
    <row r="1666" spans="4:4" ht="17.649999999999999" x14ac:dyDescent="0.5">
      <c r="D1666" s="3" t="s">
        <v>54</v>
      </c>
    </row>
    <row r="1667" spans="4:4" ht="17.649999999999999" x14ac:dyDescent="0.5">
      <c r="D1667" s="3" t="s">
        <v>96</v>
      </c>
    </row>
    <row r="1668" spans="4:4" ht="17.649999999999999" x14ac:dyDescent="0.5">
      <c r="D1668" s="3" t="s">
        <v>46</v>
      </c>
    </row>
    <row r="1669" spans="4:4" ht="17.649999999999999" x14ac:dyDescent="0.5">
      <c r="D1669" s="3" t="s">
        <v>63</v>
      </c>
    </row>
    <row r="1670" spans="4:4" ht="17.649999999999999" x14ac:dyDescent="0.5">
      <c r="D1670" s="3" t="s">
        <v>84</v>
      </c>
    </row>
    <row r="1671" spans="4:4" ht="17.649999999999999" x14ac:dyDescent="0.5">
      <c r="D1671" s="3" t="s">
        <v>75</v>
      </c>
    </row>
    <row r="1672" spans="4:4" ht="17.649999999999999" x14ac:dyDescent="0.5">
      <c r="D1672" s="3" t="s">
        <v>87</v>
      </c>
    </row>
    <row r="1673" spans="4:4" ht="17.649999999999999" x14ac:dyDescent="0.5">
      <c r="D1673" s="3" t="s">
        <v>103</v>
      </c>
    </row>
    <row r="1674" spans="4:4" ht="17.649999999999999" x14ac:dyDescent="0.5">
      <c r="D1674" s="3" t="s">
        <v>94</v>
      </c>
    </row>
    <row r="1675" spans="4:4" ht="17.649999999999999" x14ac:dyDescent="0.5">
      <c r="D1675" s="3" t="s">
        <v>108</v>
      </c>
    </row>
    <row r="1676" spans="4:4" ht="17.649999999999999" x14ac:dyDescent="0.5">
      <c r="D1676" s="3" t="s">
        <v>54</v>
      </c>
    </row>
    <row r="1677" spans="4:4" ht="17.649999999999999" x14ac:dyDescent="0.5">
      <c r="D1677" s="3" t="s">
        <v>55</v>
      </c>
    </row>
    <row r="1678" spans="4:4" ht="17.649999999999999" x14ac:dyDescent="0.5">
      <c r="D1678" s="3" t="s">
        <v>78</v>
      </c>
    </row>
    <row r="1679" spans="4:4" ht="17.649999999999999" x14ac:dyDescent="0.5">
      <c r="D1679" s="3" t="s">
        <v>98</v>
      </c>
    </row>
    <row r="1680" spans="4:4" ht="17.649999999999999" x14ac:dyDescent="0.5">
      <c r="D1680" s="3" t="s">
        <v>66</v>
      </c>
    </row>
    <row r="1681" spans="4:4" ht="17.649999999999999" x14ac:dyDescent="0.5">
      <c r="D1681" s="3" t="s">
        <v>72</v>
      </c>
    </row>
    <row r="1682" spans="4:4" ht="17.649999999999999" x14ac:dyDescent="0.5">
      <c r="D1682" s="3" t="s">
        <v>92</v>
      </c>
    </row>
    <row r="1683" spans="4:4" ht="17.649999999999999" x14ac:dyDescent="0.5">
      <c r="D1683" s="3" t="s">
        <v>47</v>
      </c>
    </row>
    <row r="1684" spans="4:4" ht="17.649999999999999" x14ac:dyDescent="0.5">
      <c r="D1684" s="3" t="s">
        <v>115</v>
      </c>
    </row>
    <row r="1685" spans="4:4" ht="17.649999999999999" x14ac:dyDescent="0.5">
      <c r="D1685" s="3" t="s">
        <v>68</v>
      </c>
    </row>
    <row r="1686" spans="4:4" ht="17.649999999999999" x14ac:dyDescent="0.5">
      <c r="D1686" s="3" t="s">
        <v>127</v>
      </c>
    </row>
    <row r="1687" spans="4:4" ht="17.649999999999999" x14ac:dyDescent="0.5">
      <c r="D1687" s="3" t="s">
        <v>89</v>
      </c>
    </row>
    <row r="1688" spans="4:4" ht="17.649999999999999" x14ac:dyDescent="0.5">
      <c r="D1688" s="3" t="s">
        <v>105</v>
      </c>
    </row>
    <row r="1689" spans="4:4" ht="17.649999999999999" x14ac:dyDescent="0.5">
      <c r="D1689" s="3" t="s">
        <v>61</v>
      </c>
    </row>
    <row r="1690" spans="4:4" ht="17.649999999999999" x14ac:dyDescent="0.5">
      <c r="D1690" s="3" t="s">
        <v>94</v>
      </c>
    </row>
    <row r="1691" spans="4:4" ht="17.649999999999999" x14ac:dyDescent="0.5">
      <c r="D1691" s="3" t="s">
        <v>81</v>
      </c>
    </row>
    <row r="1692" spans="4:4" ht="17.649999999999999" x14ac:dyDescent="0.5">
      <c r="D1692" s="3" t="s">
        <v>77</v>
      </c>
    </row>
    <row r="1693" spans="4:4" ht="17.649999999999999" x14ac:dyDescent="0.5">
      <c r="D1693" s="3" t="s">
        <v>51</v>
      </c>
    </row>
    <row r="1694" spans="4:4" ht="17.649999999999999" x14ac:dyDescent="0.5">
      <c r="D1694" s="3" t="s">
        <v>94</v>
      </c>
    </row>
    <row r="1695" spans="4:4" ht="17.649999999999999" x14ac:dyDescent="0.5">
      <c r="D1695" s="3" t="s">
        <v>64</v>
      </c>
    </row>
    <row r="1696" spans="4:4" ht="17.649999999999999" x14ac:dyDescent="0.5">
      <c r="D1696" s="3" t="s">
        <v>41</v>
      </c>
    </row>
    <row r="1697" spans="4:4" ht="17.649999999999999" x14ac:dyDescent="0.5">
      <c r="D1697" s="3" t="s">
        <v>95</v>
      </c>
    </row>
    <row r="1698" spans="4:4" ht="17.649999999999999" x14ac:dyDescent="0.5">
      <c r="D1698" s="3" t="s">
        <v>66</v>
      </c>
    </row>
    <row r="1699" spans="4:4" ht="17.649999999999999" x14ac:dyDescent="0.5">
      <c r="D1699" s="3" t="s">
        <v>128</v>
      </c>
    </row>
    <row r="1700" spans="4:4" ht="17.649999999999999" x14ac:dyDescent="0.5">
      <c r="D1700" s="3" t="s">
        <v>90</v>
      </c>
    </row>
    <row r="1701" spans="4:4" ht="17.649999999999999" x14ac:dyDescent="0.5">
      <c r="D1701" s="3" t="s">
        <v>85</v>
      </c>
    </row>
    <row r="1702" spans="4:4" ht="17.649999999999999" x14ac:dyDescent="0.5">
      <c r="D1702" s="3" t="s">
        <v>91</v>
      </c>
    </row>
    <row r="1703" spans="4:4" ht="17.649999999999999" x14ac:dyDescent="0.5">
      <c r="D1703" s="3" t="s">
        <v>50</v>
      </c>
    </row>
    <row r="1704" spans="4:4" ht="17.649999999999999" x14ac:dyDescent="0.5">
      <c r="D1704" s="3" t="s">
        <v>115</v>
      </c>
    </row>
    <row r="1705" spans="4:4" ht="17.649999999999999" x14ac:dyDescent="0.5">
      <c r="D1705" s="3" t="s">
        <v>127</v>
      </c>
    </row>
    <row r="1706" spans="4:4" ht="17.649999999999999" x14ac:dyDescent="0.5">
      <c r="D1706" s="3" t="s">
        <v>41</v>
      </c>
    </row>
    <row r="1707" spans="4:4" ht="17.649999999999999" x14ac:dyDescent="0.5">
      <c r="D1707" s="3" t="s">
        <v>64</v>
      </c>
    </row>
    <row r="1708" spans="4:4" ht="17.649999999999999" x14ac:dyDescent="0.5">
      <c r="D1708" s="3" t="s">
        <v>59</v>
      </c>
    </row>
    <row r="1709" spans="4:4" ht="17.649999999999999" x14ac:dyDescent="0.5">
      <c r="D1709" s="3" t="s">
        <v>54</v>
      </c>
    </row>
    <row r="1710" spans="4:4" ht="17.649999999999999" x14ac:dyDescent="0.5">
      <c r="D1710" s="3" t="s">
        <v>72</v>
      </c>
    </row>
    <row r="1711" spans="4:4" ht="17.649999999999999" x14ac:dyDescent="0.5">
      <c r="D1711" s="3" t="s">
        <v>48</v>
      </c>
    </row>
    <row r="1712" spans="4:4" ht="17.649999999999999" x14ac:dyDescent="0.5">
      <c r="D1712" s="3" t="s">
        <v>61</v>
      </c>
    </row>
    <row r="1713" spans="4:4" ht="17.649999999999999" x14ac:dyDescent="0.5">
      <c r="D1713" s="3" t="s">
        <v>124</v>
      </c>
    </row>
    <row r="1714" spans="4:4" ht="17.649999999999999" x14ac:dyDescent="0.5">
      <c r="D1714" s="3" t="s">
        <v>53</v>
      </c>
    </row>
    <row r="1715" spans="4:4" ht="17.649999999999999" x14ac:dyDescent="0.5">
      <c r="D1715" s="3" t="s">
        <v>57</v>
      </c>
    </row>
    <row r="1716" spans="4:4" ht="17.649999999999999" x14ac:dyDescent="0.5">
      <c r="D1716" s="3" t="s">
        <v>75</v>
      </c>
    </row>
    <row r="1717" spans="4:4" ht="17.649999999999999" x14ac:dyDescent="0.5">
      <c r="D1717" s="3" t="s">
        <v>82</v>
      </c>
    </row>
    <row r="1718" spans="4:4" ht="17.649999999999999" x14ac:dyDescent="0.5">
      <c r="D1718" s="3" t="s">
        <v>52</v>
      </c>
    </row>
    <row r="1719" spans="4:4" ht="17.649999999999999" x14ac:dyDescent="0.5">
      <c r="D1719" s="3" t="s">
        <v>110</v>
      </c>
    </row>
    <row r="1720" spans="4:4" ht="17.649999999999999" x14ac:dyDescent="0.5">
      <c r="D1720" s="3" t="s">
        <v>80</v>
      </c>
    </row>
    <row r="1721" spans="4:4" ht="17.649999999999999" x14ac:dyDescent="0.5">
      <c r="D1721" s="3" t="s">
        <v>113</v>
      </c>
    </row>
    <row r="1722" spans="4:4" ht="17.649999999999999" x14ac:dyDescent="0.5">
      <c r="D1722" s="3" t="s">
        <v>41</v>
      </c>
    </row>
    <row r="1723" spans="4:4" ht="17.649999999999999" x14ac:dyDescent="0.5">
      <c r="D1723" s="3" t="s">
        <v>54</v>
      </c>
    </row>
    <row r="1724" spans="4:4" ht="17.649999999999999" x14ac:dyDescent="0.5">
      <c r="D1724" s="3" t="s">
        <v>115</v>
      </c>
    </row>
    <row r="1725" spans="4:4" ht="17.649999999999999" x14ac:dyDescent="0.5">
      <c r="D1725" s="3" t="s">
        <v>56</v>
      </c>
    </row>
    <row r="1726" spans="4:4" ht="17.649999999999999" x14ac:dyDescent="0.5">
      <c r="D1726" s="3" t="s">
        <v>66</v>
      </c>
    </row>
    <row r="1727" spans="4:4" ht="17.649999999999999" x14ac:dyDescent="0.5">
      <c r="D1727" s="3" t="s">
        <v>54</v>
      </c>
    </row>
    <row r="1728" spans="4:4" ht="17.649999999999999" x14ac:dyDescent="0.5">
      <c r="D1728" s="3" t="s">
        <v>63</v>
      </c>
    </row>
    <row r="1729" spans="4:4" ht="17.649999999999999" x14ac:dyDescent="0.5">
      <c r="D1729" s="3" t="s">
        <v>108</v>
      </c>
    </row>
    <row r="1730" spans="4:4" ht="17.649999999999999" x14ac:dyDescent="0.5">
      <c r="D1730" s="3" t="s">
        <v>53</v>
      </c>
    </row>
    <row r="1731" spans="4:4" ht="17.649999999999999" x14ac:dyDescent="0.5">
      <c r="D1731" s="3" t="s">
        <v>90</v>
      </c>
    </row>
    <row r="1732" spans="4:4" ht="17.649999999999999" x14ac:dyDescent="0.5">
      <c r="D1732" s="3" t="s">
        <v>126</v>
      </c>
    </row>
    <row r="1733" spans="4:4" ht="17.649999999999999" x14ac:dyDescent="0.5">
      <c r="D1733" s="3" t="s">
        <v>95</v>
      </c>
    </row>
    <row r="1734" spans="4:4" ht="17.649999999999999" x14ac:dyDescent="0.5">
      <c r="D1734" s="3" t="s">
        <v>54</v>
      </c>
    </row>
    <row r="1735" spans="4:4" ht="17.649999999999999" x14ac:dyDescent="0.5">
      <c r="D1735" s="3" t="s">
        <v>101</v>
      </c>
    </row>
    <row r="1736" spans="4:4" ht="17.649999999999999" x14ac:dyDescent="0.5">
      <c r="D1736" s="3" t="s">
        <v>96</v>
      </c>
    </row>
    <row r="1737" spans="4:4" ht="17.649999999999999" x14ac:dyDescent="0.5">
      <c r="D1737" s="3" t="s">
        <v>84</v>
      </c>
    </row>
    <row r="1738" spans="4:4" ht="17.649999999999999" x14ac:dyDescent="0.5">
      <c r="D1738" s="3" t="s">
        <v>66</v>
      </c>
    </row>
    <row r="1739" spans="4:4" ht="17.649999999999999" x14ac:dyDescent="0.5">
      <c r="D1739" s="3" t="s">
        <v>43</v>
      </c>
    </row>
    <row r="1740" spans="4:4" ht="17.649999999999999" x14ac:dyDescent="0.5">
      <c r="D1740" s="3" t="s">
        <v>58</v>
      </c>
    </row>
    <row r="1741" spans="4:4" ht="17.649999999999999" x14ac:dyDescent="0.5">
      <c r="D1741" s="3" t="s">
        <v>96</v>
      </c>
    </row>
    <row r="1742" spans="4:4" ht="17.649999999999999" x14ac:dyDescent="0.5">
      <c r="D1742" s="3" t="s">
        <v>128</v>
      </c>
    </row>
    <row r="1743" spans="4:4" ht="17.649999999999999" x14ac:dyDescent="0.5">
      <c r="D1743" s="3" t="s">
        <v>75</v>
      </c>
    </row>
    <row r="1744" spans="4:4" ht="17.649999999999999" x14ac:dyDescent="0.5">
      <c r="D1744" s="3" t="s">
        <v>84</v>
      </c>
    </row>
    <row r="1745" spans="4:4" ht="17.649999999999999" x14ac:dyDescent="0.5">
      <c r="D1745" s="3" t="s">
        <v>110</v>
      </c>
    </row>
    <row r="1746" spans="4:4" ht="17.649999999999999" x14ac:dyDescent="0.5">
      <c r="D1746" s="3" t="s">
        <v>81</v>
      </c>
    </row>
    <row r="1747" spans="4:4" ht="17.649999999999999" x14ac:dyDescent="0.5">
      <c r="D1747" s="3" t="s">
        <v>51</v>
      </c>
    </row>
    <row r="1748" spans="4:4" ht="17.649999999999999" x14ac:dyDescent="0.5">
      <c r="D1748" s="3" t="s">
        <v>118</v>
      </c>
    </row>
    <row r="1749" spans="4:4" ht="17.649999999999999" x14ac:dyDescent="0.5">
      <c r="D1749" s="3" t="s">
        <v>48</v>
      </c>
    </row>
    <row r="1750" spans="4:4" ht="17.649999999999999" x14ac:dyDescent="0.5">
      <c r="D1750" s="3" t="s">
        <v>56</v>
      </c>
    </row>
    <row r="1751" spans="4:4" ht="17.649999999999999" x14ac:dyDescent="0.5">
      <c r="D1751" s="3" t="s">
        <v>46</v>
      </c>
    </row>
    <row r="1752" spans="4:4" ht="17.649999999999999" x14ac:dyDescent="0.5">
      <c r="D1752" s="3" t="s">
        <v>70</v>
      </c>
    </row>
    <row r="1753" spans="4:4" ht="17.649999999999999" x14ac:dyDescent="0.5">
      <c r="D1753" s="3" t="s">
        <v>131</v>
      </c>
    </row>
    <row r="1754" spans="4:4" ht="17.649999999999999" x14ac:dyDescent="0.5">
      <c r="D1754" s="3" t="s">
        <v>130</v>
      </c>
    </row>
    <row r="1755" spans="4:4" ht="17.649999999999999" x14ac:dyDescent="0.5">
      <c r="D1755" s="3" t="s">
        <v>75</v>
      </c>
    </row>
    <row r="1756" spans="4:4" ht="17.649999999999999" x14ac:dyDescent="0.5">
      <c r="D1756" s="3" t="s">
        <v>64</v>
      </c>
    </row>
    <row r="1757" spans="4:4" ht="17.649999999999999" x14ac:dyDescent="0.5">
      <c r="D1757" s="3" t="s">
        <v>114</v>
      </c>
    </row>
    <row r="1758" spans="4:4" ht="17.649999999999999" x14ac:dyDescent="0.5">
      <c r="D1758" s="3" t="s">
        <v>110</v>
      </c>
    </row>
    <row r="1759" spans="4:4" ht="17.649999999999999" x14ac:dyDescent="0.5">
      <c r="D1759" s="3" t="s">
        <v>121</v>
      </c>
    </row>
    <row r="1760" spans="4:4" ht="17.649999999999999" x14ac:dyDescent="0.5">
      <c r="D1760" s="3" t="s">
        <v>91</v>
      </c>
    </row>
    <row r="1761" spans="4:4" ht="17.649999999999999" x14ac:dyDescent="0.5">
      <c r="D1761" s="3" t="s">
        <v>59</v>
      </c>
    </row>
    <row r="1762" spans="4:4" ht="17.649999999999999" x14ac:dyDescent="0.5">
      <c r="D1762" s="3" t="s">
        <v>104</v>
      </c>
    </row>
    <row r="1763" spans="4:4" ht="17.649999999999999" x14ac:dyDescent="0.5">
      <c r="D1763" s="3" t="s">
        <v>77</v>
      </c>
    </row>
    <row r="1764" spans="4:4" ht="17.649999999999999" x14ac:dyDescent="0.5">
      <c r="D1764" s="3" t="s">
        <v>110</v>
      </c>
    </row>
    <row r="1765" spans="4:4" ht="17.649999999999999" x14ac:dyDescent="0.5">
      <c r="D1765" s="3" t="s">
        <v>44</v>
      </c>
    </row>
    <row r="1766" spans="4:4" ht="17.649999999999999" x14ac:dyDescent="0.5">
      <c r="D1766" s="3" t="s">
        <v>115</v>
      </c>
    </row>
    <row r="1767" spans="4:4" ht="17.649999999999999" x14ac:dyDescent="0.5">
      <c r="D1767" s="3" t="s">
        <v>56</v>
      </c>
    </row>
    <row r="1768" spans="4:4" ht="17.649999999999999" x14ac:dyDescent="0.5">
      <c r="D1768" s="3" t="s">
        <v>51</v>
      </c>
    </row>
    <row r="1769" spans="4:4" ht="17.649999999999999" x14ac:dyDescent="0.5">
      <c r="D1769" s="3" t="s">
        <v>92</v>
      </c>
    </row>
    <row r="1770" spans="4:4" ht="17.649999999999999" x14ac:dyDescent="0.5">
      <c r="D1770" s="3" t="s">
        <v>62</v>
      </c>
    </row>
    <row r="1771" spans="4:4" ht="17.649999999999999" x14ac:dyDescent="0.5">
      <c r="D1771" s="3" t="s">
        <v>41</v>
      </c>
    </row>
    <row r="1772" spans="4:4" ht="17.649999999999999" x14ac:dyDescent="0.5">
      <c r="D1772" s="3" t="s">
        <v>97</v>
      </c>
    </row>
    <row r="1773" spans="4:4" ht="17.649999999999999" x14ac:dyDescent="0.5">
      <c r="D1773" s="3" t="s">
        <v>107</v>
      </c>
    </row>
    <row r="1774" spans="4:4" ht="17.649999999999999" x14ac:dyDescent="0.5">
      <c r="D1774" s="3" t="s">
        <v>95</v>
      </c>
    </row>
    <row r="1775" spans="4:4" ht="17.649999999999999" x14ac:dyDescent="0.5">
      <c r="D1775" s="3" t="s">
        <v>49</v>
      </c>
    </row>
    <row r="1776" spans="4:4" ht="17.649999999999999" x14ac:dyDescent="0.5">
      <c r="D1776" s="3" t="s">
        <v>96</v>
      </c>
    </row>
    <row r="1777" spans="4:4" ht="17.649999999999999" x14ac:dyDescent="0.5">
      <c r="D1777" s="3" t="s">
        <v>57</v>
      </c>
    </row>
    <row r="1778" spans="4:4" ht="17.649999999999999" x14ac:dyDescent="0.5">
      <c r="D1778" s="3" t="s">
        <v>114</v>
      </c>
    </row>
    <row r="1779" spans="4:4" ht="17.649999999999999" x14ac:dyDescent="0.5">
      <c r="D1779" s="3" t="s">
        <v>51</v>
      </c>
    </row>
    <row r="1780" spans="4:4" ht="17.649999999999999" x14ac:dyDescent="0.5">
      <c r="D1780" s="3" t="s">
        <v>130</v>
      </c>
    </row>
    <row r="1781" spans="4:4" ht="17.649999999999999" x14ac:dyDescent="0.5">
      <c r="D1781" s="3" t="s">
        <v>52</v>
      </c>
    </row>
    <row r="1782" spans="4:4" ht="17.649999999999999" x14ac:dyDescent="0.5">
      <c r="D1782" s="3" t="s">
        <v>46</v>
      </c>
    </row>
    <row r="1783" spans="4:4" ht="17.649999999999999" x14ac:dyDescent="0.5">
      <c r="D1783" s="3" t="s">
        <v>79</v>
      </c>
    </row>
    <row r="1784" spans="4:4" ht="17.649999999999999" x14ac:dyDescent="0.5">
      <c r="D1784" s="3" t="s">
        <v>74</v>
      </c>
    </row>
    <row r="1785" spans="4:4" ht="17.649999999999999" x14ac:dyDescent="0.5">
      <c r="D1785" s="3" t="s">
        <v>117</v>
      </c>
    </row>
    <row r="1786" spans="4:4" ht="17.649999999999999" x14ac:dyDescent="0.5">
      <c r="D1786" s="3" t="s">
        <v>100</v>
      </c>
    </row>
    <row r="1787" spans="4:4" ht="17.649999999999999" x14ac:dyDescent="0.5">
      <c r="D1787" s="3" t="s">
        <v>80</v>
      </c>
    </row>
    <row r="1788" spans="4:4" ht="17.649999999999999" x14ac:dyDescent="0.5">
      <c r="D1788" s="3" t="s">
        <v>103</v>
      </c>
    </row>
    <row r="1789" spans="4:4" ht="17.649999999999999" x14ac:dyDescent="0.5">
      <c r="D1789" s="3" t="s">
        <v>96</v>
      </c>
    </row>
    <row r="1790" spans="4:4" ht="17.649999999999999" x14ac:dyDescent="0.5">
      <c r="D1790" s="3" t="s">
        <v>103</v>
      </c>
    </row>
    <row r="1791" spans="4:4" ht="17.649999999999999" x14ac:dyDescent="0.5">
      <c r="D1791" s="3" t="s">
        <v>84</v>
      </c>
    </row>
    <row r="1792" spans="4:4" ht="17.649999999999999" x14ac:dyDescent="0.5">
      <c r="D1792" s="3" t="s">
        <v>135</v>
      </c>
    </row>
    <row r="1793" spans="4:4" ht="17.649999999999999" x14ac:dyDescent="0.5">
      <c r="D1793" s="3" t="s">
        <v>51</v>
      </c>
    </row>
    <row r="1794" spans="4:4" ht="17.649999999999999" x14ac:dyDescent="0.5">
      <c r="D1794" s="3" t="s">
        <v>87</v>
      </c>
    </row>
    <row r="1795" spans="4:4" ht="17.649999999999999" x14ac:dyDescent="0.5">
      <c r="D1795" s="3" t="s">
        <v>69</v>
      </c>
    </row>
    <row r="1796" spans="4:4" ht="17.649999999999999" x14ac:dyDescent="0.5">
      <c r="D1796" s="3" t="s">
        <v>86</v>
      </c>
    </row>
    <row r="1797" spans="4:4" ht="17.649999999999999" x14ac:dyDescent="0.5">
      <c r="D1797" s="3" t="s">
        <v>81</v>
      </c>
    </row>
    <row r="1798" spans="4:4" ht="17.649999999999999" x14ac:dyDescent="0.5">
      <c r="D1798" s="3" t="s">
        <v>108</v>
      </c>
    </row>
    <row r="1799" spans="4:4" ht="17.649999999999999" x14ac:dyDescent="0.5">
      <c r="D1799" s="3" t="s">
        <v>55</v>
      </c>
    </row>
    <row r="1800" spans="4:4" ht="17.649999999999999" x14ac:dyDescent="0.5">
      <c r="D1800" s="3" t="s">
        <v>133</v>
      </c>
    </row>
    <row r="1801" spans="4:4" ht="17.649999999999999" x14ac:dyDescent="0.5">
      <c r="D1801" s="3" t="s">
        <v>47</v>
      </c>
    </row>
    <row r="1802" spans="4:4" ht="17.649999999999999" x14ac:dyDescent="0.5">
      <c r="D1802" s="3" t="s">
        <v>60</v>
      </c>
    </row>
    <row r="1803" spans="4:4" ht="17.649999999999999" x14ac:dyDescent="0.5">
      <c r="D1803" s="3" t="s">
        <v>113</v>
      </c>
    </row>
    <row r="1804" spans="4:4" ht="17.649999999999999" x14ac:dyDescent="0.5">
      <c r="D1804" s="3" t="s">
        <v>74</v>
      </c>
    </row>
    <row r="1805" spans="4:4" ht="17.649999999999999" x14ac:dyDescent="0.5">
      <c r="D1805" s="3" t="s">
        <v>61</v>
      </c>
    </row>
    <row r="1806" spans="4:4" ht="17.649999999999999" x14ac:dyDescent="0.5">
      <c r="D1806" s="3" t="s">
        <v>74</v>
      </c>
    </row>
    <row r="1807" spans="4:4" ht="17.649999999999999" x14ac:dyDescent="0.5">
      <c r="D1807" s="3" t="s">
        <v>50</v>
      </c>
    </row>
    <row r="1808" spans="4:4" ht="17.649999999999999" x14ac:dyDescent="0.5">
      <c r="D1808" s="3" t="s">
        <v>46</v>
      </c>
    </row>
    <row r="1809" spans="4:4" ht="17.649999999999999" x14ac:dyDescent="0.5">
      <c r="D1809" s="3" t="s">
        <v>93</v>
      </c>
    </row>
    <row r="1810" spans="4:4" ht="17.649999999999999" x14ac:dyDescent="0.5">
      <c r="D1810" s="3" t="s">
        <v>45</v>
      </c>
    </row>
    <row r="1811" spans="4:4" ht="17.649999999999999" x14ac:dyDescent="0.5">
      <c r="D1811" s="3" t="s">
        <v>107</v>
      </c>
    </row>
    <row r="1812" spans="4:4" ht="17.649999999999999" x14ac:dyDescent="0.5">
      <c r="D1812" s="3" t="s">
        <v>61</v>
      </c>
    </row>
    <row r="1813" spans="4:4" ht="17.649999999999999" x14ac:dyDescent="0.5">
      <c r="D1813" s="3" t="s">
        <v>68</v>
      </c>
    </row>
    <row r="1814" spans="4:4" ht="17.649999999999999" x14ac:dyDescent="0.5">
      <c r="D1814" s="3" t="s">
        <v>53</v>
      </c>
    </row>
    <row r="1815" spans="4:4" ht="17.649999999999999" x14ac:dyDescent="0.5">
      <c r="D1815" s="3" t="s">
        <v>52</v>
      </c>
    </row>
    <row r="1816" spans="4:4" ht="17.649999999999999" x14ac:dyDescent="0.5">
      <c r="D1816" s="3" t="s">
        <v>57</v>
      </c>
    </row>
    <row r="1817" spans="4:4" ht="17.649999999999999" x14ac:dyDescent="0.5">
      <c r="D1817" s="3" t="s">
        <v>109</v>
      </c>
    </row>
    <row r="1818" spans="4:4" ht="17.649999999999999" x14ac:dyDescent="0.5">
      <c r="D1818" s="3" t="s">
        <v>81</v>
      </c>
    </row>
    <row r="1819" spans="4:4" ht="17.649999999999999" x14ac:dyDescent="0.5">
      <c r="D1819" s="3" t="s">
        <v>49</v>
      </c>
    </row>
    <row r="1820" spans="4:4" ht="17.649999999999999" x14ac:dyDescent="0.5">
      <c r="D1820" s="3" t="s">
        <v>121</v>
      </c>
    </row>
    <row r="1821" spans="4:4" ht="17.649999999999999" x14ac:dyDescent="0.5">
      <c r="D1821" s="3" t="s">
        <v>41</v>
      </c>
    </row>
    <row r="1822" spans="4:4" ht="17.649999999999999" x14ac:dyDescent="0.5">
      <c r="D1822" s="3" t="s">
        <v>85</v>
      </c>
    </row>
    <row r="1823" spans="4:4" ht="17.649999999999999" x14ac:dyDescent="0.5">
      <c r="D1823" s="3" t="s">
        <v>47</v>
      </c>
    </row>
    <row r="1824" spans="4:4" ht="17.649999999999999" x14ac:dyDescent="0.5">
      <c r="D1824" s="3" t="s">
        <v>128</v>
      </c>
    </row>
    <row r="1825" spans="4:4" ht="17.649999999999999" x14ac:dyDescent="0.5">
      <c r="D1825" s="3" t="s">
        <v>72</v>
      </c>
    </row>
    <row r="1826" spans="4:4" ht="17.649999999999999" x14ac:dyDescent="0.5">
      <c r="D1826" s="3" t="s">
        <v>57</v>
      </c>
    </row>
    <row r="1827" spans="4:4" ht="17.649999999999999" x14ac:dyDescent="0.5">
      <c r="D1827" s="3" t="s">
        <v>105</v>
      </c>
    </row>
    <row r="1828" spans="4:4" ht="17.649999999999999" x14ac:dyDescent="0.5">
      <c r="D1828" s="3" t="s">
        <v>86</v>
      </c>
    </row>
    <row r="1829" spans="4:4" ht="17.649999999999999" x14ac:dyDescent="0.5">
      <c r="D1829" s="3" t="s">
        <v>77</v>
      </c>
    </row>
    <row r="1830" spans="4:4" ht="17.649999999999999" x14ac:dyDescent="0.5">
      <c r="D1830" s="3" t="s">
        <v>48</v>
      </c>
    </row>
    <row r="1831" spans="4:4" ht="17.649999999999999" x14ac:dyDescent="0.5">
      <c r="D1831" s="3" t="s">
        <v>61</v>
      </c>
    </row>
    <row r="1832" spans="4:4" ht="17.649999999999999" x14ac:dyDescent="0.5">
      <c r="D1832" s="3" t="s">
        <v>107</v>
      </c>
    </row>
    <row r="1833" spans="4:4" ht="17.649999999999999" x14ac:dyDescent="0.5">
      <c r="D1833" s="3" t="s">
        <v>46</v>
      </c>
    </row>
    <row r="1834" spans="4:4" ht="17.649999999999999" x14ac:dyDescent="0.5">
      <c r="D1834" s="3" t="s">
        <v>67</v>
      </c>
    </row>
    <row r="1835" spans="4:4" ht="17.649999999999999" x14ac:dyDescent="0.5">
      <c r="D1835" s="3" t="s">
        <v>66</v>
      </c>
    </row>
    <row r="1836" spans="4:4" ht="17.649999999999999" x14ac:dyDescent="0.5">
      <c r="D1836" s="3" t="s">
        <v>122</v>
      </c>
    </row>
    <row r="1837" spans="4:4" ht="17.649999999999999" x14ac:dyDescent="0.5">
      <c r="D1837" s="3" t="s">
        <v>84</v>
      </c>
    </row>
    <row r="1838" spans="4:4" ht="17.649999999999999" x14ac:dyDescent="0.5">
      <c r="D1838" s="3" t="s">
        <v>44</v>
      </c>
    </row>
    <row r="1839" spans="4:4" ht="17.649999999999999" x14ac:dyDescent="0.5">
      <c r="D1839" s="3" t="s">
        <v>56</v>
      </c>
    </row>
    <row r="1840" spans="4:4" ht="17.649999999999999" x14ac:dyDescent="0.5">
      <c r="D1840" s="3" t="s">
        <v>90</v>
      </c>
    </row>
    <row r="1841" spans="4:4" ht="17.649999999999999" x14ac:dyDescent="0.5">
      <c r="D1841" s="3" t="s">
        <v>80</v>
      </c>
    </row>
    <row r="1842" spans="4:4" ht="17.649999999999999" x14ac:dyDescent="0.5">
      <c r="D1842" s="3" t="s">
        <v>77</v>
      </c>
    </row>
    <row r="1843" spans="4:4" ht="17.649999999999999" x14ac:dyDescent="0.5">
      <c r="D1843" s="3" t="s">
        <v>130</v>
      </c>
    </row>
    <row r="1844" spans="4:4" ht="17.649999999999999" x14ac:dyDescent="0.5">
      <c r="D1844" s="3" t="s">
        <v>42</v>
      </c>
    </row>
    <row r="1845" spans="4:4" ht="17.649999999999999" x14ac:dyDescent="0.5">
      <c r="D1845" s="3" t="s">
        <v>77</v>
      </c>
    </row>
    <row r="1846" spans="4:4" ht="17.649999999999999" x14ac:dyDescent="0.5">
      <c r="D1846" s="3" t="s">
        <v>106</v>
      </c>
    </row>
    <row r="1847" spans="4:4" ht="17.649999999999999" x14ac:dyDescent="0.5">
      <c r="D1847" s="3" t="s">
        <v>96</v>
      </c>
    </row>
    <row r="1848" spans="4:4" ht="17.649999999999999" x14ac:dyDescent="0.5">
      <c r="D1848" s="3" t="s">
        <v>43</v>
      </c>
    </row>
    <row r="1849" spans="4:4" ht="17.649999999999999" x14ac:dyDescent="0.5">
      <c r="D1849" s="3" t="s">
        <v>41</v>
      </c>
    </row>
    <row r="1850" spans="4:4" ht="17.649999999999999" x14ac:dyDescent="0.5">
      <c r="D1850" s="3" t="s">
        <v>51</v>
      </c>
    </row>
    <row r="1851" spans="4:4" ht="17.649999999999999" x14ac:dyDescent="0.5">
      <c r="D1851" s="3" t="s">
        <v>97</v>
      </c>
    </row>
    <row r="1852" spans="4:4" ht="17.649999999999999" x14ac:dyDescent="0.5">
      <c r="D1852" s="3" t="s">
        <v>42</v>
      </c>
    </row>
    <row r="1853" spans="4:4" ht="17.649999999999999" x14ac:dyDescent="0.5">
      <c r="D1853" s="3" t="s">
        <v>98</v>
      </c>
    </row>
    <row r="1854" spans="4:4" ht="17.649999999999999" x14ac:dyDescent="0.5">
      <c r="D1854" s="3" t="s">
        <v>46</v>
      </c>
    </row>
    <row r="1855" spans="4:4" ht="17.649999999999999" x14ac:dyDescent="0.5">
      <c r="D1855" s="3" t="s">
        <v>77</v>
      </c>
    </row>
    <row r="1856" spans="4:4" ht="17.649999999999999" x14ac:dyDescent="0.5">
      <c r="D1856" s="3" t="s">
        <v>94</v>
      </c>
    </row>
    <row r="1857" spans="4:4" ht="17.649999999999999" x14ac:dyDescent="0.5">
      <c r="D1857" s="3" t="s">
        <v>65</v>
      </c>
    </row>
    <row r="1858" spans="4:4" ht="17.649999999999999" x14ac:dyDescent="0.5">
      <c r="D1858" s="3" t="s">
        <v>59</v>
      </c>
    </row>
    <row r="1859" spans="4:4" ht="17.649999999999999" x14ac:dyDescent="0.5">
      <c r="D1859" s="3" t="s">
        <v>67</v>
      </c>
    </row>
    <row r="1860" spans="4:4" ht="17.649999999999999" x14ac:dyDescent="0.5">
      <c r="D1860" s="3" t="s">
        <v>122</v>
      </c>
    </row>
    <row r="1861" spans="4:4" ht="17.649999999999999" x14ac:dyDescent="0.5">
      <c r="D1861" s="3" t="s">
        <v>84</v>
      </c>
    </row>
    <row r="1862" spans="4:4" ht="17.649999999999999" x14ac:dyDescent="0.5">
      <c r="D1862" s="3" t="s">
        <v>50</v>
      </c>
    </row>
    <row r="1863" spans="4:4" ht="17.649999999999999" x14ac:dyDescent="0.5">
      <c r="D1863" s="3" t="s">
        <v>131</v>
      </c>
    </row>
    <row r="1864" spans="4:4" ht="17.649999999999999" x14ac:dyDescent="0.5">
      <c r="D1864" s="3" t="s">
        <v>60</v>
      </c>
    </row>
    <row r="1865" spans="4:4" ht="17.649999999999999" x14ac:dyDescent="0.5">
      <c r="D1865" s="3" t="s">
        <v>42</v>
      </c>
    </row>
    <row r="1866" spans="4:4" ht="17.649999999999999" x14ac:dyDescent="0.5">
      <c r="D1866" s="3" t="s">
        <v>76</v>
      </c>
    </row>
    <row r="1867" spans="4:4" ht="17.649999999999999" x14ac:dyDescent="0.5">
      <c r="D1867" s="3" t="s">
        <v>77</v>
      </c>
    </row>
    <row r="1868" spans="4:4" ht="17.649999999999999" x14ac:dyDescent="0.5">
      <c r="D1868" s="3" t="s">
        <v>69</v>
      </c>
    </row>
    <row r="1869" spans="4:4" ht="17.649999999999999" x14ac:dyDescent="0.5">
      <c r="D1869" s="3" t="s">
        <v>60</v>
      </c>
    </row>
    <row r="1870" spans="4:4" ht="17.649999999999999" x14ac:dyDescent="0.5">
      <c r="D1870" s="3" t="s">
        <v>46</v>
      </c>
    </row>
    <row r="1871" spans="4:4" ht="17.649999999999999" x14ac:dyDescent="0.5">
      <c r="D1871" s="3" t="s">
        <v>131</v>
      </c>
    </row>
    <row r="1872" spans="4:4" ht="17.649999999999999" x14ac:dyDescent="0.5">
      <c r="D1872" s="3" t="s">
        <v>41</v>
      </c>
    </row>
    <row r="1873" spans="4:4" ht="17.649999999999999" x14ac:dyDescent="0.5">
      <c r="D1873" s="3" t="s">
        <v>49</v>
      </c>
    </row>
    <row r="1874" spans="4:4" ht="17.649999999999999" x14ac:dyDescent="0.5">
      <c r="D1874" s="3" t="s">
        <v>66</v>
      </c>
    </row>
    <row r="1875" spans="4:4" ht="17.649999999999999" x14ac:dyDescent="0.5">
      <c r="D1875" s="3" t="s">
        <v>58</v>
      </c>
    </row>
    <row r="1876" spans="4:4" ht="17.649999999999999" x14ac:dyDescent="0.5">
      <c r="D1876" s="3" t="s">
        <v>91</v>
      </c>
    </row>
    <row r="1877" spans="4:4" ht="17.649999999999999" x14ac:dyDescent="0.5">
      <c r="D1877" s="3" t="s">
        <v>48</v>
      </c>
    </row>
    <row r="1878" spans="4:4" ht="17.649999999999999" x14ac:dyDescent="0.5">
      <c r="D1878" s="3" t="s">
        <v>98</v>
      </c>
    </row>
    <row r="1879" spans="4:4" ht="17.649999999999999" x14ac:dyDescent="0.5">
      <c r="D1879" s="3" t="s">
        <v>94</v>
      </c>
    </row>
    <row r="1880" spans="4:4" ht="17.649999999999999" x14ac:dyDescent="0.5">
      <c r="D1880" s="3" t="s">
        <v>107</v>
      </c>
    </row>
    <row r="1881" spans="4:4" ht="17.649999999999999" x14ac:dyDescent="0.5">
      <c r="D1881" s="3" t="s">
        <v>41</v>
      </c>
    </row>
    <row r="1882" spans="4:4" ht="17.649999999999999" x14ac:dyDescent="0.5">
      <c r="D1882" s="3" t="s">
        <v>117</v>
      </c>
    </row>
    <row r="1883" spans="4:4" ht="17.649999999999999" x14ac:dyDescent="0.5">
      <c r="D1883" s="3" t="s">
        <v>77</v>
      </c>
    </row>
    <row r="1884" spans="4:4" ht="17.649999999999999" x14ac:dyDescent="0.5">
      <c r="D1884" s="3" t="s">
        <v>45</v>
      </c>
    </row>
    <row r="1885" spans="4:4" ht="17.649999999999999" x14ac:dyDescent="0.5">
      <c r="D1885" s="3" t="s">
        <v>61</v>
      </c>
    </row>
    <row r="1886" spans="4:4" ht="17.649999999999999" x14ac:dyDescent="0.5">
      <c r="D1886" s="3" t="s">
        <v>63</v>
      </c>
    </row>
    <row r="1887" spans="4:4" ht="17.649999999999999" x14ac:dyDescent="0.5">
      <c r="D1887" s="3" t="s">
        <v>111</v>
      </c>
    </row>
    <row r="1888" spans="4:4" ht="17.649999999999999" x14ac:dyDescent="0.5">
      <c r="D1888" s="3" t="s">
        <v>81</v>
      </c>
    </row>
    <row r="1889" spans="4:4" ht="17.649999999999999" x14ac:dyDescent="0.5">
      <c r="D1889" s="3" t="s">
        <v>103</v>
      </c>
    </row>
    <row r="1890" spans="4:4" ht="17.649999999999999" x14ac:dyDescent="0.5">
      <c r="D1890" s="3" t="s">
        <v>46</v>
      </c>
    </row>
    <row r="1891" spans="4:4" ht="17.649999999999999" x14ac:dyDescent="0.5">
      <c r="D1891" s="3" t="s">
        <v>67</v>
      </c>
    </row>
    <row r="1892" spans="4:4" ht="17.649999999999999" x14ac:dyDescent="0.5">
      <c r="D1892" s="3" t="s">
        <v>115</v>
      </c>
    </row>
    <row r="1893" spans="4:4" ht="17.649999999999999" x14ac:dyDescent="0.5">
      <c r="D1893" s="3" t="s">
        <v>83</v>
      </c>
    </row>
    <row r="1894" spans="4:4" ht="17.649999999999999" x14ac:dyDescent="0.5">
      <c r="D1894" s="3" t="s">
        <v>77</v>
      </c>
    </row>
    <row r="1895" spans="4:4" ht="17.649999999999999" x14ac:dyDescent="0.5">
      <c r="D1895" s="3" t="s">
        <v>66</v>
      </c>
    </row>
    <row r="1896" spans="4:4" ht="17.649999999999999" x14ac:dyDescent="0.5">
      <c r="D1896" s="3" t="s">
        <v>92</v>
      </c>
    </row>
    <row r="1897" spans="4:4" ht="17.649999999999999" x14ac:dyDescent="0.5">
      <c r="D1897" s="3" t="s">
        <v>120</v>
      </c>
    </row>
    <row r="1898" spans="4:4" ht="17.649999999999999" x14ac:dyDescent="0.5">
      <c r="D1898" s="3" t="s">
        <v>98</v>
      </c>
    </row>
    <row r="1899" spans="4:4" ht="17.649999999999999" x14ac:dyDescent="0.5">
      <c r="D1899" s="3" t="s">
        <v>87</v>
      </c>
    </row>
    <row r="1900" spans="4:4" ht="17.649999999999999" x14ac:dyDescent="0.5">
      <c r="D1900" s="3" t="s">
        <v>44</v>
      </c>
    </row>
    <row r="1901" spans="4:4" ht="17.649999999999999" x14ac:dyDescent="0.5">
      <c r="D1901" s="3" t="s">
        <v>103</v>
      </c>
    </row>
    <row r="1902" spans="4:4" ht="17.649999999999999" x14ac:dyDescent="0.5">
      <c r="D1902" s="3" t="s">
        <v>104</v>
      </c>
    </row>
    <row r="1903" spans="4:4" ht="17.649999999999999" x14ac:dyDescent="0.5">
      <c r="D1903" s="3" t="s">
        <v>94</v>
      </c>
    </row>
    <row r="1904" spans="4:4" ht="17.649999999999999" x14ac:dyDescent="0.5">
      <c r="D1904" s="3" t="s">
        <v>48</v>
      </c>
    </row>
    <row r="1905" spans="4:4" ht="17.649999999999999" x14ac:dyDescent="0.5">
      <c r="D1905" s="3" t="s">
        <v>92</v>
      </c>
    </row>
    <row r="1906" spans="4:4" ht="17.649999999999999" x14ac:dyDescent="0.5">
      <c r="D1906" s="3" t="s">
        <v>52</v>
      </c>
    </row>
    <row r="1907" spans="4:4" ht="17.649999999999999" x14ac:dyDescent="0.5">
      <c r="D1907" s="3" t="s">
        <v>129</v>
      </c>
    </row>
    <row r="1908" spans="4:4" ht="17.649999999999999" x14ac:dyDescent="0.5">
      <c r="D1908" s="3" t="s">
        <v>78</v>
      </c>
    </row>
    <row r="1909" spans="4:4" ht="17.649999999999999" x14ac:dyDescent="0.5">
      <c r="D1909" s="3" t="s">
        <v>91</v>
      </c>
    </row>
    <row r="1910" spans="4:4" ht="17.649999999999999" x14ac:dyDescent="0.5">
      <c r="D1910" s="3" t="s">
        <v>48</v>
      </c>
    </row>
    <row r="1911" spans="4:4" ht="17.649999999999999" x14ac:dyDescent="0.5">
      <c r="D1911" s="3" t="s">
        <v>119</v>
      </c>
    </row>
    <row r="1912" spans="4:4" ht="17.649999999999999" x14ac:dyDescent="0.5">
      <c r="D1912" s="3" t="s">
        <v>57</v>
      </c>
    </row>
    <row r="1913" spans="4:4" ht="17.649999999999999" x14ac:dyDescent="0.5">
      <c r="D1913" s="3" t="s">
        <v>68</v>
      </c>
    </row>
    <row r="1914" spans="4:4" ht="17.649999999999999" x14ac:dyDescent="0.5">
      <c r="D1914" s="3" t="s">
        <v>112</v>
      </c>
    </row>
    <row r="1915" spans="4:4" ht="17.649999999999999" x14ac:dyDescent="0.5">
      <c r="D1915" s="3" t="s">
        <v>63</v>
      </c>
    </row>
    <row r="1916" spans="4:4" ht="17.649999999999999" x14ac:dyDescent="0.5">
      <c r="D1916" s="3" t="s">
        <v>57</v>
      </c>
    </row>
    <row r="1917" spans="4:4" ht="17.649999999999999" x14ac:dyDescent="0.5">
      <c r="D1917" s="3" t="s">
        <v>43</v>
      </c>
    </row>
    <row r="1918" spans="4:4" ht="17.649999999999999" x14ac:dyDescent="0.5">
      <c r="D1918" s="3" t="s">
        <v>133</v>
      </c>
    </row>
    <row r="1919" spans="4:4" ht="17.649999999999999" x14ac:dyDescent="0.5">
      <c r="D1919" s="3" t="s">
        <v>48</v>
      </c>
    </row>
    <row r="1920" spans="4:4" ht="17.649999999999999" x14ac:dyDescent="0.5">
      <c r="D1920" s="3" t="s">
        <v>116</v>
      </c>
    </row>
    <row r="1921" spans="4:4" ht="17.649999999999999" x14ac:dyDescent="0.5">
      <c r="D1921" s="3" t="s">
        <v>91</v>
      </c>
    </row>
    <row r="1922" spans="4:4" ht="17.649999999999999" x14ac:dyDescent="0.5">
      <c r="D1922" s="3" t="s">
        <v>73</v>
      </c>
    </row>
    <row r="1923" spans="4:4" ht="17.649999999999999" x14ac:dyDescent="0.5">
      <c r="D1923" s="3" t="s">
        <v>117</v>
      </c>
    </row>
    <row r="1924" spans="4:4" ht="17.649999999999999" x14ac:dyDescent="0.5">
      <c r="D1924" s="3" t="s">
        <v>126</v>
      </c>
    </row>
    <row r="1925" spans="4:4" ht="17.649999999999999" x14ac:dyDescent="0.5">
      <c r="D1925" s="3" t="s">
        <v>85</v>
      </c>
    </row>
    <row r="1926" spans="4:4" ht="17.649999999999999" x14ac:dyDescent="0.5">
      <c r="D1926" s="3" t="s">
        <v>55</v>
      </c>
    </row>
    <row r="1927" spans="4:4" ht="17.649999999999999" x14ac:dyDescent="0.5">
      <c r="D1927" s="3" t="s">
        <v>52</v>
      </c>
    </row>
    <row r="1928" spans="4:4" ht="17.649999999999999" x14ac:dyDescent="0.5">
      <c r="D1928" s="3" t="s">
        <v>47</v>
      </c>
    </row>
    <row r="1929" spans="4:4" ht="17.649999999999999" x14ac:dyDescent="0.5">
      <c r="D1929" s="3" t="s">
        <v>83</v>
      </c>
    </row>
    <row r="1930" spans="4:4" ht="17.649999999999999" x14ac:dyDescent="0.5">
      <c r="D1930" s="3" t="s">
        <v>50</v>
      </c>
    </row>
    <row r="1931" spans="4:4" ht="17.649999999999999" x14ac:dyDescent="0.5">
      <c r="D1931" s="3" t="s">
        <v>54</v>
      </c>
    </row>
    <row r="1932" spans="4:4" ht="17.649999999999999" x14ac:dyDescent="0.5">
      <c r="D1932" s="3" t="s">
        <v>78</v>
      </c>
    </row>
    <row r="1933" spans="4:4" ht="17.649999999999999" x14ac:dyDescent="0.5">
      <c r="D1933" s="3" t="s">
        <v>107</v>
      </c>
    </row>
    <row r="1934" spans="4:4" ht="17.649999999999999" x14ac:dyDescent="0.5">
      <c r="D1934" s="3" t="s">
        <v>69</v>
      </c>
    </row>
    <row r="1935" spans="4:4" ht="17.649999999999999" x14ac:dyDescent="0.5">
      <c r="D1935" s="3" t="s">
        <v>56</v>
      </c>
    </row>
    <row r="1936" spans="4:4" ht="17.649999999999999" x14ac:dyDescent="0.5">
      <c r="D1936" s="3" t="s">
        <v>50</v>
      </c>
    </row>
    <row r="1937" spans="4:4" ht="17.649999999999999" x14ac:dyDescent="0.5">
      <c r="D1937" s="3" t="s">
        <v>112</v>
      </c>
    </row>
    <row r="1938" spans="4:4" ht="17.649999999999999" x14ac:dyDescent="0.5">
      <c r="D1938" s="3" t="s">
        <v>49</v>
      </c>
    </row>
    <row r="1939" spans="4:4" ht="17.649999999999999" x14ac:dyDescent="0.5">
      <c r="D1939" s="3" t="s">
        <v>130</v>
      </c>
    </row>
    <row r="1940" spans="4:4" ht="17.649999999999999" x14ac:dyDescent="0.5">
      <c r="D1940" s="3" t="s">
        <v>47</v>
      </c>
    </row>
    <row r="1941" spans="4:4" ht="17.649999999999999" x14ac:dyDescent="0.5">
      <c r="D1941" s="3" t="s">
        <v>81</v>
      </c>
    </row>
    <row r="1942" spans="4:4" ht="17.649999999999999" x14ac:dyDescent="0.5">
      <c r="D1942" s="3" t="s">
        <v>46</v>
      </c>
    </row>
    <row r="1943" spans="4:4" ht="17.649999999999999" x14ac:dyDescent="0.5">
      <c r="D1943" s="3" t="s">
        <v>49</v>
      </c>
    </row>
    <row r="1944" spans="4:4" ht="17.649999999999999" x14ac:dyDescent="0.5">
      <c r="D1944" s="3" t="s">
        <v>134</v>
      </c>
    </row>
    <row r="1945" spans="4:4" ht="17.649999999999999" x14ac:dyDescent="0.5">
      <c r="D1945" s="3" t="s">
        <v>83</v>
      </c>
    </row>
    <row r="1946" spans="4:4" ht="17.649999999999999" x14ac:dyDescent="0.5">
      <c r="D1946" s="3" t="s">
        <v>112</v>
      </c>
    </row>
    <row r="1947" spans="4:4" ht="17.649999999999999" x14ac:dyDescent="0.5">
      <c r="D1947" s="3" t="s">
        <v>105</v>
      </c>
    </row>
    <row r="1948" spans="4:4" ht="17.649999999999999" x14ac:dyDescent="0.5">
      <c r="D1948" s="3" t="s">
        <v>86</v>
      </c>
    </row>
    <row r="1949" spans="4:4" ht="17.649999999999999" x14ac:dyDescent="0.5">
      <c r="D1949" s="3" t="s">
        <v>49</v>
      </c>
    </row>
    <row r="1950" spans="4:4" ht="17.649999999999999" x14ac:dyDescent="0.5">
      <c r="D1950" s="3" t="s">
        <v>65</v>
      </c>
    </row>
    <row r="1951" spans="4:4" ht="17.649999999999999" x14ac:dyDescent="0.5">
      <c r="D1951" s="3" t="s">
        <v>124</v>
      </c>
    </row>
    <row r="1952" spans="4:4" ht="17.649999999999999" x14ac:dyDescent="0.5">
      <c r="D1952" s="3" t="s">
        <v>73</v>
      </c>
    </row>
    <row r="1953" spans="4:4" ht="17.649999999999999" x14ac:dyDescent="0.5">
      <c r="D1953" s="3" t="s">
        <v>98</v>
      </c>
    </row>
    <row r="1954" spans="4:4" ht="17.649999999999999" x14ac:dyDescent="0.5">
      <c r="D1954" s="3" t="s">
        <v>68</v>
      </c>
    </row>
    <row r="1955" spans="4:4" ht="17.649999999999999" x14ac:dyDescent="0.5">
      <c r="D1955" s="3" t="s">
        <v>103</v>
      </c>
    </row>
    <row r="1956" spans="4:4" ht="17.649999999999999" x14ac:dyDescent="0.5">
      <c r="D1956" s="3" t="s">
        <v>48</v>
      </c>
    </row>
    <row r="1957" spans="4:4" ht="17.649999999999999" x14ac:dyDescent="0.5">
      <c r="D1957" s="3" t="s">
        <v>43</v>
      </c>
    </row>
    <row r="1958" spans="4:4" ht="17.649999999999999" x14ac:dyDescent="0.5">
      <c r="D1958" s="3" t="s">
        <v>64</v>
      </c>
    </row>
    <row r="1959" spans="4:4" ht="17.649999999999999" x14ac:dyDescent="0.5">
      <c r="D1959" s="3" t="s">
        <v>96</v>
      </c>
    </row>
    <row r="1960" spans="4:4" ht="17.649999999999999" x14ac:dyDescent="0.5">
      <c r="D1960" s="3" t="s">
        <v>75</v>
      </c>
    </row>
    <row r="1961" spans="4:4" ht="17.649999999999999" x14ac:dyDescent="0.5">
      <c r="D1961" s="3" t="s">
        <v>66</v>
      </c>
    </row>
    <row r="1962" spans="4:4" ht="17.649999999999999" x14ac:dyDescent="0.5">
      <c r="D1962" s="3" t="s">
        <v>114</v>
      </c>
    </row>
    <row r="1963" spans="4:4" ht="17.649999999999999" x14ac:dyDescent="0.5">
      <c r="D1963" s="3" t="s">
        <v>41</v>
      </c>
    </row>
    <row r="1964" spans="4:4" ht="17.649999999999999" x14ac:dyDescent="0.5">
      <c r="D1964" s="3" t="s">
        <v>52</v>
      </c>
    </row>
    <row r="1965" spans="4:4" ht="17.649999999999999" x14ac:dyDescent="0.5">
      <c r="D1965" s="3" t="s">
        <v>113</v>
      </c>
    </row>
    <row r="1966" spans="4:4" ht="17.649999999999999" x14ac:dyDescent="0.5">
      <c r="D1966" s="3" t="s">
        <v>77</v>
      </c>
    </row>
    <row r="1967" spans="4:4" ht="17.649999999999999" x14ac:dyDescent="0.5">
      <c r="D1967" s="3" t="s">
        <v>83</v>
      </c>
    </row>
    <row r="1968" spans="4:4" ht="17.649999999999999" x14ac:dyDescent="0.5">
      <c r="D1968" s="3" t="s">
        <v>56</v>
      </c>
    </row>
    <row r="1969" spans="4:4" ht="17.649999999999999" x14ac:dyDescent="0.5">
      <c r="D1969" s="3" t="s">
        <v>104</v>
      </c>
    </row>
    <row r="1970" spans="4:4" ht="17.649999999999999" x14ac:dyDescent="0.5">
      <c r="D1970" s="3" t="s">
        <v>103</v>
      </c>
    </row>
    <row r="1971" spans="4:4" ht="17.649999999999999" x14ac:dyDescent="0.5">
      <c r="D1971" s="3" t="s">
        <v>115</v>
      </c>
    </row>
    <row r="1972" spans="4:4" ht="17.649999999999999" x14ac:dyDescent="0.5">
      <c r="D1972" s="3" t="s">
        <v>48</v>
      </c>
    </row>
    <row r="1973" spans="4:4" ht="17.649999999999999" x14ac:dyDescent="0.5">
      <c r="D1973" s="3" t="s">
        <v>105</v>
      </c>
    </row>
    <row r="1974" spans="4:4" ht="17.649999999999999" x14ac:dyDescent="0.5">
      <c r="D1974" s="3" t="s">
        <v>117</v>
      </c>
    </row>
    <row r="1975" spans="4:4" ht="17.649999999999999" x14ac:dyDescent="0.5">
      <c r="D1975" s="3" t="s">
        <v>103</v>
      </c>
    </row>
    <row r="1976" spans="4:4" ht="17.649999999999999" x14ac:dyDescent="0.5">
      <c r="D1976" s="3" t="s">
        <v>44</v>
      </c>
    </row>
    <row r="1977" spans="4:4" ht="17.649999999999999" x14ac:dyDescent="0.5">
      <c r="D1977" s="3" t="s">
        <v>61</v>
      </c>
    </row>
    <row r="1978" spans="4:4" ht="17.649999999999999" x14ac:dyDescent="0.5">
      <c r="D1978" s="3" t="s">
        <v>45</v>
      </c>
    </row>
    <row r="1979" spans="4:4" ht="17.649999999999999" x14ac:dyDescent="0.5">
      <c r="D1979" s="3" t="s">
        <v>57</v>
      </c>
    </row>
    <row r="1980" spans="4:4" ht="17.649999999999999" x14ac:dyDescent="0.5">
      <c r="D1980" s="3" t="s">
        <v>77</v>
      </c>
    </row>
    <row r="1981" spans="4:4" ht="17.649999999999999" x14ac:dyDescent="0.5">
      <c r="D1981" s="3" t="s">
        <v>90</v>
      </c>
    </row>
    <row r="1982" spans="4:4" ht="17.649999999999999" x14ac:dyDescent="0.5">
      <c r="D1982" s="3" t="s">
        <v>124</v>
      </c>
    </row>
    <row r="1983" spans="4:4" ht="17.649999999999999" x14ac:dyDescent="0.5">
      <c r="D1983" s="3" t="s">
        <v>96</v>
      </c>
    </row>
    <row r="1984" spans="4:4" ht="17.649999999999999" x14ac:dyDescent="0.5">
      <c r="D1984" s="3" t="s">
        <v>50</v>
      </c>
    </row>
    <row r="1985" spans="4:4" ht="17.649999999999999" x14ac:dyDescent="0.5">
      <c r="D1985" s="3" t="s">
        <v>43</v>
      </c>
    </row>
    <row r="1986" spans="4:4" ht="17.649999999999999" x14ac:dyDescent="0.5">
      <c r="D1986" s="3" t="s">
        <v>51</v>
      </c>
    </row>
    <row r="1987" spans="4:4" ht="17.649999999999999" x14ac:dyDescent="0.5">
      <c r="D1987" s="3" t="s">
        <v>59</v>
      </c>
    </row>
    <row r="1988" spans="4:4" ht="17.649999999999999" x14ac:dyDescent="0.5">
      <c r="D1988" s="3" t="s">
        <v>85</v>
      </c>
    </row>
    <row r="1989" spans="4:4" ht="17.649999999999999" x14ac:dyDescent="0.5">
      <c r="D1989" s="3" t="s">
        <v>75</v>
      </c>
    </row>
    <row r="1990" spans="4:4" ht="17.649999999999999" x14ac:dyDescent="0.5">
      <c r="D1990" s="3" t="s">
        <v>135</v>
      </c>
    </row>
    <row r="1991" spans="4:4" ht="17.649999999999999" x14ac:dyDescent="0.5">
      <c r="D1991" s="3" t="s">
        <v>94</v>
      </c>
    </row>
    <row r="1992" spans="4:4" ht="17.649999999999999" x14ac:dyDescent="0.5">
      <c r="D1992" s="3" t="s">
        <v>91</v>
      </c>
    </row>
    <row r="1993" spans="4:4" ht="17.649999999999999" x14ac:dyDescent="0.5">
      <c r="D1993" s="3" t="s">
        <v>55</v>
      </c>
    </row>
    <row r="1994" spans="4:4" ht="17.649999999999999" x14ac:dyDescent="0.5">
      <c r="D1994" s="3" t="s">
        <v>94</v>
      </c>
    </row>
    <row r="1995" spans="4:4" ht="17.649999999999999" x14ac:dyDescent="0.5">
      <c r="D1995" s="3" t="s">
        <v>85</v>
      </c>
    </row>
    <row r="1996" spans="4:4" ht="17.649999999999999" x14ac:dyDescent="0.5">
      <c r="D1996" s="3" t="s">
        <v>105</v>
      </c>
    </row>
    <row r="1997" spans="4:4" ht="17.649999999999999" x14ac:dyDescent="0.5">
      <c r="D1997" s="3" t="s">
        <v>83</v>
      </c>
    </row>
    <row r="1998" spans="4:4" ht="17.649999999999999" x14ac:dyDescent="0.5">
      <c r="D1998" s="3" t="s">
        <v>41</v>
      </c>
    </row>
    <row r="1999" spans="4:4" ht="17.649999999999999" x14ac:dyDescent="0.5">
      <c r="D1999" s="3" t="s">
        <v>98</v>
      </c>
    </row>
    <row r="2000" spans="4:4" ht="17.649999999999999" x14ac:dyDescent="0.5">
      <c r="D2000" s="3" t="s">
        <v>84</v>
      </c>
    </row>
    <row r="2001" spans="4:4" ht="17.649999999999999" x14ac:dyDescent="0.5">
      <c r="D2001" s="3" t="s">
        <v>67</v>
      </c>
    </row>
    <row r="2002" spans="4:4" ht="17.649999999999999" x14ac:dyDescent="0.5">
      <c r="D2002" s="3" t="s">
        <v>90</v>
      </c>
    </row>
    <row r="2003" spans="4:4" ht="17.649999999999999" x14ac:dyDescent="0.5">
      <c r="D2003" s="3" t="s">
        <v>85</v>
      </c>
    </row>
    <row r="2004" spans="4:4" ht="17.649999999999999" x14ac:dyDescent="0.5">
      <c r="D2004" s="3" t="s">
        <v>84</v>
      </c>
    </row>
    <row r="2005" spans="4:4" ht="17.649999999999999" x14ac:dyDescent="0.5">
      <c r="D2005" s="3" t="s">
        <v>92</v>
      </c>
    </row>
    <row r="2006" spans="4:4" ht="17.649999999999999" x14ac:dyDescent="0.5">
      <c r="D2006" s="3" t="s">
        <v>64</v>
      </c>
    </row>
    <row r="2007" spans="4:4" ht="17.649999999999999" x14ac:dyDescent="0.5">
      <c r="D2007" s="3" t="s">
        <v>57</v>
      </c>
    </row>
    <row r="2008" spans="4:4" ht="17.649999999999999" x14ac:dyDescent="0.5">
      <c r="D2008" s="3" t="s">
        <v>112</v>
      </c>
    </row>
    <row r="2009" spans="4:4" ht="17.649999999999999" x14ac:dyDescent="0.5">
      <c r="D2009" s="3" t="s">
        <v>68</v>
      </c>
    </row>
    <row r="2010" spans="4:4" ht="17.649999999999999" x14ac:dyDescent="0.5">
      <c r="D2010" s="3" t="s">
        <v>56</v>
      </c>
    </row>
    <row r="2011" spans="4:4" ht="17.649999999999999" x14ac:dyDescent="0.5">
      <c r="D2011" s="3" t="s">
        <v>100</v>
      </c>
    </row>
    <row r="2012" spans="4:4" ht="17.649999999999999" x14ac:dyDescent="0.5">
      <c r="D2012" s="3" t="s">
        <v>103</v>
      </c>
    </row>
    <row r="2013" spans="4:4" ht="17.649999999999999" x14ac:dyDescent="0.5">
      <c r="D2013" s="3" t="s">
        <v>96</v>
      </c>
    </row>
    <row r="2014" spans="4:4" ht="17.649999999999999" x14ac:dyDescent="0.5">
      <c r="D2014" s="3" t="s">
        <v>50</v>
      </c>
    </row>
    <row r="2015" spans="4:4" ht="17.649999999999999" x14ac:dyDescent="0.5">
      <c r="D2015" s="3" t="s">
        <v>105</v>
      </c>
    </row>
    <row r="2016" spans="4:4" ht="17.649999999999999" x14ac:dyDescent="0.5">
      <c r="D2016" s="3" t="s">
        <v>49</v>
      </c>
    </row>
    <row r="2017" spans="4:4" ht="17.649999999999999" x14ac:dyDescent="0.5">
      <c r="D2017" s="3" t="s">
        <v>73</v>
      </c>
    </row>
    <row r="2018" spans="4:4" ht="17.649999999999999" x14ac:dyDescent="0.5">
      <c r="D2018" s="3" t="s">
        <v>67</v>
      </c>
    </row>
    <row r="2019" spans="4:4" ht="17.649999999999999" x14ac:dyDescent="0.5">
      <c r="D2019" s="3" t="s">
        <v>94</v>
      </c>
    </row>
    <row r="2020" spans="4:4" ht="17.649999999999999" x14ac:dyDescent="0.5">
      <c r="D2020" s="3" t="s">
        <v>84</v>
      </c>
    </row>
    <row r="2021" spans="4:4" ht="17.649999999999999" x14ac:dyDescent="0.5">
      <c r="D2021" s="3" t="s">
        <v>77</v>
      </c>
    </row>
    <row r="2022" spans="4:4" ht="17.649999999999999" x14ac:dyDescent="0.5">
      <c r="D2022" s="3" t="s">
        <v>110</v>
      </c>
    </row>
    <row r="2023" spans="4:4" ht="17.649999999999999" x14ac:dyDescent="0.5">
      <c r="D2023" s="3" t="s">
        <v>59</v>
      </c>
    </row>
    <row r="2024" spans="4:4" ht="17.649999999999999" x14ac:dyDescent="0.5">
      <c r="D2024" s="3" t="s">
        <v>48</v>
      </c>
    </row>
    <row r="2025" spans="4:4" ht="17.649999999999999" x14ac:dyDescent="0.5">
      <c r="D2025" s="3" t="s">
        <v>53</v>
      </c>
    </row>
    <row r="2026" spans="4:4" ht="17.649999999999999" x14ac:dyDescent="0.5">
      <c r="D2026" s="3" t="s">
        <v>42</v>
      </c>
    </row>
    <row r="2027" spans="4:4" ht="17.649999999999999" x14ac:dyDescent="0.5">
      <c r="D2027" s="3" t="s">
        <v>46</v>
      </c>
    </row>
    <row r="2028" spans="4:4" ht="17.649999999999999" x14ac:dyDescent="0.5">
      <c r="D2028" s="3" t="s">
        <v>42</v>
      </c>
    </row>
    <row r="2029" spans="4:4" ht="17.649999999999999" x14ac:dyDescent="0.5">
      <c r="D2029" s="3" t="s">
        <v>125</v>
      </c>
    </row>
    <row r="2030" spans="4:4" ht="17.649999999999999" x14ac:dyDescent="0.5">
      <c r="D2030" s="3" t="s">
        <v>65</v>
      </c>
    </row>
    <row r="2031" spans="4:4" ht="17.649999999999999" x14ac:dyDescent="0.5">
      <c r="D2031" s="3" t="s">
        <v>69</v>
      </c>
    </row>
    <row r="2032" spans="4:4" ht="17.649999999999999" x14ac:dyDescent="0.5">
      <c r="D2032" s="3" t="s">
        <v>50</v>
      </c>
    </row>
    <row r="2033" spans="4:4" ht="17.649999999999999" x14ac:dyDescent="0.5">
      <c r="D2033" s="3" t="s">
        <v>112</v>
      </c>
    </row>
    <row r="2034" spans="4:4" ht="17.649999999999999" x14ac:dyDescent="0.5">
      <c r="D2034" s="3" t="s">
        <v>77</v>
      </c>
    </row>
    <row r="2035" spans="4:4" ht="17.649999999999999" x14ac:dyDescent="0.5">
      <c r="D2035" s="3" t="s">
        <v>90</v>
      </c>
    </row>
    <row r="2036" spans="4:4" ht="17.649999999999999" x14ac:dyDescent="0.5">
      <c r="D2036" s="3" t="s">
        <v>81</v>
      </c>
    </row>
    <row r="2037" spans="4:4" ht="17.649999999999999" x14ac:dyDescent="0.5">
      <c r="D2037" s="3" t="s">
        <v>71</v>
      </c>
    </row>
    <row r="2038" spans="4:4" ht="17.649999999999999" x14ac:dyDescent="0.5">
      <c r="D2038" s="3" t="s">
        <v>51</v>
      </c>
    </row>
    <row r="2039" spans="4:4" ht="17.649999999999999" x14ac:dyDescent="0.5">
      <c r="D2039" s="3" t="s">
        <v>73</v>
      </c>
    </row>
    <row r="2040" spans="4:4" ht="17.649999999999999" x14ac:dyDescent="0.5">
      <c r="D2040" s="3" t="s">
        <v>79</v>
      </c>
    </row>
    <row r="2041" spans="4:4" ht="17.649999999999999" x14ac:dyDescent="0.5">
      <c r="D2041" s="3" t="s">
        <v>78</v>
      </c>
    </row>
    <row r="2042" spans="4:4" ht="17.649999999999999" x14ac:dyDescent="0.5">
      <c r="D2042" s="3" t="s">
        <v>81</v>
      </c>
    </row>
    <row r="2043" spans="4:4" ht="17.649999999999999" x14ac:dyDescent="0.5">
      <c r="D2043" s="3" t="s">
        <v>64</v>
      </c>
    </row>
    <row r="2044" spans="4:4" ht="17.649999999999999" x14ac:dyDescent="0.5">
      <c r="D2044" s="3" t="s">
        <v>110</v>
      </c>
    </row>
    <row r="2045" spans="4:4" ht="17.649999999999999" x14ac:dyDescent="0.5">
      <c r="D2045" s="3" t="s">
        <v>90</v>
      </c>
    </row>
    <row r="2046" spans="4:4" ht="17.649999999999999" x14ac:dyDescent="0.5">
      <c r="D2046" s="3" t="s">
        <v>42</v>
      </c>
    </row>
    <row r="2047" spans="4:4" ht="17.649999999999999" x14ac:dyDescent="0.5">
      <c r="D2047" s="3" t="s">
        <v>84</v>
      </c>
    </row>
    <row r="2048" spans="4:4" ht="17.649999999999999" x14ac:dyDescent="0.5">
      <c r="D2048" s="3" t="s">
        <v>47</v>
      </c>
    </row>
    <row r="2049" spans="4:4" ht="17.649999999999999" x14ac:dyDescent="0.5">
      <c r="D2049" s="3" t="s">
        <v>78</v>
      </c>
    </row>
    <row r="2050" spans="4:4" ht="17.649999999999999" x14ac:dyDescent="0.5">
      <c r="D2050" s="3" t="s">
        <v>57</v>
      </c>
    </row>
    <row r="2051" spans="4:4" ht="17.649999999999999" x14ac:dyDescent="0.5">
      <c r="D2051" s="3" t="s">
        <v>114</v>
      </c>
    </row>
    <row r="2052" spans="4:4" ht="17.649999999999999" x14ac:dyDescent="0.5">
      <c r="D2052" s="3" t="s">
        <v>96</v>
      </c>
    </row>
    <row r="2053" spans="4:4" ht="17.649999999999999" x14ac:dyDescent="0.5">
      <c r="D2053" s="3" t="s">
        <v>46</v>
      </c>
    </row>
    <row r="2054" spans="4:4" ht="17.649999999999999" x14ac:dyDescent="0.5">
      <c r="D2054" s="3" t="s">
        <v>75</v>
      </c>
    </row>
    <row r="2055" spans="4:4" ht="17.649999999999999" x14ac:dyDescent="0.5">
      <c r="D2055" s="3" t="s">
        <v>118</v>
      </c>
    </row>
    <row r="2056" spans="4:4" ht="17.649999999999999" x14ac:dyDescent="0.5">
      <c r="D2056" s="3" t="s">
        <v>48</v>
      </c>
    </row>
    <row r="2057" spans="4:4" ht="17.649999999999999" x14ac:dyDescent="0.5">
      <c r="D2057" s="3" t="s">
        <v>80</v>
      </c>
    </row>
    <row r="2058" spans="4:4" ht="17.649999999999999" x14ac:dyDescent="0.5">
      <c r="D2058" s="3" t="s">
        <v>63</v>
      </c>
    </row>
    <row r="2059" spans="4:4" ht="17.649999999999999" x14ac:dyDescent="0.5">
      <c r="D2059" s="3" t="s">
        <v>56</v>
      </c>
    </row>
    <row r="2060" spans="4:4" ht="17.649999999999999" x14ac:dyDescent="0.5">
      <c r="D2060" s="3" t="s">
        <v>87</v>
      </c>
    </row>
    <row r="2061" spans="4:4" ht="17.649999999999999" x14ac:dyDescent="0.5">
      <c r="D2061" s="3" t="s">
        <v>128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163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499</v>
      </c>
      <c r="F13" s="2">
        <v>332</v>
      </c>
      <c r="G13" s="2">
        <v>333</v>
      </c>
      <c r="H13" s="2">
        <v>334</v>
      </c>
      <c r="I13" s="2">
        <v>500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999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501</v>
      </c>
      <c r="F23" s="2">
        <v>332</v>
      </c>
      <c r="G23" s="2">
        <v>335</v>
      </c>
      <c r="H23" s="2">
        <v>334</v>
      </c>
      <c r="I23" s="2">
        <v>502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1001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45</v>
      </c>
      <c r="F31" s="2">
        <v>41</v>
      </c>
      <c r="G31" s="2">
        <v>46</v>
      </c>
      <c r="H31" s="2">
        <v>44</v>
      </c>
      <c r="I31" s="2">
        <v>35</v>
      </c>
      <c r="J31" s="2">
        <v>41</v>
      </c>
      <c r="K31" s="2">
        <v>42</v>
      </c>
      <c r="L31" s="2">
        <v>36</v>
      </c>
      <c r="M31" s="2">
        <v>43</v>
      </c>
      <c r="N31" s="2">
        <v>33</v>
      </c>
      <c r="O31" s="2">
        <v>43</v>
      </c>
      <c r="P31" s="2">
        <v>39</v>
      </c>
    </row>
    <row r="32" spans="4:16" x14ac:dyDescent="0.5">
      <c r="D32" s="2">
        <v>2</v>
      </c>
      <c r="E32" s="2">
        <v>39</v>
      </c>
      <c r="F32" s="2">
        <v>44</v>
      </c>
      <c r="G32" s="2">
        <v>44</v>
      </c>
      <c r="H32" s="2">
        <v>42</v>
      </c>
      <c r="I32" s="2">
        <v>37</v>
      </c>
      <c r="J32" s="2">
        <v>42</v>
      </c>
      <c r="K32" s="2">
        <v>37</v>
      </c>
      <c r="L32" s="2">
        <v>48</v>
      </c>
      <c r="M32" s="2">
        <v>45</v>
      </c>
      <c r="N32" s="2">
        <v>36</v>
      </c>
      <c r="O32" s="2">
        <v>44</v>
      </c>
      <c r="P32" s="2">
        <v>53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38</v>
      </c>
      <c r="F37" s="2">
        <v>42</v>
      </c>
      <c r="G37" s="2">
        <v>38</v>
      </c>
      <c r="H37" s="2">
        <v>39</v>
      </c>
      <c r="I37" s="2">
        <v>49</v>
      </c>
      <c r="J37" s="2">
        <v>42</v>
      </c>
      <c r="K37" s="2">
        <v>41</v>
      </c>
      <c r="L37" s="2">
        <v>47</v>
      </c>
      <c r="M37" s="2">
        <v>41</v>
      </c>
      <c r="N37" s="2">
        <v>50</v>
      </c>
      <c r="O37" s="2">
        <v>40</v>
      </c>
      <c r="P37" s="2">
        <v>45</v>
      </c>
    </row>
    <row r="38" spans="4:16" x14ac:dyDescent="0.5">
      <c r="D38" s="2">
        <v>2</v>
      </c>
      <c r="E38" s="2">
        <v>44</v>
      </c>
      <c r="F38" s="2">
        <v>39</v>
      </c>
      <c r="G38" s="2">
        <v>40</v>
      </c>
      <c r="H38" s="2">
        <v>41</v>
      </c>
      <c r="I38" s="2">
        <v>47</v>
      </c>
      <c r="J38" s="2">
        <v>41</v>
      </c>
      <c r="K38" s="2">
        <v>46</v>
      </c>
      <c r="L38" s="2">
        <v>35</v>
      </c>
      <c r="M38" s="2">
        <v>39</v>
      </c>
      <c r="N38" s="2">
        <v>47</v>
      </c>
      <c r="O38" s="2">
        <v>39</v>
      </c>
      <c r="P38" s="2">
        <v>31</v>
      </c>
    </row>
    <row r="39" spans="4:16" ht="17.649999999999999" x14ac:dyDescent="0.5">
      <c r="D39" s="3" t="s">
        <v>137</v>
      </c>
      <c r="E39">
        <f t="shared" ref="E39:P39" si="0">E31-E37</f>
        <v>7</v>
      </c>
      <c r="F39">
        <f t="shared" si="0"/>
        <v>-1</v>
      </c>
      <c r="G39">
        <f t="shared" si="0"/>
        <v>8</v>
      </c>
      <c r="H39">
        <f t="shared" si="0"/>
        <v>5</v>
      </c>
      <c r="I39">
        <f t="shared" si="0"/>
        <v>-14</v>
      </c>
      <c r="J39">
        <f t="shared" si="0"/>
        <v>-1</v>
      </c>
      <c r="K39">
        <f t="shared" si="0"/>
        <v>1</v>
      </c>
      <c r="L39">
        <f t="shared" si="0"/>
        <v>-11</v>
      </c>
      <c r="M39">
        <f t="shared" si="0"/>
        <v>2</v>
      </c>
      <c r="N39">
        <f t="shared" si="0"/>
        <v>-17</v>
      </c>
      <c r="O39">
        <f t="shared" si="0"/>
        <v>3</v>
      </c>
      <c r="P39">
        <f t="shared" si="0"/>
        <v>-6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5</v>
      </c>
      <c r="G40">
        <f t="shared" si="1"/>
        <v>4</v>
      </c>
      <c r="H40">
        <f t="shared" si="1"/>
        <v>1</v>
      </c>
      <c r="I40">
        <f t="shared" si="1"/>
        <v>-10</v>
      </c>
      <c r="J40">
        <f t="shared" si="1"/>
        <v>1</v>
      </c>
      <c r="K40">
        <f t="shared" si="1"/>
        <v>-9</v>
      </c>
      <c r="L40">
        <f t="shared" si="1"/>
        <v>13</v>
      </c>
      <c r="M40">
        <f t="shared" si="1"/>
        <v>6</v>
      </c>
      <c r="N40">
        <f t="shared" si="1"/>
        <v>-11</v>
      </c>
      <c r="O40">
        <f t="shared" si="1"/>
        <v>5</v>
      </c>
      <c r="P40">
        <f t="shared" si="1"/>
        <v>22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84</v>
      </c>
      <c r="F44" s="2">
        <v>85</v>
      </c>
      <c r="G44" s="2">
        <v>90</v>
      </c>
      <c r="H44" s="2">
        <v>86</v>
      </c>
      <c r="I44" s="2">
        <v>72</v>
      </c>
      <c r="J44" s="2">
        <v>83</v>
      </c>
      <c r="K44" s="2">
        <v>79</v>
      </c>
      <c r="L44" s="2">
        <v>84</v>
      </c>
      <c r="M44" s="2">
        <v>88</v>
      </c>
      <c r="N44" s="2">
        <v>69</v>
      </c>
      <c r="O44" s="2">
        <v>87</v>
      </c>
      <c r="P44" s="2">
        <v>92</v>
      </c>
    </row>
    <row r="45" spans="4:16" x14ac:dyDescent="0.5">
      <c r="D45" s="2" t="s">
        <v>28</v>
      </c>
      <c r="E45" s="2">
        <v>82</v>
      </c>
      <c r="F45" s="2">
        <v>81</v>
      </c>
      <c r="G45" s="2">
        <v>78</v>
      </c>
      <c r="H45" s="2">
        <v>80</v>
      </c>
      <c r="I45" s="2">
        <v>96</v>
      </c>
      <c r="J45" s="2">
        <v>83</v>
      </c>
      <c r="K45" s="2">
        <v>87</v>
      </c>
      <c r="L45" s="2">
        <v>82</v>
      </c>
      <c r="M45" s="2">
        <v>80</v>
      </c>
      <c r="N45" s="2">
        <v>97</v>
      </c>
      <c r="O45" s="2">
        <v>79</v>
      </c>
      <c r="P45" s="2">
        <v>76</v>
      </c>
    </row>
    <row r="46" spans="4:16" x14ac:dyDescent="0.5">
      <c r="D46" s="2" t="s">
        <v>30</v>
      </c>
      <c r="E46" s="2">
        <v>2</v>
      </c>
      <c r="F46" s="2">
        <v>4</v>
      </c>
      <c r="G46" s="2">
        <v>12</v>
      </c>
      <c r="H46" s="2">
        <v>6</v>
      </c>
      <c r="I46" s="2">
        <v>-24</v>
      </c>
      <c r="J46" s="2">
        <v>0</v>
      </c>
      <c r="K46" s="2">
        <v>-8</v>
      </c>
      <c r="L46" s="2">
        <v>2</v>
      </c>
      <c r="M46" s="2">
        <v>8</v>
      </c>
      <c r="N46" s="2">
        <v>-28</v>
      </c>
      <c r="O46" s="2">
        <v>8</v>
      </c>
      <c r="P46" s="2">
        <v>16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499</v>
      </c>
      <c r="G51" s="2">
        <v>332</v>
      </c>
      <c r="H51" s="2">
        <v>333</v>
      </c>
      <c r="I51" s="2">
        <v>334</v>
      </c>
      <c r="J51" s="2">
        <v>500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501</v>
      </c>
      <c r="G52" s="2">
        <v>332</v>
      </c>
      <c r="H52" s="2">
        <v>335</v>
      </c>
      <c r="I52" s="2">
        <v>334</v>
      </c>
      <c r="J52" s="2">
        <v>502</v>
      </c>
      <c r="K52" s="2">
        <v>499</v>
      </c>
    </row>
    <row r="53" spans="4:11" x14ac:dyDescent="0.5">
      <c r="D53" s="2" t="s">
        <v>30</v>
      </c>
      <c r="E53" s="2">
        <v>0</v>
      </c>
      <c r="F53" s="2">
        <v>-2</v>
      </c>
      <c r="G53" s="2">
        <v>0</v>
      </c>
      <c r="H53" s="2">
        <v>-2</v>
      </c>
      <c r="I53" s="2">
        <v>0</v>
      </c>
      <c r="J53" s="2">
        <v>-2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82</v>
      </c>
      <c r="G56" s="2">
        <v>498</v>
      </c>
      <c r="H56" s="2">
        <v>810</v>
      </c>
      <c r="I56" s="2">
        <v>496</v>
      </c>
      <c r="J56" s="2">
        <v>108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148</v>
      </c>
    </row>
    <row r="62" spans="4:11" ht="17.649999999999999" x14ac:dyDescent="0.5">
      <c r="D62" s="3" t="s">
        <v>78</v>
      </c>
    </row>
    <row r="63" spans="4:11" ht="17.649999999999999" x14ac:dyDescent="0.5">
      <c r="D63" s="3" t="s">
        <v>134</v>
      </c>
    </row>
    <row r="64" spans="4:11" ht="17.649999999999999" x14ac:dyDescent="0.5">
      <c r="D64" s="3" t="s">
        <v>72</v>
      </c>
    </row>
    <row r="65" spans="4:4" ht="17.649999999999999" x14ac:dyDescent="0.5">
      <c r="D65" s="3" t="s">
        <v>52</v>
      </c>
    </row>
    <row r="66" spans="4:4" ht="17.649999999999999" x14ac:dyDescent="0.5">
      <c r="D66" s="3" t="s">
        <v>45</v>
      </c>
    </row>
    <row r="67" spans="4:4" ht="17.649999999999999" x14ac:dyDescent="0.5">
      <c r="D67" s="3" t="s">
        <v>87</v>
      </c>
    </row>
    <row r="68" spans="4:4" ht="17.649999999999999" x14ac:dyDescent="0.5">
      <c r="D68" s="3" t="s">
        <v>61</v>
      </c>
    </row>
    <row r="69" spans="4:4" ht="17.649999999999999" x14ac:dyDescent="0.5">
      <c r="D69" s="3" t="s">
        <v>90</v>
      </c>
    </row>
    <row r="70" spans="4:4" ht="17.649999999999999" x14ac:dyDescent="0.5">
      <c r="D70" s="3" t="s">
        <v>76</v>
      </c>
    </row>
    <row r="71" spans="4:4" ht="17.649999999999999" x14ac:dyDescent="0.5">
      <c r="D71" s="3" t="s">
        <v>77</v>
      </c>
    </row>
    <row r="72" spans="4:4" ht="17.649999999999999" x14ac:dyDescent="0.5">
      <c r="D72" s="3" t="s">
        <v>107</v>
      </c>
    </row>
    <row r="73" spans="4:4" ht="17.649999999999999" x14ac:dyDescent="0.5">
      <c r="D73" s="3" t="s">
        <v>68</v>
      </c>
    </row>
    <row r="74" spans="4:4" ht="17.649999999999999" x14ac:dyDescent="0.5">
      <c r="D74" s="3" t="s">
        <v>98</v>
      </c>
    </row>
    <row r="75" spans="4:4" ht="17.649999999999999" x14ac:dyDescent="0.5">
      <c r="D75" s="3" t="s">
        <v>48</v>
      </c>
    </row>
    <row r="76" spans="4:4" ht="17.649999999999999" x14ac:dyDescent="0.5">
      <c r="D76" s="3" t="s">
        <v>50</v>
      </c>
    </row>
    <row r="77" spans="4:4" ht="17.649999999999999" x14ac:dyDescent="0.5">
      <c r="D77" s="3" t="s">
        <v>61</v>
      </c>
    </row>
    <row r="78" spans="4:4" ht="17.649999999999999" x14ac:dyDescent="0.5">
      <c r="D78" s="3" t="s">
        <v>77</v>
      </c>
    </row>
    <row r="79" spans="4:4" ht="17.649999999999999" x14ac:dyDescent="0.5">
      <c r="D79" s="3" t="s">
        <v>71</v>
      </c>
    </row>
    <row r="80" spans="4:4" ht="17.649999999999999" x14ac:dyDescent="0.5">
      <c r="D80" s="3" t="s">
        <v>85</v>
      </c>
    </row>
    <row r="81" spans="4:4" ht="17.649999999999999" x14ac:dyDescent="0.5">
      <c r="D81" s="3" t="s">
        <v>92</v>
      </c>
    </row>
    <row r="82" spans="4:4" ht="17.649999999999999" x14ac:dyDescent="0.5">
      <c r="D82" s="3" t="s">
        <v>49</v>
      </c>
    </row>
    <row r="83" spans="4:4" ht="17.649999999999999" x14ac:dyDescent="0.5">
      <c r="D83" s="3" t="s">
        <v>113</v>
      </c>
    </row>
    <row r="84" spans="4:4" ht="17.649999999999999" x14ac:dyDescent="0.5">
      <c r="D84" s="3" t="s">
        <v>57</v>
      </c>
    </row>
    <row r="85" spans="4:4" ht="17.649999999999999" x14ac:dyDescent="0.5">
      <c r="D85" s="3" t="s">
        <v>57</v>
      </c>
    </row>
    <row r="86" spans="4:4" ht="17.649999999999999" x14ac:dyDescent="0.5">
      <c r="D86" s="3" t="s">
        <v>78</v>
      </c>
    </row>
    <row r="87" spans="4:4" ht="17.649999999999999" x14ac:dyDescent="0.5">
      <c r="D87" s="3" t="s">
        <v>80</v>
      </c>
    </row>
    <row r="88" spans="4:4" ht="17.649999999999999" x14ac:dyDescent="0.5">
      <c r="D88" s="3" t="s">
        <v>90</v>
      </c>
    </row>
    <row r="89" spans="4:4" ht="17.649999999999999" x14ac:dyDescent="0.5">
      <c r="D89" s="3" t="s">
        <v>85</v>
      </c>
    </row>
    <row r="90" spans="4:4" ht="17.649999999999999" x14ac:dyDescent="0.5">
      <c r="D90" s="3" t="s">
        <v>83</v>
      </c>
    </row>
    <row r="91" spans="4:4" ht="17.649999999999999" x14ac:dyDescent="0.5">
      <c r="D91" s="3" t="s">
        <v>94</v>
      </c>
    </row>
    <row r="92" spans="4:4" ht="17.649999999999999" x14ac:dyDescent="0.5">
      <c r="D92" s="3" t="s">
        <v>96</v>
      </c>
    </row>
    <row r="93" spans="4:4" ht="17.649999999999999" x14ac:dyDescent="0.5">
      <c r="D93" s="3" t="s">
        <v>44</v>
      </c>
    </row>
    <row r="94" spans="4:4" ht="17.649999999999999" x14ac:dyDescent="0.5">
      <c r="D94" s="3" t="s">
        <v>133</v>
      </c>
    </row>
    <row r="95" spans="4:4" ht="17.649999999999999" x14ac:dyDescent="0.5">
      <c r="D95" s="3" t="s">
        <v>80</v>
      </c>
    </row>
    <row r="96" spans="4:4" ht="17.649999999999999" x14ac:dyDescent="0.5">
      <c r="D96" s="3" t="s">
        <v>54</v>
      </c>
    </row>
    <row r="97" spans="4:4" ht="17.649999999999999" x14ac:dyDescent="0.5">
      <c r="D97" s="3" t="s">
        <v>68</v>
      </c>
    </row>
    <row r="98" spans="4:4" ht="17.649999999999999" x14ac:dyDescent="0.5">
      <c r="D98" s="3" t="s">
        <v>88</v>
      </c>
    </row>
    <row r="99" spans="4:4" ht="17.649999999999999" x14ac:dyDescent="0.5">
      <c r="D99" s="3" t="s">
        <v>98</v>
      </c>
    </row>
    <row r="100" spans="4:4" ht="17.649999999999999" x14ac:dyDescent="0.5">
      <c r="D100" s="3" t="s">
        <v>64</v>
      </c>
    </row>
    <row r="101" spans="4:4" ht="17.649999999999999" x14ac:dyDescent="0.5">
      <c r="D101" s="3" t="s">
        <v>55</v>
      </c>
    </row>
    <row r="102" spans="4:4" ht="17.649999999999999" x14ac:dyDescent="0.5">
      <c r="D102" s="3" t="s">
        <v>81</v>
      </c>
    </row>
    <row r="103" spans="4:4" ht="17.649999999999999" x14ac:dyDescent="0.5">
      <c r="D103" s="3" t="s">
        <v>43</v>
      </c>
    </row>
    <row r="104" spans="4:4" ht="17.649999999999999" x14ac:dyDescent="0.5">
      <c r="D104" s="3" t="s">
        <v>72</v>
      </c>
    </row>
    <row r="105" spans="4:4" ht="17.649999999999999" x14ac:dyDescent="0.5">
      <c r="D105" s="3" t="s">
        <v>82</v>
      </c>
    </row>
    <row r="106" spans="4:4" ht="17.649999999999999" x14ac:dyDescent="0.5">
      <c r="D106" s="3" t="s">
        <v>41</v>
      </c>
    </row>
    <row r="107" spans="4:4" ht="17.649999999999999" x14ac:dyDescent="0.5">
      <c r="D107" s="3" t="s">
        <v>78</v>
      </c>
    </row>
    <row r="108" spans="4:4" ht="17.649999999999999" x14ac:dyDescent="0.5">
      <c r="D108" s="3" t="s">
        <v>80</v>
      </c>
    </row>
    <row r="109" spans="4:4" ht="17.649999999999999" x14ac:dyDescent="0.5">
      <c r="D109" s="3" t="s">
        <v>136</v>
      </c>
    </row>
    <row r="110" spans="4:4" ht="17.649999999999999" x14ac:dyDescent="0.5">
      <c r="D110" s="3" t="s">
        <v>90</v>
      </c>
    </row>
    <row r="111" spans="4:4" ht="17.649999999999999" x14ac:dyDescent="0.5">
      <c r="D111" s="3" t="s">
        <v>103</v>
      </c>
    </row>
    <row r="112" spans="4:4" ht="17.649999999999999" x14ac:dyDescent="0.5">
      <c r="D112" s="3" t="s">
        <v>103</v>
      </c>
    </row>
    <row r="113" spans="4:4" ht="17.649999999999999" x14ac:dyDescent="0.5">
      <c r="D113" s="3" t="s">
        <v>85</v>
      </c>
    </row>
    <row r="114" spans="4:4" ht="17.649999999999999" x14ac:dyDescent="0.5">
      <c r="D114" s="3" t="s">
        <v>132</v>
      </c>
    </row>
    <row r="115" spans="4:4" ht="17.649999999999999" x14ac:dyDescent="0.5">
      <c r="D115" s="3" t="s">
        <v>77</v>
      </c>
    </row>
    <row r="116" spans="4:4" ht="17.649999999999999" x14ac:dyDescent="0.5">
      <c r="D116" s="3" t="s">
        <v>60</v>
      </c>
    </row>
    <row r="117" spans="4:4" ht="17.649999999999999" x14ac:dyDescent="0.5">
      <c r="D117" s="3" t="s">
        <v>50</v>
      </c>
    </row>
    <row r="118" spans="4:4" ht="17.649999999999999" x14ac:dyDescent="0.5">
      <c r="D118" s="3" t="s">
        <v>59</v>
      </c>
    </row>
    <row r="119" spans="4:4" ht="17.649999999999999" x14ac:dyDescent="0.5">
      <c r="D119" s="3" t="s">
        <v>78</v>
      </c>
    </row>
    <row r="120" spans="4:4" ht="17.649999999999999" x14ac:dyDescent="0.5">
      <c r="D120" s="3" t="s">
        <v>101</v>
      </c>
    </row>
    <row r="121" spans="4:4" ht="17.649999999999999" x14ac:dyDescent="0.5">
      <c r="D121" s="3" t="s">
        <v>74</v>
      </c>
    </row>
    <row r="122" spans="4:4" ht="17.649999999999999" x14ac:dyDescent="0.5">
      <c r="D122" s="3" t="s">
        <v>48</v>
      </c>
    </row>
    <row r="123" spans="4:4" ht="17.649999999999999" x14ac:dyDescent="0.5">
      <c r="D123" s="3" t="s">
        <v>79</v>
      </c>
    </row>
    <row r="124" spans="4:4" ht="17.649999999999999" x14ac:dyDescent="0.5">
      <c r="D124" s="3" t="s">
        <v>63</v>
      </c>
    </row>
    <row r="125" spans="4:4" ht="17.649999999999999" x14ac:dyDescent="0.5">
      <c r="D125" s="3" t="s">
        <v>127</v>
      </c>
    </row>
    <row r="126" spans="4:4" ht="17.649999999999999" x14ac:dyDescent="0.5">
      <c r="D126" s="3" t="s">
        <v>64</v>
      </c>
    </row>
    <row r="127" spans="4:4" ht="17.649999999999999" x14ac:dyDescent="0.5">
      <c r="D127" s="3" t="s">
        <v>48</v>
      </c>
    </row>
    <row r="128" spans="4:4" ht="17.649999999999999" x14ac:dyDescent="0.5">
      <c r="D128" s="3" t="s">
        <v>136</v>
      </c>
    </row>
    <row r="129" spans="4:4" ht="17.649999999999999" x14ac:dyDescent="0.5">
      <c r="D129" s="3" t="s">
        <v>57</v>
      </c>
    </row>
    <row r="130" spans="4:4" ht="17.649999999999999" x14ac:dyDescent="0.5">
      <c r="D130" s="3" t="s">
        <v>113</v>
      </c>
    </row>
    <row r="131" spans="4:4" ht="17.649999999999999" x14ac:dyDescent="0.5">
      <c r="D131" s="3" t="s">
        <v>53</v>
      </c>
    </row>
    <row r="132" spans="4:4" ht="17.649999999999999" x14ac:dyDescent="0.5">
      <c r="D132" s="3" t="s">
        <v>64</v>
      </c>
    </row>
    <row r="133" spans="4:4" ht="17.649999999999999" x14ac:dyDescent="0.5">
      <c r="D133" s="3" t="s">
        <v>92</v>
      </c>
    </row>
    <row r="134" spans="4:4" ht="17.649999999999999" x14ac:dyDescent="0.5">
      <c r="D134" s="3" t="s">
        <v>67</v>
      </c>
    </row>
    <row r="135" spans="4:4" ht="17.649999999999999" x14ac:dyDescent="0.5">
      <c r="D135" s="3" t="s">
        <v>136</v>
      </c>
    </row>
    <row r="136" spans="4:4" ht="17.649999999999999" x14ac:dyDescent="0.5">
      <c r="D136" s="3" t="s">
        <v>84</v>
      </c>
    </row>
    <row r="137" spans="4:4" ht="17.649999999999999" x14ac:dyDescent="0.5">
      <c r="D137" s="3" t="s">
        <v>112</v>
      </c>
    </row>
    <row r="138" spans="4:4" ht="17.649999999999999" x14ac:dyDescent="0.5">
      <c r="D138" s="3" t="s">
        <v>52</v>
      </c>
    </row>
    <row r="139" spans="4:4" ht="17.649999999999999" x14ac:dyDescent="0.5">
      <c r="D139" s="3" t="s">
        <v>108</v>
      </c>
    </row>
    <row r="140" spans="4:4" ht="17.649999999999999" x14ac:dyDescent="0.5">
      <c r="D140" s="3" t="s">
        <v>90</v>
      </c>
    </row>
    <row r="141" spans="4:4" ht="17.649999999999999" x14ac:dyDescent="0.5">
      <c r="D141" s="3" t="s">
        <v>77</v>
      </c>
    </row>
    <row r="142" spans="4:4" ht="17.649999999999999" x14ac:dyDescent="0.5">
      <c r="D142" s="3" t="s">
        <v>51</v>
      </c>
    </row>
    <row r="143" spans="4:4" ht="17.649999999999999" x14ac:dyDescent="0.5">
      <c r="D143" s="3" t="s">
        <v>92</v>
      </c>
    </row>
    <row r="144" spans="4:4" ht="17.649999999999999" x14ac:dyDescent="0.5">
      <c r="D144" s="3" t="s">
        <v>125</v>
      </c>
    </row>
    <row r="145" spans="4:4" ht="17.649999999999999" x14ac:dyDescent="0.5">
      <c r="D145" s="3" t="s">
        <v>74</v>
      </c>
    </row>
    <row r="146" spans="4:4" ht="17.649999999999999" x14ac:dyDescent="0.5">
      <c r="D146" s="3" t="s">
        <v>52</v>
      </c>
    </row>
    <row r="147" spans="4:4" ht="17.649999999999999" x14ac:dyDescent="0.5">
      <c r="D147" s="3" t="s">
        <v>115</v>
      </c>
    </row>
    <row r="148" spans="4:4" ht="17.649999999999999" x14ac:dyDescent="0.5">
      <c r="D148" s="3" t="s">
        <v>54</v>
      </c>
    </row>
    <row r="149" spans="4:4" ht="17.649999999999999" x14ac:dyDescent="0.5">
      <c r="D149" s="3" t="s">
        <v>41</v>
      </c>
    </row>
    <row r="150" spans="4:4" ht="17.649999999999999" x14ac:dyDescent="0.5">
      <c r="D150" s="3" t="s">
        <v>62</v>
      </c>
    </row>
    <row r="151" spans="4:4" ht="17.649999999999999" x14ac:dyDescent="0.5">
      <c r="D151" s="3" t="s">
        <v>101</v>
      </c>
    </row>
    <row r="152" spans="4:4" ht="17.649999999999999" x14ac:dyDescent="0.5">
      <c r="D152" s="3" t="s">
        <v>103</v>
      </c>
    </row>
    <row r="153" spans="4:4" ht="17.649999999999999" x14ac:dyDescent="0.5">
      <c r="D153" s="3" t="s">
        <v>83</v>
      </c>
    </row>
    <row r="154" spans="4:4" ht="17.649999999999999" x14ac:dyDescent="0.5">
      <c r="D154" s="3" t="s">
        <v>117</v>
      </c>
    </row>
    <row r="155" spans="4:4" ht="17.649999999999999" x14ac:dyDescent="0.5">
      <c r="D155" s="3" t="s">
        <v>81</v>
      </c>
    </row>
    <row r="156" spans="4:4" ht="17.649999999999999" x14ac:dyDescent="0.5">
      <c r="D156" s="3" t="s">
        <v>66</v>
      </c>
    </row>
    <row r="157" spans="4:4" ht="17.649999999999999" x14ac:dyDescent="0.5">
      <c r="D157" s="3" t="s">
        <v>51</v>
      </c>
    </row>
    <row r="158" spans="4:4" ht="17.649999999999999" x14ac:dyDescent="0.5">
      <c r="D158" s="3" t="s">
        <v>50</v>
      </c>
    </row>
    <row r="159" spans="4:4" ht="17.649999999999999" x14ac:dyDescent="0.5">
      <c r="D159" s="3" t="s">
        <v>62</v>
      </c>
    </row>
    <row r="160" spans="4:4" ht="17.649999999999999" x14ac:dyDescent="0.5">
      <c r="D160" s="3" t="s">
        <v>64</v>
      </c>
    </row>
    <row r="161" spans="4:4" ht="17.649999999999999" x14ac:dyDescent="0.5">
      <c r="D161" s="3" t="s">
        <v>67</v>
      </c>
    </row>
    <row r="162" spans="4:4" ht="17.649999999999999" x14ac:dyDescent="0.5">
      <c r="D162" s="3" t="s">
        <v>69</v>
      </c>
    </row>
    <row r="163" spans="4:4" ht="17.649999999999999" x14ac:dyDescent="0.5">
      <c r="D163" s="3" t="s">
        <v>83</v>
      </c>
    </row>
    <row r="164" spans="4:4" ht="17.649999999999999" x14ac:dyDescent="0.5">
      <c r="D164" s="3" t="s">
        <v>115</v>
      </c>
    </row>
    <row r="165" spans="4:4" ht="17.649999999999999" x14ac:dyDescent="0.5">
      <c r="D165" s="3" t="s">
        <v>93</v>
      </c>
    </row>
    <row r="166" spans="4:4" ht="17.649999999999999" x14ac:dyDescent="0.5">
      <c r="D166" s="3" t="s">
        <v>51</v>
      </c>
    </row>
    <row r="167" spans="4:4" ht="17.649999999999999" x14ac:dyDescent="0.5">
      <c r="D167" s="3" t="s">
        <v>77</v>
      </c>
    </row>
    <row r="168" spans="4:4" ht="17.649999999999999" x14ac:dyDescent="0.5">
      <c r="D168" s="3" t="s">
        <v>69</v>
      </c>
    </row>
    <row r="169" spans="4:4" ht="17.649999999999999" x14ac:dyDescent="0.5">
      <c r="D169" s="3" t="s">
        <v>90</v>
      </c>
    </row>
    <row r="170" spans="4:4" ht="17.649999999999999" x14ac:dyDescent="0.5">
      <c r="D170" s="3" t="s">
        <v>117</v>
      </c>
    </row>
    <row r="171" spans="4:4" ht="17.649999999999999" x14ac:dyDescent="0.5">
      <c r="D171" s="3" t="s">
        <v>111</v>
      </c>
    </row>
    <row r="172" spans="4:4" ht="17.649999999999999" x14ac:dyDescent="0.5">
      <c r="D172" s="3" t="s">
        <v>67</v>
      </c>
    </row>
    <row r="173" spans="4:4" ht="17.649999999999999" x14ac:dyDescent="0.5">
      <c r="D173" s="3" t="s">
        <v>90</v>
      </c>
    </row>
    <row r="174" spans="4:4" ht="17.649999999999999" x14ac:dyDescent="0.5">
      <c r="D174" s="3" t="s">
        <v>124</v>
      </c>
    </row>
    <row r="175" spans="4:4" ht="17.649999999999999" x14ac:dyDescent="0.5">
      <c r="D175" s="3" t="s">
        <v>57</v>
      </c>
    </row>
    <row r="176" spans="4:4" ht="17.649999999999999" x14ac:dyDescent="0.5">
      <c r="D176" s="3" t="s">
        <v>105</v>
      </c>
    </row>
    <row r="177" spans="4:4" ht="17.649999999999999" x14ac:dyDescent="0.5">
      <c r="D177" s="3" t="s">
        <v>109</v>
      </c>
    </row>
    <row r="178" spans="4:4" ht="17.649999999999999" x14ac:dyDescent="0.5">
      <c r="D178" s="3" t="s">
        <v>59</v>
      </c>
    </row>
    <row r="179" spans="4:4" ht="17.649999999999999" x14ac:dyDescent="0.5">
      <c r="D179" s="3" t="s">
        <v>94</v>
      </c>
    </row>
    <row r="180" spans="4:4" ht="17.649999999999999" x14ac:dyDescent="0.5">
      <c r="D180" s="3" t="s">
        <v>127</v>
      </c>
    </row>
    <row r="181" spans="4:4" ht="17.649999999999999" x14ac:dyDescent="0.5">
      <c r="D181" s="3" t="s">
        <v>67</v>
      </c>
    </row>
    <row r="182" spans="4:4" ht="17.649999999999999" x14ac:dyDescent="0.5">
      <c r="D182" s="3" t="s">
        <v>63</v>
      </c>
    </row>
    <row r="183" spans="4:4" ht="17.649999999999999" x14ac:dyDescent="0.5">
      <c r="D183" s="3" t="s">
        <v>127</v>
      </c>
    </row>
    <row r="184" spans="4:4" ht="17.649999999999999" x14ac:dyDescent="0.5">
      <c r="D184" s="3" t="s">
        <v>101</v>
      </c>
    </row>
    <row r="185" spans="4:4" ht="17.649999999999999" x14ac:dyDescent="0.5">
      <c r="D185" s="3" t="s">
        <v>47</v>
      </c>
    </row>
    <row r="186" spans="4:4" ht="17.649999999999999" x14ac:dyDescent="0.5">
      <c r="D186" s="3" t="s">
        <v>84</v>
      </c>
    </row>
    <row r="187" spans="4:4" ht="17.649999999999999" x14ac:dyDescent="0.5">
      <c r="D187" s="3" t="s">
        <v>65</v>
      </c>
    </row>
    <row r="188" spans="4:4" ht="17.649999999999999" x14ac:dyDescent="0.5">
      <c r="D188" s="3" t="s">
        <v>77</v>
      </c>
    </row>
    <row r="189" spans="4:4" ht="17.649999999999999" x14ac:dyDescent="0.5">
      <c r="D189" s="3" t="s">
        <v>84</v>
      </c>
    </row>
    <row r="190" spans="4:4" ht="17.649999999999999" x14ac:dyDescent="0.5">
      <c r="D190" s="3" t="s">
        <v>58</v>
      </c>
    </row>
    <row r="191" spans="4:4" ht="17.649999999999999" x14ac:dyDescent="0.5">
      <c r="D191" s="3" t="s">
        <v>55</v>
      </c>
    </row>
    <row r="192" spans="4:4" ht="17.649999999999999" x14ac:dyDescent="0.5">
      <c r="D192" s="3" t="s">
        <v>75</v>
      </c>
    </row>
    <row r="193" spans="4:4" ht="17.649999999999999" x14ac:dyDescent="0.5">
      <c r="D193" s="3" t="s">
        <v>65</v>
      </c>
    </row>
    <row r="194" spans="4:4" ht="17.649999999999999" x14ac:dyDescent="0.5">
      <c r="D194" s="3" t="s">
        <v>43</v>
      </c>
    </row>
    <row r="195" spans="4:4" ht="17.649999999999999" x14ac:dyDescent="0.5">
      <c r="D195" s="3" t="s">
        <v>55</v>
      </c>
    </row>
    <row r="196" spans="4:4" ht="17.649999999999999" x14ac:dyDescent="0.5">
      <c r="D196" s="3" t="s">
        <v>75</v>
      </c>
    </row>
    <row r="197" spans="4:4" ht="17.649999999999999" x14ac:dyDescent="0.5">
      <c r="D197" s="3" t="s">
        <v>48</v>
      </c>
    </row>
    <row r="198" spans="4:4" ht="17.649999999999999" x14ac:dyDescent="0.5">
      <c r="D198" s="3" t="s">
        <v>60</v>
      </c>
    </row>
    <row r="199" spans="4:4" ht="17.649999999999999" x14ac:dyDescent="0.5">
      <c r="D199" s="3" t="s">
        <v>74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115</v>
      </c>
    </row>
    <row r="202" spans="4:4" ht="17.649999999999999" x14ac:dyDescent="0.5">
      <c r="D202" s="3" t="s">
        <v>66</v>
      </c>
    </row>
    <row r="203" spans="4:4" ht="17.649999999999999" x14ac:dyDescent="0.5">
      <c r="D203" s="3" t="s">
        <v>96</v>
      </c>
    </row>
    <row r="204" spans="4:4" ht="17.649999999999999" x14ac:dyDescent="0.5">
      <c r="D204" s="3" t="s">
        <v>90</v>
      </c>
    </row>
    <row r="205" spans="4:4" ht="17.649999999999999" x14ac:dyDescent="0.5">
      <c r="D205" s="3" t="s">
        <v>54</v>
      </c>
    </row>
    <row r="206" spans="4:4" ht="17.649999999999999" x14ac:dyDescent="0.5">
      <c r="D206" s="3" t="s">
        <v>53</v>
      </c>
    </row>
    <row r="207" spans="4:4" ht="17.649999999999999" x14ac:dyDescent="0.5">
      <c r="D207" s="3" t="s">
        <v>91</v>
      </c>
    </row>
    <row r="208" spans="4:4" ht="17.649999999999999" x14ac:dyDescent="0.5">
      <c r="D208" s="3" t="s">
        <v>84</v>
      </c>
    </row>
    <row r="209" spans="4:4" ht="17.649999999999999" x14ac:dyDescent="0.5">
      <c r="D209" s="3" t="s">
        <v>46</v>
      </c>
    </row>
    <row r="210" spans="4:4" ht="17.649999999999999" x14ac:dyDescent="0.5">
      <c r="D210" s="3" t="s">
        <v>87</v>
      </c>
    </row>
    <row r="211" spans="4:4" ht="17.649999999999999" x14ac:dyDescent="0.5">
      <c r="D211" s="3" t="s">
        <v>96</v>
      </c>
    </row>
    <row r="212" spans="4:4" ht="17.649999999999999" x14ac:dyDescent="0.5">
      <c r="D212" s="3" t="s">
        <v>43</v>
      </c>
    </row>
    <row r="213" spans="4:4" ht="17.649999999999999" x14ac:dyDescent="0.5">
      <c r="D213" s="3" t="s">
        <v>112</v>
      </c>
    </row>
    <row r="214" spans="4:4" ht="17.649999999999999" x14ac:dyDescent="0.5">
      <c r="D214" s="3" t="s">
        <v>63</v>
      </c>
    </row>
    <row r="215" spans="4:4" ht="17.649999999999999" x14ac:dyDescent="0.5">
      <c r="D215" s="3" t="s">
        <v>64</v>
      </c>
    </row>
    <row r="216" spans="4:4" ht="17.649999999999999" x14ac:dyDescent="0.5">
      <c r="D216" s="3" t="s">
        <v>61</v>
      </c>
    </row>
    <row r="217" spans="4:4" ht="17.649999999999999" x14ac:dyDescent="0.5">
      <c r="D217" s="3" t="s">
        <v>85</v>
      </c>
    </row>
    <row r="218" spans="4:4" ht="17.649999999999999" x14ac:dyDescent="0.5">
      <c r="D218" s="3" t="s">
        <v>57</v>
      </c>
    </row>
    <row r="219" spans="4:4" ht="17.649999999999999" x14ac:dyDescent="0.5">
      <c r="D219" s="3" t="s">
        <v>63</v>
      </c>
    </row>
    <row r="220" spans="4:4" ht="17.649999999999999" x14ac:dyDescent="0.5">
      <c r="D220" s="3" t="s">
        <v>47</v>
      </c>
    </row>
    <row r="221" spans="4:4" ht="17.649999999999999" x14ac:dyDescent="0.5">
      <c r="D221" s="3" t="s">
        <v>69</v>
      </c>
    </row>
    <row r="222" spans="4:4" ht="17.649999999999999" x14ac:dyDescent="0.5">
      <c r="D222" s="3" t="s">
        <v>61</v>
      </c>
    </row>
    <row r="223" spans="4:4" ht="17.649999999999999" x14ac:dyDescent="0.5">
      <c r="D223" s="3" t="s">
        <v>50</v>
      </c>
    </row>
    <row r="224" spans="4:4" ht="17.649999999999999" x14ac:dyDescent="0.5">
      <c r="D224" s="3" t="s">
        <v>49</v>
      </c>
    </row>
    <row r="225" spans="4:4" ht="17.649999999999999" x14ac:dyDescent="0.5">
      <c r="D225" s="3" t="s">
        <v>107</v>
      </c>
    </row>
    <row r="226" spans="4:4" ht="17.649999999999999" x14ac:dyDescent="0.5">
      <c r="D226" s="3" t="s">
        <v>90</v>
      </c>
    </row>
    <row r="227" spans="4:4" ht="17.649999999999999" x14ac:dyDescent="0.5">
      <c r="D227" s="3" t="s">
        <v>81</v>
      </c>
    </row>
    <row r="228" spans="4:4" ht="17.649999999999999" x14ac:dyDescent="0.5">
      <c r="D228" s="3" t="s">
        <v>108</v>
      </c>
    </row>
    <row r="229" spans="4:4" ht="17.649999999999999" x14ac:dyDescent="0.5">
      <c r="D229" s="3" t="s">
        <v>100</v>
      </c>
    </row>
    <row r="230" spans="4:4" ht="17.649999999999999" x14ac:dyDescent="0.5">
      <c r="D230" s="3" t="s">
        <v>101</v>
      </c>
    </row>
    <row r="231" spans="4:4" ht="17.649999999999999" x14ac:dyDescent="0.5">
      <c r="D231" s="3" t="s">
        <v>105</v>
      </c>
    </row>
    <row r="232" spans="4:4" ht="17.649999999999999" x14ac:dyDescent="0.5">
      <c r="D232" s="3" t="s">
        <v>74</v>
      </c>
    </row>
    <row r="233" spans="4:4" ht="17.649999999999999" x14ac:dyDescent="0.5">
      <c r="D233" s="3" t="s">
        <v>115</v>
      </c>
    </row>
    <row r="234" spans="4:4" ht="17.649999999999999" x14ac:dyDescent="0.5">
      <c r="D234" s="3" t="s">
        <v>56</v>
      </c>
    </row>
    <row r="235" spans="4:4" ht="17.649999999999999" x14ac:dyDescent="0.5">
      <c r="D235" s="3" t="s">
        <v>51</v>
      </c>
    </row>
    <row r="236" spans="4:4" ht="17.649999999999999" x14ac:dyDescent="0.5">
      <c r="D236" s="3" t="s">
        <v>46</v>
      </c>
    </row>
    <row r="237" spans="4:4" ht="17.649999999999999" x14ac:dyDescent="0.5">
      <c r="D237" s="3" t="s">
        <v>80</v>
      </c>
    </row>
    <row r="238" spans="4:4" ht="17.649999999999999" x14ac:dyDescent="0.5">
      <c r="D238" s="3" t="s">
        <v>61</v>
      </c>
    </row>
    <row r="239" spans="4:4" ht="17.649999999999999" x14ac:dyDescent="0.5">
      <c r="D239" s="3" t="s">
        <v>117</v>
      </c>
    </row>
    <row r="240" spans="4:4" ht="17.649999999999999" x14ac:dyDescent="0.5">
      <c r="D240" s="3" t="s">
        <v>126</v>
      </c>
    </row>
    <row r="241" spans="4:4" ht="17.649999999999999" x14ac:dyDescent="0.5">
      <c r="D241" s="3" t="s">
        <v>105</v>
      </c>
    </row>
    <row r="242" spans="4:4" ht="17.649999999999999" x14ac:dyDescent="0.5">
      <c r="D242" s="3" t="s">
        <v>53</v>
      </c>
    </row>
    <row r="243" spans="4:4" ht="17.649999999999999" x14ac:dyDescent="0.5">
      <c r="D243" s="3" t="s">
        <v>47</v>
      </c>
    </row>
    <row r="244" spans="4:4" ht="17.649999999999999" x14ac:dyDescent="0.5">
      <c r="D244" s="3" t="s">
        <v>41</v>
      </c>
    </row>
    <row r="245" spans="4:4" ht="17.649999999999999" x14ac:dyDescent="0.5">
      <c r="D245" s="3" t="s">
        <v>85</v>
      </c>
    </row>
    <row r="246" spans="4:4" ht="17.649999999999999" x14ac:dyDescent="0.5">
      <c r="D246" s="3" t="s">
        <v>77</v>
      </c>
    </row>
    <row r="247" spans="4:4" ht="17.649999999999999" x14ac:dyDescent="0.5">
      <c r="D247" s="3" t="s">
        <v>102</v>
      </c>
    </row>
    <row r="248" spans="4:4" ht="17.649999999999999" x14ac:dyDescent="0.5">
      <c r="D248" s="3" t="s">
        <v>55</v>
      </c>
    </row>
    <row r="249" spans="4:4" ht="17.649999999999999" x14ac:dyDescent="0.5">
      <c r="D249" s="3" t="s">
        <v>98</v>
      </c>
    </row>
    <row r="250" spans="4:4" ht="17.649999999999999" x14ac:dyDescent="0.5">
      <c r="D250" s="3" t="s">
        <v>87</v>
      </c>
    </row>
    <row r="251" spans="4:4" ht="17.649999999999999" x14ac:dyDescent="0.5">
      <c r="D251" s="3" t="s">
        <v>67</v>
      </c>
    </row>
    <row r="252" spans="4:4" ht="17.649999999999999" x14ac:dyDescent="0.5">
      <c r="D252" s="3" t="s">
        <v>64</v>
      </c>
    </row>
    <row r="253" spans="4:4" ht="17.649999999999999" x14ac:dyDescent="0.5">
      <c r="D253" s="3" t="s">
        <v>48</v>
      </c>
    </row>
    <row r="254" spans="4:4" ht="17.649999999999999" x14ac:dyDescent="0.5">
      <c r="D254" s="3" t="s">
        <v>96</v>
      </c>
    </row>
    <row r="255" spans="4:4" ht="17.649999999999999" x14ac:dyDescent="0.5">
      <c r="D255" s="3" t="s">
        <v>94</v>
      </c>
    </row>
    <row r="256" spans="4:4" ht="17.649999999999999" x14ac:dyDescent="0.5">
      <c r="D256" s="3" t="s">
        <v>129</v>
      </c>
    </row>
    <row r="257" spans="4:4" ht="17.649999999999999" x14ac:dyDescent="0.5">
      <c r="D257" s="3" t="s">
        <v>94</v>
      </c>
    </row>
    <row r="258" spans="4:4" ht="17.649999999999999" x14ac:dyDescent="0.5">
      <c r="D258" s="3" t="s">
        <v>87</v>
      </c>
    </row>
    <row r="259" spans="4:4" ht="17.649999999999999" x14ac:dyDescent="0.5">
      <c r="D259" s="3" t="s">
        <v>99</v>
      </c>
    </row>
    <row r="260" spans="4:4" ht="17.649999999999999" x14ac:dyDescent="0.5">
      <c r="D260" s="3" t="s">
        <v>67</v>
      </c>
    </row>
    <row r="261" spans="4:4" ht="17.649999999999999" x14ac:dyDescent="0.5">
      <c r="D261" s="3" t="s">
        <v>70</v>
      </c>
    </row>
    <row r="262" spans="4:4" ht="17.649999999999999" x14ac:dyDescent="0.5">
      <c r="D262" s="3" t="s">
        <v>61</v>
      </c>
    </row>
    <row r="263" spans="4:4" ht="17.649999999999999" x14ac:dyDescent="0.5">
      <c r="D263" s="3" t="s">
        <v>111</v>
      </c>
    </row>
    <row r="264" spans="4:4" ht="17.649999999999999" x14ac:dyDescent="0.5">
      <c r="D264" s="3" t="s">
        <v>133</v>
      </c>
    </row>
    <row r="265" spans="4:4" ht="17.649999999999999" x14ac:dyDescent="0.5">
      <c r="D265" s="3" t="s">
        <v>73</v>
      </c>
    </row>
    <row r="266" spans="4:4" ht="17.649999999999999" x14ac:dyDescent="0.5">
      <c r="D266" s="3" t="s">
        <v>66</v>
      </c>
    </row>
    <row r="267" spans="4:4" ht="17.649999999999999" x14ac:dyDescent="0.5">
      <c r="D267" s="3" t="s">
        <v>90</v>
      </c>
    </row>
    <row r="268" spans="4:4" ht="17.649999999999999" x14ac:dyDescent="0.5">
      <c r="D268" s="3" t="s">
        <v>101</v>
      </c>
    </row>
    <row r="269" spans="4:4" ht="17.649999999999999" x14ac:dyDescent="0.5">
      <c r="D269" s="3" t="s">
        <v>41</v>
      </c>
    </row>
    <row r="270" spans="4:4" ht="17.649999999999999" x14ac:dyDescent="0.5">
      <c r="D270" s="3" t="s">
        <v>99</v>
      </c>
    </row>
    <row r="271" spans="4:4" ht="17.649999999999999" x14ac:dyDescent="0.5">
      <c r="D271" s="3" t="s">
        <v>80</v>
      </c>
    </row>
    <row r="272" spans="4:4" ht="17.649999999999999" x14ac:dyDescent="0.5">
      <c r="D272" s="3" t="s">
        <v>69</v>
      </c>
    </row>
    <row r="273" spans="4:4" ht="17.649999999999999" x14ac:dyDescent="0.5">
      <c r="D273" s="3" t="s">
        <v>64</v>
      </c>
    </row>
    <row r="274" spans="4:4" ht="17.649999999999999" x14ac:dyDescent="0.5">
      <c r="D274" s="3" t="s">
        <v>41</v>
      </c>
    </row>
    <row r="275" spans="4:4" ht="17.649999999999999" x14ac:dyDescent="0.5">
      <c r="D275" s="3" t="s">
        <v>75</v>
      </c>
    </row>
    <row r="276" spans="4:4" ht="17.649999999999999" x14ac:dyDescent="0.5">
      <c r="D276" s="3" t="s">
        <v>115</v>
      </c>
    </row>
    <row r="277" spans="4:4" ht="17.649999999999999" x14ac:dyDescent="0.5">
      <c r="D277" s="3" t="s">
        <v>85</v>
      </c>
    </row>
    <row r="278" spans="4:4" ht="17.649999999999999" x14ac:dyDescent="0.5">
      <c r="D278" s="3" t="s">
        <v>96</v>
      </c>
    </row>
    <row r="279" spans="4:4" ht="17.649999999999999" x14ac:dyDescent="0.5">
      <c r="D279" s="3" t="s">
        <v>114</v>
      </c>
    </row>
    <row r="280" spans="4:4" ht="17.649999999999999" x14ac:dyDescent="0.5">
      <c r="D280" s="3" t="s">
        <v>66</v>
      </c>
    </row>
    <row r="281" spans="4:4" ht="17.649999999999999" x14ac:dyDescent="0.5">
      <c r="D281" s="3" t="s">
        <v>89</v>
      </c>
    </row>
    <row r="282" spans="4:4" ht="17.649999999999999" x14ac:dyDescent="0.5">
      <c r="D282" s="3" t="s">
        <v>102</v>
      </c>
    </row>
    <row r="283" spans="4:4" ht="17.649999999999999" x14ac:dyDescent="0.5">
      <c r="D283" s="3" t="s">
        <v>122</v>
      </c>
    </row>
    <row r="284" spans="4:4" ht="17.649999999999999" x14ac:dyDescent="0.5">
      <c r="D284" s="3" t="s">
        <v>56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132</v>
      </c>
    </row>
    <row r="287" spans="4:4" ht="17.649999999999999" x14ac:dyDescent="0.5">
      <c r="D287" s="3" t="s">
        <v>99</v>
      </c>
    </row>
    <row r="288" spans="4:4" ht="17.649999999999999" x14ac:dyDescent="0.5">
      <c r="D288" s="3" t="s">
        <v>59</v>
      </c>
    </row>
    <row r="289" spans="4:4" ht="17.649999999999999" x14ac:dyDescent="0.5">
      <c r="D289" s="3" t="s">
        <v>116</v>
      </c>
    </row>
    <row r="290" spans="4:4" ht="17.649999999999999" x14ac:dyDescent="0.5">
      <c r="D290" s="3" t="s">
        <v>103</v>
      </c>
    </row>
    <row r="291" spans="4:4" ht="17.649999999999999" x14ac:dyDescent="0.5">
      <c r="D291" s="3" t="s">
        <v>90</v>
      </c>
    </row>
    <row r="292" spans="4:4" ht="17.649999999999999" x14ac:dyDescent="0.5">
      <c r="D292" s="3" t="s">
        <v>91</v>
      </c>
    </row>
    <row r="293" spans="4:4" ht="17.649999999999999" x14ac:dyDescent="0.5">
      <c r="D293" s="3" t="s">
        <v>50</v>
      </c>
    </row>
    <row r="294" spans="4:4" ht="17.649999999999999" x14ac:dyDescent="0.5">
      <c r="D294" s="3" t="s">
        <v>41</v>
      </c>
    </row>
    <row r="295" spans="4:4" ht="17.649999999999999" x14ac:dyDescent="0.5">
      <c r="D295" s="3" t="s">
        <v>61</v>
      </c>
    </row>
    <row r="296" spans="4:4" ht="17.649999999999999" x14ac:dyDescent="0.5">
      <c r="D296" s="3" t="s">
        <v>53</v>
      </c>
    </row>
    <row r="297" spans="4:4" ht="17.649999999999999" x14ac:dyDescent="0.5">
      <c r="D297" s="3" t="s">
        <v>97</v>
      </c>
    </row>
    <row r="298" spans="4:4" ht="17.649999999999999" x14ac:dyDescent="0.5">
      <c r="D298" s="3" t="s">
        <v>125</v>
      </c>
    </row>
    <row r="299" spans="4:4" ht="17.649999999999999" x14ac:dyDescent="0.5">
      <c r="D299" s="3" t="s">
        <v>120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81</v>
      </c>
    </row>
    <row r="302" spans="4:4" ht="17.649999999999999" x14ac:dyDescent="0.5">
      <c r="D302" s="3" t="s">
        <v>87</v>
      </c>
    </row>
    <row r="303" spans="4:4" ht="17.649999999999999" x14ac:dyDescent="0.5">
      <c r="D303" s="3" t="s">
        <v>107</v>
      </c>
    </row>
    <row r="304" spans="4:4" ht="17.649999999999999" x14ac:dyDescent="0.5">
      <c r="D304" s="3" t="s">
        <v>114</v>
      </c>
    </row>
    <row r="305" spans="4:4" ht="17.649999999999999" x14ac:dyDescent="0.5">
      <c r="D305" s="3" t="s">
        <v>113</v>
      </c>
    </row>
    <row r="306" spans="4:4" ht="17.649999999999999" x14ac:dyDescent="0.5">
      <c r="D306" s="3" t="s">
        <v>61</v>
      </c>
    </row>
    <row r="307" spans="4:4" ht="17.649999999999999" x14ac:dyDescent="0.5">
      <c r="D307" s="3" t="s">
        <v>77</v>
      </c>
    </row>
    <row r="308" spans="4:4" ht="17.649999999999999" x14ac:dyDescent="0.5">
      <c r="D308" s="3" t="s">
        <v>47</v>
      </c>
    </row>
    <row r="309" spans="4:4" ht="17.649999999999999" x14ac:dyDescent="0.5">
      <c r="D309" s="3" t="s">
        <v>94</v>
      </c>
    </row>
    <row r="310" spans="4:4" ht="17.649999999999999" x14ac:dyDescent="0.5">
      <c r="D310" s="3" t="s">
        <v>126</v>
      </c>
    </row>
    <row r="311" spans="4:4" ht="17.649999999999999" x14ac:dyDescent="0.5">
      <c r="D311" s="3" t="s">
        <v>67</v>
      </c>
    </row>
    <row r="312" spans="4:4" ht="17.649999999999999" x14ac:dyDescent="0.5">
      <c r="D312" s="3" t="s">
        <v>85</v>
      </c>
    </row>
    <row r="313" spans="4:4" ht="17.649999999999999" x14ac:dyDescent="0.5">
      <c r="D313" s="3" t="s">
        <v>101</v>
      </c>
    </row>
    <row r="314" spans="4:4" ht="17.649999999999999" x14ac:dyDescent="0.5">
      <c r="D314" s="3" t="s">
        <v>48</v>
      </c>
    </row>
    <row r="315" spans="4:4" ht="17.649999999999999" x14ac:dyDescent="0.5">
      <c r="D315" s="3" t="s">
        <v>51</v>
      </c>
    </row>
    <row r="316" spans="4:4" ht="17.649999999999999" x14ac:dyDescent="0.5">
      <c r="D316" s="3" t="s">
        <v>62</v>
      </c>
    </row>
    <row r="317" spans="4:4" ht="17.649999999999999" x14ac:dyDescent="0.5">
      <c r="D317" s="3" t="s">
        <v>66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135</v>
      </c>
    </row>
    <row r="320" spans="4:4" ht="17.649999999999999" x14ac:dyDescent="0.5">
      <c r="D320" s="3" t="s">
        <v>43</v>
      </c>
    </row>
    <row r="321" spans="4:4" ht="17.649999999999999" x14ac:dyDescent="0.5">
      <c r="D321" s="3" t="s">
        <v>49</v>
      </c>
    </row>
    <row r="322" spans="4:4" ht="17.649999999999999" x14ac:dyDescent="0.5">
      <c r="D322" s="3" t="s">
        <v>58</v>
      </c>
    </row>
    <row r="323" spans="4:4" ht="17.649999999999999" x14ac:dyDescent="0.5">
      <c r="D323" s="3" t="s">
        <v>92</v>
      </c>
    </row>
    <row r="324" spans="4:4" ht="17.649999999999999" x14ac:dyDescent="0.5">
      <c r="D324" s="3" t="s">
        <v>51</v>
      </c>
    </row>
    <row r="325" spans="4:4" ht="17.649999999999999" x14ac:dyDescent="0.5">
      <c r="D325" s="3" t="s">
        <v>66</v>
      </c>
    </row>
    <row r="326" spans="4:4" ht="17.649999999999999" x14ac:dyDescent="0.5">
      <c r="D326" s="3" t="s">
        <v>50</v>
      </c>
    </row>
    <row r="327" spans="4:4" ht="17.649999999999999" x14ac:dyDescent="0.5">
      <c r="D327" s="3" t="s">
        <v>57</v>
      </c>
    </row>
    <row r="328" spans="4:4" ht="17.649999999999999" x14ac:dyDescent="0.5">
      <c r="D328" s="3" t="s">
        <v>107</v>
      </c>
    </row>
    <row r="329" spans="4:4" ht="17.649999999999999" x14ac:dyDescent="0.5">
      <c r="D329" s="3" t="s">
        <v>115</v>
      </c>
    </row>
    <row r="330" spans="4:4" ht="17.649999999999999" x14ac:dyDescent="0.5">
      <c r="D330" s="3" t="s">
        <v>64</v>
      </c>
    </row>
    <row r="331" spans="4:4" ht="17.649999999999999" x14ac:dyDescent="0.5">
      <c r="D331" s="3" t="s">
        <v>41</v>
      </c>
    </row>
    <row r="332" spans="4:4" ht="17.649999999999999" x14ac:dyDescent="0.5">
      <c r="D332" s="3" t="s">
        <v>75</v>
      </c>
    </row>
    <row r="333" spans="4:4" ht="17.649999999999999" x14ac:dyDescent="0.5">
      <c r="D333" s="3" t="s">
        <v>67</v>
      </c>
    </row>
    <row r="334" spans="4:4" ht="17.649999999999999" x14ac:dyDescent="0.5">
      <c r="D334" s="3" t="s">
        <v>80</v>
      </c>
    </row>
    <row r="335" spans="4:4" ht="17.649999999999999" x14ac:dyDescent="0.5">
      <c r="D335" s="3" t="s">
        <v>128</v>
      </c>
    </row>
    <row r="336" spans="4:4" ht="17.649999999999999" x14ac:dyDescent="0.5">
      <c r="D336" s="3" t="s">
        <v>68</v>
      </c>
    </row>
    <row r="337" spans="4:4" ht="17.649999999999999" x14ac:dyDescent="0.5">
      <c r="D337" s="3" t="s">
        <v>77</v>
      </c>
    </row>
    <row r="338" spans="4:4" ht="17.649999999999999" x14ac:dyDescent="0.5">
      <c r="D338" s="3" t="s">
        <v>65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91</v>
      </c>
    </row>
    <row r="341" spans="4:4" ht="17.649999999999999" x14ac:dyDescent="0.5">
      <c r="D341" s="3" t="s">
        <v>80</v>
      </c>
    </row>
    <row r="342" spans="4:4" ht="17.649999999999999" x14ac:dyDescent="0.5">
      <c r="D342" s="3" t="s">
        <v>134</v>
      </c>
    </row>
    <row r="343" spans="4:4" ht="17.649999999999999" x14ac:dyDescent="0.5">
      <c r="D343" s="3" t="s">
        <v>82</v>
      </c>
    </row>
    <row r="344" spans="4:4" ht="17.649999999999999" x14ac:dyDescent="0.5">
      <c r="D344" s="3" t="s">
        <v>53</v>
      </c>
    </row>
    <row r="345" spans="4:4" ht="17.649999999999999" x14ac:dyDescent="0.5">
      <c r="D345" s="3" t="s">
        <v>112</v>
      </c>
    </row>
    <row r="346" spans="4:4" ht="17.649999999999999" x14ac:dyDescent="0.5">
      <c r="D346" s="3" t="s">
        <v>95</v>
      </c>
    </row>
    <row r="347" spans="4:4" ht="17.649999999999999" x14ac:dyDescent="0.5">
      <c r="D347" s="3" t="s">
        <v>87</v>
      </c>
    </row>
    <row r="348" spans="4:4" ht="17.649999999999999" x14ac:dyDescent="0.5">
      <c r="D348" s="3" t="s">
        <v>63</v>
      </c>
    </row>
    <row r="349" spans="4:4" ht="17.649999999999999" x14ac:dyDescent="0.5">
      <c r="D349" s="3" t="s">
        <v>80</v>
      </c>
    </row>
    <row r="350" spans="4:4" ht="17.649999999999999" x14ac:dyDescent="0.5">
      <c r="D350" s="3" t="s">
        <v>96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132</v>
      </c>
    </row>
    <row r="353" spans="4:4" ht="17.649999999999999" x14ac:dyDescent="0.5">
      <c r="D353" s="3" t="s">
        <v>67</v>
      </c>
    </row>
    <row r="354" spans="4:4" ht="17.649999999999999" x14ac:dyDescent="0.5">
      <c r="D354" s="3" t="s">
        <v>56</v>
      </c>
    </row>
    <row r="355" spans="4:4" ht="17.649999999999999" x14ac:dyDescent="0.5">
      <c r="D355" s="3" t="s">
        <v>41</v>
      </c>
    </row>
    <row r="356" spans="4:4" ht="17.649999999999999" x14ac:dyDescent="0.5">
      <c r="D356" s="3" t="s">
        <v>75</v>
      </c>
    </row>
    <row r="357" spans="4:4" ht="17.649999999999999" x14ac:dyDescent="0.5">
      <c r="D357" s="3" t="s">
        <v>84</v>
      </c>
    </row>
    <row r="358" spans="4:4" ht="17.649999999999999" x14ac:dyDescent="0.5">
      <c r="D358" s="3" t="s">
        <v>47</v>
      </c>
    </row>
    <row r="359" spans="4:4" ht="17.649999999999999" x14ac:dyDescent="0.5">
      <c r="D359" s="3" t="s">
        <v>115</v>
      </c>
    </row>
    <row r="360" spans="4:4" ht="17.649999999999999" x14ac:dyDescent="0.5">
      <c r="D360" s="3" t="s">
        <v>122</v>
      </c>
    </row>
    <row r="361" spans="4:4" ht="17.649999999999999" x14ac:dyDescent="0.5">
      <c r="D361" s="3" t="s">
        <v>98</v>
      </c>
    </row>
    <row r="362" spans="4:4" ht="17.649999999999999" x14ac:dyDescent="0.5">
      <c r="D362" s="3" t="s">
        <v>96</v>
      </c>
    </row>
    <row r="363" spans="4:4" ht="17.649999999999999" x14ac:dyDescent="0.5">
      <c r="D363" s="3" t="s">
        <v>47</v>
      </c>
    </row>
    <row r="364" spans="4:4" ht="17.649999999999999" x14ac:dyDescent="0.5">
      <c r="D364" s="3" t="s">
        <v>68</v>
      </c>
    </row>
    <row r="365" spans="4:4" ht="17.649999999999999" x14ac:dyDescent="0.5">
      <c r="D365" s="3" t="s">
        <v>55</v>
      </c>
    </row>
    <row r="366" spans="4:4" ht="17.649999999999999" x14ac:dyDescent="0.5">
      <c r="D366" s="3" t="s">
        <v>136</v>
      </c>
    </row>
    <row r="367" spans="4:4" ht="17.649999999999999" x14ac:dyDescent="0.5">
      <c r="D367" s="3" t="s">
        <v>83</v>
      </c>
    </row>
    <row r="368" spans="4:4" ht="17.649999999999999" x14ac:dyDescent="0.5">
      <c r="D368" s="3" t="s">
        <v>85</v>
      </c>
    </row>
    <row r="369" spans="4:4" ht="17.649999999999999" x14ac:dyDescent="0.5">
      <c r="D369" s="3" t="s">
        <v>99</v>
      </c>
    </row>
    <row r="370" spans="4:4" ht="17.649999999999999" x14ac:dyDescent="0.5">
      <c r="D370" s="3" t="s">
        <v>66</v>
      </c>
    </row>
    <row r="371" spans="4:4" ht="17.649999999999999" x14ac:dyDescent="0.5">
      <c r="D371" s="3" t="s">
        <v>88</v>
      </c>
    </row>
    <row r="372" spans="4:4" ht="17.649999999999999" x14ac:dyDescent="0.5">
      <c r="D372" s="3" t="s">
        <v>41</v>
      </c>
    </row>
    <row r="373" spans="4:4" ht="17.649999999999999" x14ac:dyDescent="0.5">
      <c r="D373" s="3" t="s">
        <v>80</v>
      </c>
    </row>
    <row r="374" spans="4:4" ht="17.649999999999999" x14ac:dyDescent="0.5">
      <c r="D374" s="3" t="s">
        <v>115</v>
      </c>
    </row>
    <row r="375" spans="4:4" ht="17.649999999999999" x14ac:dyDescent="0.5">
      <c r="D375" s="3" t="s">
        <v>64</v>
      </c>
    </row>
    <row r="376" spans="4:4" ht="17.649999999999999" x14ac:dyDescent="0.5">
      <c r="D376" s="3" t="s">
        <v>75</v>
      </c>
    </row>
    <row r="377" spans="4:4" ht="17.649999999999999" x14ac:dyDescent="0.5">
      <c r="D377" s="3" t="s">
        <v>69</v>
      </c>
    </row>
    <row r="378" spans="4:4" ht="17.649999999999999" x14ac:dyDescent="0.5">
      <c r="D378" s="3" t="s">
        <v>100</v>
      </c>
    </row>
    <row r="379" spans="4:4" ht="17.649999999999999" x14ac:dyDescent="0.5">
      <c r="D379" s="3" t="s">
        <v>41</v>
      </c>
    </row>
    <row r="380" spans="4:4" ht="17.649999999999999" x14ac:dyDescent="0.5">
      <c r="D380" s="3" t="s">
        <v>46</v>
      </c>
    </row>
    <row r="381" spans="4:4" ht="17.649999999999999" x14ac:dyDescent="0.5">
      <c r="D381" s="3" t="s">
        <v>75</v>
      </c>
    </row>
    <row r="382" spans="4:4" ht="17.649999999999999" x14ac:dyDescent="0.5">
      <c r="D382" s="3" t="s">
        <v>94</v>
      </c>
    </row>
    <row r="383" spans="4:4" ht="17.649999999999999" x14ac:dyDescent="0.5">
      <c r="D383" s="3" t="s">
        <v>90</v>
      </c>
    </row>
    <row r="384" spans="4:4" ht="17.649999999999999" x14ac:dyDescent="0.5">
      <c r="D384" s="3" t="s">
        <v>119</v>
      </c>
    </row>
    <row r="385" spans="4:4" ht="17.649999999999999" x14ac:dyDescent="0.5">
      <c r="D385" s="3" t="s">
        <v>91</v>
      </c>
    </row>
    <row r="386" spans="4:4" ht="17.649999999999999" x14ac:dyDescent="0.5">
      <c r="D386" s="3" t="s">
        <v>105</v>
      </c>
    </row>
    <row r="387" spans="4:4" ht="17.649999999999999" x14ac:dyDescent="0.5">
      <c r="D387" s="3" t="s">
        <v>78</v>
      </c>
    </row>
    <row r="388" spans="4:4" ht="17.649999999999999" x14ac:dyDescent="0.5">
      <c r="D388" s="3" t="s">
        <v>52</v>
      </c>
    </row>
    <row r="389" spans="4:4" ht="17.649999999999999" x14ac:dyDescent="0.5">
      <c r="D389" s="3" t="s">
        <v>104</v>
      </c>
    </row>
    <row r="390" spans="4:4" ht="17.649999999999999" x14ac:dyDescent="0.5">
      <c r="D390" s="3" t="s">
        <v>49</v>
      </c>
    </row>
    <row r="391" spans="4:4" ht="17.649999999999999" x14ac:dyDescent="0.5">
      <c r="D391" s="3" t="s">
        <v>112</v>
      </c>
    </row>
    <row r="392" spans="4:4" ht="17.649999999999999" x14ac:dyDescent="0.5">
      <c r="D392" s="3" t="s">
        <v>41</v>
      </c>
    </row>
    <row r="393" spans="4:4" ht="17.649999999999999" x14ac:dyDescent="0.5">
      <c r="D393" s="3" t="s">
        <v>95</v>
      </c>
    </row>
    <row r="394" spans="4:4" ht="17.649999999999999" x14ac:dyDescent="0.5">
      <c r="D394" s="3" t="s">
        <v>68</v>
      </c>
    </row>
    <row r="395" spans="4:4" ht="17.649999999999999" x14ac:dyDescent="0.5">
      <c r="D395" s="3" t="s">
        <v>98</v>
      </c>
    </row>
    <row r="396" spans="4:4" ht="17.649999999999999" x14ac:dyDescent="0.5">
      <c r="D396" s="3" t="s">
        <v>96</v>
      </c>
    </row>
    <row r="397" spans="4:4" ht="17.649999999999999" x14ac:dyDescent="0.5">
      <c r="D397" s="3" t="s">
        <v>66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74</v>
      </c>
    </row>
    <row r="400" spans="4:4" ht="17.649999999999999" x14ac:dyDescent="0.5">
      <c r="D400" s="3" t="s">
        <v>57</v>
      </c>
    </row>
    <row r="401" spans="4:4" ht="17.649999999999999" x14ac:dyDescent="0.5">
      <c r="D401" s="3" t="s">
        <v>117</v>
      </c>
    </row>
    <row r="402" spans="4:4" ht="17.649999999999999" x14ac:dyDescent="0.5">
      <c r="D402" s="3" t="s">
        <v>74</v>
      </c>
    </row>
    <row r="403" spans="4:4" ht="17.649999999999999" x14ac:dyDescent="0.5">
      <c r="D403" s="3" t="s">
        <v>81</v>
      </c>
    </row>
    <row r="404" spans="4:4" ht="17.649999999999999" x14ac:dyDescent="0.5">
      <c r="D404" s="3" t="s">
        <v>112</v>
      </c>
    </row>
    <row r="405" spans="4:4" ht="17.649999999999999" x14ac:dyDescent="0.5">
      <c r="D405" s="3" t="s">
        <v>82</v>
      </c>
    </row>
    <row r="406" spans="4:4" ht="17.649999999999999" x14ac:dyDescent="0.5">
      <c r="D406" s="3" t="s">
        <v>78</v>
      </c>
    </row>
    <row r="407" spans="4:4" ht="17.649999999999999" x14ac:dyDescent="0.5">
      <c r="D407" s="3" t="s">
        <v>62</v>
      </c>
    </row>
    <row r="408" spans="4:4" ht="17.649999999999999" x14ac:dyDescent="0.5">
      <c r="D408" s="3" t="s">
        <v>65</v>
      </c>
    </row>
    <row r="409" spans="4:4" ht="17.649999999999999" x14ac:dyDescent="0.5">
      <c r="D409" s="3" t="s">
        <v>125</v>
      </c>
    </row>
    <row r="410" spans="4:4" ht="17.649999999999999" x14ac:dyDescent="0.5">
      <c r="D410" s="3" t="s">
        <v>115</v>
      </c>
    </row>
    <row r="411" spans="4:4" ht="17.649999999999999" x14ac:dyDescent="0.5">
      <c r="D411" s="3" t="s">
        <v>83</v>
      </c>
    </row>
    <row r="412" spans="4:4" ht="17.649999999999999" x14ac:dyDescent="0.5">
      <c r="D412" s="3" t="s">
        <v>70</v>
      </c>
    </row>
    <row r="413" spans="4:4" ht="17.649999999999999" x14ac:dyDescent="0.5">
      <c r="D413" s="3" t="s">
        <v>57</v>
      </c>
    </row>
    <row r="414" spans="4:4" ht="17.649999999999999" x14ac:dyDescent="0.5">
      <c r="D414" s="3" t="s">
        <v>85</v>
      </c>
    </row>
    <row r="415" spans="4:4" ht="17.649999999999999" x14ac:dyDescent="0.5">
      <c r="D415" s="3" t="s">
        <v>107</v>
      </c>
    </row>
    <row r="416" spans="4:4" ht="17.649999999999999" x14ac:dyDescent="0.5">
      <c r="D416" s="3" t="s">
        <v>90</v>
      </c>
    </row>
    <row r="417" spans="4:4" ht="17.649999999999999" x14ac:dyDescent="0.5">
      <c r="D417" s="3" t="s">
        <v>74</v>
      </c>
    </row>
    <row r="418" spans="4:4" ht="17.649999999999999" x14ac:dyDescent="0.5">
      <c r="D418" s="3" t="s">
        <v>67</v>
      </c>
    </row>
    <row r="419" spans="4:4" ht="17.649999999999999" x14ac:dyDescent="0.5">
      <c r="D419" s="3" t="s">
        <v>84</v>
      </c>
    </row>
    <row r="420" spans="4:4" ht="17.649999999999999" x14ac:dyDescent="0.5">
      <c r="D420" s="3" t="s">
        <v>108</v>
      </c>
    </row>
    <row r="421" spans="4:4" ht="17.649999999999999" x14ac:dyDescent="0.5">
      <c r="D421" s="3" t="s">
        <v>94</v>
      </c>
    </row>
    <row r="422" spans="4:4" ht="17.649999999999999" x14ac:dyDescent="0.5">
      <c r="D422" s="3" t="s">
        <v>112</v>
      </c>
    </row>
    <row r="423" spans="4:4" ht="17.649999999999999" x14ac:dyDescent="0.5">
      <c r="D423" s="3" t="s">
        <v>111</v>
      </c>
    </row>
    <row r="424" spans="4:4" ht="17.649999999999999" x14ac:dyDescent="0.5">
      <c r="D424" s="3" t="s">
        <v>92</v>
      </c>
    </row>
    <row r="425" spans="4:4" ht="17.649999999999999" x14ac:dyDescent="0.5">
      <c r="D425" s="3" t="s">
        <v>107</v>
      </c>
    </row>
    <row r="426" spans="4:4" ht="17.649999999999999" x14ac:dyDescent="0.5">
      <c r="D426" s="3" t="s">
        <v>66</v>
      </c>
    </row>
    <row r="427" spans="4:4" ht="17.649999999999999" x14ac:dyDescent="0.5">
      <c r="D427" s="3" t="s">
        <v>117</v>
      </c>
    </row>
    <row r="428" spans="4:4" ht="17.649999999999999" x14ac:dyDescent="0.5">
      <c r="D428" s="3" t="s">
        <v>112</v>
      </c>
    </row>
    <row r="429" spans="4:4" ht="17.649999999999999" x14ac:dyDescent="0.5">
      <c r="D429" s="3" t="s">
        <v>51</v>
      </c>
    </row>
    <row r="430" spans="4:4" ht="17.649999999999999" x14ac:dyDescent="0.5">
      <c r="D430" s="3" t="s">
        <v>133</v>
      </c>
    </row>
    <row r="431" spans="4:4" ht="17.649999999999999" x14ac:dyDescent="0.5">
      <c r="D431" s="3" t="s">
        <v>43</v>
      </c>
    </row>
    <row r="432" spans="4:4" ht="17.649999999999999" x14ac:dyDescent="0.5">
      <c r="D432" s="3" t="s">
        <v>59</v>
      </c>
    </row>
    <row r="433" spans="4:4" ht="17.649999999999999" x14ac:dyDescent="0.5">
      <c r="D433" s="3" t="s">
        <v>54</v>
      </c>
    </row>
    <row r="434" spans="4:4" ht="17.649999999999999" x14ac:dyDescent="0.5">
      <c r="D434" s="3" t="s">
        <v>134</v>
      </c>
    </row>
    <row r="435" spans="4:4" ht="17.649999999999999" x14ac:dyDescent="0.5">
      <c r="D435" s="3" t="s">
        <v>109</v>
      </c>
    </row>
    <row r="436" spans="4:4" ht="17.649999999999999" x14ac:dyDescent="0.5">
      <c r="D436" s="3" t="s">
        <v>49</v>
      </c>
    </row>
    <row r="437" spans="4:4" ht="17.649999999999999" x14ac:dyDescent="0.5">
      <c r="D437" s="3" t="s">
        <v>117</v>
      </c>
    </row>
    <row r="438" spans="4:4" ht="17.649999999999999" x14ac:dyDescent="0.5">
      <c r="D438" s="3" t="s">
        <v>92</v>
      </c>
    </row>
    <row r="439" spans="4:4" ht="17.649999999999999" x14ac:dyDescent="0.5">
      <c r="D439" s="3" t="s">
        <v>56</v>
      </c>
    </row>
    <row r="440" spans="4:4" ht="17.649999999999999" x14ac:dyDescent="0.5">
      <c r="D440" s="3" t="s">
        <v>51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47</v>
      </c>
    </row>
    <row r="443" spans="4:4" ht="17.649999999999999" x14ac:dyDescent="0.5">
      <c r="D443" s="3" t="s">
        <v>92</v>
      </c>
    </row>
    <row r="444" spans="4:4" ht="17.649999999999999" x14ac:dyDescent="0.5">
      <c r="D444" s="3" t="s">
        <v>80</v>
      </c>
    </row>
    <row r="445" spans="4:4" ht="17.649999999999999" x14ac:dyDescent="0.5">
      <c r="D445" s="3" t="s">
        <v>50</v>
      </c>
    </row>
    <row r="446" spans="4:4" ht="17.649999999999999" x14ac:dyDescent="0.5">
      <c r="D446" s="3" t="s">
        <v>54</v>
      </c>
    </row>
    <row r="447" spans="4:4" ht="17.649999999999999" x14ac:dyDescent="0.5">
      <c r="D447" s="3" t="s">
        <v>51</v>
      </c>
    </row>
    <row r="448" spans="4:4" ht="17.649999999999999" x14ac:dyDescent="0.5">
      <c r="D448" s="3" t="s">
        <v>82</v>
      </c>
    </row>
    <row r="449" spans="4:4" ht="17.649999999999999" x14ac:dyDescent="0.5">
      <c r="D449" s="3" t="s">
        <v>66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136</v>
      </c>
    </row>
    <row r="452" spans="4:4" ht="17.649999999999999" x14ac:dyDescent="0.5">
      <c r="D452" s="3" t="s">
        <v>59</v>
      </c>
    </row>
    <row r="453" spans="4:4" ht="17.649999999999999" x14ac:dyDescent="0.5">
      <c r="D453" s="3" t="s">
        <v>90</v>
      </c>
    </row>
    <row r="454" spans="4:4" ht="17.649999999999999" x14ac:dyDescent="0.5">
      <c r="D454" s="3" t="s">
        <v>41</v>
      </c>
    </row>
    <row r="455" spans="4:4" ht="17.649999999999999" x14ac:dyDescent="0.5">
      <c r="D455" s="3" t="s">
        <v>69</v>
      </c>
    </row>
    <row r="456" spans="4:4" ht="17.649999999999999" x14ac:dyDescent="0.5">
      <c r="D456" s="3" t="s">
        <v>135</v>
      </c>
    </row>
    <row r="457" spans="4:4" ht="17.649999999999999" x14ac:dyDescent="0.5">
      <c r="D457" s="3" t="s">
        <v>43</v>
      </c>
    </row>
    <row r="458" spans="4:4" ht="17.649999999999999" x14ac:dyDescent="0.5">
      <c r="D458" s="3" t="s">
        <v>125</v>
      </c>
    </row>
    <row r="459" spans="4:4" ht="17.649999999999999" x14ac:dyDescent="0.5">
      <c r="D459" s="3" t="s">
        <v>109</v>
      </c>
    </row>
    <row r="460" spans="4:4" ht="17.649999999999999" x14ac:dyDescent="0.5">
      <c r="D460" s="3" t="s">
        <v>112</v>
      </c>
    </row>
    <row r="461" spans="4:4" ht="17.649999999999999" x14ac:dyDescent="0.5">
      <c r="D461" s="3" t="s">
        <v>64</v>
      </c>
    </row>
    <row r="462" spans="4:4" ht="17.649999999999999" x14ac:dyDescent="0.5">
      <c r="D462" s="3" t="s">
        <v>85</v>
      </c>
    </row>
    <row r="463" spans="4:4" ht="17.649999999999999" x14ac:dyDescent="0.5">
      <c r="D463" s="3" t="s">
        <v>66</v>
      </c>
    </row>
    <row r="464" spans="4:4" ht="17.649999999999999" x14ac:dyDescent="0.5">
      <c r="D464" s="3" t="s">
        <v>46</v>
      </c>
    </row>
    <row r="465" spans="4:4" ht="17.649999999999999" x14ac:dyDescent="0.5">
      <c r="D465" s="3" t="s">
        <v>104</v>
      </c>
    </row>
    <row r="466" spans="4:4" ht="17.649999999999999" x14ac:dyDescent="0.5">
      <c r="D466" s="3" t="s">
        <v>101</v>
      </c>
    </row>
    <row r="467" spans="4:4" ht="17.649999999999999" x14ac:dyDescent="0.5">
      <c r="D467" s="3" t="s">
        <v>79</v>
      </c>
    </row>
    <row r="468" spans="4:4" ht="17.649999999999999" x14ac:dyDescent="0.5">
      <c r="D468" s="3" t="s">
        <v>103</v>
      </c>
    </row>
    <row r="469" spans="4:4" ht="17.649999999999999" x14ac:dyDescent="0.5">
      <c r="D469" s="3" t="s">
        <v>88</v>
      </c>
    </row>
    <row r="470" spans="4:4" ht="17.649999999999999" x14ac:dyDescent="0.5">
      <c r="D470" s="3" t="s">
        <v>96</v>
      </c>
    </row>
    <row r="471" spans="4:4" ht="17.649999999999999" x14ac:dyDescent="0.5">
      <c r="D471" s="3" t="s">
        <v>43</v>
      </c>
    </row>
    <row r="472" spans="4:4" ht="17.649999999999999" x14ac:dyDescent="0.5">
      <c r="D472" s="3" t="s">
        <v>77</v>
      </c>
    </row>
    <row r="473" spans="4:4" ht="17.649999999999999" x14ac:dyDescent="0.5">
      <c r="D473" s="3" t="s">
        <v>80</v>
      </c>
    </row>
    <row r="474" spans="4:4" ht="17.649999999999999" x14ac:dyDescent="0.5">
      <c r="D474" s="3" t="s">
        <v>101</v>
      </c>
    </row>
    <row r="475" spans="4:4" ht="17.649999999999999" x14ac:dyDescent="0.5">
      <c r="D475" s="3" t="s">
        <v>117</v>
      </c>
    </row>
    <row r="476" spans="4:4" ht="17.649999999999999" x14ac:dyDescent="0.5">
      <c r="D476" s="3" t="s">
        <v>75</v>
      </c>
    </row>
    <row r="477" spans="4:4" ht="17.649999999999999" x14ac:dyDescent="0.5">
      <c r="D477" s="3" t="s">
        <v>134</v>
      </c>
    </row>
    <row r="478" spans="4:4" ht="17.649999999999999" x14ac:dyDescent="0.5">
      <c r="D478" s="3" t="s">
        <v>110</v>
      </c>
    </row>
    <row r="479" spans="4:4" ht="17.649999999999999" x14ac:dyDescent="0.5">
      <c r="D479" s="3" t="s">
        <v>70</v>
      </c>
    </row>
    <row r="480" spans="4:4" ht="17.649999999999999" x14ac:dyDescent="0.5">
      <c r="D480" s="3" t="s">
        <v>84</v>
      </c>
    </row>
    <row r="481" spans="4:4" ht="17.649999999999999" x14ac:dyDescent="0.5">
      <c r="D481" s="3" t="s">
        <v>49</v>
      </c>
    </row>
    <row r="482" spans="4:4" ht="17.649999999999999" x14ac:dyDescent="0.5">
      <c r="D482" s="3" t="s">
        <v>88</v>
      </c>
    </row>
    <row r="483" spans="4:4" ht="17.649999999999999" x14ac:dyDescent="0.5">
      <c r="D483" s="3" t="s">
        <v>113</v>
      </c>
    </row>
    <row r="484" spans="4:4" ht="17.649999999999999" x14ac:dyDescent="0.5">
      <c r="D484" s="3" t="s">
        <v>68</v>
      </c>
    </row>
    <row r="485" spans="4:4" ht="17.649999999999999" x14ac:dyDescent="0.5">
      <c r="D485" s="3" t="s">
        <v>64</v>
      </c>
    </row>
    <row r="486" spans="4:4" ht="17.649999999999999" x14ac:dyDescent="0.5">
      <c r="D486" s="3" t="s">
        <v>47</v>
      </c>
    </row>
    <row r="487" spans="4:4" ht="17.649999999999999" x14ac:dyDescent="0.5">
      <c r="D487" s="3" t="s">
        <v>100</v>
      </c>
    </row>
    <row r="488" spans="4:4" ht="17.649999999999999" x14ac:dyDescent="0.5">
      <c r="D488" s="3" t="s">
        <v>117</v>
      </c>
    </row>
    <row r="489" spans="4:4" ht="17.649999999999999" x14ac:dyDescent="0.5">
      <c r="D489" s="3" t="s">
        <v>45</v>
      </c>
    </row>
    <row r="490" spans="4:4" ht="17.649999999999999" x14ac:dyDescent="0.5">
      <c r="D490" s="3" t="s">
        <v>64</v>
      </c>
    </row>
    <row r="491" spans="4:4" ht="17.649999999999999" x14ac:dyDescent="0.5">
      <c r="D491" s="3" t="s">
        <v>46</v>
      </c>
    </row>
    <row r="492" spans="4:4" ht="17.649999999999999" x14ac:dyDescent="0.5">
      <c r="D492" s="3" t="s">
        <v>43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46</v>
      </c>
    </row>
    <row r="495" spans="4:4" ht="17.649999999999999" x14ac:dyDescent="0.5">
      <c r="D495" s="3" t="s">
        <v>48</v>
      </c>
    </row>
    <row r="496" spans="4:4" ht="17.649999999999999" x14ac:dyDescent="0.5">
      <c r="D496" s="3" t="s">
        <v>96</v>
      </c>
    </row>
    <row r="497" spans="4:4" ht="17.649999999999999" x14ac:dyDescent="0.5">
      <c r="D497" s="3" t="s">
        <v>124</v>
      </c>
    </row>
    <row r="498" spans="4:4" ht="17.649999999999999" x14ac:dyDescent="0.5">
      <c r="D498" s="3" t="s">
        <v>55</v>
      </c>
    </row>
    <row r="499" spans="4:4" ht="17.649999999999999" x14ac:dyDescent="0.5">
      <c r="D499" s="3" t="s">
        <v>57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94</v>
      </c>
    </row>
    <row r="502" spans="4:4" ht="17.649999999999999" x14ac:dyDescent="0.5">
      <c r="D502" s="3" t="s">
        <v>41</v>
      </c>
    </row>
    <row r="503" spans="4:4" ht="17.649999999999999" x14ac:dyDescent="0.5">
      <c r="D503" s="3" t="s">
        <v>83</v>
      </c>
    </row>
    <row r="504" spans="4:4" ht="17.649999999999999" x14ac:dyDescent="0.5">
      <c r="D504" s="3" t="s">
        <v>97</v>
      </c>
    </row>
    <row r="505" spans="4:4" ht="17.649999999999999" x14ac:dyDescent="0.5">
      <c r="D505" s="3" t="s">
        <v>62</v>
      </c>
    </row>
    <row r="506" spans="4:4" ht="17.649999999999999" x14ac:dyDescent="0.5">
      <c r="D506" s="3" t="s">
        <v>66</v>
      </c>
    </row>
    <row r="507" spans="4:4" ht="17.649999999999999" x14ac:dyDescent="0.5">
      <c r="D507" s="3" t="s">
        <v>73</v>
      </c>
    </row>
    <row r="508" spans="4:4" ht="17.649999999999999" x14ac:dyDescent="0.5">
      <c r="D508" s="3" t="s">
        <v>47</v>
      </c>
    </row>
    <row r="509" spans="4:4" ht="17.649999999999999" x14ac:dyDescent="0.5">
      <c r="D509" s="3" t="s">
        <v>132</v>
      </c>
    </row>
    <row r="510" spans="4:4" ht="17.649999999999999" x14ac:dyDescent="0.5">
      <c r="D510" s="3" t="s">
        <v>64</v>
      </c>
    </row>
    <row r="511" spans="4:4" ht="17.649999999999999" x14ac:dyDescent="0.5">
      <c r="D511" s="3" t="s">
        <v>90</v>
      </c>
    </row>
    <row r="512" spans="4:4" ht="17.649999999999999" x14ac:dyDescent="0.5">
      <c r="D512" s="3" t="s">
        <v>83</v>
      </c>
    </row>
    <row r="513" spans="4:4" ht="17.649999999999999" x14ac:dyDescent="0.5">
      <c r="D513" s="3" t="s">
        <v>127</v>
      </c>
    </row>
    <row r="514" spans="4:4" ht="17.649999999999999" x14ac:dyDescent="0.5">
      <c r="D514" s="3" t="s">
        <v>53</v>
      </c>
    </row>
    <row r="515" spans="4:4" ht="17.649999999999999" x14ac:dyDescent="0.5">
      <c r="D515" s="3" t="s">
        <v>125</v>
      </c>
    </row>
    <row r="516" spans="4:4" ht="17.649999999999999" x14ac:dyDescent="0.5">
      <c r="D516" s="3" t="s">
        <v>74</v>
      </c>
    </row>
    <row r="517" spans="4:4" ht="17.649999999999999" x14ac:dyDescent="0.5">
      <c r="D517" s="3" t="s">
        <v>50</v>
      </c>
    </row>
    <row r="518" spans="4:4" ht="17.649999999999999" x14ac:dyDescent="0.5">
      <c r="D518" s="3" t="s">
        <v>67</v>
      </c>
    </row>
    <row r="519" spans="4:4" ht="17.649999999999999" x14ac:dyDescent="0.5">
      <c r="D519" s="3" t="s">
        <v>69</v>
      </c>
    </row>
    <row r="520" spans="4:4" ht="17.649999999999999" x14ac:dyDescent="0.5">
      <c r="D520" s="3" t="s">
        <v>72</v>
      </c>
    </row>
    <row r="521" spans="4:4" ht="17.649999999999999" x14ac:dyDescent="0.5">
      <c r="D521" s="3" t="s">
        <v>75</v>
      </c>
    </row>
    <row r="522" spans="4:4" ht="17.649999999999999" x14ac:dyDescent="0.5">
      <c r="D522" s="3" t="s">
        <v>118</v>
      </c>
    </row>
    <row r="523" spans="4:4" ht="17.649999999999999" x14ac:dyDescent="0.5">
      <c r="D523" s="3" t="s">
        <v>77</v>
      </c>
    </row>
    <row r="524" spans="4:4" ht="17.649999999999999" x14ac:dyDescent="0.5">
      <c r="D524" s="3" t="s">
        <v>67</v>
      </c>
    </row>
    <row r="525" spans="4:4" ht="17.649999999999999" x14ac:dyDescent="0.5">
      <c r="D525" s="3" t="s">
        <v>87</v>
      </c>
    </row>
    <row r="526" spans="4:4" ht="17.649999999999999" x14ac:dyDescent="0.5">
      <c r="D526" s="3" t="s">
        <v>128</v>
      </c>
    </row>
    <row r="527" spans="4:4" ht="17.649999999999999" x14ac:dyDescent="0.5">
      <c r="D527" s="3" t="s">
        <v>100</v>
      </c>
    </row>
    <row r="528" spans="4:4" ht="17.649999999999999" x14ac:dyDescent="0.5">
      <c r="D528" s="3" t="s">
        <v>81</v>
      </c>
    </row>
    <row r="529" spans="4:4" ht="17.649999999999999" x14ac:dyDescent="0.5">
      <c r="D529" s="3" t="s">
        <v>59</v>
      </c>
    </row>
    <row r="530" spans="4:4" ht="17.649999999999999" x14ac:dyDescent="0.5">
      <c r="D530" s="3" t="s">
        <v>121</v>
      </c>
    </row>
    <row r="531" spans="4:4" ht="17.649999999999999" x14ac:dyDescent="0.5">
      <c r="D531" s="3" t="s">
        <v>113</v>
      </c>
    </row>
    <row r="532" spans="4:4" ht="17.649999999999999" x14ac:dyDescent="0.5">
      <c r="D532" s="3" t="s">
        <v>101</v>
      </c>
    </row>
    <row r="533" spans="4:4" ht="17.649999999999999" x14ac:dyDescent="0.5">
      <c r="D533" s="3" t="s">
        <v>51</v>
      </c>
    </row>
    <row r="534" spans="4:4" ht="17.649999999999999" x14ac:dyDescent="0.5">
      <c r="D534" s="3" t="s">
        <v>69</v>
      </c>
    </row>
    <row r="535" spans="4:4" ht="17.649999999999999" x14ac:dyDescent="0.5">
      <c r="D535" s="3" t="s">
        <v>84</v>
      </c>
    </row>
    <row r="536" spans="4:4" ht="17.649999999999999" x14ac:dyDescent="0.5">
      <c r="D536" s="3" t="s">
        <v>52</v>
      </c>
    </row>
    <row r="537" spans="4:4" ht="17.649999999999999" x14ac:dyDescent="0.5">
      <c r="D537" s="3" t="s">
        <v>90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115</v>
      </c>
    </row>
    <row r="540" spans="4:4" ht="17.649999999999999" x14ac:dyDescent="0.5">
      <c r="D540" s="3" t="s">
        <v>49</v>
      </c>
    </row>
    <row r="541" spans="4:4" ht="17.649999999999999" x14ac:dyDescent="0.5">
      <c r="D541" s="3" t="s">
        <v>76</v>
      </c>
    </row>
    <row r="542" spans="4:4" ht="17.649999999999999" x14ac:dyDescent="0.5">
      <c r="D542" s="3" t="s">
        <v>128</v>
      </c>
    </row>
    <row r="543" spans="4:4" ht="17.649999999999999" x14ac:dyDescent="0.5">
      <c r="D543" s="3" t="s">
        <v>73</v>
      </c>
    </row>
    <row r="544" spans="4:4" ht="17.649999999999999" x14ac:dyDescent="0.5">
      <c r="D544" s="3" t="s">
        <v>84</v>
      </c>
    </row>
    <row r="545" spans="4:4" ht="17.649999999999999" x14ac:dyDescent="0.5">
      <c r="D545" s="3" t="s">
        <v>75</v>
      </c>
    </row>
    <row r="546" spans="4:4" ht="17.649999999999999" x14ac:dyDescent="0.5">
      <c r="D546" s="3" t="s">
        <v>128</v>
      </c>
    </row>
    <row r="547" spans="4:4" ht="17.649999999999999" x14ac:dyDescent="0.5">
      <c r="D547" s="3" t="s">
        <v>87</v>
      </c>
    </row>
    <row r="548" spans="4:4" ht="17.649999999999999" x14ac:dyDescent="0.5">
      <c r="D548" s="3" t="s">
        <v>69</v>
      </c>
    </row>
    <row r="549" spans="4:4" ht="17.649999999999999" x14ac:dyDescent="0.5">
      <c r="D549" s="3" t="s">
        <v>60</v>
      </c>
    </row>
    <row r="550" spans="4:4" ht="17.649999999999999" x14ac:dyDescent="0.5">
      <c r="D550" s="3" t="s">
        <v>94</v>
      </c>
    </row>
    <row r="551" spans="4:4" ht="17.649999999999999" x14ac:dyDescent="0.5">
      <c r="D551" s="3" t="s">
        <v>91</v>
      </c>
    </row>
    <row r="552" spans="4:4" ht="17.649999999999999" x14ac:dyDescent="0.5">
      <c r="D552" s="3" t="s">
        <v>115</v>
      </c>
    </row>
    <row r="553" spans="4:4" ht="17.649999999999999" x14ac:dyDescent="0.5">
      <c r="D553" s="3" t="s">
        <v>129</v>
      </c>
    </row>
    <row r="554" spans="4:4" ht="17.649999999999999" x14ac:dyDescent="0.5">
      <c r="D554" s="3" t="s">
        <v>91</v>
      </c>
    </row>
    <row r="555" spans="4:4" ht="17.649999999999999" x14ac:dyDescent="0.5">
      <c r="D555" s="3" t="s">
        <v>78</v>
      </c>
    </row>
    <row r="556" spans="4:4" ht="17.649999999999999" x14ac:dyDescent="0.5">
      <c r="D556" s="3" t="s">
        <v>80</v>
      </c>
    </row>
    <row r="557" spans="4:4" ht="17.649999999999999" x14ac:dyDescent="0.5">
      <c r="D557" s="3" t="s">
        <v>85</v>
      </c>
    </row>
    <row r="558" spans="4:4" ht="17.649999999999999" x14ac:dyDescent="0.5">
      <c r="D558" s="3" t="s">
        <v>86</v>
      </c>
    </row>
    <row r="559" spans="4:4" ht="17.649999999999999" x14ac:dyDescent="0.5">
      <c r="D559" s="3" t="s">
        <v>67</v>
      </c>
    </row>
    <row r="560" spans="4:4" ht="17.649999999999999" x14ac:dyDescent="0.5">
      <c r="D560" s="3" t="s">
        <v>90</v>
      </c>
    </row>
    <row r="561" spans="4:4" ht="17.649999999999999" x14ac:dyDescent="0.5">
      <c r="D561" s="3" t="s">
        <v>57</v>
      </c>
    </row>
    <row r="562" spans="4:4" ht="17.649999999999999" x14ac:dyDescent="0.5">
      <c r="D562" s="3" t="s">
        <v>81</v>
      </c>
    </row>
    <row r="563" spans="4:4" ht="17.649999999999999" x14ac:dyDescent="0.5">
      <c r="D563" s="3" t="s">
        <v>44</v>
      </c>
    </row>
    <row r="564" spans="4:4" ht="17.649999999999999" x14ac:dyDescent="0.5">
      <c r="D564" s="3" t="s">
        <v>75</v>
      </c>
    </row>
    <row r="565" spans="4:4" ht="17.649999999999999" x14ac:dyDescent="0.5">
      <c r="D565" s="3" t="s">
        <v>48</v>
      </c>
    </row>
    <row r="566" spans="4:4" ht="17.649999999999999" x14ac:dyDescent="0.5">
      <c r="D566" s="3" t="s">
        <v>96</v>
      </c>
    </row>
    <row r="567" spans="4:4" ht="17.649999999999999" x14ac:dyDescent="0.5">
      <c r="D567" s="3" t="s">
        <v>54</v>
      </c>
    </row>
    <row r="568" spans="4:4" ht="17.649999999999999" x14ac:dyDescent="0.5">
      <c r="D568" s="3" t="s">
        <v>53</v>
      </c>
    </row>
    <row r="569" spans="4:4" ht="17.649999999999999" x14ac:dyDescent="0.5">
      <c r="D569" s="3" t="s">
        <v>62</v>
      </c>
    </row>
    <row r="570" spans="4:4" ht="17.649999999999999" x14ac:dyDescent="0.5">
      <c r="D570" s="3" t="s">
        <v>64</v>
      </c>
    </row>
    <row r="571" spans="4:4" ht="17.649999999999999" x14ac:dyDescent="0.5">
      <c r="D571" s="3" t="s">
        <v>61</v>
      </c>
    </row>
    <row r="572" spans="4:4" ht="17.649999999999999" x14ac:dyDescent="0.5">
      <c r="D572" s="3" t="s">
        <v>81</v>
      </c>
    </row>
    <row r="573" spans="4:4" ht="17.649999999999999" x14ac:dyDescent="0.5">
      <c r="D573" s="3" t="s">
        <v>91</v>
      </c>
    </row>
    <row r="574" spans="4:4" ht="17.649999999999999" x14ac:dyDescent="0.5">
      <c r="D574" s="3" t="s">
        <v>117</v>
      </c>
    </row>
    <row r="575" spans="4:4" ht="17.649999999999999" x14ac:dyDescent="0.5">
      <c r="D575" s="3" t="s">
        <v>96</v>
      </c>
    </row>
    <row r="576" spans="4:4" ht="17.649999999999999" x14ac:dyDescent="0.5">
      <c r="D576" s="3" t="s">
        <v>58</v>
      </c>
    </row>
    <row r="577" spans="4:4" ht="17.649999999999999" x14ac:dyDescent="0.5">
      <c r="D577" s="3" t="s">
        <v>129</v>
      </c>
    </row>
    <row r="578" spans="4:4" ht="17.649999999999999" x14ac:dyDescent="0.5">
      <c r="D578" s="3" t="s">
        <v>78</v>
      </c>
    </row>
    <row r="579" spans="4:4" ht="17.649999999999999" x14ac:dyDescent="0.5">
      <c r="D579" s="3" t="s">
        <v>94</v>
      </c>
    </row>
    <row r="580" spans="4:4" ht="17.649999999999999" x14ac:dyDescent="0.5">
      <c r="D580" s="3" t="s">
        <v>45</v>
      </c>
    </row>
    <row r="581" spans="4:4" ht="17.649999999999999" x14ac:dyDescent="0.5">
      <c r="D581" s="3" t="s">
        <v>59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43</v>
      </c>
    </row>
    <row r="584" spans="4:4" ht="17.649999999999999" x14ac:dyDescent="0.5">
      <c r="D584" s="3" t="s">
        <v>46</v>
      </c>
    </row>
    <row r="585" spans="4:4" ht="17.649999999999999" x14ac:dyDescent="0.5">
      <c r="D585" s="3" t="s">
        <v>66</v>
      </c>
    </row>
    <row r="586" spans="4:4" ht="17.649999999999999" x14ac:dyDescent="0.5">
      <c r="D586" s="3" t="s">
        <v>135</v>
      </c>
    </row>
    <row r="587" spans="4:4" ht="17.649999999999999" x14ac:dyDescent="0.5">
      <c r="D587" s="3" t="s">
        <v>57</v>
      </c>
    </row>
    <row r="588" spans="4:4" ht="17.649999999999999" x14ac:dyDescent="0.5">
      <c r="D588" s="3" t="s">
        <v>77</v>
      </c>
    </row>
    <row r="589" spans="4:4" ht="17.649999999999999" x14ac:dyDescent="0.5">
      <c r="D589" s="3" t="s">
        <v>55</v>
      </c>
    </row>
    <row r="590" spans="4:4" ht="17.649999999999999" x14ac:dyDescent="0.5">
      <c r="D590" s="3" t="s">
        <v>69</v>
      </c>
    </row>
    <row r="591" spans="4:4" ht="17.649999999999999" x14ac:dyDescent="0.5">
      <c r="D591" s="3" t="s">
        <v>64</v>
      </c>
    </row>
    <row r="592" spans="4:4" ht="17.649999999999999" x14ac:dyDescent="0.5">
      <c r="D592" s="3" t="s">
        <v>102</v>
      </c>
    </row>
    <row r="593" spans="4:4" ht="17.649999999999999" x14ac:dyDescent="0.5">
      <c r="D593" s="3" t="s">
        <v>65</v>
      </c>
    </row>
    <row r="594" spans="4:4" ht="17.649999999999999" x14ac:dyDescent="0.5">
      <c r="D594" s="3" t="s">
        <v>74</v>
      </c>
    </row>
    <row r="595" spans="4:4" ht="17.649999999999999" x14ac:dyDescent="0.5">
      <c r="D595" s="3" t="s">
        <v>78</v>
      </c>
    </row>
    <row r="596" spans="4:4" ht="17.649999999999999" x14ac:dyDescent="0.5">
      <c r="D596" s="3" t="s">
        <v>44</v>
      </c>
    </row>
    <row r="597" spans="4:4" ht="17.649999999999999" x14ac:dyDescent="0.5">
      <c r="D597" s="3" t="s">
        <v>129</v>
      </c>
    </row>
    <row r="598" spans="4:4" ht="17.649999999999999" x14ac:dyDescent="0.5">
      <c r="D598" s="3" t="s">
        <v>80</v>
      </c>
    </row>
    <row r="599" spans="4:4" ht="17.649999999999999" x14ac:dyDescent="0.5">
      <c r="D599" s="3" t="s">
        <v>55</v>
      </c>
    </row>
    <row r="600" spans="4:4" ht="17.649999999999999" x14ac:dyDescent="0.5">
      <c r="D600" s="3" t="s">
        <v>75</v>
      </c>
    </row>
    <row r="601" spans="4:4" ht="17.649999999999999" x14ac:dyDescent="0.5">
      <c r="D601" s="3" t="s">
        <v>115</v>
      </c>
    </row>
    <row r="602" spans="4:4" ht="17.649999999999999" x14ac:dyDescent="0.5">
      <c r="D602" s="3" t="s">
        <v>53</v>
      </c>
    </row>
    <row r="603" spans="4:4" ht="17.649999999999999" x14ac:dyDescent="0.5">
      <c r="D603" s="3" t="s">
        <v>105</v>
      </c>
    </row>
    <row r="604" spans="4:4" ht="17.649999999999999" x14ac:dyDescent="0.5">
      <c r="D604" s="3" t="s">
        <v>63</v>
      </c>
    </row>
    <row r="605" spans="4:4" ht="17.649999999999999" x14ac:dyDescent="0.5">
      <c r="D605" s="3" t="s">
        <v>67</v>
      </c>
    </row>
    <row r="606" spans="4:4" ht="17.649999999999999" x14ac:dyDescent="0.5">
      <c r="D606" s="3" t="s">
        <v>54</v>
      </c>
    </row>
    <row r="607" spans="4:4" ht="17.649999999999999" x14ac:dyDescent="0.5">
      <c r="D607" s="3" t="s">
        <v>98</v>
      </c>
    </row>
    <row r="608" spans="4:4" ht="17.649999999999999" x14ac:dyDescent="0.5">
      <c r="D608" s="3" t="s">
        <v>80</v>
      </c>
    </row>
    <row r="609" spans="4:4" ht="17.649999999999999" x14ac:dyDescent="0.5">
      <c r="D609" s="3" t="s">
        <v>58</v>
      </c>
    </row>
    <row r="610" spans="4:4" ht="17.649999999999999" x14ac:dyDescent="0.5">
      <c r="D610" s="3" t="s">
        <v>117</v>
      </c>
    </row>
    <row r="611" spans="4:4" ht="17.649999999999999" x14ac:dyDescent="0.5">
      <c r="D611" s="3" t="s">
        <v>84</v>
      </c>
    </row>
    <row r="612" spans="4:4" ht="17.649999999999999" x14ac:dyDescent="0.5">
      <c r="D612" s="3" t="s">
        <v>56</v>
      </c>
    </row>
    <row r="613" spans="4:4" ht="17.649999999999999" x14ac:dyDescent="0.5">
      <c r="D613" s="3" t="s">
        <v>100</v>
      </c>
    </row>
    <row r="614" spans="4:4" ht="17.649999999999999" x14ac:dyDescent="0.5">
      <c r="D614" s="3" t="s">
        <v>62</v>
      </c>
    </row>
    <row r="615" spans="4:4" ht="17.649999999999999" x14ac:dyDescent="0.5">
      <c r="D615" s="3" t="s">
        <v>51</v>
      </c>
    </row>
    <row r="616" spans="4:4" ht="17.649999999999999" x14ac:dyDescent="0.5">
      <c r="D616" s="3" t="s">
        <v>69</v>
      </c>
    </row>
    <row r="617" spans="4:4" ht="17.649999999999999" x14ac:dyDescent="0.5">
      <c r="D617" s="3" t="s">
        <v>96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68</v>
      </c>
    </row>
    <row r="620" spans="4:4" ht="17.649999999999999" x14ac:dyDescent="0.5">
      <c r="D620" s="3" t="s">
        <v>43</v>
      </c>
    </row>
    <row r="621" spans="4:4" ht="17.649999999999999" x14ac:dyDescent="0.5">
      <c r="D621" s="3" t="s">
        <v>53</v>
      </c>
    </row>
    <row r="622" spans="4:4" ht="17.649999999999999" x14ac:dyDescent="0.5">
      <c r="D622" s="3" t="s">
        <v>50</v>
      </c>
    </row>
    <row r="623" spans="4:4" ht="17.649999999999999" x14ac:dyDescent="0.5">
      <c r="D623" s="3" t="s">
        <v>48</v>
      </c>
    </row>
    <row r="624" spans="4:4" ht="17.649999999999999" x14ac:dyDescent="0.5">
      <c r="D624" s="3" t="s">
        <v>89</v>
      </c>
    </row>
    <row r="625" spans="4:4" ht="17.649999999999999" x14ac:dyDescent="0.5">
      <c r="D625" s="3" t="s">
        <v>52</v>
      </c>
    </row>
    <row r="626" spans="4:4" ht="17.649999999999999" x14ac:dyDescent="0.5">
      <c r="D626" s="3" t="s">
        <v>49</v>
      </c>
    </row>
    <row r="627" spans="4:4" ht="17.649999999999999" x14ac:dyDescent="0.5">
      <c r="D627" s="3" t="s">
        <v>46</v>
      </c>
    </row>
    <row r="628" spans="4:4" ht="17.649999999999999" x14ac:dyDescent="0.5">
      <c r="D628" s="3" t="s">
        <v>48</v>
      </c>
    </row>
    <row r="629" spans="4:4" ht="17.649999999999999" x14ac:dyDescent="0.5">
      <c r="D629" s="3" t="s">
        <v>120</v>
      </c>
    </row>
    <row r="630" spans="4:4" ht="17.649999999999999" x14ac:dyDescent="0.5">
      <c r="D630" s="3" t="s">
        <v>63</v>
      </c>
    </row>
    <row r="631" spans="4:4" ht="17.649999999999999" x14ac:dyDescent="0.5">
      <c r="D631" s="3" t="s">
        <v>84</v>
      </c>
    </row>
    <row r="632" spans="4:4" ht="17.649999999999999" x14ac:dyDescent="0.5">
      <c r="D632" s="3" t="s">
        <v>44</v>
      </c>
    </row>
    <row r="633" spans="4:4" ht="17.649999999999999" x14ac:dyDescent="0.5">
      <c r="D633" s="3" t="s">
        <v>69</v>
      </c>
    </row>
    <row r="634" spans="4:4" ht="17.649999999999999" x14ac:dyDescent="0.5">
      <c r="D634" s="3" t="s">
        <v>53</v>
      </c>
    </row>
    <row r="635" spans="4:4" ht="17.649999999999999" x14ac:dyDescent="0.5">
      <c r="D635" s="3" t="s">
        <v>51</v>
      </c>
    </row>
    <row r="636" spans="4:4" ht="17.649999999999999" x14ac:dyDescent="0.5">
      <c r="D636" s="3" t="s">
        <v>126</v>
      </c>
    </row>
    <row r="637" spans="4:4" ht="17.649999999999999" x14ac:dyDescent="0.5">
      <c r="D637" s="3" t="s">
        <v>51</v>
      </c>
    </row>
    <row r="638" spans="4:4" ht="17.649999999999999" x14ac:dyDescent="0.5">
      <c r="D638" s="3" t="s">
        <v>57</v>
      </c>
    </row>
    <row r="639" spans="4:4" ht="17.649999999999999" x14ac:dyDescent="0.5">
      <c r="D639" s="3" t="s">
        <v>69</v>
      </c>
    </row>
    <row r="640" spans="4:4" ht="17.649999999999999" x14ac:dyDescent="0.5">
      <c r="D640" s="3" t="s">
        <v>85</v>
      </c>
    </row>
    <row r="641" spans="4:4" ht="17.649999999999999" x14ac:dyDescent="0.5">
      <c r="D641" s="3" t="s">
        <v>61</v>
      </c>
    </row>
    <row r="642" spans="4:4" ht="17.649999999999999" x14ac:dyDescent="0.5">
      <c r="D642" s="3" t="s">
        <v>64</v>
      </c>
    </row>
    <row r="643" spans="4:4" ht="17.649999999999999" x14ac:dyDescent="0.5">
      <c r="D643" s="3" t="s">
        <v>112</v>
      </c>
    </row>
    <row r="644" spans="4:4" ht="17.649999999999999" x14ac:dyDescent="0.5">
      <c r="D644" s="3" t="s">
        <v>78</v>
      </c>
    </row>
    <row r="645" spans="4:4" ht="17.649999999999999" x14ac:dyDescent="0.5">
      <c r="D645" s="3" t="s">
        <v>47</v>
      </c>
    </row>
    <row r="646" spans="4:4" ht="17.649999999999999" x14ac:dyDescent="0.5">
      <c r="D646" s="3" t="s">
        <v>103</v>
      </c>
    </row>
    <row r="647" spans="4:4" ht="17.649999999999999" x14ac:dyDescent="0.5">
      <c r="D647" s="3" t="s">
        <v>102</v>
      </c>
    </row>
    <row r="648" spans="4:4" ht="17.649999999999999" x14ac:dyDescent="0.5">
      <c r="D648" s="3" t="s">
        <v>84</v>
      </c>
    </row>
    <row r="649" spans="4:4" ht="17.649999999999999" x14ac:dyDescent="0.5">
      <c r="D649" s="3" t="s">
        <v>105</v>
      </c>
    </row>
    <row r="650" spans="4:4" ht="17.649999999999999" x14ac:dyDescent="0.5">
      <c r="D650" s="3" t="s">
        <v>92</v>
      </c>
    </row>
    <row r="651" spans="4:4" ht="17.649999999999999" x14ac:dyDescent="0.5">
      <c r="D651" s="3" t="s">
        <v>53</v>
      </c>
    </row>
    <row r="652" spans="4:4" ht="17.649999999999999" x14ac:dyDescent="0.5">
      <c r="D652" s="3" t="s">
        <v>123</v>
      </c>
    </row>
    <row r="653" spans="4:4" ht="17.649999999999999" x14ac:dyDescent="0.5">
      <c r="D653" s="3" t="s">
        <v>92</v>
      </c>
    </row>
    <row r="654" spans="4:4" ht="17.649999999999999" x14ac:dyDescent="0.5">
      <c r="D654" s="3" t="s">
        <v>69</v>
      </c>
    </row>
    <row r="655" spans="4:4" ht="17.649999999999999" x14ac:dyDescent="0.5">
      <c r="D655" s="3" t="s">
        <v>114</v>
      </c>
    </row>
    <row r="656" spans="4:4" ht="17.649999999999999" x14ac:dyDescent="0.5">
      <c r="D656" s="3" t="s">
        <v>63</v>
      </c>
    </row>
    <row r="657" spans="4:4" ht="17.649999999999999" x14ac:dyDescent="0.5">
      <c r="D657" s="3" t="s">
        <v>126</v>
      </c>
    </row>
    <row r="658" spans="4:4" ht="17.649999999999999" x14ac:dyDescent="0.5">
      <c r="D658" s="3" t="s">
        <v>48</v>
      </c>
    </row>
    <row r="659" spans="4:4" ht="17.649999999999999" x14ac:dyDescent="0.5">
      <c r="D659" s="3" t="s">
        <v>120</v>
      </c>
    </row>
    <row r="660" spans="4:4" ht="17.649999999999999" x14ac:dyDescent="0.5">
      <c r="D660" s="3" t="s">
        <v>64</v>
      </c>
    </row>
    <row r="661" spans="4:4" ht="17.649999999999999" x14ac:dyDescent="0.5">
      <c r="D661" s="3" t="s">
        <v>84</v>
      </c>
    </row>
    <row r="662" spans="4:4" ht="17.649999999999999" x14ac:dyDescent="0.5">
      <c r="D662" s="3" t="s">
        <v>102</v>
      </c>
    </row>
    <row r="663" spans="4:4" ht="17.649999999999999" x14ac:dyDescent="0.5">
      <c r="D663" s="3" t="s">
        <v>59</v>
      </c>
    </row>
    <row r="664" spans="4:4" ht="17.649999999999999" x14ac:dyDescent="0.5">
      <c r="D664" s="3" t="s">
        <v>53</v>
      </c>
    </row>
    <row r="665" spans="4:4" ht="17.649999999999999" x14ac:dyDescent="0.5">
      <c r="D665" s="3" t="s">
        <v>81</v>
      </c>
    </row>
    <row r="666" spans="4:4" ht="17.649999999999999" x14ac:dyDescent="0.5">
      <c r="D666" s="3" t="s">
        <v>96</v>
      </c>
    </row>
    <row r="667" spans="4:4" ht="17.649999999999999" x14ac:dyDescent="0.5">
      <c r="D667" s="3" t="s">
        <v>58</v>
      </c>
    </row>
    <row r="668" spans="4:4" ht="17.649999999999999" x14ac:dyDescent="0.5">
      <c r="D668" s="3" t="s">
        <v>65</v>
      </c>
    </row>
    <row r="669" spans="4:4" ht="17.649999999999999" x14ac:dyDescent="0.5">
      <c r="D669" s="3" t="s">
        <v>84</v>
      </c>
    </row>
    <row r="670" spans="4:4" ht="17.649999999999999" x14ac:dyDescent="0.5">
      <c r="D670" s="3" t="s">
        <v>56</v>
      </c>
    </row>
    <row r="671" spans="4:4" ht="17.649999999999999" x14ac:dyDescent="0.5">
      <c r="D671" s="3" t="s">
        <v>134</v>
      </c>
    </row>
    <row r="672" spans="4:4" ht="17.649999999999999" x14ac:dyDescent="0.5">
      <c r="D672" s="3" t="s">
        <v>128</v>
      </c>
    </row>
    <row r="673" spans="4:4" ht="17.649999999999999" x14ac:dyDescent="0.5">
      <c r="D673" s="3" t="s">
        <v>49</v>
      </c>
    </row>
    <row r="674" spans="4:4" ht="17.649999999999999" x14ac:dyDescent="0.5">
      <c r="D674" s="3" t="s">
        <v>56</v>
      </c>
    </row>
    <row r="675" spans="4:4" ht="17.649999999999999" x14ac:dyDescent="0.5">
      <c r="D675" s="3" t="s">
        <v>65</v>
      </c>
    </row>
    <row r="676" spans="4:4" ht="17.649999999999999" x14ac:dyDescent="0.5">
      <c r="D676" s="3" t="s">
        <v>59</v>
      </c>
    </row>
    <row r="677" spans="4:4" ht="17.649999999999999" x14ac:dyDescent="0.5">
      <c r="D677" s="3" t="s">
        <v>48</v>
      </c>
    </row>
    <row r="678" spans="4:4" ht="17.649999999999999" x14ac:dyDescent="0.5">
      <c r="D678" s="3" t="s">
        <v>114</v>
      </c>
    </row>
    <row r="679" spans="4:4" ht="17.649999999999999" x14ac:dyDescent="0.5">
      <c r="D679" s="3" t="s">
        <v>78</v>
      </c>
    </row>
    <row r="680" spans="4:4" ht="17.649999999999999" x14ac:dyDescent="0.5">
      <c r="D680" s="3" t="s">
        <v>97</v>
      </c>
    </row>
    <row r="681" spans="4:4" ht="17.649999999999999" x14ac:dyDescent="0.5">
      <c r="D681" s="3" t="s">
        <v>56</v>
      </c>
    </row>
    <row r="682" spans="4:4" ht="17.649999999999999" x14ac:dyDescent="0.5">
      <c r="D682" s="3" t="s">
        <v>119</v>
      </c>
    </row>
    <row r="683" spans="4:4" ht="17.649999999999999" x14ac:dyDescent="0.5">
      <c r="D683" s="3" t="s">
        <v>80</v>
      </c>
    </row>
    <row r="684" spans="4:4" ht="17.649999999999999" x14ac:dyDescent="0.5">
      <c r="D684" s="3" t="s">
        <v>109</v>
      </c>
    </row>
    <row r="685" spans="4:4" ht="17.649999999999999" x14ac:dyDescent="0.5">
      <c r="D685" s="3" t="s">
        <v>74</v>
      </c>
    </row>
    <row r="686" spans="4:4" ht="17.649999999999999" x14ac:dyDescent="0.5">
      <c r="D686" s="3" t="s">
        <v>121</v>
      </c>
    </row>
    <row r="687" spans="4:4" ht="17.649999999999999" x14ac:dyDescent="0.5">
      <c r="D687" s="3" t="s">
        <v>112</v>
      </c>
    </row>
    <row r="688" spans="4:4" ht="17.649999999999999" x14ac:dyDescent="0.5">
      <c r="D688" s="3" t="s">
        <v>45</v>
      </c>
    </row>
    <row r="689" spans="4:4" ht="17.649999999999999" x14ac:dyDescent="0.5">
      <c r="D689" s="3" t="s">
        <v>103</v>
      </c>
    </row>
    <row r="690" spans="4:4" ht="17.649999999999999" x14ac:dyDescent="0.5">
      <c r="D690" s="3" t="s">
        <v>112</v>
      </c>
    </row>
    <row r="691" spans="4:4" ht="17.649999999999999" x14ac:dyDescent="0.5">
      <c r="D691" s="3" t="s">
        <v>96</v>
      </c>
    </row>
    <row r="692" spans="4:4" ht="17.649999999999999" x14ac:dyDescent="0.5">
      <c r="D692" s="3" t="s">
        <v>62</v>
      </c>
    </row>
    <row r="693" spans="4:4" ht="17.649999999999999" x14ac:dyDescent="0.5">
      <c r="D693" s="3" t="s">
        <v>51</v>
      </c>
    </row>
    <row r="694" spans="4:4" ht="17.649999999999999" x14ac:dyDescent="0.5">
      <c r="D694" s="3" t="s">
        <v>92</v>
      </c>
    </row>
    <row r="695" spans="4:4" ht="17.649999999999999" x14ac:dyDescent="0.5">
      <c r="D695" s="3" t="s">
        <v>81</v>
      </c>
    </row>
    <row r="696" spans="4:4" ht="17.649999999999999" x14ac:dyDescent="0.5">
      <c r="D696" s="3" t="s">
        <v>90</v>
      </c>
    </row>
    <row r="697" spans="4:4" ht="17.649999999999999" x14ac:dyDescent="0.5">
      <c r="D697" s="3" t="s">
        <v>105</v>
      </c>
    </row>
    <row r="698" spans="4:4" ht="17.649999999999999" x14ac:dyDescent="0.5">
      <c r="D698" s="3" t="s">
        <v>47</v>
      </c>
    </row>
    <row r="699" spans="4:4" ht="17.649999999999999" x14ac:dyDescent="0.5">
      <c r="D699" s="3" t="s">
        <v>94</v>
      </c>
    </row>
    <row r="700" spans="4:4" ht="17.649999999999999" x14ac:dyDescent="0.5">
      <c r="D700" s="3" t="s">
        <v>98</v>
      </c>
    </row>
    <row r="701" spans="4:4" ht="17.649999999999999" x14ac:dyDescent="0.5">
      <c r="D701" s="3" t="s">
        <v>83</v>
      </c>
    </row>
    <row r="702" spans="4:4" ht="17.649999999999999" x14ac:dyDescent="0.5">
      <c r="D702" s="3" t="s">
        <v>50</v>
      </c>
    </row>
    <row r="703" spans="4:4" ht="17.649999999999999" x14ac:dyDescent="0.5">
      <c r="D703" s="3" t="s">
        <v>91</v>
      </c>
    </row>
    <row r="704" spans="4:4" ht="17.649999999999999" x14ac:dyDescent="0.5">
      <c r="D704" s="3" t="s">
        <v>49</v>
      </c>
    </row>
    <row r="705" spans="4:4" ht="17.649999999999999" x14ac:dyDescent="0.5">
      <c r="D705" s="3" t="s">
        <v>53</v>
      </c>
    </row>
    <row r="706" spans="4:4" ht="17.649999999999999" x14ac:dyDescent="0.5">
      <c r="D706" s="3" t="s">
        <v>48</v>
      </c>
    </row>
    <row r="707" spans="4:4" ht="17.649999999999999" x14ac:dyDescent="0.5">
      <c r="D707" s="3" t="s">
        <v>97</v>
      </c>
    </row>
    <row r="708" spans="4:4" ht="17.649999999999999" x14ac:dyDescent="0.5">
      <c r="D708" s="3" t="s">
        <v>64</v>
      </c>
    </row>
    <row r="709" spans="4:4" ht="17.649999999999999" x14ac:dyDescent="0.5">
      <c r="D709" s="3" t="s">
        <v>101</v>
      </c>
    </row>
    <row r="710" spans="4:4" ht="17.649999999999999" x14ac:dyDescent="0.5">
      <c r="D710" s="3" t="s">
        <v>108</v>
      </c>
    </row>
    <row r="711" spans="4:4" ht="17.649999999999999" x14ac:dyDescent="0.5">
      <c r="D711" s="3" t="s">
        <v>54</v>
      </c>
    </row>
    <row r="712" spans="4:4" ht="17.649999999999999" x14ac:dyDescent="0.5">
      <c r="D712" s="3" t="s">
        <v>61</v>
      </c>
    </row>
    <row r="713" spans="4:4" ht="17.649999999999999" x14ac:dyDescent="0.5">
      <c r="D713" s="3" t="s">
        <v>66</v>
      </c>
    </row>
    <row r="714" spans="4:4" ht="17.649999999999999" x14ac:dyDescent="0.5">
      <c r="D714" s="3" t="s">
        <v>69</v>
      </c>
    </row>
    <row r="715" spans="4:4" ht="17.649999999999999" x14ac:dyDescent="0.5">
      <c r="D715" s="3" t="s">
        <v>84</v>
      </c>
    </row>
    <row r="716" spans="4:4" ht="17.649999999999999" x14ac:dyDescent="0.5">
      <c r="D716" s="3" t="s">
        <v>102</v>
      </c>
    </row>
    <row r="717" spans="4:4" ht="17.649999999999999" x14ac:dyDescent="0.5">
      <c r="D717" s="3" t="s">
        <v>106</v>
      </c>
    </row>
    <row r="718" spans="4:4" ht="17.649999999999999" x14ac:dyDescent="0.5">
      <c r="D718" s="3" t="s">
        <v>73</v>
      </c>
    </row>
    <row r="719" spans="4:4" ht="17.649999999999999" x14ac:dyDescent="0.5">
      <c r="D719" s="3" t="s">
        <v>89</v>
      </c>
    </row>
    <row r="720" spans="4:4" ht="17.649999999999999" x14ac:dyDescent="0.5">
      <c r="D720" s="3" t="s">
        <v>81</v>
      </c>
    </row>
    <row r="721" spans="4:4" ht="17.649999999999999" x14ac:dyDescent="0.5">
      <c r="D721" s="3" t="s">
        <v>107</v>
      </c>
    </row>
    <row r="722" spans="4:4" ht="17.649999999999999" x14ac:dyDescent="0.5">
      <c r="D722" s="3" t="s">
        <v>48</v>
      </c>
    </row>
    <row r="723" spans="4:4" ht="17.649999999999999" x14ac:dyDescent="0.5">
      <c r="D723" s="3" t="s">
        <v>114</v>
      </c>
    </row>
    <row r="724" spans="4:4" ht="17.649999999999999" x14ac:dyDescent="0.5">
      <c r="D724" s="3" t="s">
        <v>83</v>
      </c>
    </row>
    <row r="725" spans="4:4" ht="17.649999999999999" x14ac:dyDescent="0.5">
      <c r="D725" s="3" t="s">
        <v>56</v>
      </c>
    </row>
    <row r="726" spans="4:4" ht="17.649999999999999" x14ac:dyDescent="0.5">
      <c r="D726" s="3" t="s">
        <v>98</v>
      </c>
    </row>
    <row r="727" spans="4:4" ht="17.649999999999999" x14ac:dyDescent="0.5">
      <c r="D727" s="3" t="s">
        <v>74</v>
      </c>
    </row>
    <row r="728" spans="4:4" ht="17.649999999999999" x14ac:dyDescent="0.5">
      <c r="D728" s="3" t="s">
        <v>101</v>
      </c>
    </row>
    <row r="729" spans="4:4" ht="17.649999999999999" x14ac:dyDescent="0.5">
      <c r="D729" s="3" t="s">
        <v>69</v>
      </c>
    </row>
    <row r="730" spans="4:4" ht="17.649999999999999" x14ac:dyDescent="0.5">
      <c r="D730" s="3" t="s">
        <v>101</v>
      </c>
    </row>
    <row r="731" spans="4:4" ht="17.649999999999999" x14ac:dyDescent="0.5">
      <c r="D731" s="3" t="s">
        <v>49</v>
      </c>
    </row>
    <row r="732" spans="4:4" ht="17.649999999999999" x14ac:dyDescent="0.5">
      <c r="D732" s="3" t="s">
        <v>47</v>
      </c>
    </row>
    <row r="733" spans="4:4" ht="17.649999999999999" x14ac:dyDescent="0.5">
      <c r="D733" s="3" t="s">
        <v>106</v>
      </c>
    </row>
    <row r="734" spans="4:4" ht="17.649999999999999" x14ac:dyDescent="0.5">
      <c r="D734" s="3" t="s">
        <v>52</v>
      </c>
    </row>
    <row r="735" spans="4:4" ht="17.649999999999999" x14ac:dyDescent="0.5">
      <c r="D735" s="3" t="s">
        <v>115</v>
      </c>
    </row>
    <row r="736" spans="4:4" ht="17.649999999999999" x14ac:dyDescent="0.5">
      <c r="D736" s="3" t="s">
        <v>102</v>
      </c>
    </row>
    <row r="737" spans="4:4" ht="17.649999999999999" x14ac:dyDescent="0.5">
      <c r="D737" s="3" t="s">
        <v>109</v>
      </c>
    </row>
    <row r="738" spans="4:4" ht="17.649999999999999" x14ac:dyDescent="0.5">
      <c r="D738" s="3" t="s">
        <v>47</v>
      </c>
    </row>
    <row r="739" spans="4:4" ht="17.649999999999999" x14ac:dyDescent="0.5">
      <c r="D739" s="3" t="s">
        <v>132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103</v>
      </c>
    </row>
    <row r="742" spans="4:4" ht="17.649999999999999" x14ac:dyDescent="0.5">
      <c r="D742" s="3" t="s">
        <v>108</v>
      </c>
    </row>
    <row r="743" spans="4:4" ht="17.649999999999999" x14ac:dyDescent="0.5">
      <c r="D743" s="3" t="s">
        <v>131</v>
      </c>
    </row>
    <row r="744" spans="4:4" ht="17.649999999999999" x14ac:dyDescent="0.5">
      <c r="D744" s="3" t="s">
        <v>73</v>
      </c>
    </row>
    <row r="745" spans="4:4" ht="17.649999999999999" x14ac:dyDescent="0.5">
      <c r="D745" s="3" t="s">
        <v>47</v>
      </c>
    </row>
    <row r="746" spans="4:4" ht="17.649999999999999" x14ac:dyDescent="0.5">
      <c r="D746" s="3" t="s">
        <v>69</v>
      </c>
    </row>
    <row r="747" spans="4:4" ht="17.649999999999999" x14ac:dyDescent="0.5">
      <c r="D747" s="3" t="s">
        <v>108</v>
      </c>
    </row>
    <row r="748" spans="4:4" ht="17.649999999999999" x14ac:dyDescent="0.5">
      <c r="D748" s="3" t="s">
        <v>78</v>
      </c>
    </row>
    <row r="749" spans="4:4" ht="17.649999999999999" x14ac:dyDescent="0.5">
      <c r="D749" s="3" t="s">
        <v>101</v>
      </c>
    </row>
    <row r="750" spans="4:4" ht="17.649999999999999" x14ac:dyDescent="0.5">
      <c r="D750" s="3" t="s">
        <v>56</v>
      </c>
    </row>
    <row r="751" spans="4:4" ht="17.649999999999999" x14ac:dyDescent="0.5">
      <c r="D751" s="3" t="s">
        <v>112</v>
      </c>
    </row>
    <row r="752" spans="4:4" ht="17.649999999999999" x14ac:dyDescent="0.5">
      <c r="D752" s="3" t="s">
        <v>131</v>
      </c>
    </row>
    <row r="753" spans="4:4" ht="17.649999999999999" x14ac:dyDescent="0.5">
      <c r="D753" s="3" t="s">
        <v>103</v>
      </c>
    </row>
    <row r="754" spans="4:4" ht="17.649999999999999" x14ac:dyDescent="0.5">
      <c r="D754" s="3" t="s">
        <v>85</v>
      </c>
    </row>
    <row r="755" spans="4:4" ht="17.649999999999999" x14ac:dyDescent="0.5">
      <c r="D755" s="3" t="s">
        <v>119</v>
      </c>
    </row>
    <row r="756" spans="4:4" ht="17.649999999999999" x14ac:dyDescent="0.5">
      <c r="D756" s="3" t="s">
        <v>78</v>
      </c>
    </row>
    <row r="757" spans="4:4" ht="17.649999999999999" x14ac:dyDescent="0.5">
      <c r="D757" s="3" t="s">
        <v>48</v>
      </c>
    </row>
    <row r="758" spans="4:4" ht="17.649999999999999" x14ac:dyDescent="0.5">
      <c r="D758" s="3" t="s">
        <v>126</v>
      </c>
    </row>
    <row r="759" spans="4:4" ht="17.649999999999999" x14ac:dyDescent="0.5">
      <c r="D759" s="3" t="s">
        <v>60</v>
      </c>
    </row>
    <row r="760" spans="4:4" ht="17.649999999999999" x14ac:dyDescent="0.5">
      <c r="D760" s="3" t="s">
        <v>67</v>
      </c>
    </row>
    <row r="761" spans="4:4" ht="17.649999999999999" x14ac:dyDescent="0.5">
      <c r="D761" s="3" t="s">
        <v>59</v>
      </c>
    </row>
    <row r="762" spans="4:4" ht="17.649999999999999" x14ac:dyDescent="0.5">
      <c r="D762" s="3" t="s">
        <v>80</v>
      </c>
    </row>
    <row r="763" spans="4:4" ht="17.649999999999999" x14ac:dyDescent="0.5">
      <c r="D763" s="3" t="s">
        <v>46</v>
      </c>
    </row>
    <row r="764" spans="4:4" ht="17.649999999999999" x14ac:dyDescent="0.5">
      <c r="D764" s="3" t="s">
        <v>120</v>
      </c>
    </row>
    <row r="765" spans="4:4" ht="17.649999999999999" x14ac:dyDescent="0.5">
      <c r="D765" s="3" t="s">
        <v>81</v>
      </c>
    </row>
    <row r="766" spans="4:4" ht="17.649999999999999" x14ac:dyDescent="0.5">
      <c r="D766" s="3" t="s">
        <v>73</v>
      </c>
    </row>
    <row r="767" spans="4:4" ht="17.649999999999999" x14ac:dyDescent="0.5">
      <c r="D767" s="3" t="s">
        <v>46</v>
      </c>
    </row>
    <row r="768" spans="4:4" ht="17.649999999999999" x14ac:dyDescent="0.5">
      <c r="D768" s="3" t="s">
        <v>69</v>
      </c>
    </row>
    <row r="769" spans="4:4" ht="17.649999999999999" x14ac:dyDescent="0.5">
      <c r="D769" s="3" t="s">
        <v>83</v>
      </c>
    </row>
    <row r="770" spans="4:4" ht="17.649999999999999" x14ac:dyDescent="0.5">
      <c r="D770" s="3" t="s">
        <v>52</v>
      </c>
    </row>
    <row r="771" spans="4:4" ht="17.649999999999999" x14ac:dyDescent="0.5">
      <c r="D771" s="3" t="s">
        <v>83</v>
      </c>
    </row>
    <row r="772" spans="4:4" ht="17.649999999999999" x14ac:dyDescent="0.5">
      <c r="D772" s="3" t="s">
        <v>67</v>
      </c>
    </row>
    <row r="773" spans="4:4" ht="17.649999999999999" x14ac:dyDescent="0.5">
      <c r="D773" s="3" t="s">
        <v>57</v>
      </c>
    </row>
    <row r="774" spans="4:4" ht="17.649999999999999" x14ac:dyDescent="0.5">
      <c r="D774" s="3" t="s">
        <v>133</v>
      </c>
    </row>
    <row r="775" spans="4:4" ht="17.649999999999999" x14ac:dyDescent="0.5">
      <c r="D775" s="3" t="s">
        <v>67</v>
      </c>
    </row>
    <row r="776" spans="4:4" ht="17.649999999999999" x14ac:dyDescent="0.5">
      <c r="D776" s="3" t="s">
        <v>49</v>
      </c>
    </row>
    <row r="777" spans="4:4" ht="17.649999999999999" x14ac:dyDescent="0.5">
      <c r="D777" s="3" t="s">
        <v>90</v>
      </c>
    </row>
    <row r="778" spans="4:4" ht="17.649999999999999" x14ac:dyDescent="0.5">
      <c r="D778" s="3" t="s">
        <v>72</v>
      </c>
    </row>
    <row r="779" spans="4:4" ht="17.649999999999999" x14ac:dyDescent="0.5">
      <c r="D779" s="3" t="s">
        <v>123</v>
      </c>
    </row>
    <row r="780" spans="4:4" ht="17.649999999999999" x14ac:dyDescent="0.5">
      <c r="D780" s="3" t="s">
        <v>61</v>
      </c>
    </row>
    <row r="781" spans="4:4" ht="17.649999999999999" x14ac:dyDescent="0.5">
      <c r="D781" s="3" t="s">
        <v>120</v>
      </c>
    </row>
    <row r="782" spans="4:4" ht="17.649999999999999" x14ac:dyDescent="0.5">
      <c r="D782" s="3" t="s">
        <v>66</v>
      </c>
    </row>
    <row r="783" spans="4:4" ht="17.649999999999999" x14ac:dyDescent="0.5">
      <c r="D783" s="3" t="s">
        <v>109</v>
      </c>
    </row>
    <row r="784" spans="4:4" ht="17.649999999999999" x14ac:dyDescent="0.5">
      <c r="D784" s="3" t="s">
        <v>96</v>
      </c>
    </row>
    <row r="785" spans="4:4" ht="17.649999999999999" x14ac:dyDescent="0.5">
      <c r="D785" s="3" t="s">
        <v>43</v>
      </c>
    </row>
    <row r="786" spans="4:4" ht="17.649999999999999" x14ac:dyDescent="0.5">
      <c r="D786" s="3" t="s">
        <v>119</v>
      </c>
    </row>
    <row r="787" spans="4:4" ht="17.649999999999999" x14ac:dyDescent="0.5">
      <c r="D787" s="3" t="s">
        <v>63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125</v>
      </c>
    </row>
    <row r="790" spans="4:4" ht="17.649999999999999" x14ac:dyDescent="0.5">
      <c r="D790" s="3" t="s">
        <v>73</v>
      </c>
    </row>
    <row r="791" spans="4:4" ht="17.649999999999999" x14ac:dyDescent="0.5">
      <c r="D791" s="3" t="s">
        <v>57</v>
      </c>
    </row>
    <row r="792" spans="4:4" ht="17.649999999999999" x14ac:dyDescent="0.5">
      <c r="D792" s="3" t="s">
        <v>75</v>
      </c>
    </row>
    <row r="793" spans="4:4" ht="17.649999999999999" x14ac:dyDescent="0.5">
      <c r="D793" s="3" t="s">
        <v>115</v>
      </c>
    </row>
    <row r="794" spans="4:4" ht="17.649999999999999" x14ac:dyDescent="0.5">
      <c r="D794" s="3" t="s">
        <v>88</v>
      </c>
    </row>
    <row r="795" spans="4:4" ht="17.649999999999999" x14ac:dyDescent="0.5">
      <c r="D795" s="3" t="s">
        <v>92</v>
      </c>
    </row>
    <row r="796" spans="4:4" ht="17.649999999999999" x14ac:dyDescent="0.5">
      <c r="D796" s="3" t="s">
        <v>85</v>
      </c>
    </row>
    <row r="797" spans="4:4" ht="17.649999999999999" x14ac:dyDescent="0.5">
      <c r="D797" s="3" t="s">
        <v>99</v>
      </c>
    </row>
    <row r="798" spans="4:4" ht="17.649999999999999" x14ac:dyDescent="0.5">
      <c r="D798" s="3" t="s">
        <v>87</v>
      </c>
    </row>
    <row r="799" spans="4:4" ht="17.649999999999999" x14ac:dyDescent="0.5">
      <c r="D799" s="3" t="s">
        <v>53</v>
      </c>
    </row>
    <row r="800" spans="4:4" ht="17.649999999999999" x14ac:dyDescent="0.5">
      <c r="D800" s="3" t="s">
        <v>55</v>
      </c>
    </row>
    <row r="801" spans="4:4" ht="17.649999999999999" x14ac:dyDescent="0.5">
      <c r="D801" s="3" t="s">
        <v>103</v>
      </c>
    </row>
    <row r="802" spans="4:4" ht="17.649999999999999" x14ac:dyDescent="0.5">
      <c r="D802" s="3" t="s">
        <v>112</v>
      </c>
    </row>
    <row r="803" spans="4:4" ht="17.649999999999999" x14ac:dyDescent="0.5">
      <c r="D803" s="3" t="s">
        <v>75</v>
      </c>
    </row>
    <row r="804" spans="4:4" ht="17.649999999999999" x14ac:dyDescent="0.5">
      <c r="D804" s="3" t="s">
        <v>85</v>
      </c>
    </row>
    <row r="805" spans="4:4" ht="17.649999999999999" x14ac:dyDescent="0.5">
      <c r="D805" s="3" t="s">
        <v>73</v>
      </c>
    </row>
    <row r="806" spans="4:4" ht="17.649999999999999" x14ac:dyDescent="0.5">
      <c r="D806" s="3" t="s">
        <v>61</v>
      </c>
    </row>
    <row r="807" spans="4:4" ht="17.649999999999999" x14ac:dyDescent="0.5">
      <c r="D807" s="3" t="s">
        <v>115</v>
      </c>
    </row>
    <row r="808" spans="4:4" ht="17.649999999999999" x14ac:dyDescent="0.5">
      <c r="D808" s="3" t="s">
        <v>42</v>
      </c>
    </row>
    <row r="809" spans="4:4" ht="17.649999999999999" x14ac:dyDescent="0.5">
      <c r="D809" s="3" t="s">
        <v>89</v>
      </c>
    </row>
    <row r="810" spans="4:4" ht="17.649999999999999" x14ac:dyDescent="0.5">
      <c r="D810" s="3" t="s">
        <v>41</v>
      </c>
    </row>
    <row r="811" spans="4:4" ht="17.649999999999999" x14ac:dyDescent="0.5">
      <c r="D811" s="3" t="s">
        <v>105</v>
      </c>
    </row>
    <row r="812" spans="4:4" ht="17.649999999999999" x14ac:dyDescent="0.5">
      <c r="D812" s="3" t="s">
        <v>101</v>
      </c>
    </row>
    <row r="813" spans="4:4" ht="17.649999999999999" x14ac:dyDescent="0.5">
      <c r="D813" s="3" t="s">
        <v>44</v>
      </c>
    </row>
    <row r="814" spans="4:4" ht="17.649999999999999" x14ac:dyDescent="0.5">
      <c r="D814" s="3" t="s">
        <v>59</v>
      </c>
    </row>
    <row r="815" spans="4:4" ht="17.649999999999999" x14ac:dyDescent="0.5">
      <c r="D815" s="3" t="s">
        <v>84</v>
      </c>
    </row>
    <row r="816" spans="4:4" ht="17.649999999999999" x14ac:dyDescent="0.5">
      <c r="D816" s="3" t="s">
        <v>75</v>
      </c>
    </row>
    <row r="817" spans="4:4" ht="17.649999999999999" x14ac:dyDescent="0.5">
      <c r="D817" s="3" t="s">
        <v>132</v>
      </c>
    </row>
    <row r="818" spans="4:4" ht="17.649999999999999" x14ac:dyDescent="0.5">
      <c r="D818" s="3" t="s">
        <v>46</v>
      </c>
    </row>
    <row r="819" spans="4:4" ht="17.649999999999999" x14ac:dyDescent="0.5">
      <c r="D819" s="3" t="s">
        <v>74</v>
      </c>
    </row>
    <row r="820" spans="4:4" ht="17.649999999999999" x14ac:dyDescent="0.5">
      <c r="D820" s="3" t="s">
        <v>78</v>
      </c>
    </row>
    <row r="821" spans="4:4" ht="17.649999999999999" x14ac:dyDescent="0.5">
      <c r="D821" s="3" t="s">
        <v>101</v>
      </c>
    </row>
    <row r="822" spans="4:4" ht="17.649999999999999" x14ac:dyDescent="0.5">
      <c r="D822" s="3" t="s">
        <v>62</v>
      </c>
    </row>
    <row r="823" spans="4:4" ht="17.649999999999999" x14ac:dyDescent="0.5">
      <c r="D823" s="3" t="s">
        <v>54</v>
      </c>
    </row>
    <row r="824" spans="4:4" ht="17.649999999999999" x14ac:dyDescent="0.5">
      <c r="D824" s="3" t="s">
        <v>112</v>
      </c>
    </row>
    <row r="825" spans="4:4" ht="17.649999999999999" x14ac:dyDescent="0.5">
      <c r="D825" s="3" t="s">
        <v>107</v>
      </c>
    </row>
    <row r="826" spans="4:4" ht="17.649999999999999" x14ac:dyDescent="0.5">
      <c r="D826" s="3" t="s">
        <v>94</v>
      </c>
    </row>
    <row r="827" spans="4:4" ht="17.649999999999999" x14ac:dyDescent="0.5">
      <c r="D827" s="3" t="s">
        <v>61</v>
      </c>
    </row>
    <row r="828" spans="4:4" ht="17.649999999999999" x14ac:dyDescent="0.5">
      <c r="D828" s="3" t="s">
        <v>136</v>
      </c>
    </row>
    <row r="829" spans="4:4" ht="17.649999999999999" x14ac:dyDescent="0.5">
      <c r="D829" s="3" t="s">
        <v>91</v>
      </c>
    </row>
    <row r="830" spans="4:4" ht="17.649999999999999" x14ac:dyDescent="0.5">
      <c r="D830" s="3" t="s">
        <v>107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61</v>
      </c>
    </row>
    <row r="833" spans="4:4" ht="17.649999999999999" x14ac:dyDescent="0.5">
      <c r="D833" s="3" t="s">
        <v>54</v>
      </c>
    </row>
    <row r="834" spans="4:4" ht="17.649999999999999" x14ac:dyDescent="0.5">
      <c r="D834" s="3" t="s">
        <v>57</v>
      </c>
    </row>
    <row r="835" spans="4:4" ht="17.649999999999999" x14ac:dyDescent="0.5">
      <c r="D835" s="3" t="s">
        <v>96</v>
      </c>
    </row>
    <row r="836" spans="4:4" ht="17.649999999999999" x14ac:dyDescent="0.5">
      <c r="D836" s="3" t="s">
        <v>90</v>
      </c>
    </row>
    <row r="837" spans="4:4" ht="17.649999999999999" x14ac:dyDescent="0.5">
      <c r="D837" s="3" t="s">
        <v>52</v>
      </c>
    </row>
    <row r="838" spans="4:4" ht="17.649999999999999" x14ac:dyDescent="0.5">
      <c r="D838" s="3" t="s">
        <v>115</v>
      </c>
    </row>
    <row r="839" spans="4:4" ht="17.649999999999999" x14ac:dyDescent="0.5">
      <c r="D839" s="3" t="s">
        <v>59</v>
      </c>
    </row>
    <row r="840" spans="4:4" ht="17.649999999999999" x14ac:dyDescent="0.5">
      <c r="D840" s="3" t="s">
        <v>46</v>
      </c>
    </row>
    <row r="841" spans="4:4" ht="17.649999999999999" x14ac:dyDescent="0.5">
      <c r="D841" s="3" t="s">
        <v>124</v>
      </c>
    </row>
    <row r="842" spans="4:4" ht="17.649999999999999" x14ac:dyDescent="0.5">
      <c r="D842" s="3" t="s">
        <v>92</v>
      </c>
    </row>
    <row r="843" spans="4:4" ht="17.649999999999999" x14ac:dyDescent="0.5">
      <c r="D843" s="3" t="s">
        <v>69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66</v>
      </c>
    </row>
    <row r="846" spans="4:4" ht="17.649999999999999" x14ac:dyDescent="0.5">
      <c r="D846" s="3" t="s">
        <v>83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126</v>
      </c>
    </row>
    <row r="849" spans="4:4" ht="17.649999999999999" x14ac:dyDescent="0.5">
      <c r="D849" s="3" t="s">
        <v>56</v>
      </c>
    </row>
    <row r="850" spans="4:4" ht="17.649999999999999" x14ac:dyDescent="0.5">
      <c r="D850" s="3" t="s">
        <v>51</v>
      </c>
    </row>
    <row r="851" spans="4:4" ht="17.649999999999999" x14ac:dyDescent="0.5">
      <c r="D851" s="3" t="s">
        <v>59</v>
      </c>
    </row>
    <row r="852" spans="4:4" ht="17.649999999999999" x14ac:dyDescent="0.5">
      <c r="D852" s="3" t="s">
        <v>50</v>
      </c>
    </row>
    <row r="853" spans="4:4" ht="17.649999999999999" x14ac:dyDescent="0.5">
      <c r="D853" s="3" t="s">
        <v>52</v>
      </c>
    </row>
    <row r="854" spans="4:4" ht="17.649999999999999" x14ac:dyDescent="0.5">
      <c r="D854" s="3" t="s">
        <v>74</v>
      </c>
    </row>
    <row r="855" spans="4:4" ht="17.649999999999999" x14ac:dyDescent="0.5">
      <c r="D855" s="3" t="s">
        <v>57</v>
      </c>
    </row>
    <row r="856" spans="4:4" ht="17.649999999999999" x14ac:dyDescent="0.5">
      <c r="D856" s="3" t="s">
        <v>117</v>
      </c>
    </row>
    <row r="857" spans="4:4" ht="17.649999999999999" x14ac:dyDescent="0.5">
      <c r="D857" s="3" t="s">
        <v>115</v>
      </c>
    </row>
    <row r="858" spans="4:4" ht="17.649999999999999" x14ac:dyDescent="0.5">
      <c r="D858" s="3" t="s">
        <v>48</v>
      </c>
    </row>
    <row r="859" spans="4:4" ht="17.649999999999999" x14ac:dyDescent="0.5">
      <c r="D859" s="3" t="s">
        <v>105</v>
      </c>
    </row>
    <row r="860" spans="4:4" ht="17.649999999999999" x14ac:dyDescent="0.5">
      <c r="D860" s="3" t="s">
        <v>63</v>
      </c>
    </row>
    <row r="861" spans="4:4" ht="17.649999999999999" x14ac:dyDescent="0.5">
      <c r="D861" s="3" t="s">
        <v>55</v>
      </c>
    </row>
    <row r="862" spans="4:4" ht="17.649999999999999" x14ac:dyDescent="0.5">
      <c r="D862" s="3" t="s">
        <v>84</v>
      </c>
    </row>
    <row r="863" spans="4:4" ht="17.649999999999999" x14ac:dyDescent="0.5">
      <c r="D863" s="3" t="s">
        <v>51</v>
      </c>
    </row>
    <row r="864" spans="4:4" ht="17.649999999999999" x14ac:dyDescent="0.5">
      <c r="D864" s="3" t="s">
        <v>89</v>
      </c>
    </row>
    <row r="865" spans="4:4" ht="17.649999999999999" x14ac:dyDescent="0.5">
      <c r="D865" s="3" t="s">
        <v>49</v>
      </c>
    </row>
    <row r="866" spans="4:4" ht="17.649999999999999" x14ac:dyDescent="0.5">
      <c r="D866" s="3" t="s">
        <v>50</v>
      </c>
    </row>
    <row r="867" spans="4:4" ht="17.649999999999999" x14ac:dyDescent="0.5">
      <c r="D867" s="3" t="s">
        <v>64</v>
      </c>
    </row>
    <row r="868" spans="4:4" ht="17.649999999999999" x14ac:dyDescent="0.5">
      <c r="D868" s="3" t="s">
        <v>91</v>
      </c>
    </row>
    <row r="869" spans="4:4" ht="17.649999999999999" x14ac:dyDescent="0.5">
      <c r="D869" s="3" t="s">
        <v>65</v>
      </c>
    </row>
    <row r="870" spans="4:4" ht="17.649999999999999" x14ac:dyDescent="0.5">
      <c r="D870" s="3" t="s">
        <v>94</v>
      </c>
    </row>
    <row r="871" spans="4:4" ht="17.649999999999999" x14ac:dyDescent="0.5">
      <c r="D871" s="3" t="s">
        <v>96</v>
      </c>
    </row>
    <row r="872" spans="4:4" ht="17.649999999999999" x14ac:dyDescent="0.5">
      <c r="D872" s="3" t="s">
        <v>111</v>
      </c>
    </row>
    <row r="873" spans="4:4" ht="17.649999999999999" x14ac:dyDescent="0.5">
      <c r="D873" s="3" t="s">
        <v>54</v>
      </c>
    </row>
    <row r="874" spans="4:4" ht="17.649999999999999" x14ac:dyDescent="0.5">
      <c r="D874" s="3" t="s">
        <v>92</v>
      </c>
    </row>
    <row r="875" spans="4:4" ht="17.649999999999999" x14ac:dyDescent="0.5">
      <c r="D875" s="3" t="s">
        <v>97</v>
      </c>
    </row>
    <row r="876" spans="4:4" ht="17.649999999999999" x14ac:dyDescent="0.5">
      <c r="D876" s="3" t="s">
        <v>55</v>
      </c>
    </row>
    <row r="877" spans="4:4" ht="17.649999999999999" x14ac:dyDescent="0.5">
      <c r="D877" s="3" t="s">
        <v>53</v>
      </c>
    </row>
    <row r="878" spans="4:4" ht="17.649999999999999" x14ac:dyDescent="0.5">
      <c r="D878" s="3" t="s">
        <v>77</v>
      </c>
    </row>
    <row r="879" spans="4:4" ht="17.649999999999999" x14ac:dyDescent="0.5">
      <c r="D879" s="3" t="s">
        <v>85</v>
      </c>
    </row>
    <row r="880" spans="4:4" ht="17.649999999999999" x14ac:dyDescent="0.5">
      <c r="D880" s="3" t="s">
        <v>67</v>
      </c>
    </row>
    <row r="881" spans="4:4" ht="17.649999999999999" x14ac:dyDescent="0.5">
      <c r="D881" s="3" t="s">
        <v>74</v>
      </c>
    </row>
    <row r="882" spans="4:4" ht="17.649999999999999" x14ac:dyDescent="0.5">
      <c r="D882" s="3" t="s">
        <v>58</v>
      </c>
    </row>
    <row r="883" spans="4:4" ht="17.649999999999999" x14ac:dyDescent="0.5">
      <c r="D883" s="3" t="s">
        <v>126</v>
      </c>
    </row>
    <row r="884" spans="4:4" ht="17.649999999999999" x14ac:dyDescent="0.5">
      <c r="D884" s="3" t="s">
        <v>56</v>
      </c>
    </row>
    <row r="885" spans="4:4" ht="17.649999999999999" x14ac:dyDescent="0.5">
      <c r="D885" s="3" t="s">
        <v>44</v>
      </c>
    </row>
    <row r="886" spans="4:4" ht="17.649999999999999" x14ac:dyDescent="0.5">
      <c r="D886" s="3" t="s">
        <v>68</v>
      </c>
    </row>
    <row r="887" spans="4:4" ht="17.649999999999999" x14ac:dyDescent="0.5">
      <c r="D887" s="3" t="s">
        <v>59</v>
      </c>
    </row>
    <row r="888" spans="4:4" ht="17.649999999999999" x14ac:dyDescent="0.5">
      <c r="D888" s="3" t="s">
        <v>52</v>
      </c>
    </row>
    <row r="889" spans="4:4" ht="17.649999999999999" x14ac:dyDescent="0.5">
      <c r="D889" s="3" t="s">
        <v>51</v>
      </c>
    </row>
    <row r="890" spans="4:4" ht="17.649999999999999" x14ac:dyDescent="0.5">
      <c r="D890" s="3" t="s">
        <v>83</v>
      </c>
    </row>
    <row r="891" spans="4:4" ht="17.649999999999999" x14ac:dyDescent="0.5">
      <c r="D891" s="3" t="s">
        <v>124</v>
      </c>
    </row>
    <row r="892" spans="4:4" ht="17.649999999999999" x14ac:dyDescent="0.5">
      <c r="D892" s="3" t="s">
        <v>47</v>
      </c>
    </row>
    <row r="893" spans="4:4" ht="17.649999999999999" x14ac:dyDescent="0.5">
      <c r="D893" s="3" t="s">
        <v>63</v>
      </c>
    </row>
    <row r="894" spans="4:4" ht="17.649999999999999" x14ac:dyDescent="0.5">
      <c r="D894" s="3" t="s">
        <v>44</v>
      </c>
    </row>
    <row r="895" spans="4:4" ht="17.649999999999999" x14ac:dyDescent="0.5">
      <c r="D895" s="3" t="s">
        <v>78</v>
      </c>
    </row>
    <row r="896" spans="4:4" ht="17.649999999999999" x14ac:dyDescent="0.5">
      <c r="D896" s="3" t="s">
        <v>105</v>
      </c>
    </row>
    <row r="897" spans="4:4" ht="17.649999999999999" x14ac:dyDescent="0.5">
      <c r="D897" s="3" t="s">
        <v>87</v>
      </c>
    </row>
    <row r="898" spans="4:4" ht="17.649999999999999" x14ac:dyDescent="0.5">
      <c r="D898" s="3" t="s">
        <v>123</v>
      </c>
    </row>
    <row r="899" spans="4:4" ht="17.649999999999999" x14ac:dyDescent="0.5">
      <c r="D899" s="3" t="s">
        <v>81</v>
      </c>
    </row>
    <row r="900" spans="4:4" ht="17.649999999999999" x14ac:dyDescent="0.5">
      <c r="D900" s="3" t="s">
        <v>110</v>
      </c>
    </row>
    <row r="901" spans="4:4" ht="17.649999999999999" x14ac:dyDescent="0.5">
      <c r="D901" s="3" t="s">
        <v>113</v>
      </c>
    </row>
    <row r="902" spans="4:4" ht="17.649999999999999" x14ac:dyDescent="0.5">
      <c r="D902" s="3" t="s">
        <v>44</v>
      </c>
    </row>
    <row r="903" spans="4:4" ht="17.649999999999999" x14ac:dyDescent="0.5">
      <c r="D903" s="3" t="s">
        <v>133</v>
      </c>
    </row>
    <row r="904" spans="4:4" ht="17.649999999999999" x14ac:dyDescent="0.5">
      <c r="D904" s="3" t="s">
        <v>117</v>
      </c>
    </row>
    <row r="905" spans="4:4" ht="17.649999999999999" x14ac:dyDescent="0.5">
      <c r="D905" s="3" t="s">
        <v>62</v>
      </c>
    </row>
    <row r="906" spans="4:4" ht="17.649999999999999" x14ac:dyDescent="0.5">
      <c r="D906" s="3" t="s">
        <v>67</v>
      </c>
    </row>
    <row r="907" spans="4:4" ht="17.649999999999999" x14ac:dyDescent="0.5">
      <c r="D907" s="3" t="s">
        <v>103</v>
      </c>
    </row>
    <row r="908" spans="4:4" ht="17.649999999999999" x14ac:dyDescent="0.5">
      <c r="D908" s="3" t="s">
        <v>69</v>
      </c>
    </row>
    <row r="909" spans="4:4" ht="17.649999999999999" x14ac:dyDescent="0.5">
      <c r="D909" s="3" t="s">
        <v>53</v>
      </c>
    </row>
    <row r="910" spans="4:4" ht="17.649999999999999" x14ac:dyDescent="0.5">
      <c r="D910" s="3" t="s">
        <v>126</v>
      </c>
    </row>
    <row r="911" spans="4:4" ht="17.649999999999999" x14ac:dyDescent="0.5">
      <c r="D911" s="3" t="s">
        <v>81</v>
      </c>
    </row>
    <row r="912" spans="4:4" ht="17.649999999999999" x14ac:dyDescent="0.5">
      <c r="D912" s="3" t="s">
        <v>65</v>
      </c>
    </row>
    <row r="913" spans="4:4" ht="17.649999999999999" x14ac:dyDescent="0.5">
      <c r="D913" s="3" t="s">
        <v>50</v>
      </c>
    </row>
    <row r="914" spans="4:4" ht="17.649999999999999" x14ac:dyDescent="0.5">
      <c r="D914" s="3" t="s">
        <v>112</v>
      </c>
    </row>
    <row r="915" spans="4:4" ht="17.649999999999999" x14ac:dyDescent="0.5">
      <c r="D915" s="3" t="s">
        <v>81</v>
      </c>
    </row>
    <row r="916" spans="4:4" ht="17.649999999999999" x14ac:dyDescent="0.5">
      <c r="D916" s="3" t="s">
        <v>101</v>
      </c>
    </row>
    <row r="917" spans="4:4" ht="17.649999999999999" x14ac:dyDescent="0.5">
      <c r="D917" s="3" t="s">
        <v>131</v>
      </c>
    </row>
    <row r="918" spans="4:4" ht="17.649999999999999" x14ac:dyDescent="0.5">
      <c r="D918" s="3" t="s">
        <v>122</v>
      </c>
    </row>
    <row r="919" spans="4:4" ht="17.649999999999999" x14ac:dyDescent="0.5">
      <c r="D919" s="3" t="s">
        <v>129</v>
      </c>
    </row>
    <row r="920" spans="4:4" ht="17.649999999999999" x14ac:dyDescent="0.5">
      <c r="D920" s="3" t="s">
        <v>52</v>
      </c>
    </row>
    <row r="921" spans="4:4" ht="17.649999999999999" x14ac:dyDescent="0.5">
      <c r="D921" s="3" t="s">
        <v>59</v>
      </c>
    </row>
    <row r="922" spans="4:4" ht="17.649999999999999" x14ac:dyDescent="0.5">
      <c r="D922" s="3" t="s">
        <v>132</v>
      </c>
    </row>
    <row r="923" spans="4:4" ht="17.649999999999999" x14ac:dyDescent="0.5">
      <c r="D923" s="3" t="s">
        <v>83</v>
      </c>
    </row>
    <row r="924" spans="4:4" ht="17.649999999999999" x14ac:dyDescent="0.5">
      <c r="D924" s="3" t="s">
        <v>56</v>
      </c>
    </row>
    <row r="925" spans="4:4" ht="17.649999999999999" x14ac:dyDescent="0.5">
      <c r="D925" s="3" t="s">
        <v>117</v>
      </c>
    </row>
    <row r="926" spans="4:4" ht="17.649999999999999" x14ac:dyDescent="0.5">
      <c r="D926" s="3" t="s">
        <v>85</v>
      </c>
    </row>
    <row r="927" spans="4:4" ht="17.649999999999999" x14ac:dyDescent="0.5">
      <c r="D927" s="3" t="s">
        <v>76</v>
      </c>
    </row>
    <row r="928" spans="4:4" ht="17.649999999999999" x14ac:dyDescent="0.5">
      <c r="D928" s="3" t="s">
        <v>115</v>
      </c>
    </row>
    <row r="929" spans="4:4" ht="17.649999999999999" x14ac:dyDescent="0.5">
      <c r="D929" s="3" t="s">
        <v>69</v>
      </c>
    </row>
    <row r="930" spans="4:4" ht="17.649999999999999" x14ac:dyDescent="0.5">
      <c r="D930" s="3" t="s">
        <v>59</v>
      </c>
    </row>
    <row r="931" spans="4:4" ht="17.649999999999999" x14ac:dyDescent="0.5">
      <c r="D931" s="3" t="s">
        <v>67</v>
      </c>
    </row>
    <row r="932" spans="4:4" ht="17.649999999999999" x14ac:dyDescent="0.5">
      <c r="D932" s="3" t="s">
        <v>78</v>
      </c>
    </row>
    <row r="933" spans="4:4" ht="17.649999999999999" x14ac:dyDescent="0.5">
      <c r="D933" s="3" t="s">
        <v>101</v>
      </c>
    </row>
    <row r="934" spans="4:4" ht="17.649999999999999" x14ac:dyDescent="0.5">
      <c r="D934" s="3" t="s">
        <v>125</v>
      </c>
    </row>
    <row r="935" spans="4:4" ht="17.649999999999999" x14ac:dyDescent="0.5">
      <c r="D935" s="3" t="s">
        <v>75</v>
      </c>
    </row>
    <row r="936" spans="4:4" ht="17.649999999999999" x14ac:dyDescent="0.5">
      <c r="D936" s="3" t="s">
        <v>96</v>
      </c>
    </row>
    <row r="937" spans="4:4" ht="17.649999999999999" x14ac:dyDescent="0.5">
      <c r="D937" s="3" t="s">
        <v>43</v>
      </c>
    </row>
    <row r="938" spans="4:4" ht="17.649999999999999" x14ac:dyDescent="0.5">
      <c r="D938" s="3" t="s">
        <v>99</v>
      </c>
    </row>
    <row r="939" spans="4:4" ht="17.649999999999999" x14ac:dyDescent="0.5">
      <c r="D939" s="3" t="s">
        <v>90</v>
      </c>
    </row>
    <row r="940" spans="4:4" ht="17.649999999999999" x14ac:dyDescent="0.5">
      <c r="D940" s="3" t="s">
        <v>105</v>
      </c>
    </row>
    <row r="941" spans="4:4" ht="17.649999999999999" x14ac:dyDescent="0.5">
      <c r="D941" s="3" t="s">
        <v>117</v>
      </c>
    </row>
    <row r="942" spans="4:4" ht="17.649999999999999" x14ac:dyDescent="0.5">
      <c r="D942" s="3" t="s">
        <v>73</v>
      </c>
    </row>
    <row r="943" spans="4:4" ht="17.649999999999999" x14ac:dyDescent="0.5">
      <c r="D943" s="3" t="s">
        <v>47</v>
      </c>
    </row>
    <row r="944" spans="4:4" ht="17.649999999999999" x14ac:dyDescent="0.5">
      <c r="D944" s="3" t="s">
        <v>50</v>
      </c>
    </row>
    <row r="945" spans="4:4" ht="17.649999999999999" x14ac:dyDescent="0.5">
      <c r="D945" s="3" t="s">
        <v>118</v>
      </c>
    </row>
    <row r="946" spans="4:4" ht="17.649999999999999" x14ac:dyDescent="0.5">
      <c r="D946" s="3" t="s">
        <v>53</v>
      </c>
    </row>
    <row r="947" spans="4:4" ht="17.649999999999999" x14ac:dyDescent="0.5">
      <c r="D947" s="3" t="s">
        <v>81</v>
      </c>
    </row>
    <row r="948" spans="4:4" ht="17.649999999999999" x14ac:dyDescent="0.5">
      <c r="D948" s="3" t="s">
        <v>73</v>
      </c>
    </row>
    <row r="949" spans="4:4" ht="17.649999999999999" x14ac:dyDescent="0.5">
      <c r="D949" s="3" t="s">
        <v>42</v>
      </c>
    </row>
    <row r="950" spans="4:4" ht="17.649999999999999" x14ac:dyDescent="0.5">
      <c r="D950" s="3" t="s">
        <v>105</v>
      </c>
    </row>
    <row r="951" spans="4:4" ht="17.649999999999999" x14ac:dyDescent="0.5">
      <c r="D951" s="3" t="s">
        <v>94</v>
      </c>
    </row>
    <row r="952" spans="4:4" ht="17.649999999999999" x14ac:dyDescent="0.5">
      <c r="D952" s="3" t="s">
        <v>108</v>
      </c>
    </row>
    <row r="953" spans="4:4" ht="17.649999999999999" x14ac:dyDescent="0.5">
      <c r="D953" s="3" t="s">
        <v>66</v>
      </c>
    </row>
    <row r="954" spans="4:4" ht="17.649999999999999" x14ac:dyDescent="0.5">
      <c r="D954" s="3" t="s">
        <v>61</v>
      </c>
    </row>
    <row r="955" spans="4:4" ht="17.649999999999999" x14ac:dyDescent="0.5">
      <c r="D955" s="3" t="s">
        <v>47</v>
      </c>
    </row>
    <row r="956" spans="4:4" ht="17.649999999999999" x14ac:dyDescent="0.5">
      <c r="D956" s="3" t="s">
        <v>120</v>
      </c>
    </row>
    <row r="957" spans="4:4" ht="17.649999999999999" x14ac:dyDescent="0.5">
      <c r="D957" s="3" t="s">
        <v>68</v>
      </c>
    </row>
    <row r="958" spans="4:4" ht="17.649999999999999" x14ac:dyDescent="0.5">
      <c r="D958" s="3" t="s">
        <v>121</v>
      </c>
    </row>
    <row r="959" spans="4:4" ht="17.649999999999999" x14ac:dyDescent="0.5">
      <c r="D959" s="3" t="s">
        <v>69</v>
      </c>
    </row>
    <row r="960" spans="4:4" ht="17.649999999999999" x14ac:dyDescent="0.5">
      <c r="D960" s="3" t="s">
        <v>51</v>
      </c>
    </row>
    <row r="961" spans="4:4" ht="17.649999999999999" x14ac:dyDescent="0.5">
      <c r="D961" s="3" t="s">
        <v>123</v>
      </c>
    </row>
    <row r="962" spans="4:4" ht="17.649999999999999" x14ac:dyDescent="0.5">
      <c r="D962" s="3" t="s">
        <v>52</v>
      </c>
    </row>
    <row r="963" spans="4:4" ht="17.649999999999999" x14ac:dyDescent="0.5">
      <c r="D963" s="3" t="s">
        <v>100</v>
      </c>
    </row>
    <row r="964" spans="4:4" ht="17.649999999999999" x14ac:dyDescent="0.5">
      <c r="D964" s="3" t="s">
        <v>94</v>
      </c>
    </row>
    <row r="965" spans="4:4" ht="17.649999999999999" x14ac:dyDescent="0.5">
      <c r="D965" s="3" t="s">
        <v>87</v>
      </c>
    </row>
    <row r="966" spans="4:4" ht="17.649999999999999" x14ac:dyDescent="0.5">
      <c r="D966" s="3" t="s">
        <v>116</v>
      </c>
    </row>
    <row r="967" spans="4:4" ht="17.649999999999999" x14ac:dyDescent="0.5">
      <c r="D967" s="3" t="s">
        <v>115</v>
      </c>
    </row>
    <row r="968" spans="4:4" ht="17.649999999999999" x14ac:dyDescent="0.5">
      <c r="D968" s="3" t="s">
        <v>85</v>
      </c>
    </row>
    <row r="969" spans="4:4" ht="17.649999999999999" x14ac:dyDescent="0.5">
      <c r="D969" s="3" t="s">
        <v>119</v>
      </c>
    </row>
    <row r="970" spans="4:4" ht="17.649999999999999" x14ac:dyDescent="0.5">
      <c r="D970" s="3" t="s">
        <v>44</v>
      </c>
    </row>
    <row r="971" spans="4:4" ht="17.649999999999999" x14ac:dyDescent="0.5">
      <c r="D971" s="3" t="s">
        <v>133</v>
      </c>
    </row>
    <row r="972" spans="4:4" ht="17.649999999999999" x14ac:dyDescent="0.5">
      <c r="D972" s="3" t="s">
        <v>100</v>
      </c>
    </row>
    <row r="973" spans="4:4" ht="17.649999999999999" x14ac:dyDescent="0.5">
      <c r="D973" s="3" t="s">
        <v>95</v>
      </c>
    </row>
    <row r="974" spans="4:4" ht="17.649999999999999" x14ac:dyDescent="0.5">
      <c r="D974" s="3" t="s">
        <v>105</v>
      </c>
    </row>
    <row r="975" spans="4:4" ht="17.649999999999999" x14ac:dyDescent="0.5">
      <c r="D975" s="3" t="s">
        <v>128</v>
      </c>
    </row>
    <row r="976" spans="4:4" ht="17.649999999999999" x14ac:dyDescent="0.5">
      <c r="D976" s="3" t="s">
        <v>107</v>
      </c>
    </row>
    <row r="977" spans="4:4" ht="17.649999999999999" x14ac:dyDescent="0.5">
      <c r="D977" s="3" t="s">
        <v>49</v>
      </c>
    </row>
    <row r="978" spans="4:4" ht="17.649999999999999" x14ac:dyDescent="0.5">
      <c r="D978" s="3" t="s">
        <v>110</v>
      </c>
    </row>
    <row r="979" spans="4:4" ht="17.649999999999999" x14ac:dyDescent="0.5">
      <c r="D979" s="3" t="s">
        <v>65</v>
      </c>
    </row>
    <row r="980" spans="4:4" ht="17.649999999999999" x14ac:dyDescent="0.5">
      <c r="D980" s="3" t="s">
        <v>77</v>
      </c>
    </row>
    <row r="981" spans="4:4" ht="17.649999999999999" x14ac:dyDescent="0.5">
      <c r="D981" s="3" t="s">
        <v>73</v>
      </c>
    </row>
    <row r="982" spans="4:4" ht="17.649999999999999" x14ac:dyDescent="0.5">
      <c r="D982" s="3" t="s">
        <v>98</v>
      </c>
    </row>
    <row r="983" spans="4:4" ht="17.649999999999999" x14ac:dyDescent="0.5">
      <c r="D983" s="3" t="s">
        <v>108</v>
      </c>
    </row>
    <row r="984" spans="4:4" ht="17.649999999999999" x14ac:dyDescent="0.5">
      <c r="D984" s="3" t="s">
        <v>103</v>
      </c>
    </row>
    <row r="985" spans="4:4" ht="17.649999999999999" x14ac:dyDescent="0.5">
      <c r="D985" s="3" t="s">
        <v>65</v>
      </c>
    </row>
    <row r="986" spans="4:4" ht="17.649999999999999" x14ac:dyDescent="0.5">
      <c r="D986" s="3" t="s">
        <v>64</v>
      </c>
    </row>
    <row r="987" spans="4:4" ht="17.649999999999999" x14ac:dyDescent="0.5">
      <c r="D987" s="3" t="s">
        <v>88</v>
      </c>
    </row>
    <row r="988" spans="4:4" ht="17.649999999999999" x14ac:dyDescent="0.5">
      <c r="D988" s="3" t="s">
        <v>44</v>
      </c>
    </row>
    <row r="989" spans="4:4" ht="17.649999999999999" x14ac:dyDescent="0.5">
      <c r="D989" s="3" t="s">
        <v>125</v>
      </c>
    </row>
    <row r="990" spans="4:4" ht="17.649999999999999" x14ac:dyDescent="0.5">
      <c r="D990" s="3" t="s">
        <v>69</v>
      </c>
    </row>
    <row r="991" spans="4:4" ht="17.649999999999999" x14ac:dyDescent="0.5">
      <c r="D991" s="3" t="s">
        <v>82</v>
      </c>
    </row>
    <row r="992" spans="4:4" ht="17.649999999999999" x14ac:dyDescent="0.5">
      <c r="D992" s="3" t="s">
        <v>78</v>
      </c>
    </row>
    <row r="993" spans="4:4" ht="17.649999999999999" x14ac:dyDescent="0.5">
      <c r="D993" s="3" t="s">
        <v>125</v>
      </c>
    </row>
    <row r="994" spans="4:4" ht="17.649999999999999" x14ac:dyDescent="0.5">
      <c r="D994" s="3" t="s">
        <v>47</v>
      </c>
    </row>
    <row r="995" spans="4:4" ht="17.649999999999999" x14ac:dyDescent="0.5">
      <c r="D995" s="3" t="s">
        <v>55</v>
      </c>
    </row>
    <row r="996" spans="4:4" ht="17.649999999999999" x14ac:dyDescent="0.5">
      <c r="D996" s="3" t="s">
        <v>53</v>
      </c>
    </row>
    <row r="997" spans="4:4" ht="17.649999999999999" x14ac:dyDescent="0.5">
      <c r="D997" s="3" t="s">
        <v>56</v>
      </c>
    </row>
    <row r="998" spans="4:4" ht="17.649999999999999" x14ac:dyDescent="0.5">
      <c r="D998" s="3" t="s">
        <v>68</v>
      </c>
    </row>
    <row r="999" spans="4:4" ht="17.649999999999999" x14ac:dyDescent="0.5">
      <c r="D999" s="3" t="s">
        <v>84</v>
      </c>
    </row>
    <row r="1000" spans="4:4" ht="17.649999999999999" x14ac:dyDescent="0.5">
      <c r="D1000" s="3" t="s">
        <v>115</v>
      </c>
    </row>
    <row r="1001" spans="4:4" ht="17.649999999999999" x14ac:dyDescent="0.5">
      <c r="D1001" s="3" t="s">
        <v>133</v>
      </c>
    </row>
    <row r="1002" spans="4:4" ht="17.649999999999999" x14ac:dyDescent="0.5">
      <c r="D1002" s="3" t="s">
        <v>64</v>
      </c>
    </row>
    <row r="1003" spans="4:4" ht="17.649999999999999" x14ac:dyDescent="0.5">
      <c r="D1003" s="3" t="s">
        <v>91</v>
      </c>
    </row>
    <row r="1004" spans="4:4" ht="17.649999999999999" x14ac:dyDescent="0.5">
      <c r="D1004" s="3" t="s">
        <v>73</v>
      </c>
    </row>
    <row r="1005" spans="4:4" ht="17.649999999999999" x14ac:dyDescent="0.5">
      <c r="D1005" s="3" t="s">
        <v>41</v>
      </c>
    </row>
    <row r="1006" spans="4:4" ht="17.649999999999999" x14ac:dyDescent="0.5">
      <c r="D1006" s="3" t="s">
        <v>92</v>
      </c>
    </row>
    <row r="1007" spans="4:4" ht="17.649999999999999" x14ac:dyDescent="0.5">
      <c r="D1007" s="3" t="s">
        <v>87</v>
      </c>
    </row>
    <row r="1008" spans="4:4" ht="17.649999999999999" x14ac:dyDescent="0.5">
      <c r="D1008" s="3" t="s">
        <v>66</v>
      </c>
    </row>
    <row r="1009" spans="4:4" ht="17.649999999999999" x14ac:dyDescent="0.5">
      <c r="D1009" s="3" t="s">
        <v>46</v>
      </c>
    </row>
    <row r="1010" spans="4:4" ht="17.649999999999999" x14ac:dyDescent="0.5">
      <c r="D1010" s="3" t="s">
        <v>46</v>
      </c>
    </row>
    <row r="1011" spans="4:4" ht="17.649999999999999" x14ac:dyDescent="0.5">
      <c r="D1011" s="3" t="s">
        <v>47</v>
      </c>
    </row>
    <row r="1012" spans="4:4" ht="17.649999999999999" x14ac:dyDescent="0.5">
      <c r="D1012" s="3" t="s">
        <v>78</v>
      </c>
    </row>
    <row r="1013" spans="4:4" ht="17.649999999999999" x14ac:dyDescent="0.5">
      <c r="D1013" s="3" t="s">
        <v>123</v>
      </c>
    </row>
    <row r="1014" spans="4:4" ht="17.649999999999999" x14ac:dyDescent="0.5">
      <c r="D1014" s="3" t="s">
        <v>87</v>
      </c>
    </row>
    <row r="1015" spans="4:4" ht="17.649999999999999" x14ac:dyDescent="0.5">
      <c r="D1015" s="3" t="s">
        <v>100</v>
      </c>
    </row>
    <row r="1016" spans="4:4" ht="17.649999999999999" x14ac:dyDescent="0.5">
      <c r="D1016" s="3" t="s">
        <v>61</v>
      </c>
    </row>
    <row r="1017" spans="4:4" ht="17.649999999999999" x14ac:dyDescent="0.5">
      <c r="D1017" s="3" t="s">
        <v>115</v>
      </c>
    </row>
    <row r="1018" spans="4:4" ht="17.649999999999999" x14ac:dyDescent="0.5">
      <c r="D1018" s="3" t="s">
        <v>107</v>
      </c>
    </row>
    <row r="1019" spans="4:4" ht="17.649999999999999" x14ac:dyDescent="0.5">
      <c r="D1019" s="3" t="s">
        <v>120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42</v>
      </c>
    </row>
    <row r="1022" spans="4:4" ht="17.649999999999999" x14ac:dyDescent="0.5">
      <c r="D1022" s="3" t="s">
        <v>84</v>
      </c>
    </row>
    <row r="1023" spans="4:4" ht="17.649999999999999" x14ac:dyDescent="0.5">
      <c r="D1023" s="3" t="s">
        <v>44</v>
      </c>
    </row>
    <row r="1024" spans="4:4" ht="17.649999999999999" x14ac:dyDescent="0.5">
      <c r="D1024" s="3" t="s">
        <v>75</v>
      </c>
    </row>
    <row r="1025" spans="4:4" ht="17.649999999999999" x14ac:dyDescent="0.5">
      <c r="D1025" s="3" t="s">
        <v>75</v>
      </c>
    </row>
    <row r="1026" spans="4:4" ht="17.649999999999999" x14ac:dyDescent="0.5">
      <c r="D1026" s="3" t="s">
        <v>46</v>
      </c>
    </row>
    <row r="1027" spans="4:4" ht="17.649999999999999" x14ac:dyDescent="0.5">
      <c r="D1027" s="3" t="s">
        <v>67</v>
      </c>
    </row>
    <row r="1028" spans="4:4" ht="17.649999999999999" x14ac:dyDescent="0.5">
      <c r="D1028" s="3" t="s">
        <v>54</v>
      </c>
    </row>
    <row r="1029" spans="4:4" ht="17.649999999999999" x14ac:dyDescent="0.5">
      <c r="D1029" s="3" t="s">
        <v>78</v>
      </c>
    </row>
    <row r="1030" spans="4:4" ht="17.649999999999999" x14ac:dyDescent="0.5">
      <c r="D1030" s="3" t="s">
        <v>112</v>
      </c>
    </row>
    <row r="1031" spans="4:4" ht="17.649999999999999" x14ac:dyDescent="0.5">
      <c r="D1031" s="3" t="s">
        <v>77</v>
      </c>
    </row>
    <row r="1032" spans="4:4" ht="17.649999999999999" x14ac:dyDescent="0.5">
      <c r="D1032" s="3" t="s">
        <v>57</v>
      </c>
    </row>
    <row r="1033" spans="4:4" ht="17.649999999999999" x14ac:dyDescent="0.5">
      <c r="D1033" s="3" t="s">
        <v>83</v>
      </c>
    </row>
    <row r="1034" spans="4:4" ht="17.649999999999999" x14ac:dyDescent="0.5">
      <c r="D1034" s="3" t="s">
        <v>113</v>
      </c>
    </row>
    <row r="1035" spans="4:4" ht="17.649999999999999" x14ac:dyDescent="0.5">
      <c r="D1035" s="3" t="s">
        <v>52</v>
      </c>
    </row>
    <row r="1036" spans="4:4" ht="17.649999999999999" x14ac:dyDescent="0.5">
      <c r="D1036" s="3" t="s">
        <v>51</v>
      </c>
    </row>
    <row r="1037" spans="4:4" ht="17.649999999999999" x14ac:dyDescent="0.5">
      <c r="D1037" s="3" t="s">
        <v>90</v>
      </c>
    </row>
    <row r="1038" spans="4:4" ht="17.649999999999999" x14ac:dyDescent="0.5">
      <c r="D1038" s="3" t="s">
        <v>49</v>
      </c>
    </row>
    <row r="1039" spans="4:4" ht="17.649999999999999" x14ac:dyDescent="0.5">
      <c r="D1039" s="3" t="s">
        <v>62</v>
      </c>
    </row>
    <row r="1040" spans="4:4" ht="17.649999999999999" x14ac:dyDescent="0.5">
      <c r="D1040" s="3" t="s">
        <v>86</v>
      </c>
    </row>
    <row r="1041" spans="4:4" ht="17.649999999999999" x14ac:dyDescent="0.5">
      <c r="D1041" s="3" t="s">
        <v>71</v>
      </c>
    </row>
    <row r="1042" spans="4:4" ht="17.649999999999999" x14ac:dyDescent="0.5">
      <c r="D1042" s="3" t="s">
        <v>96</v>
      </c>
    </row>
    <row r="1043" spans="4:4" ht="17.649999999999999" x14ac:dyDescent="0.5">
      <c r="D1043" s="3" t="s">
        <v>80</v>
      </c>
    </row>
    <row r="1044" spans="4:4" ht="17.649999999999999" x14ac:dyDescent="0.5">
      <c r="D1044" s="3" t="s">
        <v>101</v>
      </c>
    </row>
    <row r="1045" spans="4:4" ht="17.649999999999999" x14ac:dyDescent="0.5">
      <c r="D1045" s="3" t="s">
        <v>52</v>
      </c>
    </row>
    <row r="1046" spans="4:4" ht="17.649999999999999" x14ac:dyDescent="0.5">
      <c r="D1046" s="3" t="s">
        <v>75</v>
      </c>
    </row>
    <row r="1047" spans="4:4" ht="17.649999999999999" x14ac:dyDescent="0.5">
      <c r="D1047" s="3" t="s">
        <v>92</v>
      </c>
    </row>
    <row r="1048" spans="4:4" ht="17.649999999999999" x14ac:dyDescent="0.5">
      <c r="D1048" s="3" t="s">
        <v>68</v>
      </c>
    </row>
    <row r="1049" spans="4:4" ht="17.649999999999999" x14ac:dyDescent="0.5">
      <c r="D1049" s="3" t="s">
        <v>77</v>
      </c>
    </row>
    <row r="1050" spans="4:4" ht="17.649999999999999" x14ac:dyDescent="0.5">
      <c r="D1050" s="3" t="s">
        <v>61</v>
      </c>
    </row>
    <row r="1051" spans="4:4" ht="17.649999999999999" x14ac:dyDescent="0.5">
      <c r="D1051" s="3" t="s">
        <v>105</v>
      </c>
    </row>
    <row r="1052" spans="4:4" ht="17.649999999999999" x14ac:dyDescent="0.5">
      <c r="D1052" s="3" t="s">
        <v>66</v>
      </c>
    </row>
    <row r="1053" spans="4:4" ht="17.649999999999999" x14ac:dyDescent="0.5">
      <c r="D1053" s="3" t="s">
        <v>88</v>
      </c>
    </row>
    <row r="1054" spans="4:4" ht="17.649999999999999" x14ac:dyDescent="0.5">
      <c r="D1054" s="3" t="s">
        <v>115</v>
      </c>
    </row>
    <row r="1055" spans="4:4" ht="17.649999999999999" x14ac:dyDescent="0.5">
      <c r="D1055" s="3" t="s">
        <v>67</v>
      </c>
    </row>
    <row r="1056" spans="4:4" ht="17.649999999999999" x14ac:dyDescent="0.5">
      <c r="D1056" s="3" t="s">
        <v>111</v>
      </c>
    </row>
    <row r="1057" spans="4:4" ht="17.649999999999999" x14ac:dyDescent="0.5">
      <c r="D1057" s="3" t="s">
        <v>91</v>
      </c>
    </row>
    <row r="1058" spans="4:4" ht="17.649999999999999" x14ac:dyDescent="0.5">
      <c r="D1058" s="3" t="s">
        <v>54</v>
      </c>
    </row>
    <row r="1059" spans="4:4" ht="17.649999999999999" x14ac:dyDescent="0.5">
      <c r="D1059" s="3" t="s">
        <v>41</v>
      </c>
    </row>
    <row r="1060" spans="4:4" ht="17.649999999999999" x14ac:dyDescent="0.5">
      <c r="D1060" s="3" t="s">
        <v>101</v>
      </c>
    </row>
    <row r="1061" spans="4:4" ht="17.649999999999999" x14ac:dyDescent="0.5">
      <c r="D1061" s="3" t="s">
        <v>136</v>
      </c>
    </row>
    <row r="1062" spans="4:4" ht="17.649999999999999" x14ac:dyDescent="0.5">
      <c r="D1062" s="3" t="s">
        <v>94</v>
      </c>
    </row>
    <row r="1063" spans="4:4" ht="17.649999999999999" x14ac:dyDescent="0.5">
      <c r="D1063" s="3" t="s">
        <v>84</v>
      </c>
    </row>
    <row r="1064" spans="4:4" ht="17.649999999999999" x14ac:dyDescent="0.5">
      <c r="D1064" s="3" t="s">
        <v>59</v>
      </c>
    </row>
    <row r="1065" spans="4:4" ht="17.649999999999999" x14ac:dyDescent="0.5">
      <c r="D1065" s="3" t="s">
        <v>128</v>
      </c>
    </row>
    <row r="1066" spans="4:4" ht="17.649999999999999" x14ac:dyDescent="0.5">
      <c r="D1066" s="3" t="s">
        <v>41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65</v>
      </c>
    </row>
    <row r="1069" spans="4:4" ht="17.649999999999999" x14ac:dyDescent="0.5">
      <c r="D1069" s="3" t="s">
        <v>87</v>
      </c>
    </row>
    <row r="1070" spans="4:4" ht="17.649999999999999" x14ac:dyDescent="0.5">
      <c r="D1070" s="3" t="s">
        <v>124</v>
      </c>
    </row>
    <row r="1071" spans="4:4" ht="17.649999999999999" x14ac:dyDescent="0.5">
      <c r="D1071" s="3" t="s">
        <v>98</v>
      </c>
    </row>
    <row r="1072" spans="4:4" ht="17.649999999999999" x14ac:dyDescent="0.5">
      <c r="D1072" s="3" t="s">
        <v>117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126</v>
      </c>
    </row>
    <row r="1075" spans="4:4" ht="17.649999999999999" x14ac:dyDescent="0.5">
      <c r="D1075" s="3" t="s">
        <v>65</v>
      </c>
    </row>
    <row r="1076" spans="4:4" ht="17.649999999999999" x14ac:dyDescent="0.5">
      <c r="D1076" s="3" t="s">
        <v>44</v>
      </c>
    </row>
    <row r="1077" spans="4:4" ht="17.649999999999999" x14ac:dyDescent="0.5">
      <c r="D1077" s="3" t="s">
        <v>103</v>
      </c>
    </row>
    <row r="1078" spans="4:4" ht="17.649999999999999" x14ac:dyDescent="0.5">
      <c r="D1078" s="3" t="s">
        <v>119</v>
      </c>
    </row>
    <row r="1079" spans="4:4" ht="17.649999999999999" x14ac:dyDescent="0.5">
      <c r="D1079" s="3" t="s">
        <v>78</v>
      </c>
    </row>
    <row r="1080" spans="4:4" ht="17.649999999999999" x14ac:dyDescent="0.5">
      <c r="D1080" s="3" t="s">
        <v>51</v>
      </c>
    </row>
    <row r="1081" spans="4:4" ht="17.649999999999999" x14ac:dyDescent="0.5">
      <c r="D1081" s="3" t="s">
        <v>52</v>
      </c>
    </row>
    <row r="1082" spans="4:4" ht="17.649999999999999" x14ac:dyDescent="0.5">
      <c r="D1082" s="3" t="s">
        <v>59</v>
      </c>
    </row>
    <row r="1083" spans="4:4" ht="17.649999999999999" x14ac:dyDescent="0.5">
      <c r="D1083" s="3" t="s">
        <v>51</v>
      </c>
    </row>
    <row r="1084" spans="4:4" ht="17.649999999999999" x14ac:dyDescent="0.5">
      <c r="D1084" s="3" t="s">
        <v>50</v>
      </c>
    </row>
    <row r="1085" spans="4:4" ht="17.649999999999999" x14ac:dyDescent="0.5">
      <c r="D1085" s="3" t="s">
        <v>54</v>
      </c>
    </row>
    <row r="1086" spans="4:4" ht="17.649999999999999" x14ac:dyDescent="0.5">
      <c r="D1086" s="3" t="s">
        <v>104</v>
      </c>
    </row>
    <row r="1087" spans="4:4" ht="17.649999999999999" x14ac:dyDescent="0.5">
      <c r="D1087" s="3" t="s">
        <v>59</v>
      </c>
    </row>
    <row r="1088" spans="4:4" ht="17.649999999999999" x14ac:dyDescent="0.5">
      <c r="D1088" s="3" t="s">
        <v>81</v>
      </c>
    </row>
    <row r="1089" spans="4:4" ht="17.649999999999999" x14ac:dyDescent="0.5">
      <c r="D1089" s="3" t="s">
        <v>101</v>
      </c>
    </row>
    <row r="1090" spans="4:4" ht="17.649999999999999" x14ac:dyDescent="0.5">
      <c r="D1090" s="3" t="s">
        <v>43</v>
      </c>
    </row>
    <row r="1091" spans="4:4" ht="17.649999999999999" x14ac:dyDescent="0.5">
      <c r="D1091" s="3" t="s">
        <v>92</v>
      </c>
    </row>
    <row r="1092" spans="4:4" ht="17.649999999999999" x14ac:dyDescent="0.5">
      <c r="D1092" s="3" t="s">
        <v>56</v>
      </c>
    </row>
    <row r="1093" spans="4:4" ht="17.649999999999999" x14ac:dyDescent="0.5">
      <c r="D1093" s="3" t="s">
        <v>115</v>
      </c>
    </row>
    <row r="1094" spans="4:4" ht="17.649999999999999" x14ac:dyDescent="0.5">
      <c r="D1094" s="3" t="s">
        <v>54</v>
      </c>
    </row>
    <row r="1095" spans="4:4" ht="17.649999999999999" x14ac:dyDescent="0.5">
      <c r="D1095" s="3" t="s">
        <v>64</v>
      </c>
    </row>
    <row r="1096" spans="4:4" ht="17.649999999999999" x14ac:dyDescent="0.5">
      <c r="D1096" s="3" t="s">
        <v>112</v>
      </c>
    </row>
    <row r="1097" spans="4:4" ht="17.649999999999999" x14ac:dyDescent="0.5">
      <c r="D1097" s="3" t="s">
        <v>51</v>
      </c>
    </row>
    <row r="1098" spans="4:4" ht="17.649999999999999" x14ac:dyDescent="0.5">
      <c r="D1098" s="3" t="s">
        <v>117</v>
      </c>
    </row>
    <row r="1099" spans="4:4" ht="17.649999999999999" x14ac:dyDescent="0.5">
      <c r="D1099" s="3" t="s">
        <v>78</v>
      </c>
    </row>
    <row r="1100" spans="4:4" ht="17.649999999999999" x14ac:dyDescent="0.5">
      <c r="D1100" s="3" t="s">
        <v>57</v>
      </c>
    </row>
    <row r="1101" spans="4:4" ht="17.649999999999999" x14ac:dyDescent="0.5">
      <c r="D1101" s="3" t="s">
        <v>78</v>
      </c>
    </row>
    <row r="1102" spans="4:4" ht="17.649999999999999" x14ac:dyDescent="0.5">
      <c r="D1102" s="3" t="s">
        <v>101</v>
      </c>
    </row>
    <row r="1103" spans="4:4" ht="17.649999999999999" x14ac:dyDescent="0.5">
      <c r="D1103" s="3" t="s">
        <v>123</v>
      </c>
    </row>
    <row r="1104" spans="4:4" ht="17.649999999999999" x14ac:dyDescent="0.5">
      <c r="D1104" s="3" t="s">
        <v>59</v>
      </c>
    </row>
    <row r="1105" spans="4:4" ht="17.649999999999999" x14ac:dyDescent="0.5">
      <c r="D1105" s="3" t="s">
        <v>42</v>
      </c>
    </row>
    <row r="1106" spans="4:4" ht="17.649999999999999" x14ac:dyDescent="0.5">
      <c r="D1106" s="3" t="s">
        <v>116</v>
      </c>
    </row>
    <row r="1107" spans="4:4" ht="17.649999999999999" x14ac:dyDescent="0.5">
      <c r="D1107" s="3" t="s">
        <v>54</v>
      </c>
    </row>
    <row r="1108" spans="4:4" ht="17.649999999999999" x14ac:dyDescent="0.5">
      <c r="D1108" s="3" t="s">
        <v>81</v>
      </c>
    </row>
    <row r="1109" spans="4:4" ht="17.649999999999999" x14ac:dyDescent="0.5">
      <c r="D1109" s="3" t="s">
        <v>114</v>
      </c>
    </row>
    <row r="1110" spans="4:4" ht="17.649999999999999" x14ac:dyDescent="0.5">
      <c r="D1110" s="3" t="s">
        <v>43</v>
      </c>
    </row>
    <row r="1111" spans="4:4" ht="17.649999999999999" x14ac:dyDescent="0.5">
      <c r="D1111" s="3" t="s">
        <v>66</v>
      </c>
    </row>
    <row r="1112" spans="4:4" ht="17.649999999999999" x14ac:dyDescent="0.5">
      <c r="D1112" s="3" t="s">
        <v>112</v>
      </c>
    </row>
    <row r="1113" spans="4:4" ht="17.649999999999999" x14ac:dyDescent="0.5">
      <c r="D1113" s="3" t="s">
        <v>86</v>
      </c>
    </row>
    <row r="1114" spans="4:4" ht="17.649999999999999" x14ac:dyDescent="0.5">
      <c r="D1114" s="3" t="s">
        <v>74</v>
      </c>
    </row>
    <row r="1115" spans="4:4" ht="17.649999999999999" x14ac:dyDescent="0.5">
      <c r="D1115" s="3" t="s">
        <v>130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66</v>
      </c>
    </row>
    <row r="1118" spans="4:4" ht="17.649999999999999" x14ac:dyDescent="0.5">
      <c r="D1118" s="3" t="s">
        <v>55</v>
      </c>
    </row>
    <row r="1119" spans="4:4" ht="17.649999999999999" x14ac:dyDescent="0.5">
      <c r="D1119" s="3" t="s">
        <v>127</v>
      </c>
    </row>
    <row r="1120" spans="4:4" ht="17.649999999999999" x14ac:dyDescent="0.5">
      <c r="D1120" s="3" t="s">
        <v>44</v>
      </c>
    </row>
    <row r="1121" spans="4:4" ht="17.649999999999999" x14ac:dyDescent="0.5">
      <c r="D1121" s="3" t="s">
        <v>81</v>
      </c>
    </row>
    <row r="1122" spans="4:4" ht="17.649999999999999" x14ac:dyDescent="0.5">
      <c r="D1122" s="3" t="s">
        <v>122</v>
      </c>
    </row>
    <row r="1123" spans="4:4" ht="17.649999999999999" x14ac:dyDescent="0.5">
      <c r="D1123" s="3" t="s">
        <v>61</v>
      </c>
    </row>
    <row r="1124" spans="4:4" ht="17.649999999999999" x14ac:dyDescent="0.5">
      <c r="D1124" s="3" t="s">
        <v>111</v>
      </c>
    </row>
    <row r="1125" spans="4:4" ht="17.649999999999999" x14ac:dyDescent="0.5">
      <c r="D1125" s="3" t="s">
        <v>95</v>
      </c>
    </row>
    <row r="1126" spans="4:4" ht="17.649999999999999" x14ac:dyDescent="0.5">
      <c r="D1126" s="3" t="s">
        <v>70</v>
      </c>
    </row>
    <row r="1127" spans="4:4" ht="17.649999999999999" x14ac:dyDescent="0.5">
      <c r="D1127" s="3" t="s">
        <v>46</v>
      </c>
    </row>
    <row r="1128" spans="4:4" ht="17.649999999999999" x14ac:dyDescent="0.5">
      <c r="D1128" s="3" t="s">
        <v>83</v>
      </c>
    </row>
    <row r="1129" spans="4:4" ht="17.649999999999999" x14ac:dyDescent="0.5">
      <c r="D1129" s="3" t="s">
        <v>69</v>
      </c>
    </row>
    <row r="1130" spans="4:4" ht="17.649999999999999" x14ac:dyDescent="0.5">
      <c r="D1130" s="3" t="s">
        <v>109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107</v>
      </c>
    </row>
    <row r="1133" spans="4:4" ht="17.649999999999999" x14ac:dyDescent="0.5">
      <c r="D1133" s="3" t="s">
        <v>48</v>
      </c>
    </row>
    <row r="1134" spans="4:4" ht="17.649999999999999" x14ac:dyDescent="0.5">
      <c r="D1134" s="3" t="s">
        <v>133</v>
      </c>
    </row>
    <row r="1135" spans="4:4" ht="17.649999999999999" x14ac:dyDescent="0.5">
      <c r="D1135" s="3" t="s">
        <v>117</v>
      </c>
    </row>
    <row r="1136" spans="4:4" ht="17.649999999999999" x14ac:dyDescent="0.5">
      <c r="D1136" s="3" t="s">
        <v>41</v>
      </c>
    </row>
    <row r="1137" spans="4:4" ht="17.649999999999999" x14ac:dyDescent="0.5">
      <c r="D1137" s="3" t="s">
        <v>105</v>
      </c>
    </row>
    <row r="1138" spans="4:4" ht="17.649999999999999" x14ac:dyDescent="0.5">
      <c r="D1138" s="3" t="s">
        <v>73</v>
      </c>
    </row>
    <row r="1139" spans="4:4" ht="17.649999999999999" x14ac:dyDescent="0.5">
      <c r="D1139" s="3" t="s">
        <v>91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67</v>
      </c>
    </row>
    <row r="1142" spans="4:4" ht="17.649999999999999" x14ac:dyDescent="0.5">
      <c r="D1142" s="3" t="s">
        <v>92</v>
      </c>
    </row>
    <row r="1143" spans="4:4" ht="17.649999999999999" x14ac:dyDescent="0.5">
      <c r="D1143" s="3" t="s">
        <v>126</v>
      </c>
    </row>
    <row r="1144" spans="4:4" ht="17.649999999999999" x14ac:dyDescent="0.5">
      <c r="D1144" s="3" t="s">
        <v>64</v>
      </c>
    </row>
    <row r="1145" spans="4:4" ht="17.649999999999999" x14ac:dyDescent="0.5">
      <c r="D1145" s="3" t="s">
        <v>67</v>
      </c>
    </row>
    <row r="1146" spans="4:4" ht="17.649999999999999" x14ac:dyDescent="0.5">
      <c r="D1146" s="3" t="s">
        <v>77</v>
      </c>
    </row>
    <row r="1147" spans="4:4" ht="17.649999999999999" x14ac:dyDescent="0.5">
      <c r="D1147" s="3" t="s">
        <v>68</v>
      </c>
    </row>
    <row r="1148" spans="4:4" ht="17.649999999999999" x14ac:dyDescent="0.5">
      <c r="D1148" s="3" t="s">
        <v>90</v>
      </c>
    </row>
    <row r="1149" spans="4:4" ht="17.649999999999999" x14ac:dyDescent="0.5">
      <c r="D1149" s="3" t="s">
        <v>47</v>
      </c>
    </row>
    <row r="1150" spans="4:4" ht="17.649999999999999" x14ac:dyDescent="0.5">
      <c r="D1150" s="3" t="s">
        <v>98</v>
      </c>
    </row>
    <row r="1151" spans="4:4" ht="17.649999999999999" x14ac:dyDescent="0.5">
      <c r="D1151" s="3" t="s">
        <v>84</v>
      </c>
    </row>
    <row r="1152" spans="4:4" ht="17.649999999999999" x14ac:dyDescent="0.5">
      <c r="D1152" s="3" t="s">
        <v>83</v>
      </c>
    </row>
    <row r="1153" spans="4:4" ht="17.649999999999999" x14ac:dyDescent="0.5">
      <c r="D1153" s="3" t="s">
        <v>121</v>
      </c>
    </row>
    <row r="1154" spans="4:4" ht="17.649999999999999" x14ac:dyDescent="0.5">
      <c r="D1154" s="3" t="s">
        <v>98</v>
      </c>
    </row>
    <row r="1155" spans="4:4" ht="17.649999999999999" x14ac:dyDescent="0.5">
      <c r="D1155" s="3" t="s">
        <v>68</v>
      </c>
    </row>
    <row r="1156" spans="4:4" ht="17.649999999999999" x14ac:dyDescent="0.5">
      <c r="D1156" s="3" t="s">
        <v>50</v>
      </c>
    </row>
    <row r="1157" spans="4:4" ht="17.649999999999999" x14ac:dyDescent="0.5">
      <c r="D1157" s="3" t="s">
        <v>69</v>
      </c>
    </row>
    <row r="1158" spans="4:4" ht="17.649999999999999" x14ac:dyDescent="0.5">
      <c r="D1158" s="3" t="s">
        <v>85</v>
      </c>
    </row>
    <row r="1159" spans="4:4" ht="17.649999999999999" x14ac:dyDescent="0.5">
      <c r="D1159" s="3" t="s">
        <v>92</v>
      </c>
    </row>
    <row r="1160" spans="4:4" ht="17.649999999999999" x14ac:dyDescent="0.5">
      <c r="D1160" s="3" t="s">
        <v>52</v>
      </c>
    </row>
    <row r="1161" spans="4:4" ht="17.649999999999999" x14ac:dyDescent="0.5">
      <c r="D1161" s="3" t="s">
        <v>51</v>
      </c>
    </row>
    <row r="1162" spans="4:4" ht="17.649999999999999" x14ac:dyDescent="0.5">
      <c r="D1162" s="3" t="s">
        <v>72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57</v>
      </c>
    </row>
    <row r="1165" spans="4:4" ht="17.649999999999999" x14ac:dyDescent="0.5">
      <c r="D1165" s="3" t="s">
        <v>63</v>
      </c>
    </row>
    <row r="1166" spans="4:4" ht="17.649999999999999" x14ac:dyDescent="0.5">
      <c r="D1166" s="3" t="s">
        <v>47</v>
      </c>
    </row>
    <row r="1167" spans="4:4" ht="17.649999999999999" x14ac:dyDescent="0.5">
      <c r="D1167" s="3" t="s">
        <v>60</v>
      </c>
    </row>
    <row r="1168" spans="4:4" ht="17.649999999999999" x14ac:dyDescent="0.5">
      <c r="D1168" s="3" t="s">
        <v>68</v>
      </c>
    </row>
    <row r="1169" spans="4:4" ht="17.649999999999999" x14ac:dyDescent="0.5">
      <c r="D1169" s="3" t="s">
        <v>112</v>
      </c>
    </row>
    <row r="1170" spans="4:4" ht="17.649999999999999" x14ac:dyDescent="0.5">
      <c r="D1170" s="3" t="s">
        <v>49</v>
      </c>
    </row>
    <row r="1171" spans="4:4" ht="17.649999999999999" x14ac:dyDescent="0.5">
      <c r="D1171" s="3" t="s">
        <v>66</v>
      </c>
    </row>
    <row r="1172" spans="4:4" ht="17.649999999999999" x14ac:dyDescent="0.5">
      <c r="D1172" s="3" t="s">
        <v>67</v>
      </c>
    </row>
    <row r="1173" spans="4:4" ht="17.649999999999999" x14ac:dyDescent="0.5">
      <c r="D1173" s="3" t="s">
        <v>79</v>
      </c>
    </row>
    <row r="1174" spans="4:4" ht="17.649999999999999" x14ac:dyDescent="0.5">
      <c r="D1174" s="3" t="s">
        <v>84</v>
      </c>
    </row>
    <row r="1175" spans="4:4" ht="17.649999999999999" x14ac:dyDescent="0.5">
      <c r="D1175" s="3" t="s">
        <v>115</v>
      </c>
    </row>
    <row r="1176" spans="4:4" ht="17.649999999999999" x14ac:dyDescent="0.5">
      <c r="D1176" s="3" t="s">
        <v>44</v>
      </c>
    </row>
    <row r="1177" spans="4:4" ht="17.649999999999999" x14ac:dyDescent="0.5">
      <c r="D1177" s="3" t="s">
        <v>107</v>
      </c>
    </row>
    <row r="1178" spans="4:4" ht="17.649999999999999" x14ac:dyDescent="0.5">
      <c r="D1178" s="3" t="s">
        <v>132</v>
      </c>
    </row>
    <row r="1179" spans="4:4" ht="17.649999999999999" x14ac:dyDescent="0.5">
      <c r="D1179" s="3" t="s">
        <v>98</v>
      </c>
    </row>
    <row r="1180" spans="4:4" ht="17.649999999999999" x14ac:dyDescent="0.5">
      <c r="D1180" s="3" t="s">
        <v>61</v>
      </c>
    </row>
    <row r="1181" spans="4:4" ht="17.649999999999999" x14ac:dyDescent="0.5">
      <c r="D1181" s="3" t="s">
        <v>48</v>
      </c>
    </row>
    <row r="1182" spans="4:4" ht="17.649999999999999" x14ac:dyDescent="0.5">
      <c r="D1182" s="3" t="s">
        <v>95</v>
      </c>
    </row>
    <row r="1183" spans="4:4" ht="17.649999999999999" x14ac:dyDescent="0.5">
      <c r="D1183" s="3" t="s">
        <v>77</v>
      </c>
    </row>
    <row r="1184" spans="4:4" ht="17.649999999999999" x14ac:dyDescent="0.5">
      <c r="D1184" s="3" t="s">
        <v>62</v>
      </c>
    </row>
    <row r="1185" spans="4:4" ht="17.649999999999999" x14ac:dyDescent="0.5">
      <c r="D1185" s="3" t="s">
        <v>85</v>
      </c>
    </row>
    <row r="1186" spans="4:4" ht="17.649999999999999" x14ac:dyDescent="0.5">
      <c r="D1186" s="3" t="s">
        <v>104</v>
      </c>
    </row>
    <row r="1187" spans="4:4" ht="17.649999999999999" x14ac:dyDescent="0.5">
      <c r="D1187" s="3" t="s">
        <v>46</v>
      </c>
    </row>
    <row r="1188" spans="4:4" ht="17.649999999999999" x14ac:dyDescent="0.5">
      <c r="D1188" s="3" t="s">
        <v>87</v>
      </c>
    </row>
    <row r="1189" spans="4:4" ht="17.649999999999999" x14ac:dyDescent="0.5">
      <c r="D1189" s="3" t="s">
        <v>122</v>
      </c>
    </row>
    <row r="1190" spans="4:4" ht="17.649999999999999" x14ac:dyDescent="0.5">
      <c r="D1190" s="3" t="s">
        <v>81</v>
      </c>
    </row>
    <row r="1191" spans="4:4" ht="17.649999999999999" x14ac:dyDescent="0.5">
      <c r="D1191" s="3" t="s">
        <v>113</v>
      </c>
    </row>
    <row r="1192" spans="4:4" ht="17.649999999999999" x14ac:dyDescent="0.5">
      <c r="D1192" s="3" t="s">
        <v>110</v>
      </c>
    </row>
    <row r="1193" spans="4:4" ht="17.649999999999999" x14ac:dyDescent="0.5">
      <c r="D1193" s="3" t="s">
        <v>42</v>
      </c>
    </row>
    <row r="1194" spans="4:4" ht="17.649999999999999" x14ac:dyDescent="0.5">
      <c r="D1194" s="3" t="s">
        <v>64</v>
      </c>
    </row>
    <row r="1195" spans="4:4" ht="17.649999999999999" x14ac:dyDescent="0.5">
      <c r="D1195" s="3" t="s">
        <v>48</v>
      </c>
    </row>
    <row r="1196" spans="4:4" ht="17.649999999999999" x14ac:dyDescent="0.5">
      <c r="D1196" s="3" t="s">
        <v>116</v>
      </c>
    </row>
    <row r="1197" spans="4:4" ht="17.649999999999999" x14ac:dyDescent="0.5">
      <c r="D1197" s="3" t="s">
        <v>91</v>
      </c>
    </row>
    <row r="1198" spans="4:4" ht="17.649999999999999" x14ac:dyDescent="0.5">
      <c r="D1198" s="3" t="s">
        <v>115</v>
      </c>
    </row>
    <row r="1199" spans="4:4" ht="17.649999999999999" x14ac:dyDescent="0.5">
      <c r="D1199" s="3" t="s">
        <v>52</v>
      </c>
    </row>
    <row r="1200" spans="4:4" ht="17.649999999999999" x14ac:dyDescent="0.5">
      <c r="D1200" s="3" t="s">
        <v>51</v>
      </c>
    </row>
    <row r="1201" spans="4:4" ht="17.649999999999999" x14ac:dyDescent="0.5">
      <c r="D1201" s="3" t="s">
        <v>63</v>
      </c>
    </row>
    <row r="1202" spans="4:4" ht="17.649999999999999" x14ac:dyDescent="0.5">
      <c r="D1202" s="3" t="s">
        <v>85</v>
      </c>
    </row>
    <row r="1203" spans="4:4" ht="17.649999999999999" x14ac:dyDescent="0.5">
      <c r="D1203" s="3" t="s">
        <v>98</v>
      </c>
    </row>
    <row r="1204" spans="4:4" ht="17.649999999999999" x14ac:dyDescent="0.5">
      <c r="D1204" s="3" t="s">
        <v>105</v>
      </c>
    </row>
    <row r="1205" spans="4:4" ht="17.649999999999999" x14ac:dyDescent="0.5">
      <c r="D1205" s="3" t="s">
        <v>121</v>
      </c>
    </row>
    <row r="1206" spans="4:4" ht="17.649999999999999" x14ac:dyDescent="0.5">
      <c r="D1206" s="3" t="s">
        <v>87</v>
      </c>
    </row>
    <row r="1207" spans="4:4" ht="17.649999999999999" x14ac:dyDescent="0.5">
      <c r="D1207" s="3" t="s">
        <v>56</v>
      </c>
    </row>
    <row r="1208" spans="4:4" ht="17.649999999999999" x14ac:dyDescent="0.5">
      <c r="D1208" s="3" t="s">
        <v>106</v>
      </c>
    </row>
    <row r="1209" spans="4:4" ht="17.649999999999999" x14ac:dyDescent="0.5">
      <c r="D1209" s="3" t="s">
        <v>41</v>
      </c>
    </row>
    <row r="1210" spans="4:4" ht="17.649999999999999" x14ac:dyDescent="0.5">
      <c r="D1210" s="3" t="s">
        <v>63</v>
      </c>
    </row>
    <row r="1211" spans="4:4" ht="17.649999999999999" x14ac:dyDescent="0.5">
      <c r="D1211" s="3" t="s">
        <v>54</v>
      </c>
    </row>
    <row r="1212" spans="4:4" ht="17.649999999999999" x14ac:dyDescent="0.5">
      <c r="D1212" s="3" t="s">
        <v>52</v>
      </c>
    </row>
    <row r="1213" spans="4:4" ht="17.649999999999999" x14ac:dyDescent="0.5">
      <c r="D1213" s="3" t="s">
        <v>103</v>
      </c>
    </row>
    <row r="1214" spans="4:4" ht="17.649999999999999" x14ac:dyDescent="0.5">
      <c r="D1214" s="3" t="s">
        <v>128</v>
      </c>
    </row>
    <row r="1215" spans="4:4" ht="17.649999999999999" x14ac:dyDescent="0.5">
      <c r="D1215" s="3" t="s">
        <v>55</v>
      </c>
    </row>
    <row r="1216" spans="4:4" ht="17.649999999999999" x14ac:dyDescent="0.5">
      <c r="D1216" s="3" t="s">
        <v>105</v>
      </c>
    </row>
    <row r="1217" spans="4:4" ht="17.649999999999999" x14ac:dyDescent="0.5">
      <c r="D1217" s="3" t="s">
        <v>75</v>
      </c>
    </row>
    <row r="1218" spans="4:4" ht="17.649999999999999" x14ac:dyDescent="0.5">
      <c r="D1218" s="3" t="s">
        <v>90</v>
      </c>
    </row>
    <row r="1219" spans="4:4" ht="17.649999999999999" x14ac:dyDescent="0.5">
      <c r="D1219" s="3" t="s">
        <v>52</v>
      </c>
    </row>
    <row r="1220" spans="4:4" ht="17.649999999999999" x14ac:dyDescent="0.5">
      <c r="D1220" s="3" t="s">
        <v>114</v>
      </c>
    </row>
    <row r="1221" spans="4:4" ht="17.649999999999999" x14ac:dyDescent="0.5">
      <c r="D1221" s="3" t="s">
        <v>80</v>
      </c>
    </row>
    <row r="1222" spans="4:4" ht="17.649999999999999" x14ac:dyDescent="0.5">
      <c r="D1222" s="3" t="s">
        <v>78</v>
      </c>
    </row>
    <row r="1223" spans="4:4" ht="17.649999999999999" x14ac:dyDescent="0.5">
      <c r="D1223" s="3" t="s">
        <v>80</v>
      </c>
    </row>
    <row r="1224" spans="4:4" ht="17.649999999999999" x14ac:dyDescent="0.5">
      <c r="D1224" s="3" t="s">
        <v>114</v>
      </c>
    </row>
    <row r="1225" spans="4:4" ht="17.649999999999999" x14ac:dyDescent="0.5">
      <c r="D1225" s="3" t="s">
        <v>106</v>
      </c>
    </row>
    <row r="1226" spans="4:4" ht="17.649999999999999" x14ac:dyDescent="0.5">
      <c r="D1226" s="3" t="s">
        <v>54</v>
      </c>
    </row>
    <row r="1227" spans="4:4" ht="17.649999999999999" x14ac:dyDescent="0.5">
      <c r="D1227" s="3" t="s">
        <v>83</v>
      </c>
    </row>
    <row r="1228" spans="4:4" ht="17.649999999999999" x14ac:dyDescent="0.5">
      <c r="D1228" s="3" t="s">
        <v>112</v>
      </c>
    </row>
    <row r="1229" spans="4:4" ht="17.649999999999999" x14ac:dyDescent="0.5">
      <c r="D1229" s="3" t="s">
        <v>98</v>
      </c>
    </row>
    <row r="1230" spans="4:4" ht="17.649999999999999" x14ac:dyDescent="0.5">
      <c r="D1230" s="3" t="s">
        <v>43</v>
      </c>
    </row>
    <row r="1231" spans="4:4" ht="17.649999999999999" x14ac:dyDescent="0.5">
      <c r="D1231" s="3" t="s">
        <v>104</v>
      </c>
    </row>
    <row r="1232" spans="4:4" ht="17.649999999999999" x14ac:dyDescent="0.5">
      <c r="D1232" s="3" t="s">
        <v>53</v>
      </c>
    </row>
    <row r="1233" spans="4:4" ht="17.649999999999999" x14ac:dyDescent="0.5">
      <c r="D1233" s="3" t="s">
        <v>103</v>
      </c>
    </row>
    <row r="1234" spans="4:4" ht="17.649999999999999" x14ac:dyDescent="0.5">
      <c r="D1234" s="3" t="s">
        <v>48</v>
      </c>
    </row>
    <row r="1235" spans="4:4" ht="17.649999999999999" x14ac:dyDescent="0.5">
      <c r="D1235" s="3" t="s">
        <v>74</v>
      </c>
    </row>
    <row r="1236" spans="4:4" ht="17.649999999999999" x14ac:dyDescent="0.5">
      <c r="D1236" s="3" t="s">
        <v>64</v>
      </c>
    </row>
    <row r="1237" spans="4:4" ht="17.649999999999999" x14ac:dyDescent="0.5">
      <c r="D1237" s="3" t="s">
        <v>68</v>
      </c>
    </row>
    <row r="1238" spans="4:4" ht="17.649999999999999" x14ac:dyDescent="0.5">
      <c r="D1238" s="3" t="s">
        <v>57</v>
      </c>
    </row>
    <row r="1239" spans="4:4" ht="17.649999999999999" x14ac:dyDescent="0.5">
      <c r="D1239" s="3" t="s">
        <v>61</v>
      </c>
    </row>
    <row r="1240" spans="4:4" ht="17.649999999999999" x14ac:dyDescent="0.5">
      <c r="D1240" s="3" t="s">
        <v>63</v>
      </c>
    </row>
    <row r="1241" spans="4:4" ht="17.649999999999999" x14ac:dyDescent="0.5">
      <c r="D1241" s="3" t="s">
        <v>87</v>
      </c>
    </row>
    <row r="1242" spans="4:4" ht="17.649999999999999" x14ac:dyDescent="0.5">
      <c r="D1242" s="3" t="s">
        <v>107</v>
      </c>
    </row>
    <row r="1243" spans="4:4" ht="17.649999999999999" x14ac:dyDescent="0.5">
      <c r="D1243" s="3" t="s">
        <v>101</v>
      </c>
    </row>
    <row r="1244" spans="4:4" ht="17.649999999999999" x14ac:dyDescent="0.5">
      <c r="D1244" s="3" t="s">
        <v>56</v>
      </c>
    </row>
    <row r="1245" spans="4:4" ht="17.649999999999999" x14ac:dyDescent="0.5">
      <c r="D1245" s="3" t="s">
        <v>83</v>
      </c>
    </row>
    <row r="1246" spans="4:4" ht="17.649999999999999" x14ac:dyDescent="0.5">
      <c r="D1246" s="3" t="s">
        <v>53</v>
      </c>
    </row>
    <row r="1247" spans="4:4" ht="17.649999999999999" x14ac:dyDescent="0.5">
      <c r="D1247" s="3" t="s">
        <v>124</v>
      </c>
    </row>
    <row r="1248" spans="4:4" ht="17.649999999999999" x14ac:dyDescent="0.5">
      <c r="D1248" s="3" t="s">
        <v>90</v>
      </c>
    </row>
    <row r="1249" spans="4:4" ht="17.649999999999999" x14ac:dyDescent="0.5">
      <c r="D1249" s="3" t="s">
        <v>49</v>
      </c>
    </row>
    <row r="1250" spans="4:4" ht="17.649999999999999" x14ac:dyDescent="0.5">
      <c r="D1250" s="3" t="s">
        <v>101</v>
      </c>
    </row>
    <row r="1251" spans="4:4" ht="17.649999999999999" x14ac:dyDescent="0.5">
      <c r="D1251" s="3" t="s">
        <v>97</v>
      </c>
    </row>
    <row r="1252" spans="4:4" ht="17.649999999999999" x14ac:dyDescent="0.5">
      <c r="D1252" s="3" t="s">
        <v>43</v>
      </c>
    </row>
    <row r="1253" spans="4:4" ht="17.649999999999999" x14ac:dyDescent="0.5">
      <c r="D1253" s="3" t="s">
        <v>83</v>
      </c>
    </row>
    <row r="1254" spans="4:4" ht="17.649999999999999" x14ac:dyDescent="0.5">
      <c r="D1254" s="3" t="s">
        <v>53</v>
      </c>
    </row>
    <row r="1255" spans="4:4" ht="17.649999999999999" x14ac:dyDescent="0.5">
      <c r="D1255" s="3" t="s">
        <v>87</v>
      </c>
    </row>
    <row r="1256" spans="4:4" ht="17.649999999999999" x14ac:dyDescent="0.5">
      <c r="D1256" s="3" t="s">
        <v>52</v>
      </c>
    </row>
    <row r="1257" spans="4:4" ht="17.649999999999999" x14ac:dyDescent="0.5">
      <c r="D1257" s="3" t="s">
        <v>83</v>
      </c>
    </row>
    <row r="1258" spans="4:4" ht="17.649999999999999" x14ac:dyDescent="0.5">
      <c r="D1258" s="3" t="s">
        <v>117</v>
      </c>
    </row>
    <row r="1259" spans="4:4" ht="17.649999999999999" x14ac:dyDescent="0.5">
      <c r="D1259" s="3" t="s">
        <v>49</v>
      </c>
    </row>
    <row r="1260" spans="4:4" ht="17.649999999999999" x14ac:dyDescent="0.5">
      <c r="D1260" s="3" t="s">
        <v>73</v>
      </c>
    </row>
    <row r="1261" spans="4:4" ht="17.649999999999999" x14ac:dyDescent="0.5">
      <c r="D1261" s="3" t="s">
        <v>69</v>
      </c>
    </row>
    <row r="1262" spans="4:4" ht="17.649999999999999" x14ac:dyDescent="0.5">
      <c r="D1262" s="3" t="s">
        <v>66</v>
      </c>
    </row>
    <row r="1263" spans="4:4" ht="17.649999999999999" x14ac:dyDescent="0.5">
      <c r="D1263" s="3" t="s">
        <v>63</v>
      </c>
    </row>
    <row r="1264" spans="4:4" ht="17.649999999999999" x14ac:dyDescent="0.5">
      <c r="D1264" s="3" t="s">
        <v>87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68</v>
      </c>
    </row>
    <row r="1267" spans="4:4" ht="17.649999999999999" x14ac:dyDescent="0.5">
      <c r="D1267" s="3" t="s">
        <v>63</v>
      </c>
    </row>
    <row r="1268" spans="4:4" ht="17.649999999999999" x14ac:dyDescent="0.5">
      <c r="D1268" s="3" t="s">
        <v>41</v>
      </c>
    </row>
    <row r="1269" spans="4:4" ht="17.649999999999999" x14ac:dyDescent="0.5">
      <c r="D1269" s="3" t="s">
        <v>43</v>
      </c>
    </row>
    <row r="1270" spans="4:4" ht="17.649999999999999" x14ac:dyDescent="0.5">
      <c r="D1270" s="3" t="s">
        <v>74</v>
      </c>
    </row>
    <row r="1271" spans="4:4" ht="17.649999999999999" x14ac:dyDescent="0.5">
      <c r="D1271" s="3" t="s">
        <v>104</v>
      </c>
    </row>
    <row r="1272" spans="4:4" ht="17.649999999999999" x14ac:dyDescent="0.5">
      <c r="D1272" s="3" t="s">
        <v>96</v>
      </c>
    </row>
    <row r="1273" spans="4:4" ht="17.649999999999999" x14ac:dyDescent="0.5">
      <c r="D1273" s="3" t="s">
        <v>43</v>
      </c>
    </row>
    <row r="1274" spans="4:4" ht="17.649999999999999" x14ac:dyDescent="0.5">
      <c r="D1274" s="3" t="s">
        <v>50</v>
      </c>
    </row>
    <row r="1275" spans="4:4" ht="17.649999999999999" x14ac:dyDescent="0.5">
      <c r="D1275" s="3" t="s">
        <v>98</v>
      </c>
    </row>
    <row r="1276" spans="4:4" ht="17.649999999999999" x14ac:dyDescent="0.5">
      <c r="D1276" s="3" t="s">
        <v>75</v>
      </c>
    </row>
    <row r="1277" spans="4:4" ht="17.649999999999999" x14ac:dyDescent="0.5">
      <c r="D1277" s="3" t="s">
        <v>73</v>
      </c>
    </row>
    <row r="1278" spans="4:4" ht="17.649999999999999" x14ac:dyDescent="0.5">
      <c r="D1278" s="3" t="s">
        <v>115</v>
      </c>
    </row>
    <row r="1279" spans="4:4" ht="17.649999999999999" x14ac:dyDescent="0.5">
      <c r="D1279" s="3" t="s">
        <v>81</v>
      </c>
    </row>
    <row r="1280" spans="4:4" ht="17.649999999999999" x14ac:dyDescent="0.5">
      <c r="D1280" s="3" t="s">
        <v>47</v>
      </c>
    </row>
    <row r="1281" spans="4:4" ht="17.649999999999999" x14ac:dyDescent="0.5">
      <c r="D1281" s="3" t="s">
        <v>100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115</v>
      </c>
    </row>
    <row r="1284" spans="4:4" ht="17.649999999999999" x14ac:dyDescent="0.5">
      <c r="D1284" s="3" t="s">
        <v>57</v>
      </c>
    </row>
    <row r="1285" spans="4:4" ht="17.649999999999999" x14ac:dyDescent="0.5">
      <c r="D1285" s="3" t="s">
        <v>63</v>
      </c>
    </row>
    <row r="1286" spans="4:4" ht="17.649999999999999" x14ac:dyDescent="0.5">
      <c r="D1286" s="3" t="s">
        <v>74</v>
      </c>
    </row>
    <row r="1287" spans="4:4" ht="17.649999999999999" x14ac:dyDescent="0.5">
      <c r="D1287" s="3" t="s">
        <v>83</v>
      </c>
    </row>
    <row r="1288" spans="4:4" ht="17.649999999999999" x14ac:dyDescent="0.5">
      <c r="D1288" s="3" t="s">
        <v>69</v>
      </c>
    </row>
    <row r="1289" spans="4:4" ht="17.649999999999999" x14ac:dyDescent="0.5">
      <c r="D1289" s="3" t="s">
        <v>48</v>
      </c>
    </row>
    <row r="1290" spans="4:4" ht="17.649999999999999" x14ac:dyDescent="0.5">
      <c r="D1290" s="3" t="s">
        <v>43</v>
      </c>
    </row>
    <row r="1291" spans="4:4" ht="17.649999999999999" x14ac:dyDescent="0.5">
      <c r="D1291" s="3" t="s">
        <v>87</v>
      </c>
    </row>
    <row r="1292" spans="4:4" ht="17.649999999999999" x14ac:dyDescent="0.5">
      <c r="D1292" s="3" t="s">
        <v>85</v>
      </c>
    </row>
    <row r="1293" spans="4:4" ht="17.649999999999999" x14ac:dyDescent="0.5">
      <c r="D1293" s="3" t="s">
        <v>88</v>
      </c>
    </row>
    <row r="1294" spans="4:4" ht="17.649999999999999" x14ac:dyDescent="0.5">
      <c r="D1294" s="3" t="s">
        <v>134</v>
      </c>
    </row>
    <row r="1295" spans="4:4" ht="17.649999999999999" x14ac:dyDescent="0.5">
      <c r="D1295" s="3" t="s">
        <v>121</v>
      </c>
    </row>
    <row r="1296" spans="4:4" ht="17.649999999999999" x14ac:dyDescent="0.5">
      <c r="D1296" s="3" t="s">
        <v>109</v>
      </c>
    </row>
    <row r="1297" spans="4:4" ht="17.649999999999999" x14ac:dyDescent="0.5">
      <c r="D1297" s="3" t="s">
        <v>117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129</v>
      </c>
    </row>
    <row r="1300" spans="4:4" ht="17.649999999999999" x14ac:dyDescent="0.5">
      <c r="D1300" s="3" t="s">
        <v>57</v>
      </c>
    </row>
    <row r="1301" spans="4:4" ht="17.649999999999999" x14ac:dyDescent="0.5">
      <c r="D1301" s="3" t="s">
        <v>121</v>
      </c>
    </row>
    <row r="1302" spans="4:4" ht="17.649999999999999" x14ac:dyDescent="0.5">
      <c r="D1302" s="3" t="s">
        <v>93</v>
      </c>
    </row>
    <row r="1303" spans="4:4" ht="17.649999999999999" x14ac:dyDescent="0.5">
      <c r="D1303" s="3" t="s">
        <v>50</v>
      </c>
    </row>
    <row r="1304" spans="4:4" ht="17.649999999999999" x14ac:dyDescent="0.5">
      <c r="D1304" s="3" t="s">
        <v>46</v>
      </c>
    </row>
    <row r="1305" spans="4:4" ht="17.649999999999999" x14ac:dyDescent="0.5">
      <c r="D1305" s="3" t="s">
        <v>96</v>
      </c>
    </row>
    <row r="1306" spans="4:4" ht="17.649999999999999" x14ac:dyDescent="0.5">
      <c r="D1306" s="3" t="s">
        <v>85</v>
      </c>
    </row>
    <row r="1307" spans="4:4" ht="17.649999999999999" x14ac:dyDescent="0.5">
      <c r="D1307" s="3" t="s">
        <v>84</v>
      </c>
    </row>
    <row r="1308" spans="4:4" ht="17.649999999999999" x14ac:dyDescent="0.5">
      <c r="D1308" s="3" t="s">
        <v>74</v>
      </c>
    </row>
    <row r="1309" spans="4:4" ht="17.649999999999999" x14ac:dyDescent="0.5">
      <c r="D1309" s="3" t="s">
        <v>106</v>
      </c>
    </row>
    <row r="1310" spans="4:4" ht="17.649999999999999" x14ac:dyDescent="0.5">
      <c r="D1310" s="3" t="s">
        <v>98</v>
      </c>
    </row>
    <row r="1311" spans="4:4" ht="17.649999999999999" x14ac:dyDescent="0.5">
      <c r="D1311" s="3" t="s">
        <v>108</v>
      </c>
    </row>
    <row r="1312" spans="4:4" ht="17.649999999999999" x14ac:dyDescent="0.5">
      <c r="D1312" s="3" t="s">
        <v>57</v>
      </c>
    </row>
    <row r="1313" spans="4:4" ht="17.649999999999999" x14ac:dyDescent="0.5">
      <c r="D1313" s="3" t="s">
        <v>100</v>
      </c>
    </row>
    <row r="1314" spans="4:4" ht="17.649999999999999" x14ac:dyDescent="0.5">
      <c r="D1314" s="3" t="s">
        <v>63</v>
      </c>
    </row>
    <row r="1315" spans="4:4" ht="17.649999999999999" x14ac:dyDescent="0.5">
      <c r="D1315" s="3" t="s">
        <v>46</v>
      </c>
    </row>
    <row r="1316" spans="4:4" ht="17.649999999999999" x14ac:dyDescent="0.5">
      <c r="D1316" s="3" t="s">
        <v>66</v>
      </c>
    </row>
    <row r="1317" spans="4:4" ht="17.649999999999999" x14ac:dyDescent="0.5">
      <c r="D1317" s="3" t="s">
        <v>129</v>
      </c>
    </row>
    <row r="1318" spans="4:4" ht="17.649999999999999" x14ac:dyDescent="0.5">
      <c r="D1318" s="3" t="s">
        <v>49</v>
      </c>
    </row>
    <row r="1319" spans="4:4" ht="17.649999999999999" x14ac:dyDescent="0.5">
      <c r="D1319" s="3" t="s">
        <v>50</v>
      </c>
    </row>
    <row r="1320" spans="4:4" ht="17.649999999999999" x14ac:dyDescent="0.5">
      <c r="D1320" s="3" t="s">
        <v>112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41</v>
      </c>
    </row>
    <row r="1323" spans="4:4" ht="17.649999999999999" x14ac:dyDescent="0.5">
      <c r="D1323" s="3" t="s">
        <v>52</v>
      </c>
    </row>
    <row r="1324" spans="4:4" ht="17.649999999999999" x14ac:dyDescent="0.5">
      <c r="D1324" s="3" t="s">
        <v>61</v>
      </c>
    </row>
    <row r="1325" spans="4:4" ht="17.649999999999999" x14ac:dyDescent="0.5">
      <c r="D1325" s="3" t="s">
        <v>87</v>
      </c>
    </row>
    <row r="1326" spans="4:4" ht="17.649999999999999" x14ac:dyDescent="0.5">
      <c r="D1326" s="3" t="s">
        <v>66</v>
      </c>
    </row>
    <row r="1327" spans="4:4" ht="17.649999999999999" x14ac:dyDescent="0.5">
      <c r="D1327" s="3" t="s">
        <v>107</v>
      </c>
    </row>
    <row r="1328" spans="4:4" ht="17.649999999999999" x14ac:dyDescent="0.5">
      <c r="D1328" s="3" t="s">
        <v>76</v>
      </c>
    </row>
    <row r="1329" spans="4:4" ht="17.649999999999999" x14ac:dyDescent="0.5">
      <c r="D1329" s="3" t="s">
        <v>100</v>
      </c>
    </row>
    <row r="1330" spans="4:4" ht="17.649999999999999" x14ac:dyDescent="0.5">
      <c r="D1330" s="3" t="s">
        <v>113</v>
      </c>
    </row>
    <row r="1331" spans="4:4" ht="17.649999999999999" x14ac:dyDescent="0.5">
      <c r="D1331" s="3" t="s">
        <v>75</v>
      </c>
    </row>
    <row r="1332" spans="4:4" ht="17.649999999999999" x14ac:dyDescent="0.5">
      <c r="D1332" s="3" t="s">
        <v>59</v>
      </c>
    </row>
    <row r="1333" spans="4:4" ht="17.649999999999999" x14ac:dyDescent="0.5">
      <c r="D1333" s="3" t="s">
        <v>94</v>
      </c>
    </row>
    <row r="1334" spans="4:4" ht="17.649999999999999" x14ac:dyDescent="0.5">
      <c r="D1334" s="3" t="s">
        <v>48</v>
      </c>
    </row>
    <row r="1335" spans="4:4" ht="17.649999999999999" x14ac:dyDescent="0.5">
      <c r="D1335" s="3" t="s">
        <v>67</v>
      </c>
    </row>
    <row r="1336" spans="4:4" ht="17.649999999999999" x14ac:dyDescent="0.5">
      <c r="D1336" s="3" t="s">
        <v>120</v>
      </c>
    </row>
    <row r="1337" spans="4:4" ht="17.649999999999999" x14ac:dyDescent="0.5">
      <c r="D1337" s="3" t="s">
        <v>47</v>
      </c>
    </row>
    <row r="1338" spans="4:4" ht="17.649999999999999" x14ac:dyDescent="0.5">
      <c r="D1338" s="3" t="s">
        <v>115</v>
      </c>
    </row>
    <row r="1339" spans="4:4" ht="17.649999999999999" x14ac:dyDescent="0.5">
      <c r="D1339" s="3" t="s">
        <v>56</v>
      </c>
    </row>
    <row r="1340" spans="4:4" ht="17.649999999999999" x14ac:dyDescent="0.5">
      <c r="D1340" s="3" t="s">
        <v>94</v>
      </c>
    </row>
    <row r="1341" spans="4:4" ht="17.649999999999999" x14ac:dyDescent="0.5">
      <c r="D1341" s="3" t="s">
        <v>98</v>
      </c>
    </row>
    <row r="1342" spans="4:4" ht="17.649999999999999" x14ac:dyDescent="0.5">
      <c r="D1342" s="3" t="s">
        <v>120</v>
      </c>
    </row>
    <row r="1343" spans="4:4" ht="17.649999999999999" x14ac:dyDescent="0.5">
      <c r="D1343" s="3" t="s">
        <v>78</v>
      </c>
    </row>
    <row r="1344" spans="4:4" ht="17.649999999999999" x14ac:dyDescent="0.5">
      <c r="D1344" s="3" t="s">
        <v>81</v>
      </c>
    </row>
    <row r="1345" spans="4:4" ht="17.649999999999999" x14ac:dyDescent="0.5">
      <c r="D1345" s="3" t="s">
        <v>122</v>
      </c>
    </row>
    <row r="1346" spans="4:4" ht="17.649999999999999" x14ac:dyDescent="0.5">
      <c r="D1346" s="3" t="s">
        <v>47</v>
      </c>
    </row>
    <row r="1347" spans="4:4" ht="17.649999999999999" x14ac:dyDescent="0.5">
      <c r="D1347" s="3" t="s">
        <v>55</v>
      </c>
    </row>
    <row r="1348" spans="4:4" ht="17.649999999999999" x14ac:dyDescent="0.5">
      <c r="D1348" s="3" t="s">
        <v>66</v>
      </c>
    </row>
    <row r="1349" spans="4:4" ht="17.649999999999999" x14ac:dyDescent="0.5">
      <c r="D1349" s="3" t="s">
        <v>67</v>
      </c>
    </row>
    <row r="1350" spans="4:4" ht="17.649999999999999" x14ac:dyDescent="0.5">
      <c r="D1350" s="3" t="s">
        <v>101</v>
      </c>
    </row>
    <row r="1351" spans="4:4" ht="17.649999999999999" x14ac:dyDescent="0.5">
      <c r="D1351" s="3" t="s">
        <v>84</v>
      </c>
    </row>
    <row r="1352" spans="4:4" ht="17.649999999999999" x14ac:dyDescent="0.5">
      <c r="D1352" s="3" t="s">
        <v>78</v>
      </c>
    </row>
    <row r="1353" spans="4:4" ht="17.649999999999999" x14ac:dyDescent="0.5">
      <c r="D1353" s="3" t="s">
        <v>80</v>
      </c>
    </row>
    <row r="1354" spans="4:4" ht="17.649999999999999" x14ac:dyDescent="0.5">
      <c r="D1354" s="3" t="s">
        <v>75</v>
      </c>
    </row>
    <row r="1355" spans="4:4" ht="17.649999999999999" x14ac:dyDescent="0.5">
      <c r="D1355" s="3" t="s">
        <v>101</v>
      </c>
    </row>
    <row r="1356" spans="4:4" ht="17.649999999999999" x14ac:dyDescent="0.5">
      <c r="D1356" s="3" t="s">
        <v>61</v>
      </c>
    </row>
    <row r="1357" spans="4:4" ht="17.649999999999999" x14ac:dyDescent="0.5">
      <c r="D1357" s="3" t="s">
        <v>69</v>
      </c>
    </row>
    <row r="1358" spans="4:4" ht="17.649999999999999" x14ac:dyDescent="0.5">
      <c r="D1358" s="3" t="s">
        <v>73</v>
      </c>
    </row>
    <row r="1359" spans="4:4" ht="17.649999999999999" x14ac:dyDescent="0.5">
      <c r="D1359" s="3" t="s">
        <v>64</v>
      </c>
    </row>
    <row r="1360" spans="4:4" ht="17.649999999999999" x14ac:dyDescent="0.5">
      <c r="D1360" s="3" t="s">
        <v>61</v>
      </c>
    </row>
    <row r="1361" spans="4:4" ht="17.649999999999999" x14ac:dyDescent="0.5">
      <c r="D1361" s="3" t="s">
        <v>61</v>
      </c>
    </row>
    <row r="1362" spans="4:4" ht="17.649999999999999" x14ac:dyDescent="0.5">
      <c r="D1362" s="3" t="s">
        <v>99</v>
      </c>
    </row>
    <row r="1363" spans="4:4" ht="17.649999999999999" x14ac:dyDescent="0.5">
      <c r="D1363" s="3" t="s">
        <v>103</v>
      </c>
    </row>
    <row r="1364" spans="4:4" ht="17.649999999999999" x14ac:dyDescent="0.5">
      <c r="D1364" s="3" t="s">
        <v>72</v>
      </c>
    </row>
    <row r="1365" spans="4:4" ht="17.649999999999999" x14ac:dyDescent="0.5">
      <c r="D1365" s="3" t="s">
        <v>101</v>
      </c>
    </row>
    <row r="1366" spans="4:4" ht="17.649999999999999" x14ac:dyDescent="0.5">
      <c r="D1366" s="3" t="s">
        <v>56</v>
      </c>
    </row>
    <row r="1367" spans="4:4" ht="17.649999999999999" x14ac:dyDescent="0.5">
      <c r="D1367" s="3" t="s">
        <v>69</v>
      </c>
    </row>
    <row r="1368" spans="4:4" ht="17.649999999999999" x14ac:dyDescent="0.5">
      <c r="D1368" s="3" t="s">
        <v>54</v>
      </c>
    </row>
    <row r="1369" spans="4:4" ht="17.649999999999999" x14ac:dyDescent="0.5">
      <c r="D1369" s="3" t="s">
        <v>122</v>
      </c>
    </row>
    <row r="1370" spans="4:4" ht="17.649999999999999" x14ac:dyDescent="0.5">
      <c r="D1370" s="3" t="s">
        <v>66</v>
      </c>
    </row>
    <row r="1371" spans="4:4" ht="17.649999999999999" x14ac:dyDescent="0.5">
      <c r="D1371" s="3" t="s">
        <v>75</v>
      </c>
    </row>
    <row r="1372" spans="4:4" ht="17.649999999999999" x14ac:dyDescent="0.5">
      <c r="D1372" s="3" t="s">
        <v>94</v>
      </c>
    </row>
    <row r="1373" spans="4:4" ht="17.649999999999999" x14ac:dyDescent="0.5">
      <c r="D1373" s="3" t="s">
        <v>76</v>
      </c>
    </row>
    <row r="1374" spans="4:4" ht="17.649999999999999" x14ac:dyDescent="0.5">
      <c r="D1374" s="3" t="s">
        <v>51</v>
      </c>
    </row>
    <row r="1375" spans="4:4" ht="17.649999999999999" x14ac:dyDescent="0.5">
      <c r="D1375" s="3" t="s">
        <v>105</v>
      </c>
    </row>
    <row r="1376" spans="4:4" ht="17.649999999999999" x14ac:dyDescent="0.5">
      <c r="D1376" s="3" t="s">
        <v>67</v>
      </c>
    </row>
    <row r="1377" spans="4:4" ht="17.649999999999999" x14ac:dyDescent="0.5">
      <c r="D1377" s="3" t="s">
        <v>87</v>
      </c>
    </row>
    <row r="1378" spans="4:4" ht="17.649999999999999" x14ac:dyDescent="0.5">
      <c r="D1378" s="3" t="s">
        <v>50</v>
      </c>
    </row>
    <row r="1379" spans="4:4" ht="17.649999999999999" x14ac:dyDescent="0.5">
      <c r="D1379" s="3" t="s">
        <v>69</v>
      </c>
    </row>
    <row r="1380" spans="4:4" ht="17.649999999999999" x14ac:dyDescent="0.5">
      <c r="D1380" s="3" t="s">
        <v>64</v>
      </c>
    </row>
    <row r="1381" spans="4:4" ht="17.649999999999999" x14ac:dyDescent="0.5">
      <c r="D1381" s="3" t="s">
        <v>68</v>
      </c>
    </row>
    <row r="1382" spans="4:4" ht="17.649999999999999" x14ac:dyDescent="0.5">
      <c r="D1382" s="3" t="s">
        <v>53</v>
      </c>
    </row>
    <row r="1383" spans="4:4" ht="17.649999999999999" x14ac:dyDescent="0.5">
      <c r="D1383" s="3" t="s">
        <v>56</v>
      </c>
    </row>
    <row r="1384" spans="4:4" ht="17.649999999999999" x14ac:dyDescent="0.5">
      <c r="D1384" s="3" t="s">
        <v>115</v>
      </c>
    </row>
    <row r="1385" spans="4:4" ht="17.649999999999999" x14ac:dyDescent="0.5">
      <c r="D1385" s="3" t="s">
        <v>120</v>
      </c>
    </row>
    <row r="1386" spans="4:4" ht="17.649999999999999" x14ac:dyDescent="0.5">
      <c r="D1386" s="3" t="s">
        <v>81</v>
      </c>
    </row>
    <row r="1387" spans="4:4" ht="17.649999999999999" x14ac:dyDescent="0.5">
      <c r="D1387" s="3" t="s">
        <v>122</v>
      </c>
    </row>
    <row r="1388" spans="4:4" ht="17.649999999999999" x14ac:dyDescent="0.5">
      <c r="D1388" s="3" t="s">
        <v>85</v>
      </c>
    </row>
    <row r="1389" spans="4:4" ht="17.649999999999999" x14ac:dyDescent="0.5">
      <c r="D1389" s="3" t="s">
        <v>67</v>
      </c>
    </row>
    <row r="1390" spans="4:4" ht="17.649999999999999" x14ac:dyDescent="0.5">
      <c r="D1390" s="3" t="s">
        <v>101</v>
      </c>
    </row>
    <row r="1391" spans="4:4" ht="17.649999999999999" x14ac:dyDescent="0.5">
      <c r="D1391" s="3" t="s">
        <v>107</v>
      </c>
    </row>
    <row r="1392" spans="4:4" ht="17.649999999999999" x14ac:dyDescent="0.5">
      <c r="D1392" s="3" t="s">
        <v>83</v>
      </c>
    </row>
    <row r="1393" spans="4:4" ht="17.649999999999999" x14ac:dyDescent="0.5">
      <c r="D1393" s="3" t="s">
        <v>52</v>
      </c>
    </row>
    <row r="1394" spans="4:4" ht="17.649999999999999" x14ac:dyDescent="0.5">
      <c r="D1394" s="3" t="s">
        <v>50</v>
      </c>
    </row>
    <row r="1395" spans="4:4" ht="17.649999999999999" x14ac:dyDescent="0.5">
      <c r="D1395" s="3" t="s">
        <v>80</v>
      </c>
    </row>
    <row r="1396" spans="4:4" ht="17.649999999999999" x14ac:dyDescent="0.5">
      <c r="D1396" s="3" t="s">
        <v>63</v>
      </c>
    </row>
    <row r="1397" spans="4:4" ht="17.649999999999999" x14ac:dyDescent="0.5">
      <c r="D1397" s="3" t="s">
        <v>120</v>
      </c>
    </row>
    <row r="1398" spans="4:4" ht="17.649999999999999" x14ac:dyDescent="0.5">
      <c r="D1398" s="3" t="s">
        <v>56</v>
      </c>
    </row>
    <row r="1399" spans="4:4" ht="17.649999999999999" x14ac:dyDescent="0.5">
      <c r="D1399" s="3" t="s">
        <v>113</v>
      </c>
    </row>
    <row r="1400" spans="4:4" ht="17.649999999999999" x14ac:dyDescent="0.5">
      <c r="D1400" s="3" t="s">
        <v>57</v>
      </c>
    </row>
    <row r="1401" spans="4:4" ht="17.649999999999999" x14ac:dyDescent="0.5">
      <c r="D1401" s="3" t="s">
        <v>113</v>
      </c>
    </row>
    <row r="1402" spans="4:4" ht="17.649999999999999" x14ac:dyDescent="0.5">
      <c r="D1402" s="3" t="s">
        <v>122</v>
      </c>
    </row>
    <row r="1403" spans="4:4" ht="17.649999999999999" x14ac:dyDescent="0.5">
      <c r="D1403" s="3" t="s">
        <v>103</v>
      </c>
    </row>
    <row r="1404" spans="4:4" ht="17.649999999999999" x14ac:dyDescent="0.5">
      <c r="D1404" s="3" t="s">
        <v>63</v>
      </c>
    </row>
    <row r="1405" spans="4:4" ht="17.649999999999999" x14ac:dyDescent="0.5">
      <c r="D1405" s="3" t="s">
        <v>41</v>
      </c>
    </row>
    <row r="1406" spans="4:4" ht="17.649999999999999" x14ac:dyDescent="0.5">
      <c r="D1406" s="3" t="s">
        <v>85</v>
      </c>
    </row>
    <row r="1407" spans="4:4" ht="17.649999999999999" x14ac:dyDescent="0.5">
      <c r="D1407" s="3" t="s">
        <v>75</v>
      </c>
    </row>
    <row r="1408" spans="4:4" ht="17.649999999999999" x14ac:dyDescent="0.5">
      <c r="D1408" s="3" t="s">
        <v>134</v>
      </c>
    </row>
    <row r="1409" spans="4:4" ht="17.649999999999999" x14ac:dyDescent="0.5">
      <c r="D1409" s="3" t="s">
        <v>98</v>
      </c>
    </row>
    <row r="1410" spans="4:4" ht="17.649999999999999" x14ac:dyDescent="0.5">
      <c r="D1410" s="3" t="s">
        <v>57</v>
      </c>
    </row>
    <row r="1411" spans="4:4" ht="17.649999999999999" x14ac:dyDescent="0.5">
      <c r="D1411" s="3" t="s">
        <v>65</v>
      </c>
    </row>
    <row r="1412" spans="4:4" ht="17.649999999999999" x14ac:dyDescent="0.5">
      <c r="D1412" s="3" t="s">
        <v>77</v>
      </c>
    </row>
    <row r="1413" spans="4:4" ht="17.649999999999999" x14ac:dyDescent="0.5">
      <c r="D1413" s="3" t="s">
        <v>94</v>
      </c>
    </row>
    <row r="1414" spans="4:4" ht="17.649999999999999" x14ac:dyDescent="0.5">
      <c r="D1414" s="3" t="s">
        <v>96</v>
      </c>
    </row>
    <row r="1415" spans="4:4" ht="17.649999999999999" x14ac:dyDescent="0.5">
      <c r="D1415" s="3" t="s">
        <v>45</v>
      </c>
    </row>
    <row r="1416" spans="4:4" ht="17.649999999999999" x14ac:dyDescent="0.5">
      <c r="D1416" s="3" t="s">
        <v>49</v>
      </c>
    </row>
    <row r="1417" spans="4:4" ht="17.649999999999999" x14ac:dyDescent="0.5">
      <c r="D1417" s="3" t="s">
        <v>69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96</v>
      </c>
    </row>
    <row r="1420" spans="4:4" ht="17.649999999999999" x14ac:dyDescent="0.5">
      <c r="D1420" s="3" t="s">
        <v>48</v>
      </c>
    </row>
    <row r="1421" spans="4:4" ht="17.649999999999999" x14ac:dyDescent="0.5">
      <c r="D1421" s="3" t="s">
        <v>103</v>
      </c>
    </row>
    <row r="1422" spans="4:4" ht="17.649999999999999" x14ac:dyDescent="0.5">
      <c r="D1422" s="3" t="s">
        <v>98</v>
      </c>
    </row>
    <row r="1423" spans="4:4" ht="17.649999999999999" x14ac:dyDescent="0.5">
      <c r="D1423" s="3" t="s">
        <v>49</v>
      </c>
    </row>
    <row r="1424" spans="4:4" ht="17.649999999999999" x14ac:dyDescent="0.5">
      <c r="D1424" s="3" t="s">
        <v>83</v>
      </c>
    </row>
    <row r="1425" spans="4:4" ht="17.649999999999999" x14ac:dyDescent="0.5">
      <c r="D1425" s="3" t="s">
        <v>132</v>
      </c>
    </row>
    <row r="1426" spans="4:4" ht="17.649999999999999" x14ac:dyDescent="0.5">
      <c r="D1426" s="3" t="s">
        <v>50</v>
      </c>
    </row>
    <row r="1427" spans="4:4" ht="17.649999999999999" x14ac:dyDescent="0.5">
      <c r="D1427" s="3" t="s">
        <v>123</v>
      </c>
    </row>
    <row r="1428" spans="4:4" ht="17.649999999999999" x14ac:dyDescent="0.5">
      <c r="D1428" s="3" t="s">
        <v>103</v>
      </c>
    </row>
    <row r="1429" spans="4:4" ht="17.649999999999999" x14ac:dyDescent="0.5">
      <c r="D1429" s="3" t="s">
        <v>73</v>
      </c>
    </row>
    <row r="1430" spans="4:4" ht="17.649999999999999" x14ac:dyDescent="0.5">
      <c r="D1430" s="3" t="s">
        <v>101</v>
      </c>
    </row>
    <row r="1431" spans="4:4" ht="17.649999999999999" x14ac:dyDescent="0.5">
      <c r="D1431" s="3" t="s">
        <v>52</v>
      </c>
    </row>
    <row r="1432" spans="4:4" ht="17.649999999999999" x14ac:dyDescent="0.5">
      <c r="D1432" s="3" t="s">
        <v>41</v>
      </c>
    </row>
    <row r="1433" spans="4:4" ht="17.649999999999999" x14ac:dyDescent="0.5">
      <c r="D1433" s="3" t="s">
        <v>87</v>
      </c>
    </row>
    <row r="1434" spans="4:4" ht="17.649999999999999" x14ac:dyDescent="0.5">
      <c r="D1434" s="3" t="s">
        <v>73</v>
      </c>
    </row>
    <row r="1435" spans="4:4" ht="17.649999999999999" x14ac:dyDescent="0.5">
      <c r="D1435" s="3" t="s">
        <v>85</v>
      </c>
    </row>
    <row r="1436" spans="4:4" ht="17.649999999999999" x14ac:dyDescent="0.5">
      <c r="D1436" s="3" t="s">
        <v>65</v>
      </c>
    </row>
    <row r="1437" spans="4:4" ht="17.649999999999999" x14ac:dyDescent="0.5">
      <c r="D1437" s="3" t="s">
        <v>43</v>
      </c>
    </row>
    <row r="1438" spans="4:4" ht="17.649999999999999" x14ac:dyDescent="0.5">
      <c r="D1438" s="3" t="s">
        <v>96</v>
      </c>
    </row>
    <row r="1439" spans="4:4" ht="17.649999999999999" x14ac:dyDescent="0.5">
      <c r="D1439" s="3" t="s">
        <v>77</v>
      </c>
    </row>
    <row r="1440" spans="4:4" ht="17.649999999999999" x14ac:dyDescent="0.5">
      <c r="D1440" s="3" t="s">
        <v>69</v>
      </c>
    </row>
    <row r="1441" spans="4:4" ht="17.649999999999999" x14ac:dyDescent="0.5">
      <c r="D1441" s="3" t="s">
        <v>83</v>
      </c>
    </row>
    <row r="1442" spans="4:4" ht="17.649999999999999" x14ac:dyDescent="0.5">
      <c r="D1442" s="3" t="s">
        <v>77</v>
      </c>
    </row>
    <row r="1443" spans="4:4" ht="17.649999999999999" x14ac:dyDescent="0.5">
      <c r="D1443" s="3" t="s">
        <v>53</v>
      </c>
    </row>
    <row r="1444" spans="4:4" ht="17.649999999999999" x14ac:dyDescent="0.5">
      <c r="D1444" s="3" t="s">
        <v>132</v>
      </c>
    </row>
    <row r="1445" spans="4:4" ht="17.649999999999999" x14ac:dyDescent="0.5">
      <c r="D1445" s="3" t="s">
        <v>98</v>
      </c>
    </row>
    <row r="1446" spans="4:4" ht="17.649999999999999" x14ac:dyDescent="0.5">
      <c r="D1446" s="3" t="s">
        <v>46</v>
      </c>
    </row>
    <row r="1447" spans="4:4" ht="17.649999999999999" x14ac:dyDescent="0.5">
      <c r="D1447" s="3" t="s">
        <v>120</v>
      </c>
    </row>
    <row r="1448" spans="4:4" ht="17.649999999999999" x14ac:dyDescent="0.5">
      <c r="D1448" s="3" t="s">
        <v>57</v>
      </c>
    </row>
    <row r="1449" spans="4:4" ht="17.649999999999999" x14ac:dyDescent="0.5">
      <c r="D1449" s="3" t="s">
        <v>78</v>
      </c>
    </row>
    <row r="1450" spans="4:4" ht="17.649999999999999" x14ac:dyDescent="0.5">
      <c r="D1450" s="3" t="s">
        <v>43</v>
      </c>
    </row>
    <row r="1451" spans="4:4" ht="17.649999999999999" x14ac:dyDescent="0.5">
      <c r="D1451" s="3" t="s">
        <v>117</v>
      </c>
    </row>
    <row r="1452" spans="4:4" ht="17.649999999999999" x14ac:dyDescent="0.5">
      <c r="D1452" s="3" t="s">
        <v>101</v>
      </c>
    </row>
    <row r="1453" spans="4:4" ht="17.649999999999999" x14ac:dyDescent="0.5">
      <c r="D1453" s="3" t="s">
        <v>68</v>
      </c>
    </row>
    <row r="1454" spans="4:4" ht="17.649999999999999" x14ac:dyDescent="0.5">
      <c r="D1454" s="3" t="s">
        <v>43</v>
      </c>
    </row>
    <row r="1455" spans="4:4" ht="17.649999999999999" x14ac:dyDescent="0.5">
      <c r="D1455" s="3" t="s">
        <v>105</v>
      </c>
    </row>
    <row r="1456" spans="4:4" ht="17.649999999999999" x14ac:dyDescent="0.5">
      <c r="D1456" s="3" t="s">
        <v>53</v>
      </c>
    </row>
    <row r="1457" spans="4:4" ht="17.649999999999999" x14ac:dyDescent="0.5">
      <c r="D1457" s="3" t="s">
        <v>43</v>
      </c>
    </row>
    <row r="1458" spans="4:4" ht="17.649999999999999" x14ac:dyDescent="0.5">
      <c r="D1458" s="3" t="s">
        <v>92</v>
      </c>
    </row>
    <row r="1459" spans="4:4" ht="17.649999999999999" x14ac:dyDescent="0.5">
      <c r="D1459" s="3" t="s">
        <v>59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108</v>
      </c>
    </row>
    <row r="1462" spans="4:4" ht="17.649999999999999" x14ac:dyDescent="0.5">
      <c r="D1462" s="3" t="s">
        <v>123</v>
      </c>
    </row>
    <row r="1463" spans="4:4" ht="17.649999999999999" x14ac:dyDescent="0.5">
      <c r="D1463" s="3" t="s">
        <v>46</v>
      </c>
    </row>
    <row r="1464" spans="4:4" ht="17.649999999999999" x14ac:dyDescent="0.5">
      <c r="D1464" s="3" t="s">
        <v>68</v>
      </c>
    </row>
    <row r="1465" spans="4:4" ht="17.649999999999999" x14ac:dyDescent="0.5">
      <c r="D1465" s="3" t="s">
        <v>52</v>
      </c>
    </row>
    <row r="1466" spans="4:4" ht="17.649999999999999" x14ac:dyDescent="0.5">
      <c r="D1466" s="3" t="s">
        <v>107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60</v>
      </c>
    </row>
    <row r="1469" spans="4:4" ht="17.649999999999999" x14ac:dyDescent="0.5">
      <c r="D1469" s="3" t="s">
        <v>105</v>
      </c>
    </row>
    <row r="1470" spans="4:4" ht="17.649999999999999" x14ac:dyDescent="0.5">
      <c r="D1470" s="3" t="s">
        <v>54</v>
      </c>
    </row>
    <row r="1471" spans="4:4" ht="17.649999999999999" x14ac:dyDescent="0.5">
      <c r="D1471" s="3" t="s">
        <v>94</v>
      </c>
    </row>
    <row r="1472" spans="4:4" ht="17.649999999999999" x14ac:dyDescent="0.5">
      <c r="D1472" s="3" t="s">
        <v>75</v>
      </c>
    </row>
    <row r="1473" spans="4:4" ht="17.649999999999999" x14ac:dyDescent="0.5">
      <c r="D1473" s="3" t="s">
        <v>90</v>
      </c>
    </row>
    <row r="1474" spans="4:4" ht="17.649999999999999" x14ac:dyDescent="0.5">
      <c r="D1474" s="3" t="s">
        <v>112</v>
      </c>
    </row>
    <row r="1475" spans="4:4" ht="17.649999999999999" x14ac:dyDescent="0.5">
      <c r="D1475" s="3" t="s">
        <v>105</v>
      </c>
    </row>
    <row r="1476" spans="4:4" ht="17.649999999999999" x14ac:dyDescent="0.5">
      <c r="D1476" s="3" t="s">
        <v>77</v>
      </c>
    </row>
    <row r="1477" spans="4:4" ht="17.649999999999999" x14ac:dyDescent="0.5">
      <c r="D1477" s="3" t="s">
        <v>94</v>
      </c>
    </row>
    <row r="1478" spans="4:4" ht="17.649999999999999" x14ac:dyDescent="0.5">
      <c r="D1478" s="3" t="s">
        <v>50</v>
      </c>
    </row>
    <row r="1479" spans="4:4" ht="17.649999999999999" x14ac:dyDescent="0.5">
      <c r="D1479" s="3" t="s">
        <v>45</v>
      </c>
    </row>
    <row r="1480" spans="4:4" ht="17.649999999999999" x14ac:dyDescent="0.5">
      <c r="D1480" s="3" t="s">
        <v>112</v>
      </c>
    </row>
    <row r="1481" spans="4:4" ht="17.649999999999999" x14ac:dyDescent="0.5">
      <c r="D1481" s="3" t="s">
        <v>70</v>
      </c>
    </row>
    <row r="1482" spans="4:4" ht="17.649999999999999" x14ac:dyDescent="0.5">
      <c r="D1482" s="3" t="s">
        <v>61</v>
      </c>
    </row>
    <row r="1483" spans="4:4" ht="17.649999999999999" x14ac:dyDescent="0.5">
      <c r="D1483" s="3" t="s">
        <v>131</v>
      </c>
    </row>
    <row r="1484" spans="4:4" ht="17.649999999999999" x14ac:dyDescent="0.5">
      <c r="D1484" s="3" t="s">
        <v>105</v>
      </c>
    </row>
    <row r="1485" spans="4:4" ht="17.649999999999999" x14ac:dyDescent="0.5">
      <c r="D1485" s="3" t="s">
        <v>117</v>
      </c>
    </row>
    <row r="1486" spans="4:4" ht="17.649999999999999" x14ac:dyDescent="0.5">
      <c r="D1486" s="3" t="s">
        <v>120</v>
      </c>
    </row>
    <row r="1487" spans="4:4" ht="17.649999999999999" x14ac:dyDescent="0.5">
      <c r="D1487" s="3" t="s">
        <v>112</v>
      </c>
    </row>
    <row r="1488" spans="4:4" ht="17.649999999999999" x14ac:dyDescent="0.5">
      <c r="D1488" s="3" t="s">
        <v>80</v>
      </c>
    </row>
    <row r="1489" spans="4:4" ht="17.649999999999999" x14ac:dyDescent="0.5">
      <c r="D1489" s="3" t="s">
        <v>61</v>
      </c>
    </row>
    <row r="1490" spans="4:4" ht="17.649999999999999" x14ac:dyDescent="0.5">
      <c r="D1490" s="3" t="s">
        <v>83</v>
      </c>
    </row>
    <row r="1491" spans="4:4" ht="17.649999999999999" x14ac:dyDescent="0.5">
      <c r="D1491" s="3" t="s">
        <v>105</v>
      </c>
    </row>
    <row r="1492" spans="4:4" ht="17.649999999999999" x14ac:dyDescent="0.5">
      <c r="D1492" s="3" t="s">
        <v>94</v>
      </c>
    </row>
    <row r="1493" spans="4:4" ht="17.649999999999999" x14ac:dyDescent="0.5">
      <c r="D1493" s="3" t="s">
        <v>103</v>
      </c>
    </row>
    <row r="1494" spans="4:4" ht="17.649999999999999" x14ac:dyDescent="0.5">
      <c r="D1494" s="3" t="s">
        <v>74</v>
      </c>
    </row>
    <row r="1495" spans="4:4" ht="17.649999999999999" x14ac:dyDescent="0.5">
      <c r="D1495" s="3" t="s">
        <v>94</v>
      </c>
    </row>
    <row r="1496" spans="4:4" ht="17.649999999999999" x14ac:dyDescent="0.5">
      <c r="D1496" s="3" t="s">
        <v>85</v>
      </c>
    </row>
    <row r="1497" spans="4:4" ht="17.649999999999999" x14ac:dyDescent="0.5">
      <c r="D1497" s="3" t="s">
        <v>100</v>
      </c>
    </row>
    <row r="1498" spans="4:4" ht="17.649999999999999" x14ac:dyDescent="0.5">
      <c r="D1498" s="3" t="s">
        <v>96</v>
      </c>
    </row>
    <row r="1499" spans="4:4" ht="17.649999999999999" x14ac:dyDescent="0.5">
      <c r="D1499" s="3" t="s">
        <v>87</v>
      </c>
    </row>
    <row r="1500" spans="4:4" ht="17.649999999999999" x14ac:dyDescent="0.5">
      <c r="D1500" s="3" t="s">
        <v>63</v>
      </c>
    </row>
    <row r="1501" spans="4:4" ht="17.649999999999999" x14ac:dyDescent="0.5">
      <c r="D1501" s="3" t="s">
        <v>99</v>
      </c>
    </row>
    <row r="1502" spans="4:4" ht="17.649999999999999" x14ac:dyDescent="0.5">
      <c r="D1502" s="3" t="s">
        <v>114</v>
      </c>
    </row>
    <row r="1503" spans="4:4" ht="17.649999999999999" x14ac:dyDescent="0.5">
      <c r="D1503" s="3" t="s">
        <v>87</v>
      </c>
    </row>
    <row r="1504" spans="4:4" ht="17.649999999999999" x14ac:dyDescent="0.5">
      <c r="D1504" s="3" t="s">
        <v>44</v>
      </c>
    </row>
    <row r="1505" spans="4:4" ht="17.649999999999999" x14ac:dyDescent="0.5">
      <c r="D1505" s="3" t="s">
        <v>133</v>
      </c>
    </row>
    <row r="1506" spans="4:4" ht="17.649999999999999" x14ac:dyDescent="0.5">
      <c r="D1506" s="3" t="s">
        <v>77</v>
      </c>
    </row>
    <row r="1507" spans="4:4" ht="17.649999999999999" x14ac:dyDescent="0.5">
      <c r="D1507" s="3" t="s">
        <v>53</v>
      </c>
    </row>
    <row r="1508" spans="4:4" ht="17.649999999999999" x14ac:dyDescent="0.5">
      <c r="D1508" s="3" t="s">
        <v>65</v>
      </c>
    </row>
    <row r="1509" spans="4:4" ht="17.649999999999999" x14ac:dyDescent="0.5">
      <c r="D1509" s="3" t="s">
        <v>69</v>
      </c>
    </row>
    <row r="1510" spans="4:4" ht="17.649999999999999" x14ac:dyDescent="0.5">
      <c r="D1510" s="3" t="s">
        <v>90</v>
      </c>
    </row>
    <row r="1511" spans="4:4" ht="17.649999999999999" x14ac:dyDescent="0.5">
      <c r="D1511" s="3" t="s">
        <v>98</v>
      </c>
    </row>
    <row r="1512" spans="4:4" ht="17.649999999999999" x14ac:dyDescent="0.5">
      <c r="D1512" s="3" t="s">
        <v>96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44</v>
      </c>
    </row>
    <row r="1515" spans="4:4" ht="17.649999999999999" x14ac:dyDescent="0.5">
      <c r="D1515" s="3" t="s">
        <v>125</v>
      </c>
    </row>
    <row r="1516" spans="4:4" ht="17.649999999999999" x14ac:dyDescent="0.5">
      <c r="D1516" s="3" t="s">
        <v>87</v>
      </c>
    </row>
    <row r="1517" spans="4:4" ht="17.649999999999999" x14ac:dyDescent="0.5">
      <c r="D1517" s="3" t="s">
        <v>73</v>
      </c>
    </row>
    <row r="1518" spans="4:4" ht="17.649999999999999" x14ac:dyDescent="0.5">
      <c r="D1518" s="3" t="s">
        <v>48</v>
      </c>
    </row>
    <row r="1519" spans="4:4" ht="17.649999999999999" x14ac:dyDescent="0.5">
      <c r="D1519" s="3" t="s">
        <v>69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81</v>
      </c>
    </row>
    <row r="1522" spans="4:4" ht="17.649999999999999" x14ac:dyDescent="0.5">
      <c r="D1522" s="3" t="s">
        <v>62</v>
      </c>
    </row>
    <row r="1523" spans="4:4" ht="17.649999999999999" x14ac:dyDescent="0.5">
      <c r="D1523" s="3" t="s">
        <v>48</v>
      </c>
    </row>
    <row r="1524" spans="4:4" ht="17.649999999999999" x14ac:dyDescent="0.5">
      <c r="D1524" s="3" t="s">
        <v>83</v>
      </c>
    </row>
    <row r="1525" spans="4:4" ht="17.649999999999999" x14ac:dyDescent="0.5">
      <c r="D1525" s="3" t="s">
        <v>94</v>
      </c>
    </row>
    <row r="1526" spans="4:4" ht="17.649999999999999" x14ac:dyDescent="0.5">
      <c r="D1526" s="3" t="s">
        <v>99</v>
      </c>
    </row>
    <row r="1527" spans="4:4" ht="17.649999999999999" x14ac:dyDescent="0.5">
      <c r="D1527" s="3" t="s">
        <v>107</v>
      </c>
    </row>
    <row r="1528" spans="4:4" ht="17.649999999999999" x14ac:dyDescent="0.5">
      <c r="D1528" s="3" t="s">
        <v>47</v>
      </c>
    </row>
    <row r="1529" spans="4:4" ht="17.649999999999999" x14ac:dyDescent="0.5">
      <c r="D1529" s="3" t="s">
        <v>116</v>
      </c>
    </row>
    <row r="1530" spans="4:4" ht="17.649999999999999" x14ac:dyDescent="0.5">
      <c r="D1530" s="3" t="s">
        <v>55</v>
      </c>
    </row>
    <row r="1531" spans="4:4" ht="17.649999999999999" x14ac:dyDescent="0.5">
      <c r="D1531" s="3" t="s">
        <v>103</v>
      </c>
    </row>
    <row r="1532" spans="4:4" ht="17.649999999999999" x14ac:dyDescent="0.5">
      <c r="D1532" s="3" t="s">
        <v>46</v>
      </c>
    </row>
    <row r="1533" spans="4:4" ht="17.649999999999999" x14ac:dyDescent="0.5">
      <c r="D1533" s="3" t="s">
        <v>81</v>
      </c>
    </row>
    <row r="1534" spans="4:4" ht="17.649999999999999" x14ac:dyDescent="0.5">
      <c r="D1534" s="3" t="s">
        <v>131</v>
      </c>
    </row>
    <row r="1535" spans="4:4" ht="17.649999999999999" x14ac:dyDescent="0.5">
      <c r="D1535" s="3" t="s">
        <v>55</v>
      </c>
    </row>
    <row r="1536" spans="4:4" ht="17.649999999999999" x14ac:dyDescent="0.5">
      <c r="D1536" s="3" t="s">
        <v>85</v>
      </c>
    </row>
    <row r="1537" spans="4:4" ht="17.649999999999999" x14ac:dyDescent="0.5">
      <c r="D1537" s="3" t="s">
        <v>101</v>
      </c>
    </row>
    <row r="1538" spans="4:4" ht="17.649999999999999" x14ac:dyDescent="0.5">
      <c r="D1538" s="3" t="s">
        <v>124</v>
      </c>
    </row>
    <row r="1539" spans="4:4" ht="17.649999999999999" x14ac:dyDescent="0.5">
      <c r="D1539" s="3" t="s">
        <v>90</v>
      </c>
    </row>
    <row r="1540" spans="4:4" ht="17.649999999999999" x14ac:dyDescent="0.5">
      <c r="D1540" s="3" t="s">
        <v>44</v>
      </c>
    </row>
    <row r="1541" spans="4:4" ht="17.649999999999999" x14ac:dyDescent="0.5">
      <c r="D1541" s="3" t="s">
        <v>59</v>
      </c>
    </row>
    <row r="1542" spans="4:4" ht="17.649999999999999" x14ac:dyDescent="0.5">
      <c r="D1542" s="3" t="s">
        <v>112</v>
      </c>
    </row>
    <row r="1543" spans="4:4" ht="17.649999999999999" x14ac:dyDescent="0.5">
      <c r="D1543" s="3" t="s">
        <v>52</v>
      </c>
    </row>
    <row r="1544" spans="4:4" ht="17.649999999999999" x14ac:dyDescent="0.5">
      <c r="D1544" s="3" t="s">
        <v>133</v>
      </c>
    </row>
    <row r="1545" spans="4:4" ht="17.649999999999999" x14ac:dyDescent="0.5">
      <c r="D1545" s="3" t="s">
        <v>103</v>
      </c>
    </row>
    <row r="1546" spans="4:4" ht="17.649999999999999" x14ac:dyDescent="0.5">
      <c r="D1546" s="3" t="s">
        <v>121</v>
      </c>
    </row>
    <row r="1547" spans="4:4" ht="17.649999999999999" x14ac:dyDescent="0.5">
      <c r="D1547" s="3" t="s">
        <v>48</v>
      </c>
    </row>
    <row r="1548" spans="4:4" ht="17.649999999999999" x14ac:dyDescent="0.5">
      <c r="D1548" s="3" t="s">
        <v>128</v>
      </c>
    </row>
    <row r="1549" spans="4:4" ht="17.649999999999999" x14ac:dyDescent="0.5">
      <c r="D1549" s="3" t="s">
        <v>77</v>
      </c>
    </row>
    <row r="1550" spans="4:4" ht="17.649999999999999" x14ac:dyDescent="0.5">
      <c r="D1550" s="3" t="s">
        <v>53</v>
      </c>
    </row>
    <row r="1551" spans="4:4" ht="17.649999999999999" x14ac:dyDescent="0.5">
      <c r="D1551" s="3" t="s">
        <v>61</v>
      </c>
    </row>
    <row r="1552" spans="4:4" ht="17.649999999999999" x14ac:dyDescent="0.5">
      <c r="D1552" s="3" t="s">
        <v>98</v>
      </c>
    </row>
    <row r="1553" spans="4:4" ht="17.649999999999999" x14ac:dyDescent="0.5">
      <c r="D1553" s="3" t="s">
        <v>103</v>
      </c>
    </row>
    <row r="1554" spans="4:4" ht="17.649999999999999" x14ac:dyDescent="0.5">
      <c r="D1554" s="3" t="s">
        <v>79</v>
      </c>
    </row>
    <row r="1555" spans="4:4" ht="17.649999999999999" x14ac:dyDescent="0.5">
      <c r="D1555" s="3" t="s">
        <v>90</v>
      </c>
    </row>
    <row r="1556" spans="4:4" ht="17.649999999999999" x14ac:dyDescent="0.5">
      <c r="D1556" s="3" t="s">
        <v>64</v>
      </c>
    </row>
    <row r="1557" spans="4:4" ht="17.649999999999999" x14ac:dyDescent="0.5">
      <c r="D1557" s="3" t="s">
        <v>57</v>
      </c>
    </row>
    <row r="1558" spans="4:4" ht="17.649999999999999" x14ac:dyDescent="0.5">
      <c r="D1558" s="3" t="s">
        <v>76</v>
      </c>
    </row>
    <row r="1559" spans="4:4" ht="17.649999999999999" x14ac:dyDescent="0.5">
      <c r="D1559" s="3" t="s">
        <v>52</v>
      </c>
    </row>
    <row r="1560" spans="4:4" ht="17.649999999999999" x14ac:dyDescent="0.5">
      <c r="D1560" s="3" t="s">
        <v>63</v>
      </c>
    </row>
    <row r="1561" spans="4:4" ht="17.649999999999999" x14ac:dyDescent="0.5">
      <c r="D1561" s="3" t="s">
        <v>100</v>
      </c>
    </row>
    <row r="1562" spans="4:4" ht="17.649999999999999" x14ac:dyDescent="0.5">
      <c r="D1562" s="3" t="s">
        <v>67</v>
      </c>
    </row>
    <row r="1563" spans="4:4" ht="17.649999999999999" x14ac:dyDescent="0.5">
      <c r="D1563" s="3" t="s">
        <v>43</v>
      </c>
    </row>
    <row r="1564" spans="4:4" ht="17.649999999999999" x14ac:dyDescent="0.5">
      <c r="D1564" s="3" t="s">
        <v>68</v>
      </c>
    </row>
    <row r="1565" spans="4:4" ht="17.649999999999999" x14ac:dyDescent="0.5">
      <c r="D1565" s="3" t="s">
        <v>98</v>
      </c>
    </row>
    <row r="1566" spans="4:4" ht="17.649999999999999" x14ac:dyDescent="0.5">
      <c r="D1566" s="3" t="s">
        <v>47</v>
      </c>
    </row>
    <row r="1567" spans="4:4" ht="17.649999999999999" x14ac:dyDescent="0.5">
      <c r="D1567" s="3" t="s">
        <v>76</v>
      </c>
    </row>
    <row r="1568" spans="4:4" ht="17.649999999999999" x14ac:dyDescent="0.5">
      <c r="D1568" s="3" t="s">
        <v>49</v>
      </c>
    </row>
    <row r="1569" spans="4:4" ht="17.649999999999999" x14ac:dyDescent="0.5">
      <c r="D1569" s="3" t="s">
        <v>73</v>
      </c>
    </row>
    <row r="1570" spans="4:4" ht="17.649999999999999" x14ac:dyDescent="0.5">
      <c r="D1570" s="3" t="s">
        <v>84</v>
      </c>
    </row>
    <row r="1571" spans="4:4" ht="17.649999999999999" x14ac:dyDescent="0.5">
      <c r="D1571" s="3" t="s">
        <v>117</v>
      </c>
    </row>
    <row r="1572" spans="4:4" ht="17.649999999999999" x14ac:dyDescent="0.5">
      <c r="D1572" s="3" t="s">
        <v>87</v>
      </c>
    </row>
    <row r="1573" spans="4:4" ht="17.649999999999999" x14ac:dyDescent="0.5">
      <c r="D1573" s="3" t="s">
        <v>69</v>
      </c>
    </row>
    <row r="1574" spans="4:4" ht="17.649999999999999" x14ac:dyDescent="0.5">
      <c r="D1574" s="3" t="s">
        <v>86</v>
      </c>
    </row>
    <row r="1575" spans="4:4" ht="17.649999999999999" x14ac:dyDescent="0.5">
      <c r="D1575" s="3" t="s">
        <v>52</v>
      </c>
    </row>
    <row r="1576" spans="4:4" ht="17.649999999999999" x14ac:dyDescent="0.5">
      <c r="D1576" s="3" t="s">
        <v>101</v>
      </c>
    </row>
    <row r="1577" spans="4:4" ht="17.649999999999999" x14ac:dyDescent="0.5">
      <c r="D1577" s="3" t="s">
        <v>91</v>
      </c>
    </row>
    <row r="1578" spans="4:4" ht="17.649999999999999" x14ac:dyDescent="0.5">
      <c r="D1578" s="3" t="s">
        <v>101</v>
      </c>
    </row>
    <row r="1579" spans="4:4" ht="17.649999999999999" x14ac:dyDescent="0.5">
      <c r="D1579" s="3" t="s">
        <v>60</v>
      </c>
    </row>
    <row r="1580" spans="4:4" ht="17.649999999999999" x14ac:dyDescent="0.5">
      <c r="D1580" s="3" t="s">
        <v>128</v>
      </c>
    </row>
    <row r="1581" spans="4:4" ht="17.649999999999999" x14ac:dyDescent="0.5">
      <c r="D1581" s="3" t="s">
        <v>131</v>
      </c>
    </row>
    <row r="1582" spans="4:4" ht="17.649999999999999" x14ac:dyDescent="0.5">
      <c r="D1582" s="3" t="s">
        <v>68</v>
      </c>
    </row>
    <row r="1583" spans="4:4" ht="17.649999999999999" x14ac:dyDescent="0.5">
      <c r="D1583" s="3" t="s">
        <v>77</v>
      </c>
    </row>
    <row r="1584" spans="4:4" ht="17.649999999999999" x14ac:dyDescent="0.5">
      <c r="D1584" s="3" t="s">
        <v>59</v>
      </c>
    </row>
    <row r="1585" spans="4:4" ht="17.649999999999999" x14ac:dyDescent="0.5">
      <c r="D1585" s="3" t="s">
        <v>55</v>
      </c>
    </row>
    <row r="1586" spans="4:4" ht="17.649999999999999" x14ac:dyDescent="0.5">
      <c r="D1586" s="3" t="s">
        <v>117</v>
      </c>
    </row>
    <row r="1587" spans="4:4" ht="17.649999999999999" x14ac:dyDescent="0.5">
      <c r="D1587" s="3" t="s">
        <v>74</v>
      </c>
    </row>
    <row r="1588" spans="4:4" ht="17.649999999999999" x14ac:dyDescent="0.5">
      <c r="D1588" s="3" t="s">
        <v>85</v>
      </c>
    </row>
    <row r="1589" spans="4:4" ht="17.649999999999999" x14ac:dyDescent="0.5">
      <c r="D1589" s="3" t="s">
        <v>115</v>
      </c>
    </row>
    <row r="1590" spans="4:4" ht="17.649999999999999" x14ac:dyDescent="0.5">
      <c r="D1590" s="3" t="s">
        <v>69</v>
      </c>
    </row>
    <row r="1591" spans="4:4" ht="17.649999999999999" x14ac:dyDescent="0.5">
      <c r="D1591" s="3" t="s">
        <v>122</v>
      </c>
    </row>
    <row r="1592" spans="4:4" ht="17.649999999999999" x14ac:dyDescent="0.5">
      <c r="D1592" s="3" t="s">
        <v>50</v>
      </c>
    </row>
    <row r="1593" spans="4:4" ht="17.649999999999999" x14ac:dyDescent="0.5">
      <c r="D1593" s="3" t="s">
        <v>107</v>
      </c>
    </row>
    <row r="1594" spans="4:4" ht="17.649999999999999" x14ac:dyDescent="0.5">
      <c r="D1594" s="3" t="s">
        <v>61</v>
      </c>
    </row>
    <row r="1595" spans="4:4" ht="17.649999999999999" x14ac:dyDescent="0.5">
      <c r="D1595" s="3" t="s">
        <v>103</v>
      </c>
    </row>
    <row r="1596" spans="4:4" ht="17.649999999999999" x14ac:dyDescent="0.5">
      <c r="D1596" s="3" t="s">
        <v>52</v>
      </c>
    </row>
    <row r="1597" spans="4:4" ht="17.649999999999999" x14ac:dyDescent="0.5">
      <c r="D1597" s="3" t="s">
        <v>101</v>
      </c>
    </row>
    <row r="1598" spans="4:4" ht="17.649999999999999" x14ac:dyDescent="0.5">
      <c r="D1598" s="3" t="s">
        <v>96</v>
      </c>
    </row>
    <row r="1599" spans="4:4" ht="17.649999999999999" x14ac:dyDescent="0.5">
      <c r="D1599" s="3" t="s">
        <v>77</v>
      </c>
    </row>
    <row r="1600" spans="4:4" ht="17.649999999999999" x14ac:dyDescent="0.5">
      <c r="D1600" s="3" t="s">
        <v>87</v>
      </c>
    </row>
    <row r="1601" spans="4:4" ht="17.649999999999999" x14ac:dyDescent="0.5">
      <c r="D1601" s="3" t="s">
        <v>68</v>
      </c>
    </row>
    <row r="1602" spans="4:4" ht="17.649999999999999" x14ac:dyDescent="0.5">
      <c r="D1602" s="3" t="s">
        <v>63</v>
      </c>
    </row>
    <row r="1603" spans="4:4" ht="17.649999999999999" x14ac:dyDescent="0.5">
      <c r="D1603" s="3" t="s">
        <v>62</v>
      </c>
    </row>
    <row r="1604" spans="4:4" ht="17.649999999999999" x14ac:dyDescent="0.5">
      <c r="D1604" s="3" t="s">
        <v>74</v>
      </c>
    </row>
    <row r="1605" spans="4:4" ht="17.649999999999999" x14ac:dyDescent="0.5">
      <c r="D1605" s="3" t="s">
        <v>134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65</v>
      </c>
    </row>
    <row r="1608" spans="4:4" ht="17.649999999999999" x14ac:dyDescent="0.5">
      <c r="D1608" s="3" t="s">
        <v>49</v>
      </c>
    </row>
    <row r="1609" spans="4:4" ht="17.649999999999999" x14ac:dyDescent="0.5">
      <c r="D1609" s="3" t="s">
        <v>116</v>
      </c>
    </row>
    <row r="1610" spans="4:4" ht="17.649999999999999" x14ac:dyDescent="0.5">
      <c r="D1610" s="3" t="s">
        <v>92</v>
      </c>
    </row>
    <row r="1611" spans="4:4" ht="17.649999999999999" x14ac:dyDescent="0.5">
      <c r="D1611" s="3" t="s">
        <v>77</v>
      </c>
    </row>
    <row r="1612" spans="4:4" ht="17.649999999999999" x14ac:dyDescent="0.5">
      <c r="D1612" s="3" t="s">
        <v>68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52</v>
      </c>
    </row>
    <row r="1615" spans="4:4" ht="17.649999999999999" x14ac:dyDescent="0.5">
      <c r="D1615" s="3" t="s">
        <v>59</v>
      </c>
    </row>
    <row r="1616" spans="4:4" ht="17.649999999999999" x14ac:dyDescent="0.5">
      <c r="D1616" s="3" t="s">
        <v>67</v>
      </c>
    </row>
    <row r="1617" spans="4:4" ht="17.649999999999999" x14ac:dyDescent="0.5">
      <c r="D1617" s="3" t="s">
        <v>81</v>
      </c>
    </row>
    <row r="1618" spans="4:4" ht="17.649999999999999" x14ac:dyDescent="0.5">
      <c r="D1618" s="3" t="s">
        <v>83</v>
      </c>
    </row>
    <row r="1619" spans="4:4" ht="17.649999999999999" x14ac:dyDescent="0.5">
      <c r="D1619" s="3" t="s">
        <v>44</v>
      </c>
    </row>
    <row r="1620" spans="4:4" ht="17.649999999999999" x14ac:dyDescent="0.5">
      <c r="D1620" s="3" t="s">
        <v>47</v>
      </c>
    </row>
    <row r="1621" spans="4:4" ht="17.649999999999999" x14ac:dyDescent="0.5">
      <c r="D1621" s="3" t="s">
        <v>109</v>
      </c>
    </row>
    <row r="1622" spans="4:4" ht="17.649999999999999" x14ac:dyDescent="0.5">
      <c r="D1622" s="3" t="s">
        <v>112</v>
      </c>
    </row>
    <row r="1623" spans="4:4" ht="17.649999999999999" x14ac:dyDescent="0.5">
      <c r="D1623" s="3" t="s">
        <v>71</v>
      </c>
    </row>
    <row r="1624" spans="4:4" ht="17.649999999999999" x14ac:dyDescent="0.5">
      <c r="D1624" s="3" t="s">
        <v>112</v>
      </c>
    </row>
    <row r="1625" spans="4:4" ht="17.649999999999999" x14ac:dyDescent="0.5">
      <c r="D1625" s="3" t="s">
        <v>87</v>
      </c>
    </row>
    <row r="1626" spans="4:4" ht="17.649999999999999" x14ac:dyDescent="0.5">
      <c r="D1626" s="3" t="s">
        <v>61</v>
      </c>
    </row>
    <row r="1627" spans="4:4" ht="17.649999999999999" x14ac:dyDescent="0.5">
      <c r="D1627" s="3" t="s">
        <v>84</v>
      </c>
    </row>
    <row r="1628" spans="4:4" ht="17.649999999999999" x14ac:dyDescent="0.5">
      <c r="D1628" s="3" t="s">
        <v>70</v>
      </c>
    </row>
    <row r="1629" spans="4:4" ht="17.649999999999999" x14ac:dyDescent="0.5">
      <c r="D1629" s="3" t="s">
        <v>85</v>
      </c>
    </row>
    <row r="1630" spans="4:4" ht="17.649999999999999" x14ac:dyDescent="0.5">
      <c r="D1630" s="3" t="s">
        <v>76</v>
      </c>
    </row>
    <row r="1631" spans="4:4" ht="17.649999999999999" x14ac:dyDescent="0.5">
      <c r="D1631" s="3" t="s">
        <v>59</v>
      </c>
    </row>
    <row r="1632" spans="4:4" ht="17.649999999999999" x14ac:dyDescent="0.5">
      <c r="D1632" s="3" t="s">
        <v>110</v>
      </c>
    </row>
    <row r="1633" spans="4:4" ht="17.649999999999999" x14ac:dyDescent="0.5">
      <c r="D1633" s="3" t="s">
        <v>115</v>
      </c>
    </row>
    <row r="1634" spans="4:4" ht="17.649999999999999" x14ac:dyDescent="0.5">
      <c r="D1634" s="3" t="s">
        <v>61</v>
      </c>
    </row>
    <row r="1635" spans="4:4" ht="17.649999999999999" x14ac:dyDescent="0.5">
      <c r="D1635" s="3" t="s">
        <v>98</v>
      </c>
    </row>
    <row r="1636" spans="4:4" ht="17.649999999999999" x14ac:dyDescent="0.5">
      <c r="D1636" s="3" t="s">
        <v>115</v>
      </c>
    </row>
    <row r="1637" spans="4:4" ht="17.649999999999999" x14ac:dyDescent="0.5">
      <c r="D1637" s="3" t="s">
        <v>87</v>
      </c>
    </row>
    <row r="1638" spans="4:4" ht="17.649999999999999" x14ac:dyDescent="0.5">
      <c r="D1638" s="3" t="s">
        <v>66</v>
      </c>
    </row>
    <row r="1639" spans="4:4" ht="17.649999999999999" x14ac:dyDescent="0.5">
      <c r="D1639" s="3" t="s">
        <v>44</v>
      </c>
    </row>
    <row r="1640" spans="4:4" ht="17.649999999999999" x14ac:dyDescent="0.5">
      <c r="D1640" s="3" t="s">
        <v>90</v>
      </c>
    </row>
    <row r="1641" spans="4:4" ht="17.649999999999999" x14ac:dyDescent="0.5">
      <c r="D1641" s="3" t="s">
        <v>103</v>
      </c>
    </row>
    <row r="1642" spans="4:4" ht="17.649999999999999" x14ac:dyDescent="0.5">
      <c r="D1642" s="3" t="s">
        <v>117</v>
      </c>
    </row>
    <row r="1643" spans="4:4" ht="17.649999999999999" x14ac:dyDescent="0.5">
      <c r="D1643" s="3" t="s">
        <v>105</v>
      </c>
    </row>
    <row r="1644" spans="4:4" ht="17.649999999999999" x14ac:dyDescent="0.5">
      <c r="D1644" s="3" t="s">
        <v>75</v>
      </c>
    </row>
    <row r="1645" spans="4:4" ht="17.649999999999999" x14ac:dyDescent="0.5">
      <c r="D1645" s="3" t="s">
        <v>96</v>
      </c>
    </row>
    <row r="1646" spans="4:4" ht="17.649999999999999" x14ac:dyDescent="0.5">
      <c r="D1646" s="3" t="s">
        <v>57</v>
      </c>
    </row>
    <row r="1647" spans="4:4" ht="17.649999999999999" x14ac:dyDescent="0.5">
      <c r="D1647" s="3" t="s">
        <v>53</v>
      </c>
    </row>
    <row r="1648" spans="4:4" ht="17.649999999999999" x14ac:dyDescent="0.5">
      <c r="D1648" s="3" t="s">
        <v>49</v>
      </c>
    </row>
    <row r="1649" spans="4:4" ht="17.649999999999999" x14ac:dyDescent="0.5">
      <c r="D1649" s="3" t="s">
        <v>130</v>
      </c>
    </row>
    <row r="1650" spans="4:4" ht="17.649999999999999" x14ac:dyDescent="0.5">
      <c r="D1650" s="3" t="s">
        <v>44</v>
      </c>
    </row>
    <row r="1651" spans="4:4" ht="17.649999999999999" x14ac:dyDescent="0.5">
      <c r="D1651" s="3" t="s">
        <v>85</v>
      </c>
    </row>
    <row r="1652" spans="4:4" ht="17.649999999999999" x14ac:dyDescent="0.5">
      <c r="D1652" s="3" t="s">
        <v>61</v>
      </c>
    </row>
    <row r="1653" spans="4:4" ht="17.649999999999999" x14ac:dyDescent="0.5">
      <c r="D1653" s="3" t="s">
        <v>69</v>
      </c>
    </row>
    <row r="1654" spans="4:4" ht="17.649999999999999" x14ac:dyDescent="0.5">
      <c r="D1654" s="3" t="s">
        <v>49</v>
      </c>
    </row>
    <row r="1655" spans="4:4" ht="17.649999999999999" x14ac:dyDescent="0.5">
      <c r="D1655" s="3" t="s">
        <v>57</v>
      </c>
    </row>
    <row r="1656" spans="4:4" ht="17.649999999999999" x14ac:dyDescent="0.5">
      <c r="D1656" s="3" t="s">
        <v>68</v>
      </c>
    </row>
    <row r="1657" spans="4:4" ht="17.649999999999999" x14ac:dyDescent="0.5">
      <c r="D1657" s="3" t="s">
        <v>86</v>
      </c>
    </row>
    <row r="1658" spans="4:4" ht="17.649999999999999" x14ac:dyDescent="0.5">
      <c r="D1658" s="3" t="s">
        <v>73</v>
      </c>
    </row>
    <row r="1659" spans="4:4" ht="17.649999999999999" x14ac:dyDescent="0.5">
      <c r="D1659" s="3" t="s">
        <v>66</v>
      </c>
    </row>
    <row r="1660" spans="4:4" ht="17.649999999999999" x14ac:dyDescent="0.5">
      <c r="D1660" s="3" t="s">
        <v>92</v>
      </c>
    </row>
    <row r="1661" spans="4:4" ht="17.649999999999999" x14ac:dyDescent="0.5">
      <c r="D1661" s="3" t="s">
        <v>44</v>
      </c>
    </row>
    <row r="1662" spans="4:4" ht="17.649999999999999" x14ac:dyDescent="0.5">
      <c r="D1662" s="3" t="s">
        <v>85</v>
      </c>
    </row>
    <row r="1663" spans="4:4" ht="17.649999999999999" x14ac:dyDescent="0.5">
      <c r="D1663" s="3" t="s">
        <v>64</v>
      </c>
    </row>
    <row r="1664" spans="4:4" ht="17.649999999999999" x14ac:dyDescent="0.5">
      <c r="D1664" s="3" t="s">
        <v>55</v>
      </c>
    </row>
    <row r="1665" spans="4:4" ht="17.649999999999999" x14ac:dyDescent="0.5">
      <c r="D1665" s="3" t="s">
        <v>103</v>
      </c>
    </row>
    <row r="1666" spans="4:4" ht="17.649999999999999" x14ac:dyDescent="0.5">
      <c r="D1666" s="3" t="s">
        <v>117</v>
      </c>
    </row>
    <row r="1667" spans="4:4" ht="17.649999999999999" x14ac:dyDescent="0.5">
      <c r="D1667" s="3" t="s">
        <v>64</v>
      </c>
    </row>
    <row r="1668" spans="4:4" ht="17.649999999999999" x14ac:dyDescent="0.5">
      <c r="D1668" s="3" t="s">
        <v>101</v>
      </c>
    </row>
    <row r="1669" spans="4:4" ht="17.649999999999999" x14ac:dyDescent="0.5">
      <c r="D1669" s="3" t="s">
        <v>75</v>
      </c>
    </row>
    <row r="1670" spans="4:4" ht="17.649999999999999" x14ac:dyDescent="0.5">
      <c r="D1670" s="3" t="s">
        <v>59</v>
      </c>
    </row>
    <row r="1671" spans="4:4" ht="17.649999999999999" x14ac:dyDescent="0.5">
      <c r="D1671" s="3" t="s">
        <v>134</v>
      </c>
    </row>
    <row r="1672" spans="4:4" ht="17.649999999999999" x14ac:dyDescent="0.5">
      <c r="D1672" s="3" t="s">
        <v>46</v>
      </c>
    </row>
    <row r="1673" spans="4:4" ht="17.649999999999999" x14ac:dyDescent="0.5">
      <c r="D1673" s="3" t="s">
        <v>59</v>
      </c>
    </row>
    <row r="1674" spans="4:4" ht="17.649999999999999" x14ac:dyDescent="0.5">
      <c r="D1674" s="3" t="s">
        <v>88</v>
      </c>
    </row>
    <row r="1675" spans="4:4" ht="17.649999999999999" x14ac:dyDescent="0.5">
      <c r="D1675" s="3" t="s">
        <v>66</v>
      </c>
    </row>
    <row r="1676" spans="4:4" ht="17.649999999999999" x14ac:dyDescent="0.5">
      <c r="D1676" s="3" t="s">
        <v>57</v>
      </c>
    </row>
    <row r="1677" spans="4:4" ht="17.649999999999999" x14ac:dyDescent="0.5">
      <c r="D1677" s="3" t="s">
        <v>65</v>
      </c>
    </row>
    <row r="1678" spans="4:4" ht="17.649999999999999" x14ac:dyDescent="0.5">
      <c r="D1678" s="3" t="s">
        <v>84</v>
      </c>
    </row>
    <row r="1679" spans="4:4" ht="17.649999999999999" x14ac:dyDescent="0.5">
      <c r="D1679" s="3" t="s">
        <v>98</v>
      </c>
    </row>
    <row r="1680" spans="4:4" ht="17.649999999999999" x14ac:dyDescent="0.5">
      <c r="D1680" s="3" t="s">
        <v>112</v>
      </c>
    </row>
    <row r="1681" spans="4:4" ht="17.649999999999999" x14ac:dyDescent="0.5">
      <c r="D1681" s="3" t="s">
        <v>122</v>
      </c>
    </row>
    <row r="1682" spans="4:4" ht="17.649999999999999" x14ac:dyDescent="0.5">
      <c r="D1682" s="3" t="s">
        <v>105</v>
      </c>
    </row>
    <row r="1683" spans="4:4" ht="17.649999999999999" x14ac:dyDescent="0.5">
      <c r="D1683" s="3" t="s">
        <v>63</v>
      </c>
    </row>
    <row r="1684" spans="4:4" ht="17.649999999999999" x14ac:dyDescent="0.5">
      <c r="D1684" s="3" t="s">
        <v>132</v>
      </c>
    </row>
    <row r="1685" spans="4:4" ht="17.649999999999999" x14ac:dyDescent="0.5">
      <c r="D1685" s="3" t="s">
        <v>77</v>
      </c>
    </row>
    <row r="1686" spans="4:4" ht="17.649999999999999" x14ac:dyDescent="0.5">
      <c r="D1686" s="3" t="s">
        <v>61</v>
      </c>
    </row>
    <row r="1687" spans="4:4" ht="17.649999999999999" x14ac:dyDescent="0.5">
      <c r="D1687" s="3" t="s">
        <v>89</v>
      </c>
    </row>
    <row r="1688" spans="4:4" ht="17.649999999999999" x14ac:dyDescent="0.5">
      <c r="D1688" s="3" t="s">
        <v>48</v>
      </c>
    </row>
    <row r="1689" spans="4:4" ht="17.649999999999999" x14ac:dyDescent="0.5">
      <c r="D1689" s="3" t="s">
        <v>107</v>
      </c>
    </row>
    <row r="1690" spans="4:4" ht="17.649999999999999" x14ac:dyDescent="0.5">
      <c r="D1690" s="3" t="s">
        <v>90</v>
      </c>
    </row>
    <row r="1691" spans="4:4" ht="17.649999999999999" x14ac:dyDescent="0.5">
      <c r="D1691" s="3" t="s">
        <v>77</v>
      </c>
    </row>
    <row r="1692" spans="4:4" ht="17.649999999999999" x14ac:dyDescent="0.5">
      <c r="D1692" s="3" t="s">
        <v>63</v>
      </c>
    </row>
    <row r="1693" spans="4:4" ht="17.649999999999999" x14ac:dyDescent="0.5">
      <c r="D1693" s="3" t="s">
        <v>95</v>
      </c>
    </row>
    <row r="1694" spans="4:4" ht="17.649999999999999" x14ac:dyDescent="0.5">
      <c r="D1694" s="3" t="s">
        <v>66</v>
      </c>
    </row>
    <row r="1695" spans="4:4" ht="17.649999999999999" x14ac:dyDescent="0.5">
      <c r="D1695" s="3" t="s">
        <v>101</v>
      </c>
    </row>
    <row r="1696" spans="4:4" ht="17.649999999999999" x14ac:dyDescent="0.5">
      <c r="D1696" s="3" t="s">
        <v>55</v>
      </c>
    </row>
    <row r="1697" spans="4:4" ht="17.649999999999999" x14ac:dyDescent="0.5">
      <c r="D1697" s="3" t="s">
        <v>92</v>
      </c>
    </row>
    <row r="1698" spans="4:4" ht="17.649999999999999" x14ac:dyDescent="0.5">
      <c r="D1698" s="3" t="s">
        <v>47</v>
      </c>
    </row>
    <row r="1699" spans="4:4" ht="17.649999999999999" x14ac:dyDescent="0.5">
      <c r="D1699" s="3" t="s">
        <v>52</v>
      </c>
    </row>
    <row r="1700" spans="4:4" ht="17.649999999999999" x14ac:dyDescent="0.5">
      <c r="D1700" s="3" t="s">
        <v>68</v>
      </c>
    </row>
    <row r="1701" spans="4:4" ht="17.649999999999999" x14ac:dyDescent="0.5">
      <c r="D1701" s="3" t="s">
        <v>59</v>
      </c>
    </row>
    <row r="1702" spans="4:4" ht="17.649999999999999" x14ac:dyDescent="0.5">
      <c r="D1702" s="3" t="s">
        <v>135</v>
      </c>
    </row>
    <row r="1703" spans="4:4" ht="17.649999999999999" x14ac:dyDescent="0.5">
      <c r="D1703" s="3" t="s">
        <v>66</v>
      </c>
    </row>
    <row r="1704" spans="4:4" ht="17.649999999999999" x14ac:dyDescent="0.5">
      <c r="D1704" s="3" t="s">
        <v>50</v>
      </c>
    </row>
    <row r="1705" spans="4:4" ht="17.649999999999999" x14ac:dyDescent="0.5">
      <c r="D1705" s="3" t="s">
        <v>103</v>
      </c>
    </row>
    <row r="1706" spans="4:4" ht="17.649999999999999" x14ac:dyDescent="0.5">
      <c r="D1706" s="3" t="s">
        <v>73</v>
      </c>
    </row>
    <row r="1707" spans="4:4" ht="17.649999999999999" x14ac:dyDescent="0.5">
      <c r="D1707" s="3" t="s">
        <v>98</v>
      </c>
    </row>
    <row r="1708" spans="4:4" ht="17.649999999999999" x14ac:dyDescent="0.5">
      <c r="D1708" s="3" t="s">
        <v>118</v>
      </c>
    </row>
    <row r="1709" spans="4:4" ht="17.649999999999999" x14ac:dyDescent="0.5">
      <c r="D1709" s="3" t="s">
        <v>51</v>
      </c>
    </row>
    <row r="1710" spans="4:4" ht="17.649999999999999" x14ac:dyDescent="0.5">
      <c r="D1710" s="3" t="s">
        <v>61</v>
      </c>
    </row>
    <row r="1711" spans="4:4" ht="17.649999999999999" x14ac:dyDescent="0.5">
      <c r="D1711" s="3" t="s">
        <v>112</v>
      </c>
    </row>
    <row r="1712" spans="4:4" ht="17.649999999999999" x14ac:dyDescent="0.5">
      <c r="D1712" s="3" t="s">
        <v>42</v>
      </c>
    </row>
    <row r="1713" spans="4:4" ht="17.649999999999999" x14ac:dyDescent="0.5">
      <c r="D1713" s="3" t="s">
        <v>48</v>
      </c>
    </row>
    <row r="1714" spans="4:4" ht="17.649999999999999" x14ac:dyDescent="0.5">
      <c r="D1714" s="3" t="s">
        <v>54</v>
      </c>
    </row>
    <row r="1715" spans="4:4" ht="17.649999999999999" x14ac:dyDescent="0.5">
      <c r="D1715" s="3" t="s">
        <v>63</v>
      </c>
    </row>
    <row r="1716" spans="4:4" ht="17.649999999999999" x14ac:dyDescent="0.5">
      <c r="D1716" s="3" t="s">
        <v>103</v>
      </c>
    </row>
    <row r="1717" spans="4:4" ht="17.649999999999999" x14ac:dyDescent="0.5">
      <c r="D1717" s="3" t="s">
        <v>112</v>
      </c>
    </row>
    <row r="1718" spans="4:4" ht="17.649999999999999" x14ac:dyDescent="0.5">
      <c r="D1718" s="3" t="s">
        <v>59</v>
      </c>
    </row>
    <row r="1719" spans="4:4" ht="17.649999999999999" x14ac:dyDescent="0.5">
      <c r="D1719" s="3" t="s">
        <v>77</v>
      </c>
    </row>
    <row r="1720" spans="4:4" ht="17.649999999999999" x14ac:dyDescent="0.5">
      <c r="D1720" s="3" t="s">
        <v>86</v>
      </c>
    </row>
    <row r="1721" spans="4:4" ht="17.649999999999999" x14ac:dyDescent="0.5">
      <c r="D1721" s="3" t="s">
        <v>98</v>
      </c>
    </row>
    <row r="1722" spans="4:4" ht="17.649999999999999" x14ac:dyDescent="0.5">
      <c r="D1722" s="3" t="s">
        <v>52</v>
      </c>
    </row>
    <row r="1723" spans="4:4" ht="17.649999999999999" x14ac:dyDescent="0.5">
      <c r="D1723" s="3" t="s">
        <v>61</v>
      </c>
    </row>
    <row r="1724" spans="4:4" ht="17.649999999999999" x14ac:dyDescent="0.5">
      <c r="D1724" s="3" t="s">
        <v>84</v>
      </c>
    </row>
    <row r="1725" spans="4:4" ht="17.649999999999999" x14ac:dyDescent="0.5">
      <c r="D1725" s="3" t="s">
        <v>57</v>
      </c>
    </row>
    <row r="1726" spans="4:4" ht="17.649999999999999" x14ac:dyDescent="0.5">
      <c r="D1726" s="3" t="s">
        <v>104</v>
      </c>
    </row>
    <row r="1727" spans="4:4" ht="17.649999999999999" x14ac:dyDescent="0.5">
      <c r="D1727" s="3" t="s">
        <v>46</v>
      </c>
    </row>
    <row r="1728" spans="4:4" ht="17.649999999999999" x14ac:dyDescent="0.5">
      <c r="D1728" s="3" t="s">
        <v>51</v>
      </c>
    </row>
    <row r="1729" spans="4:4" ht="17.649999999999999" x14ac:dyDescent="0.5">
      <c r="D1729" s="3" t="s">
        <v>92</v>
      </c>
    </row>
    <row r="1730" spans="4:4" ht="17.649999999999999" x14ac:dyDescent="0.5">
      <c r="D1730" s="3" t="s">
        <v>66</v>
      </c>
    </row>
    <row r="1731" spans="4:4" ht="17.649999999999999" x14ac:dyDescent="0.5">
      <c r="D1731" s="3" t="s">
        <v>74</v>
      </c>
    </row>
    <row r="1732" spans="4:4" ht="17.649999999999999" x14ac:dyDescent="0.5">
      <c r="D1732" s="3" t="s">
        <v>67</v>
      </c>
    </row>
    <row r="1733" spans="4:4" ht="17.649999999999999" x14ac:dyDescent="0.5">
      <c r="D1733" s="3" t="s">
        <v>49</v>
      </c>
    </row>
    <row r="1734" spans="4:4" ht="17.649999999999999" x14ac:dyDescent="0.5">
      <c r="D1734" s="3" t="s">
        <v>112</v>
      </c>
    </row>
    <row r="1735" spans="4:4" ht="17.649999999999999" x14ac:dyDescent="0.5">
      <c r="D1735" s="3" t="s">
        <v>126</v>
      </c>
    </row>
    <row r="1736" spans="4:4" ht="17.649999999999999" x14ac:dyDescent="0.5">
      <c r="D1736" s="3" t="s">
        <v>47</v>
      </c>
    </row>
    <row r="1737" spans="4:4" ht="17.649999999999999" x14ac:dyDescent="0.5">
      <c r="D1737" s="3" t="s">
        <v>72</v>
      </c>
    </row>
    <row r="1738" spans="4:4" ht="17.649999999999999" x14ac:dyDescent="0.5">
      <c r="D1738" s="3" t="s">
        <v>90</v>
      </c>
    </row>
    <row r="1739" spans="4:4" ht="17.649999999999999" x14ac:dyDescent="0.5">
      <c r="D1739" s="3" t="s">
        <v>43</v>
      </c>
    </row>
    <row r="1740" spans="4:4" ht="17.649999999999999" x14ac:dyDescent="0.5">
      <c r="D1740" s="3" t="s">
        <v>73</v>
      </c>
    </row>
    <row r="1741" spans="4:4" ht="17.649999999999999" x14ac:dyDescent="0.5">
      <c r="D1741" s="3" t="s">
        <v>54</v>
      </c>
    </row>
    <row r="1742" spans="4:4" ht="17.649999999999999" x14ac:dyDescent="0.5">
      <c r="D1742" s="3" t="s">
        <v>117</v>
      </c>
    </row>
    <row r="1743" spans="4:4" ht="17.649999999999999" x14ac:dyDescent="0.5">
      <c r="D1743" s="3" t="s">
        <v>52</v>
      </c>
    </row>
    <row r="1744" spans="4:4" ht="17.649999999999999" x14ac:dyDescent="0.5">
      <c r="D1744" s="3" t="s">
        <v>74</v>
      </c>
    </row>
    <row r="1745" spans="4:4" ht="17.649999999999999" x14ac:dyDescent="0.5">
      <c r="D1745" s="3" t="s">
        <v>76</v>
      </c>
    </row>
    <row r="1746" spans="4:4" ht="17.649999999999999" x14ac:dyDescent="0.5">
      <c r="D1746" s="3" t="s">
        <v>44</v>
      </c>
    </row>
    <row r="1747" spans="4:4" ht="17.649999999999999" x14ac:dyDescent="0.5">
      <c r="D1747" s="3" t="s">
        <v>107</v>
      </c>
    </row>
    <row r="1748" spans="4:4" ht="17.649999999999999" x14ac:dyDescent="0.5">
      <c r="D1748" s="3" t="s">
        <v>51</v>
      </c>
    </row>
    <row r="1749" spans="4:4" ht="17.649999999999999" x14ac:dyDescent="0.5">
      <c r="D1749" s="3" t="s">
        <v>97</v>
      </c>
    </row>
    <row r="1750" spans="4:4" ht="17.649999999999999" x14ac:dyDescent="0.5">
      <c r="D1750" s="3" t="s">
        <v>57</v>
      </c>
    </row>
    <row r="1751" spans="4:4" ht="17.649999999999999" x14ac:dyDescent="0.5">
      <c r="D1751" s="3" t="s">
        <v>78</v>
      </c>
    </row>
    <row r="1752" spans="4:4" ht="17.649999999999999" x14ac:dyDescent="0.5">
      <c r="D1752" s="3" t="s">
        <v>117</v>
      </c>
    </row>
    <row r="1753" spans="4:4" ht="17.649999999999999" x14ac:dyDescent="0.5">
      <c r="D1753" s="3" t="s">
        <v>129</v>
      </c>
    </row>
    <row r="1754" spans="4:4" ht="17.649999999999999" x14ac:dyDescent="0.5">
      <c r="D1754" s="3" t="s">
        <v>59</v>
      </c>
    </row>
    <row r="1755" spans="4:4" ht="17.649999999999999" x14ac:dyDescent="0.5">
      <c r="D1755" s="3" t="s">
        <v>102</v>
      </c>
    </row>
    <row r="1756" spans="4:4" ht="17.649999999999999" x14ac:dyDescent="0.5">
      <c r="D1756" s="3" t="s">
        <v>66</v>
      </c>
    </row>
    <row r="1757" spans="4:4" ht="17.649999999999999" x14ac:dyDescent="0.5">
      <c r="D1757" s="3" t="s">
        <v>50</v>
      </c>
    </row>
    <row r="1758" spans="4:4" ht="17.649999999999999" x14ac:dyDescent="0.5">
      <c r="D1758" s="3" t="s">
        <v>105</v>
      </c>
    </row>
    <row r="1759" spans="4:4" ht="17.649999999999999" x14ac:dyDescent="0.5">
      <c r="D1759" s="3" t="s">
        <v>67</v>
      </c>
    </row>
    <row r="1760" spans="4:4" ht="17.649999999999999" x14ac:dyDescent="0.5">
      <c r="D1760" s="3" t="s">
        <v>77</v>
      </c>
    </row>
    <row r="1761" spans="4:4" ht="17.649999999999999" x14ac:dyDescent="0.5">
      <c r="D1761" s="3" t="s">
        <v>72</v>
      </c>
    </row>
    <row r="1762" spans="4:4" ht="17.649999999999999" x14ac:dyDescent="0.5">
      <c r="D1762" s="3" t="s">
        <v>87</v>
      </c>
    </row>
    <row r="1763" spans="4:4" ht="17.649999999999999" x14ac:dyDescent="0.5">
      <c r="D1763" s="3" t="s">
        <v>78</v>
      </c>
    </row>
    <row r="1764" spans="4:4" ht="17.649999999999999" x14ac:dyDescent="0.5">
      <c r="D1764" s="3" t="s">
        <v>44</v>
      </c>
    </row>
    <row r="1765" spans="4:4" ht="17.649999999999999" x14ac:dyDescent="0.5">
      <c r="D1765" s="3" t="s">
        <v>66</v>
      </c>
    </row>
    <row r="1766" spans="4:4" ht="17.649999999999999" x14ac:dyDescent="0.5">
      <c r="D1766" s="3" t="s">
        <v>105</v>
      </c>
    </row>
    <row r="1767" spans="4:4" ht="17.649999999999999" x14ac:dyDescent="0.5">
      <c r="D1767" s="3" t="s">
        <v>48</v>
      </c>
    </row>
    <row r="1768" spans="4:4" ht="17.649999999999999" x14ac:dyDescent="0.5">
      <c r="D1768" s="3" t="s">
        <v>56</v>
      </c>
    </row>
    <row r="1769" spans="4:4" ht="17.649999999999999" x14ac:dyDescent="0.5">
      <c r="D1769" s="3" t="s">
        <v>84</v>
      </c>
    </row>
    <row r="1770" spans="4:4" ht="17.649999999999999" x14ac:dyDescent="0.5">
      <c r="D1770" s="3" t="s">
        <v>101</v>
      </c>
    </row>
    <row r="1771" spans="4:4" ht="17.649999999999999" x14ac:dyDescent="0.5">
      <c r="D1771" s="3" t="s">
        <v>122</v>
      </c>
    </row>
    <row r="1772" spans="4:4" ht="17.649999999999999" x14ac:dyDescent="0.5">
      <c r="D1772" s="3" t="s">
        <v>49</v>
      </c>
    </row>
    <row r="1773" spans="4:4" ht="17.649999999999999" x14ac:dyDescent="0.5">
      <c r="D1773" s="3" t="s">
        <v>113</v>
      </c>
    </row>
    <row r="1774" spans="4:4" ht="17.649999999999999" x14ac:dyDescent="0.5">
      <c r="D1774" s="3" t="s">
        <v>124</v>
      </c>
    </row>
    <row r="1775" spans="4:4" ht="17.649999999999999" x14ac:dyDescent="0.5">
      <c r="D1775" s="3" t="s">
        <v>74</v>
      </c>
    </row>
    <row r="1776" spans="4:4" ht="17.649999999999999" x14ac:dyDescent="0.5">
      <c r="D1776" s="3" t="s">
        <v>41</v>
      </c>
    </row>
    <row r="1777" spans="4:4" ht="17.649999999999999" x14ac:dyDescent="0.5">
      <c r="D1777" s="3" t="s">
        <v>67</v>
      </c>
    </row>
    <row r="1778" spans="4:4" ht="17.649999999999999" x14ac:dyDescent="0.5">
      <c r="D1778" s="3" t="s">
        <v>82</v>
      </c>
    </row>
    <row r="1779" spans="4:4" ht="17.649999999999999" x14ac:dyDescent="0.5">
      <c r="D1779" s="3" t="s">
        <v>71</v>
      </c>
    </row>
    <row r="1780" spans="4:4" ht="17.649999999999999" x14ac:dyDescent="0.5">
      <c r="D1780" s="3" t="s">
        <v>73</v>
      </c>
    </row>
    <row r="1781" spans="4:4" ht="17.649999999999999" x14ac:dyDescent="0.5">
      <c r="D1781" s="3" t="s">
        <v>65</v>
      </c>
    </row>
    <row r="1782" spans="4:4" ht="17.649999999999999" x14ac:dyDescent="0.5">
      <c r="D1782" s="3" t="s">
        <v>66</v>
      </c>
    </row>
    <row r="1783" spans="4:4" ht="17.649999999999999" x14ac:dyDescent="0.5">
      <c r="D1783" s="3" t="s">
        <v>69</v>
      </c>
    </row>
    <row r="1784" spans="4:4" ht="17.649999999999999" x14ac:dyDescent="0.5">
      <c r="D1784" s="3" t="s">
        <v>96</v>
      </c>
    </row>
    <row r="1785" spans="4:4" ht="17.649999999999999" x14ac:dyDescent="0.5">
      <c r="D1785" s="3" t="s">
        <v>91</v>
      </c>
    </row>
    <row r="1786" spans="4:4" ht="17.649999999999999" x14ac:dyDescent="0.5">
      <c r="D1786" s="3" t="s">
        <v>91</v>
      </c>
    </row>
    <row r="1787" spans="4:4" ht="17.649999999999999" x14ac:dyDescent="0.5">
      <c r="D1787" s="3" t="s">
        <v>57</v>
      </c>
    </row>
    <row r="1788" spans="4:4" ht="17.649999999999999" x14ac:dyDescent="0.5">
      <c r="D1788" s="3" t="s">
        <v>114</v>
      </c>
    </row>
    <row r="1789" spans="4:4" ht="17.649999999999999" x14ac:dyDescent="0.5">
      <c r="D1789" s="3" t="s">
        <v>46</v>
      </c>
    </row>
    <row r="1790" spans="4:4" ht="17.649999999999999" x14ac:dyDescent="0.5">
      <c r="D1790" s="3" t="s">
        <v>112</v>
      </c>
    </row>
    <row r="1791" spans="4:4" ht="17.649999999999999" x14ac:dyDescent="0.5">
      <c r="D1791" s="3" t="s">
        <v>47</v>
      </c>
    </row>
    <row r="1792" spans="4:4" ht="17.649999999999999" x14ac:dyDescent="0.5">
      <c r="D1792" s="3" t="s">
        <v>68</v>
      </c>
    </row>
    <row r="1793" spans="4:4" ht="17.649999999999999" x14ac:dyDescent="0.5">
      <c r="D1793" s="3" t="s">
        <v>75</v>
      </c>
    </row>
    <row r="1794" spans="4:4" ht="17.649999999999999" x14ac:dyDescent="0.5">
      <c r="D1794" s="3" t="s">
        <v>48</v>
      </c>
    </row>
    <row r="1795" spans="4:4" ht="17.649999999999999" x14ac:dyDescent="0.5">
      <c r="D1795" s="3" t="s">
        <v>50</v>
      </c>
    </row>
    <row r="1796" spans="4:4" ht="17.649999999999999" x14ac:dyDescent="0.5">
      <c r="D1796" s="3" t="s">
        <v>125</v>
      </c>
    </row>
    <row r="1797" spans="4:4" ht="17.649999999999999" x14ac:dyDescent="0.5">
      <c r="D1797" s="3" t="s">
        <v>103</v>
      </c>
    </row>
    <row r="1798" spans="4:4" ht="17.649999999999999" x14ac:dyDescent="0.5">
      <c r="D1798" s="3" t="s">
        <v>119</v>
      </c>
    </row>
    <row r="1799" spans="4:4" ht="17.649999999999999" x14ac:dyDescent="0.5">
      <c r="D1799" s="3" t="s">
        <v>108</v>
      </c>
    </row>
    <row r="1800" spans="4:4" ht="17.649999999999999" x14ac:dyDescent="0.5">
      <c r="D1800" s="3" t="s">
        <v>77</v>
      </c>
    </row>
    <row r="1801" spans="4:4" ht="17.649999999999999" x14ac:dyDescent="0.5">
      <c r="D1801" s="3" t="s">
        <v>41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100</v>
      </c>
    </row>
    <row r="1804" spans="4:4" ht="17.649999999999999" x14ac:dyDescent="0.5">
      <c r="D1804" s="3" t="s">
        <v>94</v>
      </c>
    </row>
    <row r="1805" spans="4:4" ht="17.649999999999999" x14ac:dyDescent="0.5">
      <c r="D1805" s="3" t="s">
        <v>111</v>
      </c>
    </row>
    <row r="1806" spans="4:4" ht="17.649999999999999" x14ac:dyDescent="0.5">
      <c r="D1806" s="3" t="s">
        <v>90</v>
      </c>
    </row>
    <row r="1807" spans="4:4" ht="17.649999999999999" x14ac:dyDescent="0.5">
      <c r="D1807" s="3" t="s">
        <v>101</v>
      </c>
    </row>
    <row r="1808" spans="4:4" ht="17.649999999999999" x14ac:dyDescent="0.5">
      <c r="D1808" s="3" t="s">
        <v>77</v>
      </c>
    </row>
    <row r="1809" spans="4:4" ht="17.649999999999999" x14ac:dyDescent="0.5">
      <c r="D1809" s="3" t="s">
        <v>78</v>
      </c>
    </row>
    <row r="1810" spans="4:4" ht="17.649999999999999" x14ac:dyDescent="0.5">
      <c r="D1810" s="3" t="s">
        <v>84</v>
      </c>
    </row>
    <row r="1811" spans="4:4" ht="17.649999999999999" x14ac:dyDescent="0.5">
      <c r="D1811" s="3" t="s">
        <v>85</v>
      </c>
    </row>
    <row r="1812" spans="4:4" ht="17.649999999999999" x14ac:dyDescent="0.5">
      <c r="D1812" s="3" t="s">
        <v>61</v>
      </c>
    </row>
    <row r="1813" spans="4:4" ht="17.649999999999999" x14ac:dyDescent="0.5">
      <c r="D1813" s="3" t="s">
        <v>43</v>
      </c>
    </row>
    <row r="1814" spans="4:4" ht="17.649999999999999" x14ac:dyDescent="0.5">
      <c r="D1814" s="3" t="s">
        <v>43</v>
      </c>
    </row>
    <row r="1815" spans="4:4" ht="17.649999999999999" x14ac:dyDescent="0.5">
      <c r="D1815" s="3" t="s">
        <v>115</v>
      </c>
    </row>
    <row r="1816" spans="4:4" ht="17.649999999999999" x14ac:dyDescent="0.5">
      <c r="D1816" s="3" t="s">
        <v>45</v>
      </c>
    </row>
    <row r="1817" spans="4:4" ht="17.649999999999999" x14ac:dyDescent="0.5">
      <c r="D1817" s="3" t="s">
        <v>64</v>
      </c>
    </row>
    <row r="1818" spans="4:4" ht="17.649999999999999" x14ac:dyDescent="0.5">
      <c r="D1818" s="3" t="s">
        <v>108</v>
      </c>
    </row>
    <row r="1819" spans="4:4" ht="17.649999999999999" x14ac:dyDescent="0.5">
      <c r="D1819" s="3" t="s">
        <v>103</v>
      </c>
    </row>
    <row r="1820" spans="4:4" ht="17.649999999999999" x14ac:dyDescent="0.5">
      <c r="D1820" s="3" t="s">
        <v>55</v>
      </c>
    </row>
    <row r="1821" spans="4:4" ht="17.649999999999999" x14ac:dyDescent="0.5">
      <c r="D1821" s="3" t="s">
        <v>76</v>
      </c>
    </row>
    <row r="1822" spans="4:4" ht="17.649999999999999" x14ac:dyDescent="0.5">
      <c r="D1822" s="3" t="s">
        <v>94</v>
      </c>
    </row>
    <row r="1823" spans="4:4" ht="17.649999999999999" x14ac:dyDescent="0.5">
      <c r="D1823" s="3" t="s">
        <v>49</v>
      </c>
    </row>
    <row r="1824" spans="4:4" ht="17.649999999999999" x14ac:dyDescent="0.5">
      <c r="D1824" s="3" t="s">
        <v>65</v>
      </c>
    </row>
    <row r="1825" spans="4:4" ht="17.649999999999999" x14ac:dyDescent="0.5">
      <c r="D1825" s="3" t="s">
        <v>103</v>
      </c>
    </row>
    <row r="1826" spans="4:4" ht="17.649999999999999" x14ac:dyDescent="0.5">
      <c r="D1826" s="3" t="s">
        <v>64</v>
      </c>
    </row>
    <row r="1827" spans="4:4" ht="17.649999999999999" x14ac:dyDescent="0.5">
      <c r="D1827" s="3" t="s">
        <v>46</v>
      </c>
    </row>
    <row r="1828" spans="4:4" ht="17.649999999999999" x14ac:dyDescent="0.5">
      <c r="D1828" s="3" t="s">
        <v>53</v>
      </c>
    </row>
    <row r="1829" spans="4:4" ht="17.649999999999999" x14ac:dyDescent="0.5">
      <c r="D1829" s="3" t="s">
        <v>99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81</v>
      </c>
    </row>
    <row r="1832" spans="4:4" ht="17.649999999999999" x14ac:dyDescent="0.5">
      <c r="D1832" s="3" t="s">
        <v>63</v>
      </c>
    </row>
    <row r="1833" spans="4:4" ht="17.649999999999999" x14ac:dyDescent="0.5">
      <c r="D1833" s="3" t="s">
        <v>84</v>
      </c>
    </row>
    <row r="1834" spans="4:4" ht="17.649999999999999" x14ac:dyDescent="0.5">
      <c r="D1834" s="3" t="s">
        <v>105</v>
      </c>
    </row>
    <row r="1835" spans="4:4" ht="17.649999999999999" x14ac:dyDescent="0.5">
      <c r="D1835" s="3" t="s">
        <v>101</v>
      </c>
    </row>
    <row r="1836" spans="4:4" ht="17.649999999999999" x14ac:dyDescent="0.5">
      <c r="D1836" s="3" t="s">
        <v>133</v>
      </c>
    </row>
    <row r="1837" spans="4:4" ht="17.649999999999999" x14ac:dyDescent="0.5">
      <c r="D1837" s="3" t="s">
        <v>63</v>
      </c>
    </row>
    <row r="1838" spans="4:4" ht="17.649999999999999" x14ac:dyDescent="0.5">
      <c r="D1838" s="3" t="s">
        <v>92</v>
      </c>
    </row>
    <row r="1839" spans="4:4" ht="17.649999999999999" x14ac:dyDescent="0.5">
      <c r="D1839" s="3" t="s">
        <v>42</v>
      </c>
    </row>
    <row r="1840" spans="4:4" ht="17.649999999999999" x14ac:dyDescent="0.5">
      <c r="D1840" s="3" t="s">
        <v>43</v>
      </c>
    </row>
    <row r="1841" spans="4:4" ht="17.649999999999999" x14ac:dyDescent="0.5">
      <c r="D1841" s="3" t="s">
        <v>100</v>
      </c>
    </row>
    <row r="1842" spans="4:4" ht="17.649999999999999" x14ac:dyDescent="0.5">
      <c r="D1842" s="3" t="s">
        <v>101</v>
      </c>
    </row>
    <row r="1843" spans="4:4" ht="17.649999999999999" x14ac:dyDescent="0.5">
      <c r="D1843" s="3" t="s">
        <v>120</v>
      </c>
    </row>
    <row r="1844" spans="4:4" ht="17.649999999999999" x14ac:dyDescent="0.5">
      <c r="D1844" s="3" t="s">
        <v>78</v>
      </c>
    </row>
    <row r="1845" spans="4:4" ht="17.649999999999999" x14ac:dyDescent="0.5">
      <c r="D1845" s="3" t="s">
        <v>80</v>
      </c>
    </row>
    <row r="1846" spans="4:4" ht="17.649999999999999" x14ac:dyDescent="0.5">
      <c r="D1846" s="3" t="s">
        <v>55</v>
      </c>
    </row>
    <row r="1847" spans="4:4" ht="17.649999999999999" x14ac:dyDescent="0.5">
      <c r="D1847" s="3" t="s">
        <v>57</v>
      </c>
    </row>
    <row r="1848" spans="4:4" ht="17.649999999999999" x14ac:dyDescent="0.5">
      <c r="D1848" s="3" t="s">
        <v>97</v>
      </c>
    </row>
    <row r="1849" spans="4:4" ht="17.649999999999999" x14ac:dyDescent="0.5">
      <c r="D1849" s="3" t="s">
        <v>55</v>
      </c>
    </row>
    <row r="1850" spans="4:4" ht="17.649999999999999" x14ac:dyDescent="0.5">
      <c r="D1850" s="3" t="s">
        <v>47</v>
      </c>
    </row>
    <row r="1851" spans="4:4" ht="17.649999999999999" x14ac:dyDescent="0.5">
      <c r="D1851" s="3" t="s">
        <v>115</v>
      </c>
    </row>
    <row r="1852" spans="4:4" ht="17.649999999999999" x14ac:dyDescent="0.5">
      <c r="D1852" s="3" t="s">
        <v>63</v>
      </c>
    </row>
    <row r="1853" spans="4:4" ht="17.649999999999999" x14ac:dyDescent="0.5">
      <c r="D1853" s="3" t="s">
        <v>77</v>
      </c>
    </row>
    <row r="1854" spans="4:4" ht="17.649999999999999" x14ac:dyDescent="0.5">
      <c r="D1854" s="3" t="s">
        <v>98</v>
      </c>
    </row>
    <row r="1855" spans="4:4" ht="17.649999999999999" x14ac:dyDescent="0.5">
      <c r="D1855" s="3" t="s">
        <v>113</v>
      </c>
    </row>
    <row r="1856" spans="4:4" ht="17.649999999999999" x14ac:dyDescent="0.5">
      <c r="D1856" s="3" t="s">
        <v>64</v>
      </c>
    </row>
    <row r="1857" spans="4:4" ht="17.649999999999999" x14ac:dyDescent="0.5">
      <c r="D1857" s="3" t="s">
        <v>41</v>
      </c>
    </row>
    <row r="1858" spans="4:4" ht="17.649999999999999" x14ac:dyDescent="0.5">
      <c r="D1858" s="3" t="s">
        <v>47</v>
      </c>
    </row>
    <row r="1859" spans="4:4" ht="17.649999999999999" x14ac:dyDescent="0.5">
      <c r="D1859" s="3" t="s">
        <v>65</v>
      </c>
    </row>
    <row r="1860" spans="4:4" ht="17.649999999999999" x14ac:dyDescent="0.5">
      <c r="D1860" s="3" t="s">
        <v>56</v>
      </c>
    </row>
    <row r="1861" spans="4:4" ht="17.649999999999999" x14ac:dyDescent="0.5">
      <c r="D1861" s="3" t="s">
        <v>63</v>
      </c>
    </row>
    <row r="1862" spans="4:4" ht="17.649999999999999" x14ac:dyDescent="0.5">
      <c r="D1862" s="3" t="s">
        <v>55</v>
      </c>
    </row>
    <row r="1863" spans="4:4" ht="17.649999999999999" x14ac:dyDescent="0.5">
      <c r="D1863" s="3" t="s">
        <v>107</v>
      </c>
    </row>
    <row r="1864" spans="4:4" ht="17.649999999999999" x14ac:dyDescent="0.5">
      <c r="D1864" s="3" t="s">
        <v>105</v>
      </c>
    </row>
    <row r="1865" spans="4:4" ht="17.649999999999999" x14ac:dyDescent="0.5">
      <c r="D1865" s="3" t="s">
        <v>43</v>
      </c>
    </row>
    <row r="1866" spans="4:4" ht="17.649999999999999" x14ac:dyDescent="0.5">
      <c r="D1866" s="3" t="s">
        <v>88</v>
      </c>
    </row>
    <row r="1867" spans="4:4" ht="17.649999999999999" x14ac:dyDescent="0.5">
      <c r="D1867" s="3" t="s">
        <v>104</v>
      </c>
    </row>
    <row r="1868" spans="4:4" ht="17.649999999999999" x14ac:dyDescent="0.5">
      <c r="D1868" s="3" t="s">
        <v>46</v>
      </c>
    </row>
    <row r="1869" spans="4:4" ht="17.649999999999999" x14ac:dyDescent="0.5">
      <c r="D1869" s="3" t="s">
        <v>74</v>
      </c>
    </row>
    <row r="1870" spans="4:4" ht="17.649999999999999" x14ac:dyDescent="0.5">
      <c r="D1870" s="3" t="s">
        <v>73</v>
      </c>
    </row>
    <row r="1871" spans="4:4" ht="17.649999999999999" x14ac:dyDescent="0.5">
      <c r="D1871" s="3" t="s">
        <v>75</v>
      </c>
    </row>
    <row r="1872" spans="4:4" ht="17.649999999999999" x14ac:dyDescent="0.5">
      <c r="D1872" s="3" t="s">
        <v>54</v>
      </c>
    </row>
    <row r="1873" spans="4:4" ht="17.649999999999999" x14ac:dyDescent="0.5">
      <c r="D1873" s="3" t="s">
        <v>41</v>
      </c>
    </row>
    <row r="1874" spans="4:4" ht="17.649999999999999" x14ac:dyDescent="0.5">
      <c r="D1874" s="3" t="s">
        <v>46</v>
      </c>
    </row>
    <row r="1875" spans="4:4" ht="17.649999999999999" x14ac:dyDescent="0.5">
      <c r="D1875" s="3" t="s">
        <v>64</v>
      </c>
    </row>
    <row r="1876" spans="4:4" ht="17.649999999999999" x14ac:dyDescent="0.5">
      <c r="D1876" s="3" t="s">
        <v>112</v>
      </c>
    </row>
    <row r="1877" spans="4:4" ht="17.649999999999999" x14ac:dyDescent="0.5">
      <c r="D1877" s="3" t="s">
        <v>85</v>
      </c>
    </row>
    <row r="1878" spans="4:4" ht="17.649999999999999" x14ac:dyDescent="0.5">
      <c r="D1878" s="3" t="s">
        <v>90</v>
      </c>
    </row>
    <row r="1879" spans="4:4" ht="17.649999999999999" x14ac:dyDescent="0.5">
      <c r="D1879" s="3" t="s">
        <v>80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49</v>
      </c>
    </row>
    <row r="1882" spans="4:4" ht="17.649999999999999" x14ac:dyDescent="0.5">
      <c r="D1882" s="3" t="s">
        <v>78</v>
      </c>
    </row>
    <row r="1883" spans="4:4" ht="17.649999999999999" x14ac:dyDescent="0.5">
      <c r="D1883" s="3" t="s">
        <v>41</v>
      </c>
    </row>
    <row r="1884" spans="4:4" ht="17.649999999999999" x14ac:dyDescent="0.5">
      <c r="D1884" s="3" t="s">
        <v>46</v>
      </c>
    </row>
    <row r="1885" spans="4:4" ht="17.649999999999999" x14ac:dyDescent="0.5">
      <c r="D1885" s="3" t="s">
        <v>69</v>
      </c>
    </row>
    <row r="1886" spans="4:4" ht="17.649999999999999" x14ac:dyDescent="0.5">
      <c r="D1886" s="3" t="s">
        <v>117</v>
      </c>
    </row>
    <row r="1887" spans="4:4" ht="17.649999999999999" x14ac:dyDescent="0.5">
      <c r="D1887" s="3" t="s">
        <v>85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127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94</v>
      </c>
    </row>
    <row r="1892" spans="4:4" ht="17.649999999999999" x14ac:dyDescent="0.5">
      <c r="D1892" s="3" t="s">
        <v>48</v>
      </c>
    </row>
    <row r="1893" spans="4:4" ht="17.649999999999999" x14ac:dyDescent="0.5">
      <c r="D1893" s="3" t="s">
        <v>96</v>
      </c>
    </row>
    <row r="1894" spans="4:4" ht="17.649999999999999" x14ac:dyDescent="0.5">
      <c r="D1894" s="3" t="s">
        <v>129</v>
      </c>
    </row>
    <row r="1895" spans="4:4" ht="17.649999999999999" x14ac:dyDescent="0.5">
      <c r="D1895" s="3" t="s">
        <v>50</v>
      </c>
    </row>
    <row r="1896" spans="4:4" ht="17.649999999999999" x14ac:dyDescent="0.5">
      <c r="D1896" s="3" t="s">
        <v>119</v>
      </c>
    </row>
    <row r="1897" spans="4:4" ht="17.649999999999999" x14ac:dyDescent="0.5">
      <c r="D1897" s="3" t="s">
        <v>69</v>
      </c>
    </row>
    <row r="1898" spans="4:4" ht="17.649999999999999" x14ac:dyDescent="0.5">
      <c r="D1898" s="3" t="s">
        <v>91</v>
      </c>
    </row>
    <row r="1899" spans="4:4" ht="17.649999999999999" x14ac:dyDescent="0.5">
      <c r="D1899" s="3" t="s">
        <v>63</v>
      </c>
    </row>
    <row r="1900" spans="4:4" ht="17.649999999999999" x14ac:dyDescent="0.5">
      <c r="D1900" s="3" t="s">
        <v>49</v>
      </c>
    </row>
    <row r="1901" spans="4:4" ht="17.649999999999999" x14ac:dyDescent="0.5">
      <c r="D1901" s="3" t="s">
        <v>87</v>
      </c>
    </row>
    <row r="1902" spans="4:4" ht="17.649999999999999" x14ac:dyDescent="0.5">
      <c r="D1902" s="3" t="s">
        <v>114</v>
      </c>
    </row>
    <row r="1903" spans="4:4" ht="17.649999999999999" x14ac:dyDescent="0.5">
      <c r="D1903" s="3" t="s">
        <v>60</v>
      </c>
    </row>
    <row r="1904" spans="4:4" ht="17.649999999999999" x14ac:dyDescent="0.5">
      <c r="D1904" s="3" t="s">
        <v>107</v>
      </c>
    </row>
    <row r="1905" spans="4:4" ht="17.649999999999999" x14ac:dyDescent="0.5">
      <c r="D1905" s="3" t="s">
        <v>57</v>
      </c>
    </row>
    <row r="1906" spans="4:4" ht="17.649999999999999" x14ac:dyDescent="0.5">
      <c r="D1906" s="3" t="s">
        <v>88</v>
      </c>
    </row>
    <row r="1907" spans="4:4" ht="17.649999999999999" x14ac:dyDescent="0.5">
      <c r="D1907" s="3" t="s">
        <v>96</v>
      </c>
    </row>
    <row r="1908" spans="4:4" ht="17.649999999999999" x14ac:dyDescent="0.5">
      <c r="D1908" s="3" t="s">
        <v>62</v>
      </c>
    </row>
    <row r="1909" spans="4:4" ht="17.649999999999999" x14ac:dyDescent="0.5">
      <c r="D1909" s="3" t="s">
        <v>50</v>
      </c>
    </row>
    <row r="1910" spans="4:4" ht="17.649999999999999" x14ac:dyDescent="0.5">
      <c r="D1910" s="3" t="s">
        <v>105</v>
      </c>
    </row>
    <row r="1911" spans="4:4" ht="17.649999999999999" x14ac:dyDescent="0.5">
      <c r="D1911" s="3" t="s">
        <v>72</v>
      </c>
    </row>
    <row r="1912" spans="4:4" ht="17.649999999999999" x14ac:dyDescent="0.5">
      <c r="D1912" s="3" t="s">
        <v>56</v>
      </c>
    </row>
    <row r="1913" spans="4:4" ht="17.649999999999999" x14ac:dyDescent="0.5">
      <c r="D1913" s="3" t="s">
        <v>63</v>
      </c>
    </row>
    <row r="1914" spans="4:4" ht="17.649999999999999" x14ac:dyDescent="0.5">
      <c r="D1914" s="3" t="s">
        <v>68</v>
      </c>
    </row>
    <row r="1915" spans="4:4" ht="17.649999999999999" x14ac:dyDescent="0.5">
      <c r="D1915" s="3" t="s">
        <v>91</v>
      </c>
    </row>
    <row r="1916" spans="4:4" ht="17.649999999999999" x14ac:dyDescent="0.5">
      <c r="D1916" s="3" t="s">
        <v>115</v>
      </c>
    </row>
    <row r="1917" spans="4:4" ht="17.649999999999999" x14ac:dyDescent="0.5">
      <c r="D1917" s="3" t="s">
        <v>87</v>
      </c>
    </row>
    <row r="1918" spans="4:4" ht="17.649999999999999" x14ac:dyDescent="0.5">
      <c r="D1918" s="3" t="s">
        <v>98</v>
      </c>
    </row>
    <row r="1919" spans="4:4" ht="17.649999999999999" x14ac:dyDescent="0.5">
      <c r="D1919" s="3" t="s">
        <v>48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105</v>
      </c>
    </row>
    <row r="1922" spans="4:4" ht="17.649999999999999" x14ac:dyDescent="0.5">
      <c r="D1922" s="3" t="s">
        <v>80</v>
      </c>
    </row>
    <row r="1923" spans="4:4" ht="17.649999999999999" x14ac:dyDescent="0.5">
      <c r="D1923" s="3" t="s">
        <v>102</v>
      </c>
    </row>
    <row r="1924" spans="4:4" ht="17.649999999999999" x14ac:dyDescent="0.5">
      <c r="D1924" s="3" t="s">
        <v>78</v>
      </c>
    </row>
    <row r="1925" spans="4:4" ht="17.649999999999999" x14ac:dyDescent="0.5">
      <c r="D1925" s="3" t="s">
        <v>71</v>
      </c>
    </row>
    <row r="1926" spans="4:4" ht="17.649999999999999" x14ac:dyDescent="0.5">
      <c r="D1926" s="3" t="s">
        <v>85</v>
      </c>
    </row>
    <row r="1927" spans="4:4" ht="17.649999999999999" x14ac:dyDescent="0.5">
      <c r="D1927" s="3" t="s">
        <v>50</v>
      </c>
    </row>
    <row r="1928" spans="4:4" ht="17.649999999999999" x14ac:dyDescent="0.5">
      <c r="D1928" s="3" t="s">
        <v>87</v>
      </c>
    </row>
    <row r="1929" spans="4:4" ht="17.649999999999999" x14ac:dyDescent="0.5">
      <c r="D1929" s="3" t="s">
        <v>47</v>
      </c>
    </row>
    <row r="1930" spans="4:4" ht="17.649999999999999" x14ac:dyDescent="0.5">
      <c r="D1930" s="3" t="s">
        <v>106</v>
      </c>
    </row>
    <row r="1931" spans="4:4" ht="17.649999999999999" x14ac:dyDescent="0.5">
      <c r="D1931" s="3" t="s">
        <v>63</v>
      </c>
    </row>
    <row r="1932" spans="4:4" ht="17.649999999999999" x14ac:dyDescent="0.5">
      <c r="D1932" s="3" t="s">
        <v>41</v>
      </c>
    </row>
    <row r="1933" spans="4:4" ht="17.649999999999999" x14ac:dyDescent="0.5">
      <c r="D1933" s="3" t="s">
        <v>66</v>
      </c>
    </row>
    <row r="1934" spans="4:4" ht="17.649999999999999" x14ac:dyDescent="0.5">
      <c r="D1934" s="3" t="s">
        <v>64</v>
      </c>
    </row>
    <row r="1935" spans="4:4" ht="17.649999999999999" x14ac:dyDescent="0.5">
      <c r="D1935" s="3" t="s">
        <v>112</v>
      </c>
    </row>
    <row r="1936" spans="4:4" ht="17.649999999999999" x14ac:dyDescent="0.5">
      <c r="D1936" s="3" t="s">
        <v>49</v>
      </c>
    </row>
    <row r="1937" spans="4:4" ht="17.649999999999999" x14ac:dyDescent="0.5">
      <c r="D1937" s="3" t="s">
        <v>63</v>
      </c>
    </row>
    <row r="1938" spans="4:4" ht="17.649999999999999" x14ac:dyDescent="0.5">
      <c r="D1938" s="3" t="s">
        <v>68</v>
      </c>
    </row>
    <row r="1939" spans="4:4" ht="17.649999999999999" x14ac:dyDescent="0.5">
      <c r="D1939" s="3" t="s">
        <v>95</v>
      </c>
    </row>
    <row r="1940" spans="4:4" ht="17.649999999999999" x14ac:dyDescent="0.5">
      <c r="D1940" s="3" t="s">
        <v>107</v>
      </c>
    </row>
    <row r="1941" spans="4:4" ht="17.649999999999999" x14ac:dyDescent="0.5">
      <c r="D1941" s="3" t="s">
        <v>88</v>
      </c>
    </row>
    <row r="1942" spans="4:4" ht="17.649999999999999" x14ac:dyDescent="0.5">
      <c r="D1942" s="3" t="s">
        <v>84</v>
      </c>
    </row>
    <row r="1943" spans="4:4" ht="17.649999999999999" x14ac:dyDescent="0.5">
      <c r="D1943" s="3" t="s">
        <v>90</v>
      </c>
    </row>
    <row r="1944" spans="4:4" ht="17.649999999999999" x14ac:dyDescent="0.5">
      <c r="D1944" s="3" t="s">
        <v>74</v>
      </c>
    </row>
    <row r="1945" spans="4:4" ht="17.649999999999999" x14ac:dyDescent="0.5">
      <c r="D1945" s="3" t="s">
        <v>50</v>
      </c>
    </row>
    <row r="1946" spans="4:4" ht="17.649999999999999" x14ac:dyDescent="0.5">
      <c r="D1946" s="3" t="s">
        <v>81</v>
      </c>
    </row>
    <row r="1947" spans="4:4" ht="17.649999999999999" x14ac:dyDescent="0.5">
      <c r="D1947" s="3" t="s">
        <v>68</v>
      </c>
    </row>
    <row r="1948" spans="4:4" ht="17.649999999999999" x14ac:dyDescent="0.5">
      <c r="D1948" s="3" t="s">
        <v>47</v>
      </c>
    </row>
    <row r="1949" spans="4:4" ht="17.649999999999999" x14ac:dyDescent="0.5">
      <c r="D1949" s="3" t="s">
        <v>115</v>
      </c>
    </row>
    <row r="1950" spans="4:4" ht="17.649999999999999" x14ac:dyDescent="0.5">
      <c r="D1950" s="3" t="s">
        <v>83</v>
      </c>
    </row>
    <row r="1951" spans="4:4" ht="17.649999999999999" x14ac:dyDescent="0.5">
      <c r="D1951" s="3" t="s">
        <v>131</v>
      </c>
    </row>
    <row r="1952" spans="4:4" ht="17.649999999999999" x14ac:dyDescent="0.5">
      <c r="D1952" s="3" t="s">
        <v>73</v>
      </c>
    </row>
    <row r="1953" spans="4:4" ht="17.649999999999999" x14ac:dyDescent="0.5">
      <c r="D1953" s="3" t="s">
        <v>91</v>
      </c>
    </row>
    <row r="1954" spans="4:4" ht="17.649999999999999" x14ac:dyDescent="0.5">
      <c r="D1954" s="3" t="s">
        <v>44</v>
      </c>
    </row>
    <row r="1955" spans="4:4" ht="17.649999999999999" x14ac:dyDescent="0.5">
      <c r="D1955" s="3" t="s">
        <v>93</v>
      </c>
    </row>
    <row r="1956" spans="4:4" ht="17.649999999999999" x14ac:dyDescent="0.5">
      <c r="D1956" s="3" t="s">
        <v>84</v>
      </c>
    </row>
    <row r="1957" spans="4:4" ht="17.649999999999999" x14ac:dyDescent="0.5">
      <c r="D1957" s="3" t="s">
        <v>90</v>
      </c>
    </row>
    <row r="1958" spans="4:4" ht="17.649999999999999" x14ac:dyDescent="0.5">
      <c r="D1958" s="3" t="s">
        <v>78</v>
      </c>
    </row>
    <row r="1959" spans="4:4" ht="17.649999999999999" x14ac:dyDescent="0.5">
      <c r="D1959" s="3" t="s">
        <v>98</v>
      </c>
    </row>
    <row r="1960" spans="4:4" ht="17.649999999999999" x14ac:dyDescent="0.5">
      <c r="D1960" s="3" t="s">
        <v>44</v>
      </c>
    </row>
    <row r="1961" spans="4:4" ht="17.649999999999999" x14ac:dyDescent="0.5">
      <c r="D1961" s="3" t="s">
        <v>103</v>
      </c>
    </row>
    <row r="1962" spans="4:4" ht="17.649999999999999" x14ac:dyDescent="0.5">
      <c r="D1962" s="3" t="s">
        <v>77</v>
      </c>
    </row>
    <row r="1963" spans="4:4" ht="17.649999999999999" x14ac:dyDescent="0.5">
      <c r="D1963" s="3" t="s">
        <v>87</v>
      </c>
    </row>
    <row r="1964" spans="4:4" ht="17.649999999999999" x14ac:dyDescent="0.5">
      <c r="D1964" s="3" t="s">
        <v>60</v>
      </c>
    </row>
    <row r="1965" spans="4:4" ht="17.649999999999999" x14ac:dyDescent="0.5">
      <c r="D1965" s="3" t="s">
        <v>117</v>
      </c>
    </row>
    <row r="1966" spans="4:4" ht="17.649999999999999" x14ac:dyDescent="0.5">
      <c r="D1966" s="3" t="s">
        <v>46</v>
      </c>
    </row>
    <row r="1967" spans="4:4" ht="17.649999999999999" x14ac:dyDescent="0.5">
      <c r="D1967" s="3" t="s">
        <v>92</v>
      </c>
    </row>
    <row r="1968" spans="4:4" ht="17.649999999999999" x14ac:dyDescent="0.5">
      <c r="D1968" s="3" t="s">
        <v>62</v>
      </c>
    </row>
    <row r="1969" spans="4:4" ht="17.649999999999999" x14ac:dyDescent="0.5">
      <c r="D1969" s="3" t="s">
        <v>55</v>
      </c>
    </row>
    <row r="1970" spans="4:4" ht="17.649999999999999" x14ac:dyDescent="0.5">
      <c r="D1970" s="3" t="s">
        <v>99</v>
      </c>
    </row>
    <row r="1971" spans="4:4" ht="17.649999999999999" x14ac:dyDescent="0.5">
      <c r="D1971" s="3" t="s">
        <v>65</v>
      </c>
    </row>
    <row r="1972" spans="4:4" ht="17.649999999999999" x14ac:dyDescent="0.5">
      <c r="D1972" s="3" t="s">
        <v>129</v>
      </c>
    </row>
    <row r="1973" spans="4:4" ht="17.649999999999999" x14ac:dyDescent="0.5">
      <c r="D1973" s="3" t="s">
        <v>66</v>
      </c>
    </row>
    <row r="1974" spans="4:4" ht="17.649999999999999" x14ac:dyDescent="0.5">
      <c r="D1974" s="3" t="s">
        <v>107</v>
      </c>
    </row>
    <row r="1975" spans="4:4" ht="17.649999999999999" x14ac:dyDescent="0.5">
      <c r="D1975" s="3" t="s">
        <v>61</v>
      </c>
    </row>
    <row r="1976" spans="4:4" ht="17.649999999999999" x14ac:dyDescent="0.5">
      <c r="D1976" s="3" t="s">
        <v>64</v>
      </c>
    </row>
    <row r="1977" spans="4:4" ht="17.649999999999999" x14ac:dyDescent="0.5">
      <c r="D1977" s="3" t="s">
        <v>117</v>
      </c>
    </row>
    <row r="1978" spans="4:4" ht="17.649999999999999" x14ac:dyDescent="0.5">
      <c r="D1978" s="3" t="s">
        <v>66</v>
      </c>
    </row>
    <row r="1979" spans="4:4" ht="17.649999999999999" x14ac:dyDescent="0.5">
      <c r="D1979" s="3" t="s">
        <v>96</v>
      </c>
    </row>
    <row r="1980" spans="4:4" ht="17.649999999999999" x14ac:dyDescent="0.5">
      <c r="D1980" s="3" t="s">
        <v>112</v>
      </c>
    </row>
    <row r="1981" spans="4:4" ht="17.649999999999999" x14ac:dyDescent="0.5">
      <c r="D1981" s="3" t="s">
        <v>48</v>
      </c>
    </row>
    <row r="1982" spans="4:4" ht="17.649999999999999" x14ac:dyDescent="0.5">
      <c r="D1982" s="3" t="s">
        <v>85</v>
      </c>
    </row>
    <row r="1983" spans="4:4" ht="17.649999999999999" x14ac:dyDescent="0.5">
      <c r="D1983" s="3" t="s">
        <v>55</v>
      </c>
    </row>
    <row r="1984" spans="4:4" ht="17.649999999999999" x14ac:dyDescent="0.5">
      <c r="D1984" s="3" t="s">
        <v>42</v>
      </c>
    </row>
    <row r="1985" spans="4:4" ht="17.649999999999999" x14ac:dyDescent="0.5">
      <c r="D1985" s="3" t="s">
        <v>54</v>
      </c>
    </row>
    <row r="1986" spans="4:4" ht="17.649999999999999" x14ac:dyDescent="0.5">
      <c r="D1986" s="3" t="s">
        <v>68</v>
      </c>
    </row>
    <row r="1987" spans="4:4" ht="17.649999999999999" x14ac:dyDescent="0.5">
      <c r="D1987" s="3" t="s">
        <v>57</v>
      </c>
    </row>
    <row r="1988" spans="4:4" ht="17.649999999999999" x14ac:dyDescent="0.5">
      <c r="D1988" s="3" t="s">
        <v>86</v>
      </c>
    </row>
    <row r="1989" spans="4:4" ht="17.649999999999999" x14ac:dyDescent="0.5">
      <c r="D1989" s="3" t="s">
        <v>66</v>
      </c>
    </row>
    <row r="1990" spans="4:4" ht="17.649999999999999" x14ac:dyDescent="0.5">
      <c r="D1990" s="3" t="s">
        <v>56</v>
      </c>
    </row>
    <row r="1991" spans="4:4" ht="17.649999999999999" x14ac:dyDescent="0.5">
      <c r="D1991" s="3" t="s">
        <v>53</v>
      </c>
    </row>
    <row r="1992" spans="4:4" ht="17.649999999999999" x14ac:dyDescent="0.5">
      <c r="D1992" s="3" t="s">
        <v>68</v>
      </c>
    </row>
    <row r="1993" spans="4:4" ht="17.649999999999999" x14ac:dyDescent="0.5">
      <c r="D1993" s="3" t="s">
        <v>64</v>
      </c>
    </row>
    <row r="1994" spans="4:4" ht="17.649999999999999" x14ac:dyDescent="0.5">
      <c r="D1994" s="3" t="s">
        <v>91</v>
      </c>
    </row>
    <row r="1995" spans="4:4" ht="17.649999999999999" x14ac:dyDescent="0.5">
      <c r="D1995" s="3" t="s">
        <v>94</v>
      </c>
    </row>
    <row r="1996" spans="4:4" ht="17.649999999999999" x14ac:dyDescent="0.5">
      <c r="D1996" s="3" t="s">
        <v>118</v>
      </c>
    </row>
    <row r="1997" spans="4:4" ht="17.649999999999999" x14ac:dyDescent="0.5">
      <c r="D1997" s="3" t="s">
        <v>61</v>
      </c>
    </row>
    <row r="1998" spans="4:4" ht="17.649999999999999" x14ac:dyDescent="0.5">
      <c r="D1998" s="3" t="s">
        <v>57</v>
      </c>
    </row>
    <row r="1999" spans="4:4" ht="17.649999999999999" x14ac:dyDescent="0.5">
      <c r="D1999" s="3" t="s">
        <v>56</v>
      </c>
    </row>
    <row r="2000" spans="4:4" ht="17.649999999999999" x14ac:dyDescent="0.5">
      <c r="D2000" s="3" t="s">
        <v>94</v>
      </c>
    </row>
    <row r="2001" spans="4:4" ht="17.649999999999999" x14ac:dyDescent="0.5">
      <c r="D2001" s="3" t="s">
        <v>128</v>
      </c>
    </row>
    <row r="2002" spans="4:4" ht="17.649999999999999" x14ac:dyDescent="0.5">
      <c r="D2002" s="3" t="s">
        <v>107</v>
      </c>
    </row>
    <row r="2003" spans="4:4" ht="17.649999999999999" x14ac:dyDescent="0.5">
      <c r="D2003" s="3" t="s">
        <v>76</v>
      </c>
    </row>
    <row r="2004" spans="4:4" ht="17.649999999999999" x14ac:dyDescent="0.5">
      <c r="D2004" s="3" t="s">
        <v>83</v>
      </c>
    </row>
    <row r="2005" spans="4:4" ht="17.649999999999999" x14ac:dyDescent="0.5">
      <c r="D2005" s="3" t="s">
        <v>59</v>
      </c>
    </row>
    <row r="2006" spans="4:4" ht="17.649999999999999" x14ac:dyDescent="0.5">
      <c r="D2006" s="3" t="s">
        <v>115</v>
      </c>
    </row>
    <row r="2007" spans="4:4" ht="17.649999999999999" x14ac:dyDescent="0.5">
      <c r="D2007" s="3" t="s">
        <v>120</v>
      </c>
    </row>
    <row r="2008" spans="4:4" ht="17.649999999999999" x14ac:dyDescent="0.5">
      <c r="D2008" s="3" t="s">
        <v>75</v>
      </c>
    </row>
    <row r="2009" spans="4:4" ht="17.649999999999999" x14ac:dyDescent="0.5">
      <c r="D2009" s="3" t="s">
        <v>78</v>
      </c>
    </row>
    <row r="2010" spans="4:4" ht="17.649999999999999" x14ac:dyDescent="0.5">
      <c r="D2010" s="3" t="s">
        <v>56</v>
      </c>
    </row>
    <row r="2011" spans="4:4" ht="17.649999999999999" x14ac:dyDescent="0.5">
      <c r="D2011" s="3" t="s">
        <v>56</v>
      </c>
    </row>
    <row r="2012" spans="4:4" ht="17.649999999999999" x14ac:dyDescent="0.5">
      <c r="D2012" s="3" t="s">
        <v>54</v>
      </c>
    </row>
    <row r="2013" spans="4:4" ht="17.649999999999999" x14ac:dyDescent="0.5">
      <c r="D2013" s="3" t="s">
        <v>82</v>
      </c>
    </row>
    <row r="2014" spans="4:4" ht="17.649999999999999" x14ac:dyDescent="0.5">
      <c r="D2014" s="3" t="s">
        <v>78</v>
      </c>
    </row>
    <row r="2015" spans="4:4" ht="17.649999999999999" x14ac:dyDescent="0.5">
      <c r="D2015" s="3" t="s">
        <v>87</v>
      </c>
    </row>
    <row r="2016" spans="4:4" ht="17.649999999999999" x14ac:dyDescent="0.5">
      <c r="D2016" s="3" t="s">
        <v>104</v>
      </c>
    </row>
    <row r="2017" spans="4:4" ht="17.649999999999999" x14ac:dyDescent="0.5">
      <c r="D2017" s="3" t="s">
        <v>49</v>
      </c>
    </row>
    <row r="2018" spans="4:4" ht="17.649999999999999" x14ac:dyDescent="0.5">
      <c r="D2018" s="3" t="s">
        <v>51</v>
      </c>
    </row>
    <row r="2019" spans="4:4" ht="17.649999999999999" x14ac:dyDescent="0.5">
      <c r="D2019" s="3" t="s">
        <v>135</v>
      </c>
    </row>
    <row r="2020" spans="4:4" ht="17.649999999999999" x14ac:dyDescent="0.5">
      <c r="D2020" s="3" t="s">
        <v>50</v>
      </c>
    </row>
    <row r="2021" spans="4:4" ht="17.649999999999999" x14ac:dyDescent="0.5">
      <c r="D2021" s="3" t="s">
        <v>54</v>
      </c>
    </row>
    <row r="2022" spans="4:4" ht="17.649999999999999" x14ac:dyDescent="0.5">
      <c r="D2022" s="3" t="s">
        <v>57</v>
      </c>
    </row>
    <row r="2023" spans="4:4" ht="17.649999999999999" x14ac:dyDescent="0.5">
      <c r="D2023" s="3" t="s">
        <v>78</v>
      </c>
    </row>
    <row r="2024" spans="4:4" ht="17.649999999999999" x14ac:dyDescent="0.5">
      <c r="D2024" s="3" t="s">
        <v>82</v>
      </c>
    </row>
    <row r="2025" spans="4:4" ht="17.649999999999999" x14ac:dyDescent="0.5">
      <c r="D2025" s="3" t="s">
        <v>84</v>
      </c>
    </row>
    <row r="2026" spans="4:4" ht="17.649999999999999" x14ac:dyDescent="0.5">
      <c r="D2026" s="3" t="s">
        <v>92</v>
      </c>
    </row>
    <row r="2027" spans="4:4" ht="17.649999999999999" x14ac:dyDescent="0.5">
      <c r="D2027" s="3" t="s">
        <v>69</v>
      </c>
    </row>
    <row r="2028" spans="4:4" ht="17.649999999999999" x14ac:dyDescent="0.5">
      <c r="D2028" s="3" t="s">
        <v>64</v>
      </c>
    </row>
    <row r="2029" spans="4:4" ht="17.649999999999999" x14ac:dyDescent="0.5">
      <c r="D2029" s="3" t="s">
        <v>82</v>
      </c>
    </row>
    <row r="2030" spans="4:4" ht="17.649999999999999" x14ac:dyDescent="0.5">
      <c r="D2030" s="3" t="s">
        <v>63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103</v>
      </c>
    </row>
    <row r="2033" spans="4:4" ht="17.649999999999999" x14ac:dyDescent="0.5">
      <c r="D2033" s="3" t="s">
        <v>87</v>
      </c>
    </row>
    <row r="2034" spans="4:4" ht="17.649999999999999" x14ac:dyDescent="0.5">
      <c r="D2034" s="3" t="s">
        <v>46</v>
      </c>
    </row>
    <row r="2035" spans="4:4" ht="17.649999999999999" x14ac:dyDescent="0.5">
      <c r="D2035" s="3" t="s">
        <v>115</v>
      </c>
    </row>
    <row r="2036" spans="4:4" ht="17.649999999999999" x14ac:dyDescent="0.5">
      <c r="D2036" s="3" t="s">
        <v>120</v>
      </c>
    </row>
    <row r="2037" spans="4:4" ht="17.649999999999999" x14ac:dyDescent="0.5">
      <c r="D2037" s="3" t="s">
        <v>78</v>
      </c>
    </row>
    <row r="2038" spans="4:4" ht="17.649999999999999" x14ac:dyDescent="0.5">
      <c r="D2038" s="3" t="s">
        <v>81</v>
      </c>
    </row>
    <row r="2039" spans="4:4" ht="17.649999999999999" x14ac:dyDescent="0.5">
      <c r="D2039" s="3" t="s">
        <v>90</v>
      </c>
    </row>
    <row r="2040" spans="4:4" ht="17.649999999999999" x14ac:dyDescent="0.5">
      <c r="D2040" s="3" t="s">
        <v>91</v>
      </c>
    </row>
    <row r="2041" spans="4:4" ht="17.649999999999999" x14ac:dyDescent="0.5">
      <c r="D2041" s="3" t="s">
        <v>104</v>
      </c>
    </row>
    <row r="2042" spans="4:4" ht="17.649999999999999" x14ac:dyDescent="0.5">
      <c r="D2042" s="3" t="s">
        <v>57</v>
      </c>
    </row>
    <row r="2043" spans="4:4" ht="17.649999999999999" x14ac:dyDescent="0.5">
      <c r="D2043" s="3" t="s">
        <v>77</v>
      </c>
    </row>
    <row r="2044" spans="4:4" ht="17.649999999999999" x14ac:dyDescent="0.5">
      <c r="D2044" s="3" t="s">
        <v>65</v>
      </c>
    </row>
    <row r="2045" spans="4:4" ht="17.649999999999999" x14ac:dyDescent="0.5">
      <c r="D2045" s="3" t="s">
        <v>92</v>
      </c>
    </row>
    <row r="2046" spans="4:4" ht="17.649999999999999" x14ac:dyDescent="0.5">
      <c r="D2046" s="3" t="s">
        <v>121</v>
      </c>
    </row>
    <row r="2047" spans="4:4" ht="17.649999999999999" x14ac:dyDescent="0.5">
      <c r="D2047" s="3" t="s">
        <v>81</v>
      </c>
    </row>
    <row r="2048" spans="4:4" ht="17.649999999999999" x14ac:dyDescent="0.5">
      <c r="D2048" s="3" t="s">
        <v>49</v>
      </c>
    </row>
    <row r="2049" spans="4:4" ht="17.649999999999999" x14ac:dyDescent="0.5">
      <c r="D2049" s="3" t="s">
        <v>78</v>
      </c>
    </row>
    <row r="2050" spans="4:4" ht="17.649999999999999" x14ac:dyDescent="0.5">
      <c r="D2050" s="3" t="s">
        <v>112</v>
      </c>
    </row>
    <row r="2051" spans="4:4" ht="17.649999999999999" x14ac:dyDescent="0.5">
      <c r="D2051" s="3" t="s">
        <v>74</v>
      </c>
    </row>
    <row r="2052" spans="4:4" ht="17.649999999999999" x14ac:dyDescent="0.5">
      <c r="D2052" s="3" t="s">
        <v>105</v>
      </c>
    </row>
    <row r="2053" spans="4:4" ht="17.649999999999999" x14ac:dyDescent="0.5">
      <c r="D2053" s="3" t="s">
        <v>96</v>
      </c>
    </row>
    <row r="2054" spans="4:4" ht="17.649999999999999" x14ac:dyDescent="0.5">
      <c r="D2054" s="3" t="s">
        <v>65</v>
      </c>
    </row>
    <row r="2055" spans="4:4" ht="17.649999999999999" x14ac:dyDescent="0.5">
      <c r="D2055" s="3" t="s">
        <v>80</v>
      </c>
    </row>
    <row r="2056" spans="4:4" ht="17.649999999999999" x14ac:dyDescent="0.5">
      <c r="D2056" s="3" t="s">
        <v>136</v>
      </c>
    </row>
    <row r="2057" spans="4:4" ht="17.649999999999999" x14ac:dyDescent="0.5">
      <c r="D2057" s="3" t="s">
        <v>68</v>
      </c>
    </row>
    <row r="2058" spans="4:4" ht="17.649999999999999" x14ac:dyDescent="0.5">
      <c r="D2058" s="3" t="s">
        <v>56</v>
      </c>
    </row>
    <row r="2059" spans="4:4" ht="17.649999999999999" x14ac:dyDescent="0.5">
      <c r="D2059" s="3" t="s">
        <v>78</v>
      </c>
    </row>
    <row r="2060" spans="4:4" ht="17.649999999999999" x14ac:dyDescent="0.5">
      <c r="D2060" s="3" t="s">
        <v>44</v>
      </c>
    </row>
    <row r="2061" spans="4:4" ht="17.649999999999999" x14ac:dyDescent="0.5">
      <c r="D2061" s="3" t="s">
        <v>133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1:10" ht="25.15" x14ac:dyDescent="0.7">
      <c r="A1" t="s">
        <v>164</v>
      </c>
      <c r="D1" s="1" t="s">
        <v>163</v>
      </c>
    </row>
    <row r="2" spans="1:10" x14ac:dyDescent="0.5">
      <c r="D2" s="2" t="s">
        <v>8</v>
      </c>
      <c r="E2" s="2" t="s">
        <v>9</v>
      </c>
      <c r="F2" s="2" t="s">
        <v>10</v>
      </c>
    </row>
    <row r="3" spans="1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1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1:10" ht="17.649999999999999" x14ac:dyDescent="0.5">
      <c r="D5" s="3"/>
    </row>
    <row r="6" spans="1:10" ht="17.649999999999999" x14ac:dyDescent="0.5">
      <c r="D6" s="3" t="s">
        <v>18</v>
      </c>
    </row>
    <row r="7" spans="1:10" ht="17.649999999999999" x14ac:dyDescent="0.5">
      <c r="D7" s="3" t="s">
        <v>19</v>
      </c>
    </row>
    <row r="8" spans="1:10" ht="17.649999999999999" x14ac:dyDescent="0.5">
      <c r="D8" s="3" t="s">
        <v>20</v>
      </c>
    </row>
    <row r="10" spans="1:10" ht="25.15" x14ac:dyDescent="0.7">
      <c r="D10" s="1" t="s">
        <v>21</v>
      </c>
    </row>
    <row r="11" spans="1:10" x14ac:dyDescent="0.5">
      <c r="D11" s="2" t="s">
        <v>8</v>
      </c>
      <c r="E11" s="2" t="s">
        <v>9</v>
      </c>
      <c r="F11" s="2" t="s">
        <v>10</v>
      </c>
    </row>
    <row r="12" spans="1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1:10" x14ac:dyDescent="0.5">
      <c r="D13" s="2">
        <v>500</v>
      </c>
      <c r="E13" s="2">
        <v>499</v>
      </c>
      <c r="F13" s="2">
        <v>332</v>
      </c>
      <c r="G13" s="2">
        <v>333</v>
      </c>
      <c r="H13" s="2">
        <v>334</v>
      </c>
      <c r="I13" s="2">
        <v>500</v>
      </c>
      <c r="J13" s="2">
        <v>499</v>
      </c>
    </row>
    <row r="14" spans="1:10" ht="17.649999999999999" x14ac:dyDescent="0.5">
      <c r="D14" s="3"/>
    </row>
    <row r="15" spans="1:10" x14ac:dyDescent="0.5">
      <c r="D15" s="2" t="s">
        <v>22</v>
      </c>
    </row>
    <row r="16" spans="1:10" x14ac:dyDescent="0.5">
      <c r="D16" s="2">
        <v>999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501</v>
      </c>
      <c r="F23" s="2">
        <v>332</v>
      </c>
      <c r="G23" s="2">
        <v>335</v>
      </c>
      <c r="H23" s="2">
        <v>334</v>
      </c>
      <c r="I23" s="2">
        <v>502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1001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45</v>
      </c>
      <c r="F31" s="2">
        <v>41</v>
      </c>
      <c r="G31" s="2">
        <v>46</v>
      </c>
      <c r="H31" s="2">
        <v>44</v>
      </c>
      <c r="I31" s="2">
        <v>35</v>
      </c>
      <c r="J31" s="2">
        <v>41</v>
      </c>
      <c r="K31" s="2">
        <v>42</v>
      </c>
      <c r="L31" s="2">
        <v>36</v>
      </c>
      <c r="M31" s="2">
        <v>43</v>
      </c>
      <c r="N31" s="2">
        <v>33</v>
      </c>
      <c r="O31" s="2">
        <v>43</v>
      </c>
      <c r="P31" s="2">
        <v>39</v>
      </c>
    </row>
    <row r="32" spans="4:16" x14ac:dyDescent="0.5">
      <c r="D32" s="2">
        <v>2</v>
      </c>
      <c r="E32" s="2">
        <v>39</v>
      </c>
      <c r="F32" s="2">
        <v>44</v>
      </c>
      <c r="G32" s="2">
        <v>44</v>
      </c>
      <c r="H32" s="2">
        <v>42</v>
      </c>
      <c r="I32" s="2">
        <v>37</v>
      </c>
      <c r="J32" s="2">
        <v>42</v>
      </c>
      <c r="K32" s="2">
        <v>37</v>
      </c>
      <c r="L32" s="2">
        <v>48</v>
      </c>
      <c r="M32" s="2">
        <v>45</v>
      </c>
      <c r="N32" s="2">
        <v>36</v>
      </c>
      <c r="O32" s="2">
        <v>44</v>
      </c>
      <c r="P32" s="2">
        <v>53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38</v>
      </c>
      <c r="F37" s="2">
        <v>42</v>
      </c>
      <c r="G37" s="2">
        <v>38</v>
      </c>
      <c r="H37" s="2">
        <v>39</v>
      </c>
      <c r="I37" s="2">
        <v>49</v>
      </c>
      <c r="J37" s="2">
        <v>42</v>
      </c>
      <c r="K37" s="2">
        <v>41</v>
      </c>
      <c r="L37" s="2">
        <v>47</v>
      </c>
      <c r="M37" s="2">
        <v>41</v>
      </c>
      <c r="N37" s="2">
        <v>50</v>
      </c>
      <c r="O37" s="2">
        <v>40</v>
      </c>
      <c r="P37" s="2">
        <v>45</v>
      </c>
    </row>
    <row r="38" spans="4:16" x14ac:dyDescent="0.5">
      <c r="D38" s="2">
        <v>2</v>
      </c>
      <c r="E38" s="2">
        <v>44</v>
      </c>
      <c r="F38" s="2">
        <v>39</v>
      </c>
      <c r="G38" s="2">
        <v>40</v>
      </c>
      <c r="H38" s="2">
        <v>41</v>
      </c>
      <c r="I38" s="2">
        <v>47</v>
      </c>
      <c r="J38" s="2">
        <v>41</v>
      </c>
      <c r="K38" s="2">
        <v>46</v>
      </c>
      <c r="L38" s="2">
        <v>35</v>
      </c>
      <c r="M38" s="2">
        <v>39</v>
      </c>
      <c r="N38" s="2">
        <v>47</v>
      </c>
      <c r="O38" s="2">
        <v>39</v>
      </c>
      <c r="P38" s="2">
        <v>31</v>
      </c>
    </row>
    <row r="39" spans="4:16" ht="17.649999999999999" x14ac:dyDescent="0.5">
      <c r="D39" s="3" t="s">
        <v>137</v>
      </c>
      <c r="E39">
        <f t="shared" ref="E39:P39" si="0">E31-E37</f>
        <v>7</v>
      </c>
      <c r="F39">
        <f t="shared" si="0"/>
        <v>-1</v>
      </c>
      <c r="G39">
        <f t="shared" si="0"/>
        <v>8</v>
      </c>
      <c r="H39">
        <f t="shared" si="0"/>
        <v>5</v>
      </c>
      <c r="I39">
        <f t="shared" si="0"/>
        <v>-14</v>
      </c>
      <c r="J39">
        <f t="shared" si="0"/>
        <v>-1</v>
      </c>
      <c r="K39">
        <f t="shared" si="0"/>
        <v>1</v>
      </c>
      <c r="L39">
        <f t="shared" si="0"/>
        <v>-11</v>
      </c>
      <c r="M39">
        <f t="shared" si="0"/>
        <v>2</v>
      </c>
      <c r="N39">
        <f t="shared" si="0"/>
        <v>-17</v>
      </c>
      <c r="O39">
        <f t="shared" si="0"/>
        <v>3</v>
      </c>
      <c r="P39">
        <f t="shared" si="0"/>
        <v>-6</v>
      </c>
    </row>
    <row r="40" spans="4:16" ht="17.649999999999999" x14ac:dyDescent="0.5">
      <c r="D40" s="3" t="s">
        <v>138</v>
      </c>
      <c r="E40">
        <f t="shared" ref="E40:P40" si="1">E32-E38</f>
        <v>-5</v>
      </c>
      <c r="F40">
        <f t="shared" si="1"/>
        <v>5</v>
      </c>
      <c r="G40">
        <f t="shared" si="1"/>
        <v>4</v>
      </c>
      <c r="H40">
        <f t="shared" si="1"/>
        <v>1</v>
      </c>
      <c r="I40">
        <f t="shared" si="1"/>
        <v>-10</v>
      </c>
      <c r="J40">
        <f t="shared" si="1"/>
        <v>1</v>
      </c>
      <c r="K40">
        <f t="shared" si="1"/>
        <v>-9</v>
      </c>
      <c r="L40">
        <f t="shared" si="1"/>
        <v>13</v>
      </c>
      <c r="M40">
        <f t="shared" si="1"/>
        <v>6</v>
      </c>
      <c r="N40">
        <f t="shared" si="1"/>
        <v>-11</v>
      </c>
      <c r="O40">
        <f t="shared" si="1"/>
        <v>5</v>
      </c>
      <c r="P40">
        <f t="shared" si="1"/>
        <v>22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84</v>
      </c>
      <c r="F44" s="2">
        <v>85</v>
      </c>
      <c r="G44" s="2">
        <v>90</v>
      </c>
      <c r="H44" s="2">
        <v>86</v>
      </c>
      <c r="I44" s="2">
        <v>72</v>
      </c>
      <c r="J44" s="2">
        <v>83</v>
      </c>
      <c r="K44" s="2">
        <v>79</v>
      </c>
      <c r="L44" s="2">
        <v>84</v>
      </c>
      <c r="M44" s="2">
        <v>88</v>
      </c>
      <c r="N44" s="2">
        <v>69</v>
      </c>
      <c r="O44" s="2">
        <v>87</v>
      </c>
      <c r="P44" s="2">
        <v>92</v>
      </c>
    </row>
    <row r="45" spans="4:16" x14ac:dyDescent="0.5">
      <c r="D45" s="2" t="s">
        <v>28</v>
      </c>
      <c r="E45" s="2">
        <v>82</v>
      </c>
      <c r="F45" s="2">
        <v>81</v>
      </c>
      <c r="G45" s="2">
        <v>78</v>
      </c>
      <c r="H45" s="2">
        <v>80</v>
      </c>
      <c r="I45" s="2">
        <v>96</v>
      </c>
      <c r="J45" s="2">
        <v>83</v>
      </c>
      <c r="K45" s="2">
        <v>87</v>
      </c>
      <c r="L45" s="2">
        <v>82</v>
      </c>
      <c r="M45" s="2">
        <v>80</v>
      </c>
      <c r="N45" s="2">
        <v>97</v>
      </c>
      <c r="O45" s="2">
        <v>79</v>
      </c>
      <c r="P45" s="2">
        <v>76</v>
      </c>
    </row>
    <row r="46" spans="4:16" x14ac:dyDescent="0.5">
      <c r="D46" s="2" t="s">
        <v>30</v>
      </c>
      <c r="E46" s="2">
        <v>2</v>
      </c>
      <c r="F46" s="2">
        <v>4</v>
      </c>
      <c r="G46" s="2">
        <v>12</v>
      </c>
      <c r="H46" s="2">
        <v>6</v>
      </c>
      <c r="I46" s="2">
        <v>-24</v>
      </c>
      <c r="J46" s="2">
        <v>0</v>
      </c>
      <c r="K46" s="2">
        <v>-8</v>
      </c>
      <c r="L46" s="2">
        <v>2</v>
      </c>
      <c r="M46" s="2">
        <v>8</v>
      </c>
      <c r="N46" s="2">
        <v>-28</v>
      </c>
      <c r="O46" s="2">
        <v>8</v>
      </c>
      <c r="P46" s="2">
        <v>16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499</v>
      </c>
      <c r="G51" s="2">
        <v>332</v>
      </c>
      <c r="H51" s="2">
        <v>333</v>
      </c>
      <c r="I51" s="2">
        <v>334</v>
      </c>
      <c r="J51" s="2">
        <v>500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501</v>
      </c>
      <c r="G52" s="2">
        <v>332</v>
      </c>
      <c r="H52" s="2">
        <v>335</v>
      </c>
      <c r="I52" s="2">
        <v>334</v>
      </c>
      <c r="J52" s="2">
        <v>502</v>
      </c>
      <c r="K52" s="2">
        <v>499</v>
      </c>
    </row>
    <row r="53" spans="4:11" x14ac:dyDescent="0.5">
      <c r="D53" s="2" t="s">
        <v>30</v>
      </c>
      <c r="E53" s="2">
        <v>0</v>
      </c>
      <c r="F53" s="2">
        <v>-2</v>
      </c>
      <c r="G53" s="2">
        <v>0</v>
      </c>
      <c r="H53" s="2">
        <v>-2</v>
      </c>
      <c r="I53" s="2">
        <v>0</v>
      </c>
      <c r="J53" s="2">
        <v>-2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82</v>
      </c>
      <c r="G56" s="2">
        <v>498</v>
      </c>
      <c r="H56" s="2">
        <v>810</v>
      </c>
      <c r="I56" s="2">
        <v>496</v>
      </c>
      <c r="J56" s="2">
        <v>108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156</v>
      </c>
    </row>
    <row r="61" spans="4:11" ht="17.649999999999999" x14ac:dyDescent="0.5">
      <c r="D61" s="3" t="s">
        <v>148</v>
      </c>
    </row>
    <row r="62" spans="4:11" ht="17.649999999999999" x14ac:dyDescent="0.5">
      <c r="D62" s="3" t="s">
        <v>78</v>
      </c>
    </row>
    <row r="63" spans="4:11" ht="17.649999999999999" x14ac:dyDescent="0.5">
      <c r="D63" s="3" t="s">
        <v>134</v>
      </c>
    </row>
    <row r="64" spans="4:11" ht="17.649999999999999" x14ac:dyDescent="0.5">
      <c r="D64" s="3" t="s">
        <v>72</v>
      </c>
    </row>
    <row r="65" spans="4:4" ht="17.649999999999999" x14ac:dyDescent="0.5">
      <c r="D65" s="3" t="s">
        <v>52</v>
      </c>
    </row>
    <row r="66" spans="4:4" ht="17.649999999999999" x14ac:dyDescent="0.5">
      <c r="D66" s="3" t="s">
        <v>45</v>
      </c>
    </row>
    <row r="67" spans="4:4" ht="17.649999999999999" x14ac:dyDescent="0.5">
      <c r="D67" s="3" t="s">
        <v>87</v>
      </c>
    </row>
    <row r="68" spans="4:4" ht="17.649999999999999" x14ac:dyDescent="0.5">
      <c r="D68" s="3" t="s">
        <v>61</v>
      </c>
    </row>
    <row r="69" spans="4:4" ht="17.649999999999999" x14ac:dyDescent="0.5">
      <c r="D69" s="3" t="s">
        <v>90</v>
      </c>
    </row>
    <row r="70" spans="4:4" ht="17.649999999999999" x14ac:dyDescent="0.5">
      <c r="D70" s="3" t="s">
        <v>76</v>
      </c>
    </row>
    <row r="71" spans="4:4" ht="17.649999999999999" x14ac:dyDescent="0.5">
      <c r="D71" s="3" t="s">
        <v>77</v>
      </c>
    </row>
    <row r="72" spans="4:4" ht="17.649999999999999" x14ac:dyDescent="0.5">
      <c r="D72" s="3" t="s">
        <v>107</v>
      </c>
    </row>
    <row r="73" spans="4:4" ht="17.649999999999999" x14ac:dyDescent="0.5">
      <c r="D73" s="3" t="s">
        <v>68</v>
      </c>
    </row>
    <row r="74" spans="4:4" ht="17.649999999999999" x14ac:dyDescent="0.5">
      <c r="D74" s="3" t="s">
        <v>98</v>
      </c>
    </row>
    <row r="75" spans="4:4" ht="17.649999999999999" x14ac:dyDescent="0.5">
      <c r="D75" s="3" t="s">
        <v>48</v>
      </c>
    </row>
    <row r="76" spans="4:4" ht="17.649999999999999" x14ac:dyDescent="0.5">
      <c r="D76" s="3" t="s">
        <v>50</v>
      </c>
    </row>
    <row r="77" spans="4:4" ht="17.649999999999999" x14ac:dyDescent="0.5">
      <c r="D77" s="3" t="s">
        <v>61</v>
      </c>
    </row>
    <row r="78" spans="4:4" ht="17.649999999999999" x14ac:dyDescent="0.5">
      <c r="D78" s="3" t="s">
        <v>77</v>
      </c>
    </row>
    <row r="79" spans="4:4" ht="17.649999999999999" x14ac:dyDescent="0.5">
      <c r="D79" s="3" t="s">
        <v>71</v>
      </c>
    </row>
    <row r="80" spans="4:4" ht="17.649999999999999" x14ac:dyDescent="0.5">
      <c r="D80" s="3" t="s">
        <v>85</v>
      </c>
    </row>
    <row r="81" spans="4:4" ht="17.649999999999999" x14ac:dyDescent="0.5">
      <c r="D81" s="3" t="s">
        <v>92</v>
      </c>
    </row>
    <row r="82" spans="4:4" ht="17.649999999999999" x14ac:dyDescent="0.5">
      <c r="D82" s="3" t="s">
        <v>49</v>
      </c>
    </row>
    <row r="83" spans="4:4" ht="17.649999999999999" x14ac:dyDescent="0.5">
      <c r="D83" s="3" t="s">
        <v>113</v>
      </c>
    </row>
    <row r="84" spans="4:4" ht="17.649999999999999" x14ac:dyDescent="0.5">
      <c r="D84" s="3" t="s">
        <v>57</v>
      </c>
    </row>
    <row r="85" spans="4:4" ht="17.649999999999999" x14ac:dyDescent="0.5">
      <c r="D85" s="3" t="s">
        <v>57</v>
      </c>
    </row>
    <row r="86" spans="4:4" ht="17.649999999999999" x14ac:dyDescent="0.5">
      <c r="D86" s="3" t="s">
        <v>78</v>
      </c>
    </row>
    <row r="87" spans="4:4" ht="17.649999999999999" x14ac:dyDescent="0.5">
      <c r="D87" s="3" t="s">
        <v>80</v>
      </c>
    </row>
    <row r="88" spans="4:4" ht="17.649999999999999" x14ac:dyDescent="0.5">
      <c r="D88" s="3" t="s">
        <v>90</v>
      </c>
    </row>
    <row r="89" spans="4:4" ht="17.649999999999999" x14ac:dyDescent="0.5">
      <c r="D89" s="3" t="s">
        <v>85</v>
      </c>
    </row>
    <row r="90" spans="4:4" ht="17.649999999999999" x14ac:dyDescent="0.5">
      <c r="D90" s="3" t="s">
        <v>83</v>
      </c>
    </row>
    <row r="91" spans="4:4" ht="17.649999999999999" x14ac:dyDescent="0.5">
      <c r="D91" s="3" t="s">
        <v>94</v>
      </c>
    </row>
    <row r="92" spans="4:4" ht="17.649999999999999" x14ac:dyDescent="0.5">
      <c r="D92" s="3" t="s">
        <v>96</v>
      </c>
    </row>
    <row r="93" spans="4:4" ht="17.649999999999999" x14ac:dyDescent="0.5">
      <c r="D93" s="3" t="s">
        <v>44</v>
      </c>
    </row>
    <row r="94" spans="4:4" ht="17.649999999999999" x14ac:dyDescent="0.5">
      <c r="D94" s="3" t="s">
        <v>133</v>
      </c>
    </row>
    <row r="95" spans="4:4" ht="17.649999999999999" x14ac:dyDescent="0.5">
      <c r="D95" s="3" t="s">
        <v>80</v>
      </c>
    </row>
    <row r="96" spans="4:4" ht="17.649999999999999" x14ac:dyDescent="0.5">
      <c r="D96" s="3" t="s">
        <v>54</v>
      </c>
    </row>
    <row r="97" spans="4:4" ht="17.649999999999999" x14ac:dyDescent="0.5">
      <c r="D97" s="3" t="s">
        <v>68</v>
      </c>
    </row>
    <row r="98" spans="4:4" ht="17.649999999999999" x14ac:dyDescent="0.5">
      <c r="D98" s="3" t="s">
        <v>88</v>
      </c>
    </row>
    <row r="99" spans="4:4" ht="17.649999999999999" x14ac:dyDescent="0.5">
      <c r="D99" s="3" t="s">
        <v>98</v>
      </c>
    </row>
    <row r="100" spans="4:4" ht="17.649999999999999" x14ac:dyDescent="0.5">
      <c r="D100" s="3" t="s">
        <v>64</v>
      </c>
    </row>
    <row r="101" spans="4:4" ht="17.649999999999999" x14ac:dyDescent="0.5">
      <c r="D101" s="3" t="s">
        <v>55</v>
      </c>
    </row>
    <row r="102" spans="4:4" ht="17.649999999999999" x14ac:dyDescent="0.5">
      <c r="D102" s="3" t="s">
        <v>81</v>
      </c>
    </row>
    <row r="103" spans="4:4" ht="17.649999999999999" x14ac:dyDescent="0.5">
      <c r="D103" s="3" t="s">
        <v>43</v>
      </c>
    </row>
    <row r="104" spans="4:4" ht="17.649999999999999" x14ac:dyDescent="0.5">
      <c r="D104" s="3" t="s">
        <v>72</v>
      </c>
    </row>
    <row r="105" spans="4:4" ht="17.649999999999999" x14ac:dyDescent="0.5">
      <c r="D105" s="3" t="s">
        <v>82</v>
      </c>
    </row>
    <row r="106" spans="4:4" ht="17.649999999999999" x14ac:dyDescent="0.5">
      <c r="D106" s="3" t="s">
        <v>41</v>
      </c>
    </row>
    <row r="107" spans="4:4" ht="17.649999999999999" x14ac:dyDescent="0.5">
      <c r="D107" s="3" t="s">
        <v>78</v>
      </c>
    </row>
    <row r="108" spans="4:4" ht="17.649999999999999" x14ac:dyDescent="0.5">
      <c r="D108" s="3" t="s">
        <v>80</v>
      </c>
    </row>
    <row r="109" spans="4:4" ht="17.649999999999999" x14ac:dyDescent="0.5">
      <c r="D109" s="3" t="s">
        <v>136</v>
      </c>
    </row>
    <row r="110" spans="4:4" ht="17.649999999999999" x14ac:dyDescent="0.5">
      <c r="D110" s="3" t="s">
        <v>90</v>
      </c>
    </row>
    <row r="111" spans="4:4" ht="17.649999999999999" x14ac:dyDescent="0.5">
      <c r="D111" s="3" t="s">
        <v>103</v>
      </c>
    </row>
    <row r="112" spans="4:4" ht="17.649999999999999" x14ac:dyDescent="0.5">
      <c r="D112" s="3" t="s">
        <v>103</v>
      </c>
    </row>
    <row r="113" spans="4:4" ht="17.649999999999999" x14ac:dyDescent="0.5">
      <c r="D113" s="3" t="s">
        <v>85</v>
      </c>
    </row>
    <row r="114" spans="4:4" ht="17.649999999999999" x14ac:dyDescent="0.5">
      <c r="D114" s="3" t="s">
        <v>132</v>
      </c>
    </row>
    <row r="115" spans="4:4" ht="17.649999999999999" x14ac:dyDescent="0.5">
      <c r="D115" s="3" t="s">
        <v>77</v>
      </c>
    </row>
    <row r="116" spans="4:4" ht="17.649999999999999" x14ac:dyDescent="0.5">
      <c r="D116" s="3" t="s">
        <v>60</v>
      </c>
    </row>
    <row r="117" spans="4:4" ht="17.649999999999999" x14ac:dyDescent="0.5">
      <c r="D117" s="3" t="s">
        <v>50</v>
      </c>
    </row>
    <row r="118" spans="4:4" ht="17.649999999999999" x14ac:dyDescent="0.5">
      <c r="D118" s="3" t="s">
        <v>59</v>
      </c>
    </row>
    <row r="119" spans="4:4" ht="17.649999999999999" x14ac:dyDescent="0.5">
      <c r="D119" s="3" t="s">
        <v>78</v>
      </c>
    </row>
    <row r="120" spans="4:4" ht="17.649999999999999" x14ac:dyDescent="0.5">
      <c r="D120" s="3" t="s">
        <v>101</v>
      </c>
    </row>
    <row r="121" spans="4:4" ht="17.649999999999999" x14ac:dyDescent="0.5">
      <c r="D121" s="3" t="s">
        <v>74</v>
      </c>
    </row>
    <row r="122" spans="4:4" ht="17.649999999999999" x14ac:dyDescent="0.5">
      <c r="D122" s="3" t="s">
        <v>48</v>
      </c>
    </row>
    <row r="123" spans="4:4" ht="17.649999999999999" x14ac:dyDescent="0.5">
      <c r="D123" s="3" t="s">
        <v>79</v>
      </c>
    </row>
    <row r="124" spans="4:4" ht="17.649999999999999" x14ac:dyDescent="0.5">
      <c r="D124" s="3" t="s">
        <v>63</v>
      </c>
    </row>
    <row r="125" spans="4:4" ht="17.649999999999999" x14ac:dyDescent="0.5">
      <c r="D125" s="3" t="s">
        <v>127</v>
      </c>
    </row>
    <row r="126" spans="4:4" ht="17.649999999999999" x14ac:dyDescent="0.5">
      <c r="D126" s="3" t="s">
        <v>64</v>
      </c>
    </row>
    <row r="127" spans="4:4" ht="17.649999999999999" x14ac:dyDescent="0.5">
      <c r="D127" s="3" t="s">
        <v>48</v>
      </c>
    </row>
    <row r="128" spans="4:4" ht="17.649999999999999" x14ac:dyDescent="0.5">
      <c r="D128" s="3" t="s">
        <v>136</v>
      </c>
    </row>
    <row r="129" spans="4:4" ht="17.649999999999999" x14ac:dyDescent="0.5">
      <c r="D129" s="3" t="s">
        <v>57</v>
      </c>
    </row>
    <row r="130" spans="4:4" ht="17.649999999999999" x14ac:dyDescent="0.5">
      <c r="D130" s="3" t="s">
        <v>113</v>
      </c>
    </row>
    <row r="131" spans="4:4" ht="17.649999999999999" x14ac:dyDescent="0.5">
      <c r="D131" s="3" t="s">
        <v>53</v>
      </c>
    </row>
    <row r="132" spans="4:4" ht="17.649999999999999" x14ac:dyDescent="0.5">
      <c r="D132" s="3" t="s">
        <v>64</v>
      </c>
    </row>
    <row r="133" spans="4:4" ht="17.649999999999999" x14ac:dyDescent="0.5">
      <c r="D133" s="3" t="s">
        <v>92</v>
      </c>
    </row>
    <row r="134" spans="4:4" ht="17.649999999999999" x14ac:dyDescent="0.5">
      <c r="D134" s="3" t="s">
        <v>67</v>
      </c>
    </row>
    <row r="135" spans="4:4" ht="17.649999999999999" x14ac:dyDescent="0.5">
      <c r="D135" s="3" t="s">
        <v>136</v>
      </c>
    </row>
    <row r="136" spans="4:4" ht="17.649999999999999" x14ac:dyDescent="0.5">
      <c r="D136" s="3" t="s">
        <v>84</v>
      </c>
    </row>
    <row r="137" spans="4:4" ht="17.649999999999999" x14ac:dyDescent="0.5">
      <c r="D137" s="3" t="s">
        <v>112</v>
      </c>
    </row>
    <row r="138" spans="4:4" ht="17.649999999999999" x14ac:dyDescent="0.5">
      <c r="D138" s="3" t="s">
        <v>52</v>
      </c>
    </row>
    <row r="139" spans="4:4" ht="17.649999999999999" x14ac:dyDescent="0.5">
      <c r="D139" s="3" t="s">
        <v>108</v>
      </c>
    </row>
    <row r="140" spans="4:4" ht="17.649999999999999" x14ac:dyDescent="0.5">
      <c r="D140" s="3" t="s">
        <v>90</v>
      </c>
    </row>
    <row r="141" spans="4:4" ht="17.649999999999999" x14ac:dyDescent="0.5">
      <c r="D141" s="3" t="s">
        <v>77</v>
      </c>
    </row>
    <row r="142" spans="4:4" ht="17.649999999999999" x14ac:dyDescent="0.5">
      <c r="D142" s="3" t="s">
        <v>51</v>
      </c>
    </row>
    <row r="143" spans="4:4" ht="17.649999999999999" x14ac:dyDescent="0.5">
      <c r="D143" s="3" t="s">
        <v>92</v>
      </c>
    </row>
    <row r="144" spans="4:4" ht="17.649999999999999" x14ac:dyDescent="0.5">
      <c r="D144" s="3" t="s">
        <v>125</v>
      </c>
    </row>
    <row r="145" spans="4:4" ht="17.649999999999999" x14ac:dyDescent="0.5">
      <c r="D145" s="3" t="s">
        <v>74</v>
      </c>
    </row>
    <row r="146" spans="4:4" ht="17.649999999999999" x14ac:dyDescent="0.5">
      <c r="D146" s="3" t="s">
        <v>52</v>
      </c>
    </row>
    <row r="147" spans="4:4" ht="17.649999999999999" x14ac:dyDescent="0.5">
      <c r="D147" s="3" t="s">
        <v>115</v>
      </c>
    </row>
    <row r="148" spans="4:4" ht="17.649999999999999" x14ac:dyDescent="0.5">
      <c r="D148" s="3" t="s">
        <v>54</v>
      </c>
    </row>
    <row r="149" spans="4:4" ht="17.649999999999999" x14ac:dyDescent="0.5">
      <c r="D149" s="3" t="s">
        <v>41</v>
      </c>
    </row>
    <row r="150" spans="4:4" ht="17.649999999999999" x14ac:dyDescent="0.5">
      <c r="D150" s="3" t="s">
        <v>62</v>
      </c>
    </row>
    <row r="151" spans="4:4" ht="17.649999999999999" x14ac:dyDescent="0.5">
      <c r="D151" s="3" t="s">
        <v>101</v>
      </c>
    </row>
    <row r="152" spans="4:4" ht="17.649999999999999" x14ac:dyDescent="0.5">
      <c r="D152" s="3" t="s">
        <v>103</v>
      </c>
    </row>
    <row r="153" spans="4:4" ht="17.649999999999999" x14ac:dyDescent="0.5">
      <c r="D153" s="3" t="s">
        <v>83</v>
      </c>
    </row>
    <row r="154" spans="4:4" ht="17.649999999999999" x14ac:dyDescent="0.5">
      <c r="D154" s="3" t="s">
        <v>117</v>
      </c>
    </row>
    <row r="155" spans="4:4" ht="17.649999999999999" x14ac:dyDescent="0.5">
      <c r="D155" s="3" t="s">
        <v>81</v>
      </c>
    </row>
    <row r="156" spans="4:4" ht="17.649999999999999" x14ac:dyDescent="0.5">
      <c r="D156" s="3" t="s">
        <v>66</v>
      </c>
    </row>
    <row r="157" spans="4:4" ht="17.649999999999999" x14ac:dyDescent="0.5">
      <c r="D157" s="3" t="s">
        <v>51</v>
      </c>
    </row>
    <row r="158" spans="4:4" ht="17.649999999999999" x14ac:dyDescent="0.5">
      <c r="D158" s="3" t="s">
        <v>50</v>
      </c>
    </row>
    <row r="159" spans="4:4" ht="17.649999999999999" x14ac:dyDescent="0.5">
      <c r="D159" s="3" t="s">
        <v>62</v>
      </c>
    </row>
    <row r="160" spans="4:4" ht="17.649999999999999" x14ac:dyDescent="0.5">
      <c r="D160" s="3" t="s">
        <v>64</v>
      </c>
    </row>
    <row r="161" spans="4:4" ht="17.649999999999999" x14ac:dyDescent="0.5">
      <c r="D161" s="3" t="s">
        <v>67</v>
      </c>
    </row>
    <row r="162" spans="4:4" ht="17.649999999999999" x14ac:dyDescent="0.5">
      <c r="D162" s="3" t="s">
        <v>69</v>
      </c>
    </row>
    <row r="163" spans="4:4" ht="17.649999999999999" x14ac:dyDescent="0.5">
      <c r="D163" s="3" t="s">
        <v>83</v>
      </c>
    </row>
    <row r="164" spans="4:4" ht="17.649999999999999" x14ac:dyDescent="0.5">
      <c r="D164" s="3" t="s">
        <v>115</v>
      </c>
    </row>
    <row r="165" spans="4:4" ht="17.649999999999999" x14ac:dyDescent="0.5">
      <c r="D165" s="3" t="s">
        <v>93</v>
      </c>
    </row>
    <row r="166" spans="4:4" ht="17.649999999999999" x14ac:dyDescent="0.5">
      <c r="D166" s="3" t="s">
        <v>51</v>
      </c>
    </row>
    <row r="167" spans="4:4" ht="17.649999999999999" x14ac:dyDescent="0.5">
      <c r="D167" s="3" t="s">
        <v>77</v>
      </c>
    </row>
    <row r="168" spans="4:4" ht="17.649999999999999" x14ac:dyDescent="0.5">
      <c r="D168" s="3" t="s">
        <v>69</v>
      </c>
    </row>
    <row r="169" spans="4:4" ht="17.649999999999999" x14ac:dyDescent="0.5">
      <c r="D169" s="3" t="s">
        <v>90</v>
      </c>
    </row>
    <row r="170" spans="4:4" ht="17.649999999999999" x14ac:dyDescent="0.5">
      <c r="D170" s="3" t="s">
        <v>117</v>
      </c>
    </row>
    <row r="171" spans="4:4" ht="17.649999999999999" x14ac:dyDescent="0.5">
      <c r="D171" s="3" t="s">
        <v>111</v>
      </c>
    </row>
    <row r="172" spans="4:4" ht="17.649999999999999" x14ac:dyDescent="0.5">
      <c r="D172" s="3" t="s">
        <v>67</v>
      </c>
    </row>
    <row r="173" spans="4:4" ht="17.649999999999999" x14ac:dyDescent="0.5">
      <c r="D173" s="3" t="s">
        <v>90</v>
      </c>
    </row>
    <row r="174" spans="4:4" ht="17.649999999999999" x14ac:dyDescent="0.5">
      <c r="D174" s="3" t="s">
        <v>124</v>
      </c>
    </row>
    <row r="175" spans="4:4" ht="17.649999999999999" x14ac:dyDescent="0.5">
      <c r="D175" s="3" t="s">
        <v>57</v>
      </c>
    </row>
    <row r="176" spans="4:4" ht="17.649999999999999" x14ac:dyDescent="0.5">
      <c r="D176" s="3" t="s">
        <v>105</v>
      </c>
    </row>
    <row r="177" spans="4:4" ht="17.649999999999999" x14ac:dyDescent="0.5">
      <c r="D177" s="3" t="s">
        <v>109</v>
      </c>
    </row>
    <row r="178" spans="4:4" ht="17.649999999999999" x14ac:dyDescent="0.5">
      <c r="D178" s="3" t="s">
        <v>59</v>
      </c>
    </row>
    <row r="179" spans="4:4" ht="17.649999999999999" x14ac:dyDescent="0.5">
      <c r="D179" s="3" t="s">
        <v>94</v>
      </c>
    </row>
    <row r="180" spans="4:4" ht="17.649999999999999" x14ac:dyDescent="0.5">
      <c r="D180" s="3" t="s">
        <v>127</v>
      </c>
    </row>
    <row r="181" spans="4:4" ht="17.649999999999999" x14ac:dyDescent="0.5">
      <c r="D181" s="3" t="s">
        <v>67</v>
      </c>
    </row>
    <row r="182" spans="4:4" ht="17.649999999999999" x14ac:dyDescent="0.5">
      <c r="D182" s="3" t="s">
        <v>63</v>
      </c>
    </row>
    <row r="183" spans="4:4" ht="17.649999999999999" x14ac:dyDescent="0.5">
      <c r="D183" s="3" t="s">
        <v>127</v>
      </c>
    </row>
    <row r="184" spans="4:4" ht="17.649999999999999" x14ac:dyDescent="0.5">
      <c r="D184" s="3" t="s">
        <v>101</v>
      </c>
    </row>
    <row r="185" spans="4:4" ht="17.649999999999999" x14ac:dyDescent="0.5">
      <c r="D185" s="3" t="s">
        <v>47</v>
      </c>
    </row>
    <row r="186" spans="4:4" ht="17.649999999999999" x14ac:dyDescent="0.5">
      <c r="D186" s="3" t="s">
        <v>84</v>
      </c>
    </row>
    <row r="187" spans="4:4" ht="17.649999999999999" x14ac:dyDescent="0.5">
      <c r="D187" s="3" t="s">
        <v>65</v>
      </c>
    </row>
    <row r="188" spans="4:4" ht="17.649999999999999" x14ac:dyDescent="0.5">
      <c r="D188" s="3" t="s">
        <v>77</v>
      </c>
    </row>
    <row r="189" spans="4:4" ht="17.649999999999999" x14ac:dyDescent="0.5">
      <c r="D189" s="3" t="s">
        <v>84</v>
      </c>
    </row>
    <row r="190" spans="4:4" ht="17.649999999999999" x14ac:dyDescent="0.5">
      <c r="D190" s="3" t="s">
        <v>58</v>
      </c>
    </row>
    <row r="191" spans="4:4" ht="17.649999999999999" x14ac:dyDescent="0.5">
      <c r="D191" s="3" t="s">
        <v>55</v>
      </c>
    </row>
    <row r="192" spans="4:4" ht="17.649999999999999" x14ac:dyDescent="0.5">
      <c r="D192" s="3" t="s">
        <v>75</v>
      </c>
    </row>
    <row r="193" spans="4:4" ht="17.649999999999999" x14ac:dyDescent="0.5">
      <c r="D193" s="3" t="s">
        <v>65</v>
      </c>
    </row>
    <row r="194" spans="4:4" ht="17.649999999999999" x14ac:dyDescent="0.5">
      <c r="D194" s="3" t="s">
        <v>43</v>
      </c>
    </row>
    <row r="195" spans="4:4" ht="17.649999999999999" x14ac:dyDescent="0.5">
      <c r="D195" s="3" t="s">
        <v>55</v>
      </c>
    </row>
    <row r="196" spans="4:4" ht="17.649999999999999" x14ac:dyDescent="0.5">
      <c r="D196" s="3" t="s">
        <v>75</v>
      </c>
    </row>
    <row r="197" spans="4:4" ht="17.649999999999999" x14ac:dyDescent="0.5">
      <c r="D197" s="3" t="s">
        <v>48</v>
      </c>
    </row>
    <row r="198" spans="4:4" ht="17.649999999999999" x14ac:dyDescent="0.5">
      <c r="D198" s="3" t="s">
        <v>60</v>
      </c>
    </row>
    <row r="199" spans="4:4" ht="17.649999999999999" x14ac:dyDescent="0.5">
      <c r="D199" s="3" t="s">
        <v>74</v>
      </c>
    </row>
    <row r="200" spans="4:4" ht="17.649999999999999" x14ac:dyDescent="0.5">
      <c r="D200" s="3" t="s">
        <v>105</v>
      </c>
    </row>
    <row r="201" spans="4:4" ht="17.649999999999999" x14ac:dyDescent="0.5">
      <c r="D201" s="3" t="s">
        <v>115</v>
      </c>
    </row>
    <row r="202" spans="4:4" ht="17.649999999999999" x14ac:dyDescent="0.5">
      <c r="D202" s="3" t="s">
        <v>66</v>
      </c>
    </row>
    <row r="203" spans="4:4" ht="17.649999999999999" x14ac:dyDescent="0.5">
      <c r="D203" s="3" t="s">
        <v>96</v>
      </c>
    </row>
    <row r="204" spans="4:4" ht="17.649999999999999" x14ac:dyDescent="0.5">
      <c r="D204" s="3" t="s">
        <v>90</v>
      </c>
    </row>
    <row r="205" spans="4:4" ht="17.649999999999999" x14ac:dyDescent="0.5">
      <c r="D205" s="3" t="s">
        <v>54</v>
      </c>
    </row>
    <row r="206" spans="4:4" ht="17.649999999999999" x14ac:dyDescent="0.5">
      <c r="D206" s="3" t="s">
        <v>53</v>
      </c>
    </row>
    <row r="207" spans="4:4" ht="17.649999999999999" x14ac:dyDescent="0.5">
      <c r="D207" s="3" t="s">
        <v>91</v>
      </c>
    </row>
    <row r="208" spans="4:4" ht="17.649999999999999" x14ac:dyDescent="0.5">
      <c r="D208" s="3" t="s">
        <v>84</v>
      </c>
    </row>
    <row r="209" spans="4:4" ht="17.649999999999999" x14ac:dyDescent="0.5">
      <c r="D209" s="3" t="s">
        <v>46</v>
      </c>
    </row>
    <row r="210" spans="4:4" ht="17.649999999999999" x14ac:dyDescent="0.5">
      <c r="D210" s="3" t="s">
        <v>87</v>
      </c>
    </row>
    <row r="211" spans="4:4" ht="17.649999999999999" x14ac:dyDescent="0.5">
      <c r="D211" s="3" t="s">
        <v>96</v>
      </c>
    </row>
    <row r="212" spans="4:4" ht="17.649999999999999" x14ac:dyDescent="0.5">
      <c r="D212" s="3" t="s">
        <v>43</v>
      </c>
    </row>
    <row r="213" spans="4:4" ht="17.649999999999999" x14ac:dyDescent="0.5">
      <c r="D213" s="3" t="s">
        <v>112</v>
      </c>
    </row>
    <row r="214" spans="4:4" ht="17.649999999999999" x14ac:dyDescent="0.5">
      <c r="D214" s="3" t="s">
        <v>63</v>
      </c>
    </row>
    <row r="215" spans="4:4" ht="17.649999999999999" x14ac:dyDescent="0.5">
      <c r="D215" s="3" t="s">
        <v>64</v>
      </c>
    </row>
    <row r="216" spans="4:4" ht="17.649999999999999" x14ac:dyDescent="0.5">
      <c r="D216" s="3" t="s">
        <v>61</v>
      </c>
    </row>
    <row r="217" spans="4:4" ht="17.649999999999999" x14ac:dyDescent="0.5">
      <c r="D217" s="3" t="s">
        <v>85</v>
      </c>
    </row>
    <row r="218" spans="4:4" ht="17.649999999999999" x14ac:dyDescent="0.5">
      <c r="D218" s="3" t="s">
        <v>57</v>
      </c>
    </row>
    <row r="219" spans="4:4" ht="17.649999999999999" x14ac:dyDescent="0.5">
      <c r="D219" s="3" t="s">
        <v>63</v>
      </c>
    </row>
    <row r="220" spans="4:4" ht="17.649999999999999" x14ac:dyDescent="0.5">
      <c r="D220" s="3" t="s">
        <v>47</v>
      </c>
    </row>
    <row r="221" spans="4:4" ht="17.649999999999999" x14ac:dyDescent="0.5">
      <c r="D221" s="3" t="s">
        <v>69</v>
      </c>
    </row>
    <row r="222" spans="4:4" ht="17.649999999999999" x14ac:dyDescent="0.5">
      <c r="D222" s="3" t="s">
        <v>61</v>
      </c>
    </row>
    <row r="223" spans="4:4" ht="17.649999999999999" x14ac:dyDescent="0.5">
      <c r="D223" s="3" t="s">
        <v>50</v>
      </c>
    </row>
    <row r="224" spans="4:4" ht="17.649999999999999" x14ac:dyDescent="0.5">
      <c r="D224" s="3" t="s">
        <v>49</v>
      </c>
    </row>
    <row r="225" spans="4:4" ht="17.649999999999999" x14ac:dyDescent="0.5">
      <c r="D225" s="3" t="s">
        <v>107</v>
      </c>
    </row>
    <row r="226" spans="4:4" ht="17.649999999999999" x14ac:dyDescent="0.5">
      <c r="D226" s="3" t="s">
        <v>90</v>
      </c>
    </row>
    <row r="227" spans="4:4" ht="17.649999999999999" x14ac:dyDescent="0.5">
      <c r="D227" s="3" t="s">
        <v>81</v>
      </c>
    </row>
    <row r="228" spans="4:4" ht="17.649999999999999" x14ac:dyDescent="0.5">
      <c r="D228" s="3" t="s">
        <v>108</v>
      </c>
    </row>
    <row r="229" spans="4:4" ht="17.649999999999999" x14ac:dyDescent="0.5">
      <c r="D229" s="3" t="s">
        <v>100</v>
      </c>
    </row>
    <row r="230" spans="4:4" ht="17.649999999999999" x14ac:dyDescent="0.5">
      <c r="D230" s="3" t="s">
        <v>101</v>
      </c>
    </row>
    <row r="231" spans="4:4" ht="17.649999999999999" x14ac:dyDescent="0.5">
      <c r="D231" s="3" t="s">
        <v>105</v>
      </c>
    </row>
    <row r="232" spans="4:4" ht="17.649999999999999" x14ac:dyDescent="0.5">
      <c r="D232" s="3" t="s">
        <v>74</v>
      </c>
    </row>
    <row r="233" spans="4:4" ht="17.649999999999999" x14ac:dyDescent="0.5">
      <c r="D233" s="3" t="s">
        <v>115</v>
      </c>
    </row>
    <row r="234" spans="4:4" ht="17.649999999999999" x14ac:dyDescent="0.5">
      <c r="D234" s="3" t="s">
        <v>56</v>
      </c>
    </row>
    <row r="235" spans="4:4" ht="17.649999999999999" x14ac:dyDescent="0.5">
      <c r="D235" s="3" t="s">
        <v>51</v>
      </c>
    </row>
    <row r="236" spans="4:4" ht="17.649999999999999" x14ac:dyDescent="0.5">
      <c r="D236" s="3" t="s">
        <v>46</v>
      </c>
    </row>
    <row r="237" spans="4:4" ht="17.649999999999999" x14ac:dyDescent="0.5">
      <c r="D237" s="3" t="s">
        <v>80</v>
      </c>
    </row>
    <row r="238" spans="4:4" ht="17.649999999999999" x14ac:dyDescent="0.5">
      <c r="D238" s="3" t="s">
        <v>61</v>
      </c>
    </row>
    <row r="239" spans="4:4" ht="17.649999999999999" x14ac:dyDescent="0.5">
      <c r="D239" s="3" t="s">
        <v>117</v>
      </c>
    </row>
    <row r="240" spans="4:4" ht="17.649999999999999" x14ac:dyDescent="0.5">
      <c r="D240" s="3" t="s">
        <v>126</v>
      </c>
    </row>
    <row r="241" spans="4:4" ht="17.649999999999999" x14ac:dyDescent="0.5">
      <c r="D241" s="3" t="s">
        <v>105</v>
      </c>
    </row>
    <row r="242" spans="4:4" ht="17.649999999999999" x14ac:dyDescent="0.5">
      <c r="D242" s="3" t="s">
        <v>53</v>
      </c>
    </row>
    <row r="243" spans="4:4" ht="17.649999999999999" x14ac:dyDescent="0.5">
      <c r="D243" s="3" t="s">
        <v>47</v>
      </c>
    </row>
    <row r="244" spans="4:4" ht="17.649999999999999" x14ac:dyDescent="0.5">
      <c r="D244" s="3" t="s">
        <v>41</v>
      </c>
    </row>
    <row r="245" spans="4:4" ht="17.649999999999999" x14ac:dyDescent="0.5">
      <c r="D245" s="3" t="s">
        <v>85</v>
      </c>
    </row>
    <row r="246" spans="4:4" ht="17.649999999999999" x14ac:dyDescent="0.5">
      <c r="D246" s="3" t="s">
        <v>77</v>
      </c>
    </row>
    <row r="247" spans="4:4" ht="17.649999999999999" x14ac:dyDescent="0.5">
      <c r="D247" s="3" t="s">
        <v>102</v>
      </c>
    </row>
    <row r="248" spans="4:4" ht="17.649999999999999" x14ac:dyDescent="0.5">
      <c r="D248" s="3" t="s">
        <v>55</v>
      </c>
    </row>
    <row r="249" spans="4:4" ht="17.649999999999999" x14ac:dyDescent="0.5">
      <c r="D249" s="3" t="s">
        <v>98</v>
      </c>
    </row>
    <row r="250" spans="4:4" ht="17.649999999999999" x14ac:dyDescent="0.5">
      <c r="D250" s="3" t="s">
        <v>87</v>
      </c>
    </row>
    <row r="251" spans="4:4" ht="17.649999999999999" x14ac:dyDescent="0.5">
      <c r="D251" s="3" t="s">
        <v>67</v>
      </c>
    </row>
    <row r="252" spans="4:4" ht="17.649999999999999" x14ac:dyDescent="0.5">
      <c r="D252" s="3" t="s">
        <v>64</v>
      </c>
    </row>
    <row r="253" spans="4:4" ht="17.649999999999999" x14ac:dyDescent="0.5">
      <c r="D253" s="3" t="s">
        <v>48</v>
      </c>
    </row>
    <row r="254" spans="4:4" ht="17.649999999999999" x14ac:dyDescent="0.5">
      <c r="D254" s="3" t="s">
        <v>96</v>
      </c>
    </row>
    <row r="255" spans="4:4" ht="17.649999999999999" x14ac:dyDescent="0.5">
      <c r="D255" s="3" t="s">
        <v>94</v>
      </c>
    </row>
    <row r="256" spans="4:4" ht="17.649999999999999" x14ac:dyDescent="0.5">
      <c r="D256" s="3" t="s">
        <v>129</v>
      </c>
    </row>
    <row r="257" spans="4:4" ht="17.649999999999999" x14ac:dyDescent="0.5">
      <c r="D257" s="3" t="s">
        <v>94</v>
      </c>
    </row>
    <row r="258" spans="4:4" ht="17.649999999999999" x14ac:dyDescent="0.5">
      <c r="D258" s="3" t="s">
        <v>87</v>
      </c>
    </row>
    <row r="259" spans="4:4" ht="17.649999999999999" x14ac:dyDescent="0.5">
      <c r="D259" s="3" t="s">
        <v>99</v>
      </c>
    </row>
    <row r="260" spans="4:4" ht="17.649999999999999" x14ac:dyDescent="0.5">
      <c r="D260" s="3" t="s">
        <v>67</v>
      </c>
    </row>
    <row r="261" spans="4:4" ht="17.649999999999999" x14ac:dyDescent="0.5">
      <c r="D261" s="3" t="s">
        <v>70</v>
      </c>
    </row>
    <row r="262" spans="4:4" ht="17.649999999999999" x14ac:dyDescent="0.5">
      <c r="D262" s="3" t="s">
        <v>61</v>
      </c>
    </row>
    <row r="263" spans="4:4" ht="17.649999999999999" x14ac:dyDescent="0.5">
      <c r="D263" s="3" t="s">
        <v>111</v>
      </c>
    </row>
    <row r="264" spans="4:4" ht="17.649999999999999" x14ac:dyDescent="0.5">
      <c r="D264" s="3" t="s">
        <v>133</v>
      </c>
    </row>
    <row r="265" spans="4:4" ht="17.649999999999999" x14ac:dyDescent="0.5">
      <c r="D265" s="3" t="s">
        <v>73</v>
      </c>
    </row>
    <row r="266" spans="4:4" ht="17.649999999999999" x14ac:dyDescent="0.5">
      <c r="D266" s="3" t="s">
        <v>66</v>
      </c>
    </row>
    <row r="267" spans="4:4" ht="17.649999999999999" x14ac:dyDescent="0.5">
      <c r="D267" s="3" t="s">
        <v>90</v>
      </c>
    </row>
    <row r="268" spans="4:4" ht="17.649999999999999" x14ac:dyDescent="0.5">
      <c r="D268" s="3" t="s">
        <v>101</v>
      </c>
    </row>
    <row r="269" spans="4:4" ht="17.649999999999999" x14ac:dyDescent="0.5">
      <c r="D269" s="3" t="s">
        <v>41</v>
      </c>
    </row>
    <row r="270" spans="4:4" ht="17.649999999999999" x14ac:dyDescent="0.5">
      <c r="D270" s="3" t="s">
        <v>99</v>
      </c>
    </row>
    <row r="271" spans="4:4" ht="17.649999999999999" x14ac:dyDescent="0.5">
      <c r="D271" s="3" t="s">
        <v>80</v>
      </c>
    </row>
    <row r="272" spans="4:4" ht="17.649999999999999" x14ac:dyDescent="0.5">
      <c r="D272" s="3" t="s">
        <v>69</v>
      </c>
    </row>
    <row r="273" spans="4:4" ht="17.649999999999999" x14ac:dyDescent="0.5">
      <c r="D273" s="3" t="s">
        <v>64</v>
      </c>
    </row>
    <row r="274" spans="4:4" ht="17.649999999999999" x14ac:dyDescent="0.5">
      <c r="D274" s="3" t="s">
        <v>41</v>
      </c>
    </row>
    <row r="275" spans="4:4" ht="17.649999999999999" x14ac:dyDescent="0.5">
      <c r="D275" s="3" t="s">
        <v>75</v>
      </c>
    </row>
    <row r="276" spans="4:4" ht="17.649999999999999" x14ac:dyDescent="0.5">
      <c r="D276" s="3" t="s">
        <v>115</v>
      </c>
    </row>
    <row r="277" spans="4:4" ht="17.649999999999999" x14ac:dyDescent="0.5">
      <c r="D277" s="3" t="s">
        <v>85</v>
      </c>
    </row>
    <row r="278" spans="4:4" ht="17.649999999999999" x14ac:dyDescent="0.5">
      <c r="D278" s="3" t="s">
        <v>96</v>
      </c>
    </row>
    <row r="279" spans="4:4" ht="17.649999999999999" x14ac:dyDescent="0.5">
      <c r="D279" s="3" t="s">
        <v>114</v>
      </c>
    </row>
    <row r="280" spans="4:4" ht="17.649999999999999" x14ac:dyDescent="0.5">
      <c r="D280" s="3" t="s">
        <v>66</v>
      </c>
    </row>
    <row r="281" spans="4:4" ht="17.649999999999999" x14ac:dyDescent="0.5">
      <c r="D281" s="3" t="s">
        <v>89</v>
      </c>
    </row>
    <row r="282" spans="4:4" ht="17.649999999999999" x14ac:dyDescent="0.5">
      <c r="D282" s="3" t="s">
        <v>102</v>
      </c>
    </row>
    <row r="283" spans="4:4" ht="17.649999999999999" x14ac:dyDescent="0.5">
      <c r="D283" s="3" t="s">
        <v>122</v>
      </c>
    </row>
    <row r="284" spans="4:4" ht="17.649999999999999" x14ac:dyDescent="0.5">
      <c r="D284" s="3" t="s">
        <v>56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132</v>
      </c>
    </row>
    <row r="287" spans="4:4" ht="17.649999999999999" x14ac:dyDescent="0.5">
      <c r="D287" s="3" t="s">
        <v>99</v>
      </c>
    </row>
    <row r="288" spans="4:4" ht="17.649999999999999" x14ac:dyDescent="0.5">
      <c r="D288" s="3" t="s">
        <v>59</v>
      </c>
    </row>
    <row r="289" spans="4:4" ht="17.649999999999999" x14ac:dyDescent="0.5">
      <c r="D289" s="3" t="s">
        <v>116</v>
      </c>
    </row>
    <row r="290" spans="4:4" ht="17.649999999999999" x14ac:dyDescent="0.5">
      <c r="D290" s="3" t="s">
        <v>103</v>
      </c>
    </row>
    <row r="291" spans="4:4" ht="17.649999999999999" x14ac:dyDescent="0.5">
      <c r="D291" s="3" t="s">
        <v>90</v>
      </c>
    </row>
    <row r="292" spans="4:4" ht="17.649999999999999" x14ac:dyDescent="0.5">
      <c r="D292" s="3" t="s">
        <v>91</v>
      </c>
    </row>
    <row r="293" spans="4:4" ht="17.649999999999999" x14ac:dyDescent="0.5">
      <c r="D293" s="3" t="s">
        <v>50</v>
      </c>
    </row>
    <row r="294" spans="4:4" ht="17.649999999999999" x14ac:dyDescent="0.5">
      <c r="D294" s="3" t="s">
        <v>41</v>
      </c>
    </row>
    <row r="295" spans="4:4" ht="17.649999999999999" x14ac:dyDescent="0.5">
      <c r="D295" s="3" t="s">
        <v>61</v>
      </c>
    </row>
    <row r="296" spans="4:4" ht="17.649999999999999" x14ac:dyDescent="0.5">
      <c r="D296" s="3" t="s">
        <v>53</v>
      </c>
    </row>
    <row r="297" spans="4:4" ht="17.649999999999999" x14ac:dyDescent="0.5">
      <c r="D297" s="3" t="s">
        <v>97</v>
      </c>
    </row>
    <row r="298" spans="4:4" ht="17.649999999999999" x14ac:dyDescent="0.5">
      <c r="D298" s="3" t="s">
        <v>125</v>
      </c>
    </row>
    <row r="299" spans="4:4" ht="17.649999999999999" x14ac:dyDescent="0.5">
      <c r="D299" s="3" t="s">
        <v>120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81</v>
      </c>
    </row>
    <row r="302" spans="4:4" ht="17.649999999999999" x14ac:dyDescent="0.5">
      <c r="D302" s="3" t="s">
        <v>87</v>
      </c>
    </row>
    <row r="303" spans="4:4" ht="17.649999999999999" x14ac:dyDescent="0.5">
      <c r="D303" s="3" t="s">
        <v>107</v>
      </c>
    </row>
    <row r="304" spans="4:4" ht="17.649999999999999" x14ac:dyDescent="0.5">
      <c r="D304" s="3" t="s">
        <v>114</v>
      </c>
    </row>
    <row r="305" spans="4:4" ht="17.649999999999999" x14ac:dyDescent="0.5">
      <c r="D305" s="3" t="s">
        <v>113</v>
      </c>
    </row>
    <row r="306" spans="4:4" ht="17.649999999999999" x14ac:dyDescent="0.5">
      <c r="D306" s="3" t="s">
        <v>61</v>
      </c>
    </row>
    <row r="307" spans="4:4" ht="17.649999999999999" x14ac:dyDescent="0.5">
      <c r="D307" s="3" t="s">
        <v>77</v>
      </c>
    </row>
    <row r="308" spans="4:4" ht="17.649999999999999" x14ac:dyDescent="0.5">
      <c r="D308" s="3" t="s">
        <v>47</v>
      </c>
    </row>
    <row r="309" spans="4:4" ht="17.649999999999999" x14ac:dyDescent="0.5">
      <c r="D309" s="3" t="s">
        <v>94</v>
      </c>
    </row>
    <row r="310" spans="4:4" ht="17.649999999999999" x14ac:dyDescent="0.5">
      <c r="D310" s="3" t="s">
        <v>126</v>
      </c>
    </row>
    <row r="311" spans="4:4" ht="17.649999999999999" x14ac:dyDescent="0.5">
      <c r="D311" s="3" t="s">
        <v>67</v>
      </c>
    </row>
    <row r="312" spans="4:4" ht="17.649999999999999" x14ac:dyDescent="0.5">
      <c r="D312" s="3" t="s">
        <v>85</v>
      </c>
    </row>
    <row r="313" spans="4:4" ht="17.649999999999999" x14ac:dyDescent="0.5">
      <c r="D313" s="3" t="s">
        <v>101</v>
      </c>
    </row>
    <row r="314" spans="4:4" ht="17.649999999999999" x14ac:dyDescent="0.5">
      <c r="D314" s="3" t="s">
        <v>48</v>
      </c>
    </row>
    <row r="315" spans="4:4" ht="17.649999999999999" x14ac:dyDescent="0.5">
      <c r="D315" s="3" t="s">
        <v>51</v>
      </c>
    </row>
    <row r="316" spans="4:4" ht="17.649999999999999" x14ac:dyDescent="0.5">
      <c r="D316" s="3" t="s">
        <v>62</v>
      </c>
    </row>
    <row r="317" spans="4:4" ht="17.649999999999999" x14ac:dyDescent="0.5">
      <c r="D317" s="3" t="s">
        <v>66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135</v>
      </c>
    </row>
    <row r="320" spans="4:4" ht="17.649999999999999" x14ac:dyDescent="0.5">
      <c r="D320" s="3" t="s">
        <v>43</v>
      </c>
    </row>
    <row r="321" spans="4:4" ht="17.649999999999999" x14ac:dyDescent="0.5">
      <c r="D321" s="3" t="s">
        <v>49</v>
      </c>
    </row>
    <row r="322" spans="4:4" ht="17.649999999999999" x14ac:dyDescent="0.5">
      <c r="D322" s="3" t="s">
        <v>58</v>
      </c>
    </row>
    <row r="323" spans="4:4" ht="17.649999999999999" x14ac:dyDescent="0.5">
      <c r="D323" s="3" t="s">
        <v>92</v>
      </c>
    </row>
    <row r="324" spans="4:4" ht="17.649999999999999" x14ac:dyDescent="0.5">
      <c r="D324" s="3" t="s">
        <v>51</v>
      </c>
    </row>
    <row r="325" spans="4:4" ht="17.649999999999999" x14ac:dyDescent="0.5">
      <c r="D325" s="3" t="s">
        <v>66</v>
      </c>
    </row>
    <row r="326" spans="4:4" ht="17.649999999999999" x14ac:dyDescent="0.5">
      <c r="D326" s="3" t="s">
        <v>50</v>
      </c>
    </row>
    <row r="327" spans="4:4" ht="17.649999999999999" x14ac:dyDescent="0.5">
      <c r="D327" s="3" t="s">
        <v>57</v>
      </c>
    </row>
    <row r="328" spans="4:4" ht="17.649999999999999" x14ac:dyDescent="0.5">
      <c r="D328" s="3" t="s">
        <v>107</v>
      </c>
    </row>
    <row r="329" spans="4:4" ht="17.649999999999999" x14ac:dyDescent="0.5">
      <c r="D329" s="3" t="s">
        <v>115</v>
      </c>
    </row>
    <row r="330" spans="4:4" ht="17.649999999999999" x14ac:dyDescent="0.5">
      <c r="D330" s="3" t="s">
        <v>64</v>
      </c>
    </row>
    <row r="331" spans="4:4" ht="17.649999999999999" x14ac:dyDescent="0.5">
      <c r="D331" s="3" t="s">
        <v>41</v>
      </c>
    </row>
    <row r="332" spans="4:4" ht="17.649999999999999" x14ac:dyDescent="0.5">
      <c r="D332" s="3" t="s">
        <v>75</v>
      </c>
    </row>
    <row r="333" spans="4:4" ht="17.649999999999999" x14ac:dyDescent="0.5">
      <c r="D333" s="3" t="s">
        <v>67</v>
      </c>
    </row>
    <row r="334" spans="4:4" ht="17.649999999999999" x14ac:dyDescent="0.5">
      <c r="D334" s="3" t="s">
        <v>80</v>
      </c>
    </row>
    <row r="335" spans="4:4" ht="17.649999999999999" x14ac:dyDescent="0.5">
      <c r="D335" s="3" t="s">
        <v>128</v>
      </c>
    </row>
    <row r="336" spans="4:4" ht="17.649999999999999" x14ac:dyDescent="0.5">
      <c r="D336" s="3" t="s">
        <v>68</v>
      </c>
    </row>
    <row r="337" spans="4:4" ht="17.649999999999999" x14ac:dyDescent="0.5">
      <c r="D337" s="3" t="s">
        <v>77</v>
      </c>
    </row>
    <row r="338" spans="4:4" ht="17.649999999999999" x14ac:dyDescent="0.5">
      <c r="D338" s="3" t="s">
        <v>65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91</v>
      </c>
    </row>
    <row r="341" spans="4:4" ht="17.649999999999999" x14ac:dyDescent="0.5">
      <c r="D341" s="3" t="s">
        <v>80</v>
      </c>
    </row>
    <row r="342" spans="4:4" ht="17.649999999999999" x14ac:dyDescent="0.5">
      <c r="D342" s="3" t="s">
        <v>134</v>
      </c>
    </row>
    <row r="343" spans="4:4" ht="17.649999999999999" x14ac:dyDescent="0.5">
      <c r="D343" s="3" t="s">
        <v>82</v>
      </c>
    </row>
    <row r="344" spans="4:4" ht="17.649999999999999" x14ac:dyDescent="0.5">
      <c r="D344" s="3" t="s">
        <v>53</v>
      </c>
    </row>
    <row r="345" spans="4:4" ht="17.649999999999999" x14ac:dyDescent="0.5">
      <c r="D345" s="3" t="s">
        <v>112</v>
      </c>
    </row>
    <row r="346" spans="4:4" ht="17.649999999999999" x14ac:dyDescent="0.5">
      <c r="D346" s="3" t="s">
        <v>95</v>
      </c>
    </row>
    <row r="347" spans="4:4" ht="17.649999999999999" x14ac:dyDescent="0.5">
      <c r="D347" s="3" t="s">
        <v>87</v>
      </c>
    </row>
    <row r="348" spans="4:4" ht="17.649999999999999" x14ac:dyDescent="0.5">
      <c r="D348" s="3" t="s">
        <v>63</v>
      </c>
    </row>
    <row r="349" spans="4:4" ht="17.649999999999999" x14ac:dyDescent="0.5">
      <c r="D349" s="3" t="s">
        <v>80</v>
      </c>
    </row>
    <row r="350" spans="4:4" ht="17.649999999999999" x14ac:dyDescent="0.5">
      <c r="D350" s="3" t="s">
        <v>96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132</v>
      </c>
    </row>
    <row r="353" spans="4:4" ht="17.649999999999999" x14ac:dyDescent="0.5">
      <c r="D353" s="3" t="s">
        <v>67</v>
      </c>
    </row>
    <row r="354" spans="4:4" ht="17.649999999999999" x14ac:dyDescent="0.5">
      <c r="D354" s="3" t="s">
        <v>56</v>
      </c>
    </row>
    <row r="355" spans="4:4" ht="17.649999999999999" x14ac:dyDescent="0.5">
      <c r="D355" s="3" t="s">
        <v>41</v>
      </c>
    </row>
    <row r="356" spans="4:4" ht="17.649999999999999" x14ac:dyDescent="0.5">
      <c r="D356" s="3" t="s">
        <v>75</v>
      </c>
    </row>
    <row r="357" spans="4:4" ht="17.649999999999999" x14ac:dyDescent="0.5">
      <c r="D357" s="3" t="s">
        <v>84</v>
      </c>
    </row>
    <row r="358" spans="4:4" ht="17.649999999999999" x14ac:dyDescent="0.5">
      <c r="D358" s="3" t="s">
        <v>47</v>
      </c>
    </row>
    <row r="359" spans="4:4" ht="17.649999999999999" x14ac:dyDescent="0.5">
      <c r="D359" s="3" t="s">
        <v>115</v>
      </c>
    </row>
    <row r="360" spans="4:4" ht="17.649999999999999" x14ac:dyDescent="0.5">
      <c r="D360" s="3" t="s">
        <v>122</v>
      </c>
    </row>
    <row r="361" spans="4:4" ht="17.649999999999999" x14ac:dyDescent="0.5">
      <c r="D361" s="3" t="s">
        <v>98</v>
      </c>
    </row>
    <row r="362" spans="4:4" ht="17.649999999999999" x14ac:dyDescent="0.5">
      <c r="D362" s="3" t="s">
        <v>96</v>
      </c>
    </row>
    <row r="363" spans="4:4" ht="17.649999999999999" x14ac:dyDescent="0.5">
      <c r="D363" s="3" t="s">
        <v>47</v>
      </c>
    </row>
    <row r="364" spans="4:4" ht="17.649999999999999" x14ac:dyDescent="0.5">
      <c r="D364" s="3" t="s">
        <v>68</v>
      </c>
    </row>
    <row r="365" spans="4:4" ht="17.649999999999999" x14ac:dyDescent="0.5">
      <c r="D365" s="3" t="s">
        <v>55</v>
      </c>
    </row>
    <row r="366" spans="4:4" ht="17.649999999999999" x14ac:dyDescent="0.5">
      <c r="D366" s="3" t="s">
        <v>136</v>
      </c>
    </row>
    <row r="367" spans="4:4" ht="17.649999999999999" x14ac:dyDescent="0.5">
      <c r="D367" s="3" t="s">
        <v>83</v>
      </c>
    </row>
    <row r="368" spans="4:4" ht="17.649999999999999" x14ac:dyDescent="0.5">
      <c r="D368" s="3" t="s">
        <v>85</v>
      </c>
    </row>
    <row r="369" spans="4:4" ht="17.649999999999999" x14ac:dyDescent="0.5">
      <c r="D369" s="3" t="s">
        <v>99</v>
      </c>
    </row>
    <row r="370" spans="4:4" ht="17.649999999999999" x14ac:dyDescent="0.5">
      <c r="D370" s="3" t="s">
        <v>66</v>
      </c>
    </row>
    <row r="371" spans="4:4" ht="17.649999999999999" x14ac:dyDescent="0.5">
      <c r="D371" s="3" t="s">
        <v>88</v>
      </c>
    </row>
    <row r="372" spans="4:4" ht="17.649999999999999" x14ac:dyDescent="0.5">
      <c r="D372" s="3" t="s">
        <v>41</v>
      </c>
    </row>
    <row r="373" spans="4:4" ht="17.649999999999999" x14ac:dyDescent="0.5">
      <c r="D373" s="3" t="s">
        <v>80</v>
      </c>
    </row>
    <row r="374" spans="4:4" ht="17.649999999999999" x14ac:dyDescent="0.5">
      <c r="D374" s="3" t="s">
        <v>115</v>
      </c>
    </row>
    <row r="375" spans="4:4" ht="17.649999999999999" x14ac:dyDescent="0.5">
      <c r="D375" s="3" t="s">
        <v>64</v>
      </c>
    </row>
    <row r="376" spans="4:4" ht="17.649999999999999" x14ac:dyDescent="0.5">
      <c r="D376" s="3" t="s">
        <v>75</v>
      </c>
    </row>
    <row r="377" spans="4:4" ht="17.649999999999999" x14ac:dyDescent="0.5">
      <c r="D377" s="3" t="s">
        <v>69</v>
      </c>
    </row>
    <row r="378" spans="4:4" ht="17.649999999999999" x14ac:dyDescent="0.5">
      <c r="D378" s="3" t="s">
        <v>100</v>
      </c>
    </row>
    <row r="379" spans="4:4" ht="17.649999999999999" x14ac:dyDescent="0.5">
      <c r="D379" s="3" t="s">
        <v>41</v>
      </c>
    </row>
    <row r="380" spans="4:4" ht="17.649999999999999" x14ac:dyDescent="0.5">
      <c r="D380" s="3" t="s">
        <v>46</v>
      </c>
    </row>
    <row r="381" spans="4:4" ht="17.649999999999999" x14ac:dyDescent="0.5">
      <c r="D381" s="3" t="s">
        <v>75</v>
      </c>
    </row>
    <row r="382" spans="4:4" ht="17.649999999999999" x14ac:dyDescent="0.5">
      <c r="D382" s="3" t="s">
        <v>94</v>
      </c>
    </row>
    <row r="383" spans="4:4" ht="17.649999999999999" x14ac:dyDescent="0.5">
      <c r="D383" s="3" t="s">
        <v>90</v>
      </c>
    </row>
    <row r="384" spans="4:4" ht="17.649999999999999" x14ac:dyDescent="0.5">
      <c r="D384" s="3" t="s">
        <v>119</v>
      </c>
    </row>
    <row r="385" spans="4:4" ht="17.649999999999999" x14ac:dyDescent="0.5">
      <c r="D385" s="3" t="s">
        <v>91</v>
      </c>
    </row>
    <row r="386" spans="4:4" ht="17.649999999999999" x14ac:dyDescent="0.5">
      <c r="D386" s="3" t="s">
        <v>105</v>
      </c>
    </row>
    <row r="387" spans="4:4" ht="17.649999999999999" x14ac:dyDescent="0.5">
      <c r="D387" s="3" t="s">
        <v>78</v>
      </c>
    </row>
    <row r="388" spans="4:4" ht="17.649999999999999" x14ac:dyDescent="0.5">
      <c r="D388" s="3" t="s">
        <v>52</v>
      </c>
    </row>
    <row r="389" spans="4:4" ht="17.649999999999999" x14ac:dyDescent="0.5">
      <c r="D389" s="3" t="s">
        <v>104</v>
      </c>
    </row>
    <row r="390" spans="4:4" ht="17.649999999999999" x14ac:dyDescent="0.5">
      <c r="D390" s="3" t="s">
        <v>49</v>
      </c>
    </row>
    <row r="391" spans="4:4" ht="17.649999999999999" x14ac:dyDescent="0.5">
      <c r="D391" s="3" t="s">
        <v>112</v>
      </c>
    </row>
    <row r="392" spans="4:4" ht="17.649999999999999" x14ac:dyDescent="0.5">
      <c r="D392" s="3" t="s">
        <v>41</v>
      </c>
    </row>
    <row r="393" spans="4:4" ht="17.649999999999999" x14ac:dyDescent="0.5">
      <c r="D393" s="3" t="s">
        <v>95</v>
      </c>
    </row>
    <row r="394" spans="4:4" ht="17.649999999999999" x14ac:dyDescent="0.5">
      <c r="D394" s="3" t="s">
        <v>68</v>
      </c>
    </row>
    <row r="395" spans="4:4" ht="17.649999999999999" x14ac:dyDescent="0.5">
      <c r="D395" s="3" t="s">
        <v>98</v>
      </c>
    </row>
    <row r="396" spans="4:4" ht="17.649999999999999" x14ac:dyDescent="0.5">
      <c r="D396" s="3" t="s">
        <v>96</v>
      </c>
    </row>
    <row r="397" spans="4:4" ht="17.649999999999999" x14ac:dyDescent="0.5">
      <c r="D397" s="3" t="s">
        <v>66</v>
      </c>
    </row>
    <row r="398" spans="4:4" ht="17.649999999999999" x14ac:dyDescent="0.5">
      <c r="D398" s="3" t="s">
        <v>48</v>
      </c>
    </row>
    <row r="399" spans="4:4" ht="17.649999999999999" x14ac:dyDescent="0.5">
      <c r="D399" s="3" t="s">
        <v>74</v>
      </c>
    </row>
    <row r="400" spans="4:4" ht="17.649999999999999" x14ac:dyDescent="0.5">
      <c r="D400" s="3" t="s">
        <v>57</v>
      </c>
    </row>
    <row r="401" spans="4:4" ht="17.649999999999999" x14ac:dyDescent="0.5">
      <c r="D401" s="3" t="s">
        <v>117</v>
      </c>
    </row>
    <row r="402" spans="4:4" ht="17.649999999999999" x14ac:dyDescent="0.5">
      <c r="D402" s="3" t="s">
        <v>74</v>
      </c>
    </row>
    <row r="403" spans="4:4" ht="17.649999999999999" x14ac:dyDescent="0.5">
      <c r="D403" s="3" t="s">
        <v>81</v>
      </c>
    </row>
    <row r="404" spans="4:4" ht="17.649999999999999" x14ac:dyDescent="0.5">
      <c r="D404" s="3" t="s">
        <v>112</v>
      </c>
    </row>
    <row r="405" spans="4:4" ht="17.649999999999999" x14ac:dyDescent="0.5">
      <c r="D405" s="3" t="s">
        <v>82</v>
      </c>
    </row>
    <row r="406" spans="4:4" ht="17.649999999999999" x14ac:dyDescent="0.5">
      <c r="D406" s="3" t="s">
        <v>78</v>
      </c>
    </row>
    <row r="407" spans="4:4" ht="17.649999999999999" x14ac:dyDescent="0.5">
      <c r="D407" s="3" t="s">
        <v>62</v>
      </c>
    </row>
    <row r="408" spans="4:4" ht="17.649999999999999" x14ac:dyDescent="0.5">
      <c r="D408" s="3" t="s">
        <v>65</v>
      </c>
    </row>
    <row r="409" spans="4:4" ht="17.649999999999999" x14ac:dyDescent="0.5">
      <c r="D409" s="3" t="s">
        <v>125</v>
      </c>
    </row>
    <row r="410" spans="4:4" ht="17.649999999999999" x14ac:dyDescent="0.5">
      <c r="D410" s="3" t="s">
        <v>115</v>
      </c>
    </row>
    <row r="411" spans="4:4" ht="17.649999999999999" x14ac:dyDescent="0.5">
      <c r="D411" s="3" t="s">
        <v>83</v>
      </c>
    </row>
    <row r="412" spans="4:4" ht="17.649999999999999" x14ac:dyDescent="0.5">
      <c r="D412" s="3" t="s">
        <v>70</v>
      </c>
    </row>
    <row r="413" spans="4:4" ht="17.649999999999999" x14ac:dyDescent="0.5">
      <c r="D413" s="3" t="s">
        <v>57</v>
      </c>
    </row>
    <row r="414" spans="4:4" ht="17.649999999999999" x14ac:dyDescent="0.5">
      <c r="D414" s="3" t="s">
        <v>85</v>
      </c>
    </row>
    <row r="415" spans="4:4" ht="17.649999999999999" x14ac:dyDescent="0.5">
      <c r="D415" s="3" t="s">
        <v>107</v>
      </c>
    </row>
    <row r="416" spans="4:4" ht="17.649999999999999" x14ac:dyDescent="0.5">
      <c r="D416" s="3" t="s">
        <v>90</v>
      </c>
    </row>
    <row r="417" spans="4:4" ht="17.649999999999999" x14ac:dyDescent="0.5">
      <c r="D417" s="3" t="s">
        <v>74</v>
      </c>
    </row>
    <row r="418" spans="4:4" ht="17.649999999999999" x14ac:dyDescent="0.5">
      <c r="D418" s="3" t="s">
        <v>67</v>
      </c>
    </row>
    <row r="419" spans="4:4" ht="17.649999999999999" x14ac:dyDescent="0.5">
      <c r="D419" s="3" t="s">
        <v>84</v>
      </c>
    </row>
    <row r="420" spans="4:4" ht="17.649999999999999" x14ac:dyDescent="0.5">
      <c r="D420" s="3" t="s">
        <v>108</v>
      </c>
    </row>
    <row r="421" spans="4:4" ht="17.649999999999999" x14ac:dyDescent="0.5">
      <c r="D421" s="3" t="s">
        <v>94</v>
      </c>
    </row>
    <row r="422" spans="4:4" ht="17.649999999999999" x14ac:dyDescent="0.5">
      <c r="D422" s="3" t="s">
        <v>112</v>
      </c>
    </row>
    <row r="423" spans="4:4" ht="17.649999999999999" x14ac:dyDescent="0.5">
      <c r="D423" s="3" t="s">
        <v>111</v>
      </c>
    </row>
    <row r="424" spans="4:4" ht="17.649999999999999" x14ac:dyDescent="0.5">
      <c r="D424" s="3" t="s">
        <v>92</v>
      </c>
    </row>
    <row r="425" spans="4:4" ht="17.649999999999999" x14ac:dyDescent="0.5">
      <c r="D425" s="3" t="s">
        <v>107</v>
      </c>
    </row>
    <row r="426" spans="4:4" ht="17.649999999999999" x14ac:dyDescent="0.5">
      <c r="D426" s="3" t="s">
        <v>66</v>
      </c>
    </row>
    <row r="427" spans="4:4" ht="17.649999999999999" x14ac:dyDescent="0.5">
      <c r="D427" s="3" t="s">
        <v>117</v>
      </c>
    </row>
    <row r="428" spans="4:4" ht="17.649999999999999" x14ac:dyDescent="0.5">
      <c r="D428" s="3" t="s">
        <v>112</v>
      </c>
    </row>
    <row r="429" spans="4:4" ht="17.649999999999999" x14ac:dyDescent="0.5">
      <c r="D429" s="3" t="s">
        <v>51</v>
      </c>
    </row>
    <row r="430" spans="4:4" ht="17.649999999999999" x14ac:dyDescent="0.5">
      <c r="D430" s="3" t="s">
        <v>133</v>
      </c>
    </row>
    <row r="431" spans="4:4" ht="17.649999999999999" x14ac:dyDescent="0.5">
      <c r="D431" s="3" t="s">
        <v>43</v>
      </c>
    </row>
    <row r="432" spans="4:4" ht="17.649999999999999" x14ac:dyDescent="0.5">
      <c r="D432" s="3" t="s">
        <v>59</v>
      </c>
    </row>
    <row r="433" spans="4:4" ht="17.649999999999999" x14ac:dyDescent="0.5">
      <c r="D433" s="3" t="s">
        <v>54</v>
      </c>
    </row>
    <row r="434" spans="4:4" ht="17.649999999999999" x14ac:dyDescent="0.5">
      <c r="D434" s="3" t="s">
        <v>134</v>
      </c>
    </row>
    <row r="435" spans="4:4" ht="17.649999999999999" x14ac:dyDescent="0.5">
      <c r="D435" s="3" t="s">
        <v>109</v>
      </c>
    </row>
    <row r="436" spans="4:4" ht="17.649999999999999" x14ac:dyDescent="0.5">
      <c r="D436" s="3" t="s">
        <v>49</v>
      </c>
    </row>
    <row r="437" spans="4:4" ht="17.649999999999999" x14ac:dyDescent="0.5">
      <c r="D437" s="3" t="s">
        <v>117</v>
      </c>
    </row>
    <row r="438" spans="4:4" ht="17.649999999999999" x14ac:dyDescent="0.5">
      <c r="D438" s="3" t="s">
        <v>92</v>
      </c>
    </row>
    <row r="439" spans="4:4" ht="17.649999999999999" x14ac:dyDescent="0.5">
      <c r="D439" s="3" t="s">
        <v>56</v>
      </c>
    </row>
    <row r="440" spans="4:4" ht="17.649999999999999" x14ac:dyDescent="0.5">
      <c r="D440" s="3" t="s">
        <v>51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47</v>
      </c>
    </row>
    <row r="443" spans="4:4" ht="17.649999999999999" x14ac:dyDescent="0.5">
      <c r="D443" s="3" t="s">
        <v>92</v>
      </c>
    </row>
    <row r="444" spans="4:4" ht="17.649999999999999" x14ac:dyDescent="0.5">
      <c r="D444" s="3" t="s">
        <v>80</v>
      </c>
    </row>
    <row r="445" spans="4:4" ht="17.649999999999999" x14ac:dyDescent="0.5">
      <c r="D445" s="3" t="s">
        <v>50</v>
      </c>
    </row>
    <row r="446" spans="4:4" ht="17.649999999999999" x14ac:dyDescent="0.5">
      <c r="D446" s="3" t="s">
        <v>54</v>
      </c>
    </row>
    <row r="447" spans="4:4" ht="17.649999999999999" x14ac:dyDescent="0.5">
      <c r="D447" s="3" t="s">
        <v>51</v>
      </c>
    </row>
    <row r="448" spans="4:4" ht="17.649999999999999" x14ac:dyDescent="0.5">
      <c r="D448" s="3" t="s">
        <v>82</v>
      </c>
    </row>
    <row r="449" spans="4:4" ht="17.649999999999999" x14ac:dyDescent="0.5">
      <c r="D449" s="3" t="s">
        <v>66</v>
      </c>
    </row>
    <row r="450" spans="4:4" ht="17.649999999999999" x14ac:dyDescent="0.5">
      <c r="D450" s="3" t="s">
        <v>55</v>
      </c>
    </row>
    <row r="451" spans="4:4" ht="17.649999999999999" x14ac:dyDescent="0.5">
      <c r="D451" s="3" t="s">
        <v>136</v>
      </c>
    </row>
    <row r="452" spans="4:4" ht="17.649999999999999" x14ac:dyDescent="0.5">
      <c r="D452" s="3" t="s">
        <v>59</v>
      </c>
    </row>
    <row r="453" spans="4:4" ht="17.649999999999999" x14ac:dyDescent="0.5">
      <c r="D453" s="3" t="s">
        <v>90</v>
      </c>
    </row>
    <row r="454" spans="4:4" ht="17.649999999999999" x14ac:dyDescent="0.5">
      <c r="D454" s="3" t="s">
        <v>41</v>
      </c>
    </row>
    <row r="455" spans="4:4" ht="17.649999999999999" x14ac:dyDescent="0.5">
      <c r="D455" s="3" t="s">
        <v>69</v>
      </c>
    </row>
    <row r="456" spans="4:4" ht="17.649999999999999" x14ac:dyDescent="0.5">
      <c r="D456" s="3" t="s">
        <v>135</v>
      </c>
    </row>
    <row r="457" spans="4:4" ht="17.649999999999999" x14ac:dyDescent="0.5">
      <c r="D457" s="3" t="s">
        <v>43</v>
      </c>
    </row>
    <row r="458" spans="4:4" ht="17.649999999999999" x14ac:dyDescent="0.5">
      <c r="D458" s="3" t="s">
        <v>125</v>
      </c>
    </row>
    <row r="459" spans="4:4" ht="17.649999999999999" x14ac:dyDescent="0.5">
      <c r="D459" s="3" t="s">
        <v>109</v>
      </c>
    </row>
    <row r="460" spans="4:4" ht="17.649999999999999" x14ac:dyDescent="0.5">
      <c r="D460" s="3" t="s">
        <v>112</v>
      </c>
    </row>
    <row r="461" spans="4:4" ht="17.649999999999999" x14ac:dyDescent="0.5">
      <c r="D461" s="3" t="s">
        <v>64</v>
      </c>
    </row>
    <row r="462" spans="4:4" ht="17.649999999999999" x14ac:dyDescent="0.5">
      <c r="D462" s="3" t="s">
        <v>85</v>
      </c>
    </row>
    <row r="463" spans="4:4" ht="17.649999999999999" x14ac:dyDescent="0.5">
      <c r="D463" s="3" t="s">
        <v>66</v>
      </c>
    </row>
    <row r="464" spans="4:4" ht="17.649999999999999" x14ac:dyDescent="0.5">
      <c r="D464" s="3" t="s">
        <v>46</v>
      </c>
    </row>
    <row r="465" spans="4:4" ht="17.649999999999999" x14ac:dyDescent="0.5">
      <c r="D465" s="3" t="s">
        <v>104</v>
      </c>
    </row>
    <row r="466" spans="4:4" ht="17.649999999999999" x14ac:dyDescent="0.5">
      <c r="D466" s="3" t="s">
        <v>101</v>
      </c>
    </row>
    <row r="467" spans="4:4" ht="17.649999999999999" x14ac:dyDescent="0.5">
      <c r="D467" s="3" t="s">
        <v>79</v>
      </c>
    </row>
    <row r="468" spans="4:4" ht="17.649999999999999" x14ac:dyDescent="0.5">
      <c r="D468" s="3" t="s">
        <v>103</v>
      </c>
    </row>
    <row r="469" spans="4:4" ht="17.649999999999999" x14ac:dyDescent="0.5">
      <c r="D469" s="3" t="s">
        <v>88</v>
      </c>
    </row>
    <row r="470" spans="4:4" ht="17.649999999999999" x14ac:dyDescent="0.5">
      <c r="D470" s="3" t="s">
        <v>96</v>
      </c>
    </row>
    <row r="471" spans="4:4" ht="17.649999999999999" x14ac:dyDescent="0.5">
      <c r="D471" s="3" t="s">
        <v>43</v>
      </c>
    </row>
    <row r="472" spans="4:4" ht="17.649999999999999" x14ac:dyDescent="0.5">
      <c r="D472" s="3" t="s">
        <v>77</v>
      </c>
    </row>
    <row r="473" spans="4:4" ht="17.649999999999999" x14ac:dyDescent="0.5">
      <c r="D473" s="3" t="s">
        <v>80</v>
      </c>
    </row>
    <row r="474" spans="4:4" ht="17.649999999999999" x14ac:dyDescent="0.5">
      <c r="D474" s="3" t="s">
        <v>101</v>
      </c>
    </row>
    <row r="475" spans="4:4" ht="17.649999999999999" x14ac:dyDescent="0.5">
      <c r="D475" s="3" t="s">
        <v>117</v>
      </c>
    </row>
    <row r="476" spans="4:4" ht="17.649999999999999" x14ac:dyDescent="0.5">
      <c r="D476" s="3" t="s">
        <v>75</v>
      </c>
    </row>
    <row r="477" spans="4:4" ht="17.649999999999999" x14ac:dyDescent="0.5">
      <c r="D477" s="3" t="s">
        <v>134</v>
      </c>
    </row>
    <row r="478" spans="4:4" ht="17.649999999999999" x14ac:dyDescent="0.5">
      <c r="D478" s="3" t="s">
        <v>110</v>
      </c>
    </row>
    <row r="479" spans="4:4" ht="17.649999999999999" x14ac:dyDescent="0.5">
      <c r="D479" s="3" t="s">
        <v>70</v>
      </c>
    </row>
    <row r="480" spans="4:4" ht="17.649999999999999" x14ac:dyDescent="0.5">
      <c r="D480" s="3" t="s">
        <v>84</v>
      </c>
    </row>
    <row r="481" spans="4:4" ht="17.649999999999999" x14ac:dyDescent="0.5">
      <c r="D481" s="3" t="s">
        <v>49</v>
      </c>
    </row>
    <row r="482" spans="4:4" ht="17.649999999999999" x14ac:dyDescent="0.5">
      <c r="D482" s="3" t="s">
        <v>88</v>
      </c>
    </row>
    <row r="483" spans="4:4" ht="17.649999999999999" x14ac:dyDescent="0.5">
      <c r="D483" s="3" t="s">
        <v>113</v>
      </c>
    </row>
    <row r="484" spans="4:4" ht="17.649999999999999" x14ac:dyDescent="0.5">
      <c r="D484" s="3" t="s">
        <v>68</v>
      </c>
    </row>
    <row r="485" spans="4:4" ht="17.649999999999999" x14ac:dyDescent="0.5">
      <c r="D485" s="3" t="s">
        <v>64</v>
      </c>
    </row>
    <row r="486" spans="4:4" ht="17.649999999999999" x14ac:dyDescent="0.5">
      <c r="D486" s="3" t="s">
        <v>47</v>
      </c>
    </row>
    <row r="487" spans="4:4" ht="17.649999999999999" x14ac:dyDescent="0.5">
      <c r="D487" s="3" t="s">
        <v>100</v>
      </c>
    </row>
    <row r="488" spans="4:4" ht="17.649999999999999" x14ac:dyDescent="0.5">
      <c r="D488" s="3" t="s">
        <v>117</v>
      </c>
    </row>
    <row r="489" spans="4:4" ht="17.649999999999999" x14ac:dyDescent="0.5">
      <c r="D489" s="3" t="s">
        <v>45</v>
      </c>
    </row>
    <row r="490" spans="4:4" ht="17.649999999999999" x14ac:dyDescent="0.5">
      <c r="D490" s="3" t="s">
        <v>64</v>
      </c>
    </row>
    <row r="491" spans="4:4" ht="17.649999999999999" x14ac:dyDescent="0.5">
      <c r="D491" s="3" t="s">
        <v>46</v>
      </c>
    </row>
    <row r="492" spans="4:4" ht="17.649999999999999" x14ac:dyDescent="0.5">
      <c r="D492" s="3" t="s">
        <v>43</v>
      </c>
    </row>
    <row r="493" spans="4:4" ht="17.649999999999999" x14ac:dyDescent="0.5">
      <c r="D493" s="3" t="s">
        <v>105</v>
      </c>
    </row>
    <row r="494" spans="4:4" ht="17.649999999999999" x14ac:dyDescent="0.5">
      <c r="D494" s="3" t="s">
        <v>46</v>
      </c>
    </row>
    <row r="495" spans="4:4" ht="17.649999999999999" x14ac:dyDescent="0.5">
      <c r="D495" s="3" t="s">
        <v>48</v>
      </c>
    </row>
    <row r="496" spans="4:4" ht="17.649999999999999" x14ac:dyDescent="0.5">
      <c r="D496" s="3" t="s">
        <v>96</v>
      </c>
    </row>
    <row r="497" spans="4:4" ht="17.649999999999999" x14ac:dyDescent="0.5">
      <c r="D497" s="3" t="s">
        <v>124</v>
      </c>
    </row>
    <row r="498" spans="4:4" ht="17.649999999999999" x14ac:dyDescent="0.5">
      <c r="D498" s="3" t="s">
        <v>55</v>
      </c>
    </row>
    <row r="499" spans="4:4" ht="17.649999999999999" x14ac:dyDescent="0.5">
      <c r="D499" s="3" t="s">
        <v>57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94</v>
      </c>
    </row>
    <row r="502" spans="4:4" ht="17.649999999999999" x14ac:dyDescent="0.5">
      <c r="D502" s="3" t="s">
        <v>41</v>
      </c>
    </row>
    <row r="503" spans="4:4" ht="17.649999999999999" x14ac:dyDescent="0.5">
      <c r="D503" s="3" t="s">
        <v>83</v>
      </c>
    </row>
    <row r="504" spans="4:4" ht="17.649999999999999" x14ac:dyDescent="0.5">
      <c r="D504" s="3" t="s">
        <v>97</v>
      </c>
    </row>
    <row r="505" spans="4:4" ht="17.649999999999999" x14ac:dyDescent="0.5">
      <c r="D505" s="3" t="s">
        <v>62</v>
      </c>
    </row>
    <row r="506" spans="4:4" ht="17.649999999999999" x14ac:dyDescent="0.5">
      <c r="D506" s="3" t="s">
        <v>66</v>
      </c>
    </row>
    <row r="507" spans="4:4" ht="17.649999999999999" x14ac:dyDescent="0.5">
      <c r="D507" s="3" t="s">
        <v>73</v>
      </c>
    </row>
    <row r="508" spans="4:4" ht="17.649999999999999" x14ac:dyDescent="0.5">
      <c r="D508" s="3" t="s">
        <v>47</v>
      </c>
    </row>
    <row r="509" spans="4:4" ht="17.649999999999999" x14ac:dyDescent="0.5">
      <c r="D509" s="3" t="s">
        <v>132</v>
      </c>
    </row>
    <row r="510" spans="4:4" ht="17.649999999999999" x14ac:dyDescent="0.5">
      <c r="D510" s="3" t="s">
        <v>64</v>
      </c>
    </row>
    <row r="511" spans="4:4" ht="17.649999999999999" x14ac:dyDescent="0.5">
      <c r="D511" s="3" t="s">
        <v>90</v>
      </c>
    </row>
    <row r="512" spans="4:4" ht="17.649999999999999" x14ac:dyDescent="0.5">
      <c r="D512" s="3" t="s">
        <v>83</v>
      </c>
    </row>
    <row r="513" spans="4:4" ht="17.649999999999999" x14ac:dyDescent="0.5">
      <c r="D513" s="3" t="s">
        <v>127</v>
      </c>
    </row>
    <row r="514" spans="4:4" ht="17.649999999999999" x14ac:dyDescent="0.5">
      <c r="D514" s="3" t="s">
        <v>53</v>
      </c>
    </row>
    <row r="515" spans="4:4" ht="17.649999999999999" x14ac:dyDescent="0.5">
      <c r="D515" s="3" t="s">
        <v>125</v>
      </c>
    </row>
    <row r="516" spans="4:4" ht="17.649999999999999" x14ac:dyDescent="0.5">
      <c r="D516" s="3" t="s">
        <v>74</v>
      </c>
    </row>
    <row r="517" spans="4:4" ht="17.649999999999999" x14ac:dyDescent="0.5">
      <c r="D517" s="3" t="s">
        <v>50</v>
      </c>
    </row>
    <row r="518" spans="4:4" ht="17.649999999999999" x14ac:dyDescent="0.5">
      <c r="D518" s="3" t="s">
        <v>67</v>
      </c>
    </row>
    <row r="519" spans="4:4" ht="17.649999999999999" x14ac:dyDescent="0.5">
      <c r="D519" s="3" t="s">
        <v>69</v>
      </c>
    </row>
    <row r="520" spans="4:4" ht="17.649999999999999" x14ac:dyDescent="0.5">
      <c r="D520" s="3" t="s">
        <v>72</v>
      </c>
    </row>
    <row r="521" spans="4:4" ht="17.649999999999999" x14ac:dyDescent="0.5">
      <c r="D521" s="3" t="s">
        <v>75</v>
      </c>
    </row>
    <row r="522" spans="4:4" ht="17.649999999999999" x14ac:dyDescent="0.5">
      <c r="D522" s="3" t="s">
        <v>118</v>
      </c>
    </row>
    <row r="523" spans="4:4" ht="17.649999999999999" x14ac:dyDescent="0.5">
      <c r="D523" s="3" t="s">
        <v>77</v>
      </c>
    </row>
    <row r="524" spans="4:4" ht="17.649999999999999" x14ac:dyDescent="0.5">
      <c r="D524" s="3" t="s">
        <v>67</v>
      </c>
    </row>
    <row r="525" spans="4:4" ht="17.649999999999999" x14ac:dyDescent="0.5">
      <c r="D525" s="3" t="s">
        <v>87</v>
      </c>
    </row>
    <row r="526" spans="4:4" ht="17.649999999999999" x14ac:dyDescent="0.5">
      <c r="D526" s="3" t="s">
        <v>128</v>
      </c>
    </row>
    <row r="527" spans="4:4" ht="17.649999999999999" x14ac:dyDescent="0.5">
      <c r="D527" s="3" t="s">
        <v>100</v>
      </c>
    </row>
    <row r="528" spans="4:4" ht="17.649999999999999" x14ac:dyDescent="0.5">
      <c r="D528" s="3" t="s">
        <v>81</v>
      </c>
    </row>
    <row r="529" spans="4:4" ht="17.649999999999999" x14ac:dyDescent="0.5">
      <c r="D529" s="3" t="s">
        <v>59</v>
      </c>
    </row>
    <row r="530" spans="4:4" ht="17.649999999999999" x14ac:dyDescent="0.5">
      <c r="D530" s="3" t="s">
        <v>121</v>
      </c>
    </row>
    <row r="531" spans="4:4" ht="17.649999999999999" x14ac:dyDescent="0.5">
      <c r="D531" s="3" t="s">
        <v>113</v>
      </c>
    </row>
    <row r="532" spans="4:4" ht="17.649999999999999" x14ac:dyDescent="0.5">
      <c r="D532" s="3" t="s">
        <v>101</v>
      </c>
    </row>
    <row r="533" spans="4:4" ht="17.649999999999999" x14ac:dyDescent="0.5">
      <c r="D533" s="3" t="s">
        <v>51</v>
      </c>
    </row>
    <row r="534" spans="4:4" ht="17.649999999999999" x14ac:dyDescent="0.5">
      <c r="D534" s="3" t="s">
        <v>69</v>
      </c>
    </row>
    <row r="535" spans="4:4" ht="17.649999999999999" x14ac:dyDescent="0.5">
      <c r="D535" s="3" t="s">
        <v>84</v>
      </c>
    </row>
    <row r="536" spans="4:4" ht="17.649999999999999" x14ac:dyDescent="0.5">
      <c r="D536" s="3" t="s">
        <v>52</v>
      </c>
    </row>
    <row r="537" spans="4:4" ht="17.649999999999999" x14ac:dyDescent="0.5">
      <c r="D537" s="3" t="s">
        <v>90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115</v>
      </c>
    </row>
    <row r="540" spans="4:4" ht="17.649999999999999" x14ac:dyDescent="0.5">
      <c r="D540" s="3" t="s">
        <v>49</v>
      </c>
    </row>
    <row r="541" spans="4:4" ht="17.649999999999999" x14ac:dyDescent="0.5">
      <c r="D541" s="3" t="s">
        <v>76</v>
      </c>
    </row>
    <row r="542" spans="4:4" ht="17.649999999999999" x14ac:dyDescent="0.5">
      <c r="D542" s="3" t="s">
        <v>128</v>
      </c>
    </row>
    <row r="543" spans="4:4" ht="17.649999999999999" x14ac:dyDescent="0.5">
      <c r="D543" s="3" t="s">
        <v>73</v>
      </c>
    </row>
    <row r="544" spans="4:4" ht="17.649999999999999" x14ac:dyDescent="0.5">
      <c r="D544" s="3" t="s">
        <v>84</v>
      </c>
    </row>
    <row r="545" spans="4:4" ht="17.649999999999999" x14ac:dyDescent="0.5">
      <c r="D545" s="3" t="s">
        <v>75</v>
      </c>
    </row>
    <row r="546" spans="4:4" ht="17.649999999999999" x14ac:dyDescent="0.5">
      <c r="D546" s="3" t="s">
        <v>128</v>
      </c>
    </row>
    <row r="547" spans="4:4" ht="17.649999999999999" x14ac:dyDescent="0.5">
      <c r="D547" s="3" t="s">
        <v>87</v>
      </c>
    </row>
    <row r="548" spans="4:4" ht="17.649999999999999" x14ac:dyDescent="0.5">
      <c r="D548" s="3" t="s">
        <v>69</v>
      </c>
    </row>
    <row r="549" spans="4:4" ht="17.649999999999999" x14ac:dyDescent="0.5">
      <c r="D549" s="3" t="s">
        <v>60</v>
      </c>
    </row>
    <row r="550" spans="4:4" ht="17.649999999999999" x14ac:dyDescent="0.5">
      <c r="D550" s="3" t="s">
        <v>94</v>
      </c>
    </row>
    <row r="551" spans="4:4" ht="17.649999999999999" x14ac:dyDescent="0.5">
      <c r="D551" s="3" t="s">
        <v>91</v>
      </c>
    </row>
    <row r="552" spans="4:4" ht="17.649999999999999" x14ac:dyDescent="0.5">
      <c r="D552" s="3" t="s">
        <v>115</v>
      </c>
    </row>
    <row r="553" spans="4:4" ht="17.649999999999999" x14ac:dyDescent="0.5">
      <c r="D553" s="3" t="s">
        <v>129</v>
      </c>
    </row>
    <row r="554" spans="4:4" ht="17.649999999999999" x14ac:dyDescent="0.5">
      <c r="D554" s="3" t="s">
        <v>91</v>
      </c>
    </row>
    <row r="555" spans="4:4" ht="17.649999999999999" x14ac:dyDescent="0.5">
      <c r="D555" s="3" t="s">
        <v>78</v>
      </c>
    </row>
    <row r="556" spans="4:4" ht="17.649999999999999" x14ac:dyDescent="0.5">
      <c r="D556" s="3" t="s">
        <v>80</v>
      </c>
    </row>
    <row r="557" spans="4:4" ht="17.649999999999999" x14ac:dyDescent="0.5">
      <c r="D557" s="3" t="s">
        <v>85</v>
      </c>
    </row>
    <row r="558" spans="4:4" ht="17.649999999999999" x14ac:dyDescent="0.5">
      <c r="D558" s="3" t="s">
        <v>86</v>
      </c>
    </row>
    <row r="559" spans="4:4" ht="17.649999999999999" x14ac:dyDescent="0.5">
      <c r="D559" s="3" t="s">
        <v>67</v>
      </c>
    </row>
    <row r="560" spans="4:4" ht="17.649999999999999" x14ac:dyDescent="0.5">
      <c r="D560" s="3" t="s">
        <v>90</v>
      </c>
    </row>
    <row r="561" spans="4:4" ht="17.649999999999999" x14ac:dyDescent="0.5">
      <c r="D561" s="3" t="s">
        <v>57</v>
      </c>
    </row>
    <row r="562" spans="4:4" ht="17.649999999999999" x14ac:dyDescent="0.5">
      <c r="D562" s="3" t="s">
        <v>81</v>
      </c>
    </row>
    <row r="563" spans="4:4" ht="17.649999999999999" x14ac:dyDescent="0.5">
      <c r="D563" s="3" t="s">
        <v>44</v>
      </c>
    </row>
    <row r="564" spans="4:4" ht="17.649999999999999" x14ac:dyDescent="0.5">
      <c r="D564" s="3" t="s">
        <v>75</v>
      </c>
    </row>
    <row r="565" spans="4:4" ht="17.649999999999999" x14ac:dyDescent="0.5">
      <c r="D565" s="3" t="s">
        <v>48</v>
      </c>
    </row>
    <row r="566" spans="4:4" ht="17.649999999999999" x14ac:dyDescent="0.5">
      <c r="D566" s="3" t="s">
        <v>96</v>
      </c>
    </row>
    <row r="567" spans="4:4" ht="17.649999999999999" x14ac:dyDescent="0.5">
      <c r="D567" s="3" t="s">
        <v>54</v>
      </c>
    </row>
    <row r="568" spans="4:4" ht="17.649999999999999" x14ac:dyDescent="0.5">
      <c r="D568" s="3" t="s">
        <v>53</v>
      </c>
    </row>
    <row r="569" spans="4:4" ht="17.649999999999999" x14ac:dyDescent="0.5">
      <c r="D569" s="3" t="s">
        <v>62</v>
      </c>
    </row>
    <row r="570" spans="4:4" ht="17.649999999999999" x14ac:dyDescent="0.5">
      <c r="D570" s="3" t="s">
        <v>64</v>
      </c>
    </row>
    <row r="571" spans="4:4" ht="17.649999999999999" x14ac:dyDescent="0.5">
      <c r="D571" s="3" t="s">
        <v>61</v>
      </c>
    </row>
    <row r="572" spans="4:4" ht="17.649999999999999" x14ac:dyDescent="0.5">
      <c r="D572" s="3" t="s">
        <v>81</v>
      </c>
    </row>
    <row r="573" spans="4:4" ht="17.649999999999999" x14ac:dyDescent="0.5">
      <c r="D573" s="3" t="s">
        <v>91</v>
      </c>
    </row>
    <row r="574" spans="4:4" ht="17.649999999999999" x14ac:dyDescent="0.5">
      <c r="D574" s="3" t="s">
        <v>117</v>
      </c>
    </row>
    <row r="575" spans="4:4" ht="17.649999999999999" x14ac:dyDescent="0.5">
      <c r="D575" s="3" t="s">
        <v>96</v>
      </c>
    </row>
    <row r="576" spans="4:4" ht="17.649999999999999" x14ac:dyDescent="0.5">
      <c r="D576" s="3" t="s">
        <v>58</v>
      </c>
    </row>
    <row r="577" spans="4:4" ht="17.649999999999999" x14ac:dyDescent="0.5">
      <c r="D577" s="3" t="s">
        <v>129</v>
      </c>
    </row>
    <row r="578" spans="4:4" ht="17.649999999999999" x14ac:dyDescent="0.5">
      <c r="D578" s="3" t="s">
        <v>78</v>
      </c>
    </row>
    <row r="579" spans="4:4" ht="17.649999999999999" x14ac:dyDescent="0.5">
      <c r="D579" s="3" t="s">
        <v>94</v>
      </c>
    </row>
    <row r="580" spans="4:4" ht="17.649999999999999" x14ac:dyDescent="0.5">
      <c r="D580" s="3" t="s">
        <v>45</v>
      </c>
    </row>
    <row r="581" spans="4:4" ht="17.649999999999999" x14ac:dyDescent="0.5">
      <c r="D581" s="3" t="s">
        <v>59</v>
      </c>
    </row>
    <row r="582" spans="4:4" ht="17.649999999999999" x14ac:dyDescent="0.5">
      <c r="D582" s="3" t="s">
        <v>94</v>
      </c>
    </row>
    <row r="583" spans="4:4" ht="17.649999999999999" x14ac:dyDescent="0.5">
      <c r="D583" s="3" t="s">
        <v>43</v>
      </c>
    </row>
    <row r="584" spans="4:4" ht="17.649999999999999" x14ac:dyDescent="0.5">
      <c r="D584" s="3" t="s">
        <v>46</v>
      </c>
    </row>
    <row r="585" spans="4:4" ht="17.649999999999999" x14ac:dyDescent="0.5">
      <c r="D585" s="3" t="s">
        <v>66</v>
      </c>
    </row>
    <row r="586" spans="4:4" ht="17.649999999999999" x14ac:dyDescent="0.5">
      <c r="D586" s="3" t="s">
        <v>135</v>
      </c>
    </row>
    <row r="587" spans="4:4" ht="17.649999999999999" x14ac:dyDescent="0.5">
      <c r="D587" s="3" t="s">
        <v>57</v>
      </c>
    </row>
    <row r="588" spans="4:4" ht="17.649999999999999" x14ac:dyDescent="0.5">
      <c r="D588" s="3" t="s">
        <v>77</v>
      </c>
    </row>
    <row r="589" spans="4:4" ht="17.649999999999999" x14ac:dyDescent="0.5">
      <c r="D589" s="3" t="s">
        <v>55</v>
      </c>
    </row>
    <row r="590" spans="4:4" ht="17.649999999999999" x14ac:dyDescent="0.5">
      <c r="D590" s="3" t="s">
        <v>69</v>
      </c>
    </row>
    <row r="591" spans="4:4" ht="17.649999999999999" x14ac:dyDescent="0.5">
      <c r="D591" s="3" t="s">
        <v>64</v>
      </c>
    </row>
    <row r="592" spans="4:4" ht="17.649999999999999" x14ac:dyDescent="0.5">
      <c r="D592" s="3" t="s">
        <v>102</v>
      </c>
    </row>
    <row r="593" spans="4:4" ht="17.649999999999999" x14ac:dyDescent="0.5">
      <c r="D593" s="3" t="s">
        <v>65</v>
      </c>
    </row>
    <row r="594" spans="4:4" ht="17.649999999999999" x14ac:dyDescent="0.5">
      <c r="D594" s="3" t="s">
        <v>74</v>
      </c>
    </row>
    <row r="595" spans="4:4" ht="17.649999999999999" x14ac:dyDescent="0.5">
      <c r="D595" s="3" t="s">
        <v>78</v>
      </c>
    </row>
    <row r="596" spans="4:4" ht="17.649999999999999" x14ac:dyDescent="0.5">
      <c r="D596" s="3" t="s">
        <v>44</v>
      </c>
    </row>
    <row r="597" spans="4:4" ht="17.649999999999999" x14ac:dyDescent="0.5">
      <c r="D597" s="3" t="s">
        <v>129</v>
      </c>
    </row>
    <row r="598" spans="4:4" ht="17.649999999999999" x14ac:dyDescent="0.5">
      <c r="D598" s="3" t="s">
        <v>80</v>
      </c>
    </row>
    <row r="599" spans="4:4" ht="17.649999999999999" x14ac:dyDescent="0.5">
      <c r="D599" s="3" t="s">
        <v>55</v>
      </c>
    </row>
    <row r="600" spans="4:4" ht="17.649999999999999" x14ac:dyDescent="0.5">
      <c r="D600" s="3" t="s">
        <v>75</v>
      </c>
    </row>
    <row r="601" spans="4:4" ht="17.649999999999999" x14ac:dyDescent="0.5">
      <c r="D601" s="3" t="s">
        <v>115</v>
      </c>
    </row>
    <row r="602" spans="4:4" ht="17.649999999999999" x14ac:dyDescent="0.5">
      <c r="D602" s="3" t="s">
        <v>53</v>
      </c>
    </row>
    <row r="603" spans="4:4" ht="17.649999999999999" x14ac:dyDescent="0.5">
      <c r="D603" s="3" t="s">
        <v>105</v>
      </c>
    </row>
    <row r="604" spans="4:4" ht="17.649999999999999" x14ac:dyDescent="0.5">
      <c r="D604" s="3" t="s">
        <v>63</v>
      </c>
    </row>
    <row r="605" spans="4:4" ht="17.649999999999999" x14ac:dyDescent="0.5">
      <c r="D605" s="3" t="s">
        <v>67</v>
      </c>
    </row>
    <row r="606" spans="4:4" ht="17.649999999999999" x14ac:dyDescent="0.5">
      <c r="D606" s="3" t="s">
        <v>54</v>
      </c>
    </row>
    <row r="607" spans="4:4" ht="17.649999999999999" x14ac:dyDescent="0.5">
      <c r="D607" s="3" t="s">
        <v>98</v>
      </c>
    </row>
    <row r="608" spans="4:4" ht="17.649999999999999" x14ac:dyDescent="0.5">
      <c r="D608" s="3" t="s">
        <v>80</v>
      </c>
    </row>
    <row r="609" spans="4:4" ht="17.649999999999999" x14ac:dyDescent="0.5">
      <c r="D609" s="3" t="s">
        <v>58</v>
      </c>
    </row>
    <row r="610" spans="4:4" ht="17.649999999999999" x14ac:dyDescent="0.5">
      <c r="D610" s="3" t="s">
        <v>117</v>
      </c>
    </row>
    <row r="611" spans="4:4" ht="17.649999999999999" x14ac:dyDescent="0.5">
      <c r="D611" s="3" t="s">
        <v>84</v>
      </c>
    </row>
    <row r="612" spans="4:4" ht="17.649999999999999" x14ac:dyDescent="0.5">
      <c r="D612" s="3" t="s">
        <v>56</v>
      </c>
    </row>
    <row r="613" spans="4:4" ht="17.649999999999999" x14ac:dyDescent="0.5">
      <c r="D613" s="3" t="s">
        <v>100</v>
      </c>
    </row>
    <row r="614" spans="4:4" ht="17.649999999999999" x14ac:dyDescent="0.5">
      <c r="D614" s="3" t="s">
        <v>62</v>
      </c>
    </row>
    <row r="615" spans="4:4" ht="17.649999999999999" x14ac:dyDescent="0.5">
      <c r="D615" s="3" t="s">
        <v>51</v>
      </c>
    </row>
    <row r="616" spans="4:4" ht="17.649999999999999" x14ac:dyDescent="0.5">
      <c r="D616" s="3" t="s">
        <v>69</v>
      </c>
    </row>
    <row r="617" spans="4:4" ht="17.649999999999999" x14ac:dyDescent="0.5">
      <c r="D617" s="3" t="s">
        <v>96</v>
      </c>
    </row>
    <row r="618" spans="4:4" ht="17.649999999999999" x14ac:dyDescent="0.5">
      <c r="D618" s="3" t="s">
        <v>66</v>
      </c>
    </row>
    <row r="619" spans="4:4" ht="17.649999999999999" x14ac:dyDescent="0.5">
      <c r="D619" s="3" t="s">
        <v>68</v>
      </c>
    </row>
    <row r="620" spans="4:4" ht="17.649999999999999" x14ac:dyDescent="0.5">
      <c r="D620" s="3" t="s">
        <v>43</v>
      </c>
    </row>
    <row r="621" spans="4:4" ht="17.649999999999999" x14ac:dyDescent="0.5">
      <c r="D621" s="3" t="s">
        <v>53</v>
      </c>
    </row>
    <row r="622" spans="4:4" ht="17.649999999999999" x14ac:dyDescent="0.5">
      <c r="D622" s="3" t="s">
        <v>50</v>
      </c>
    </row>
    <row r="623" spans="4:4" ht="17.649999999999999" x14ac:dyDescent="0.5">
      <c r="D623" s="3" t="s">
        <v>48</v>
      </c>
    </row>
    <row r="624" spans="4:4" ht="17.649999999999999" x14ac:dyDescent="0.5">
      <c r="D624" s="3" t="s">
        <v>89</v>
      </c>
    </row>
    <row r="625" spans="4:4" ht="17.649999999999999" x14ac:dyDescent="0.5">
      <c r="D625" s="3" t="s">
        <v>52</v>
      </c>
    </row>
    <row r="626" spans="4:4" ht="17.649999999999999" x14ac:dyDescent="0.5">
      <c r="D626" s="3" t="s">
        <v>49</v>
      </c>
    </row>
    <row r="627" spans="4:4" ht="17.649999999999999" x14ac:dyDescent="0.5">
      <c r="D627" s="3" t="s">
        <v>46</v>
      </c>
    </row>
    <row r="628" spans="4:4" ht="17.649999999999999" x14ac:dyDescent="0.5">
      <c r="D628" s="3" t="s">
        <v>48</v>
      </c>
    </row>
    <row r="629" spans="4:4" ht="17.649999999999999" x14ac:dyDescent="0.5">
      <c r="D629" s="3" t="s">
        <v>120</v>
      </c>
    </row>
    <row r="630" spans="4:4" ht="17.649999999999999" x14ac:dyDescent="0.5">
      <c r="D630" s="3" t="s">
        <v>63</v>
      </c>
    </row>
    <row r="631" spans="4:4" ht="17.649999999999999" x14ac:dyDescent="0.5">
      <c r="D631" s="3" t="s">
        <v>84</v>
      </c>
    </row>
    <row r="632" spans="4:4" ht="17.649999999999999" x14ac:dyDescent="0.5">
      <c r="D632" s="3" t="s">
        <v>44</v>
      </c>
    </row>
    <row r="633" spans="4:4" ht="17.649999999999999" x14ac:dyDescent="0.5">
      <c r="D633" s="3" t="s">
        <v>69</v>
      </c>
    </row>
    <row r="634" spans="4:4" ht="17.649999999999999" x14ac:dyDescent="0.5">
      <c r="D634" s="3" t="s">
        <v>53</v>
      </c>
    </row>
    <row r="635" spans="4:4" ht="17.649999999999999" x14ac:dyDescent="0.5">
      <c r="D635" s="3" t="s">
        <v>51</v>
      </c>
    </row>
    <row r="636" spans="4:4" ht="17.649999999999999" x14ac:dyDescent="0.5">
      <c r="D636" s="3" t="s">
        <v>126</v>
      </c>
    </row>
    <row r="637" spans="4:4" ht="17.649999999999999" x14ac:dyDescent="0.5">
      <c r="D637" s="3" t="s">
        <v>51</v>
      </c>
    </row>
    <row r="638" spans="4:4" ht="17.649999999999999" x14ac:dyDescent="0.5">
      <c r="D638" s="3" t="s">
        <v>57</v>
      </c>
    </row>
    <row r="639" spans="4:4" ht="17.649999999999999" x14ac:dyDescent="0.5">
      <c r="D639" s="3" t="s">
        <v>69</v>
      </c>
    </row>
    <row r="640" spans="4:4" ht="17.649999999999999" x14ac:dyDescent="0.5">
      <c r="D640" s="3" t="s">
        <v>85</v>
      </c>
    </row>
    <row r="641" spans="4:4" ht="17.649999999999999" x14ac:dyDescent="0.5">
      <c r="D641" s="3" t="s">
        <v>61</v>
      </c>
    </row>
    <row r="642" spans="4:4" ht="17.649999999999999" x14ac:dyDescent="0.5">
      <c r="D642" s="3" t="s">
        <v>64</v>
      </c>
    </row>
    <row r="643" spans="4:4" ht="17.649999999999999" x14ac:dyDescent="0.5">
      <c r="D643" s="3" t="s">
        <v>112</v>
      </c>
    </row>
    <row r="644" spans="4:4" ht="17.649999999999999" x14ac:dyDescent="0.5">
      <c r="D644" s="3" t="s">
        <v>78</v>
      </c>
    </row>
    <row r="645" spans="4:4" ht="17.649999999999999" x14ac:dyDescent="0.5">
      <c r="D645" s="3" t="s">
        <v>47</v>
      </c>
    </row>
    <row r="646" spans="4:4" ht="17.649999999999999" x14ac:dyDescent="0.5">
      <c r="D646" s="3" t="s">
        <v>103</v>
      </c>
    </row>
    <row r="647" spans="4:4" ht="17.649999999999999" x14ac:dyDescent="0.5">
      <c r="D647" s="3" t="s">
        <v>102</v>
      </c>
    </row>
    <row r="648" spans="4:4" ht="17.649999999999999" x14ac:dyDescent="0.5">
      <c r="D648" s="3" t="s">
        <v>84</v>
      </c>
    </row>
    <row r="649" spans="4:4" ht="17.649999999999999" x14ac:dyDescent="0.5">
      <c r="D649" s="3" t="s">
        <v>105</v>
      </c>
    </row>
    <row r="650" spans="4:4" ht="17.649999999999999" x14ac:dyDescent="0.5">
      <c r="D650" s="3" t="s">
        <v>92</v>
      </c>
    </row>
    <row r="651" spans="4:4" ht="17.649999999999999" x14ac:dyDescent="0.5">
      <c r="D651" s="3" t="s">
        <v>53</v>
      </c>
    </row>
    <row r="652" spans="4:4" ht="17.649999999999999" x14ac:dyDescent="0.5">
      <c r="D652" s="3" t="s">
        <v>123</v>
      </c>
    </row>
    <row r="653" spans="4:4" ht="17.649999999999999" x14ac:dyDescent="0.5">
      <c r="D653" s="3" t="s">
        <v>92</v>
      </c>
    </row>
    <row r="654" spans="4:4" ht="17.649999999999999" x14ac:dyDescent="0.5">
      <c r="D654" s="3" t="s">
        <v>69</v>
      </c>
    </row>
    <row r="655" spans="4:4" ht="17.649999999999999" x14ac:dyDescent="0.5">
      <c r="D655" s="3" t="s">
        <v>114</v>
      </c>
    </row>
    <row r="656" spans="4:4" ht="17.649999999999999" x14ac:dyDescent="0.5">
      <c r="D656" s="3" t="s">
        <v>63</v>
      </c>
    </row>
    <row r="657" spans="4:4" ht="17.649999999999999" x14ac:dyDescent="0.5">
      <c r="D657" s="3" t="s">
        <v>126</v>
      </c>
    </row>
    <row r="658" spans="4:4" ht="17.649999999999999" x14ac:dyDescent="0.5">
      <c r="D658" s="3" t="s">
        <v>48</v>
      </c>
    </row>
    <row r="659" spans="4:4" ht="17.649999999999999" x14ac:dyDescent="0.5">
      <c r="D659" s="3" t="s">
        <v>120</v>
      </c>
    </row>
    <row r="660" spans="4:4" ht="17.649999999999999" x14ac:dyDescent="0.5">
      <c r="D660" s="3" t="s">
        <v>64</v>
      </c>
    </row>
    <row r="661" spans="4:4" ht="17.649999999999999" x14ac:dyDescent="0.5">
      <c r="D661" s="3" t="s">
        <v>84</v>
      </c>
    </row>
    <row r="662" spans="4:4" ht="17.649999999999999" x14ac:dyDescent="0.5">
      <c r="D662" s="3" t="s">
        <v>102</v>
      </c>
    </row>
    <row r="663" spans="4:4" ht="17.649999999999999" x14ac:dyDescent="0.5">
      <c r="D663" s="3" t="s">
        <v>59</v>
      </c>
    </row>
    <row r="664" spans="4:4" ht="17.649999999999999" x14ac:dyDescent="0.5">
      <c r="D664" s="3" t="s">
        <v>53</v>
      </c>
    </row>
    <row r="665" spans="4:4" ht="17.649999999999999" x14ac:dyDescent="0.5">
      <c r="D665" s="3" t="s">
        <v>81</v>
      </c>
    </row>
    <row r="666" spans="4:4" ht="17.649999999999999" x14ac:dyDescent="0.5">
      <c r="D666" s="3" t="s">
        <v>96</v>
      </c>
    </row>
    <row r="667" spans="4:4" ht="17.649999999999999" x14ac:dyDescent="0.5">
      <c r="D667" s="3" t="s">
        <v>58</v>
      </c>
    </row>
    <row r="668" spans="4:4" ht="17.649999999999999" x14ac:dyDescent="0.5">
      <c r="D668" s="3" t="s">
        <v>65</v>
      </c>
    </row>
    <row r="669" spans="4:4" ht="17.649999999999999" x14ac:dyDescent="0.5">
      <c r="D669" s="3" t="s">
        <v>84</v>
      </c>
    </row>
    <row r="670" spans="4:4" ht="17.649999999999999" x14ac:dyDescent="0.5">
      <c r="D670" s="3" t="s">
        <v>56</v>
      </c>
    </row>
    <row r="671" spans="4:4" ht="17.649999999999999" x14ac:dyDescent="0.5">
      <c r="D671" s="3" t="s">
        <v>134</v>
      </c>
    </row>
    <row r="672" spans="4:4" ht="17.649999999999999" x14ac:dyDescent="0.5">
      <c r="D672" s="3" t="s">
        <v>128</v>
      </c>
    </row>
    <row r="673" spans="4:4" ht="17.649999999999999" x14ac:dyDescent="0.5">
      <c r="D673" s="3" t="s">
        <v>49</v>
      </c>
    </row>
    <row r="674" spans="4:4" ht="17.649999999999999" x14ac:dyDescent="0.5">
      <c r="D674" s="3" t="s">
        <v>56</v>
      </c>
    </row>
    <row r="675" spans="4:4" ht="17.649999999999999" x14ac:dyDescent="0.5">
      <c r="D675" s="3" t="s">
        <v>65</v>
      </c>
    </row>
    <row r="676" spans="4:4" ht="17.649999999999999" x14ac:dyDescent="0.5">
      <c r="D676" s="3" t="s">
        <v>59</v>
      </c>
    </row>
    <row r="677" spans="4:4" ht="17.649999999999999" x14ac:dyDescent="0.5">
      <c r="D677" s="3" t="s">
        <v>48</v>
      </c>
    </row>
    <row r="678" spans="4:4" ht="17.649999999999999" x14ac:dyDescent="0.5">
      <c r="D678" s="3" t="s">
        <v>114</v>
      </c>
    </row>
    <row r="679" spans="4:4" ht="17.649999999999999" x14ac:dyDescent="0.5">
      <c r="D679" s="3" t="s">
        <v>78</v>
      </c>
    </row>
    <row r="680" spans="4:4" ht="17.649999999999999" x14ac:dyDescent="0.5">
      <c r="D680" s="3" t="s">
        <v>97</v>
      </c>
    </row>
    <row r="681" spans="4:4" ht="17.649999999999999" x14ac:dyDescent="0.5">
      <c r="D681" s="3" t="s">
        <v>56</v>
      </c>
    </row>
    <row r="682" spans="4:4" ht="17.649999999999999" x14ac:dyDescent="0.5">
      <c r="D682" s="3" t="s">
        <v>119</v>
      </c>
    </row>
    <row r="683" spans="4:4" ht="17.649999999999999" x14ac:dyDescent="0.5">
      <c r="D683" s="3" t="s">
        <v>80</v>
      </c>
    </row>
    <row r="684" spans="4:4" ht="17.649999999999999" x14ac:dyDescent="0.5">
      <c r="D684" s="3" t="s">
        <v>109</v>
      </c>
    </row>
    <row r="685" spans="4:4" ht="17.649999999999999" x14ac:dyDescent="0.5">
      <c r="D685" s="3" t="s">
        <v>74</v>
      </c>
    </row>
    <row r="686" spans="4:4" ht="17.649999999999999" x14ac:dyDescent="0.5">
      <c r="D686" s="3" t="s">
        <v>121</v>
      </c>
    </row>
    <row r="687" spans="4:4" ht="17.649999999999999" x14ac:dyDescent="0.5">
      <c r="D687" s="3" t="s">
        <v>112</v>
      </c>
    </row>
    <row r="688" spans="4:4" ht="17.649999999999999" x14ac:dyDescent="0.5">
      <c r="D688" s="3" t="s">
        <v>45</v>
      </c>
    </row>
    <row r="689" spans="4:4" ht="17.649999999999999" x14ac:dyDescent="0.5">
      <c r="D689" s="3" t="s">
        <v>103</v>
      </c>
    </row>
    <row r="690" spans="4:4" ht="17.649999999999999" x14ac:dyDescent="0.5">
      <c r="D690" s="3" t="s">
        <v>112</v>
      </c>
    </row>
    <row r="691" spans="4:4" ht="17.649999999999999" x14ac:dyDescent="0.5">
      <c r="D691" s="3" t="s">
        <v>96</v>
      </c>
    </row>
    <row r="692" spans="4:4" ht="17.649999999999999" x14ac:dyDescent="0.5">
      <c r="D692" s="3" t="s">
        <v>62</v>
      </c>
    </row>
    <row r="693" spans="4:4" ht="17.649999999999999" x14ac:dyDescent="0.5">
      <c r="D693" s="3" t="s">
        <v>51</v>
      </c>
    </row>
    <row r="694" spans="4:4" ht="17.649999999999999" x14ac:dyDescent="0.5">
      <c r="D694" s="3" t="s">
        <v>92</v>
      </c>
    </row>
    <row r="695" spans="4:4" ht="17.649999999999999" x14ac:dyDescent="0.5">
      <c r="D695" s="3" t="s">
        <v>81</v>
      </c>
    </row>
    <row r="696" spans="4:4" ht="17.649999999999999" x14ac:dyDescent="0.5">
      <c r="D696" s="3" t="s">
        <v>90</v>
      </c>
    </row>
    <row r="697" spans="4:4" ht="17.649999999999999" x14ac:dyDescent="0.5">
      <c r="D697" s="3" t="s">
        <v>105</v>
      </c>
    </row>
    <row r="698" spans="4:4" ht="17.649999999999999" x14ac:dyDescent="0.5">
      <c r="D698" s="3" t="s">
        <v>47</v>
      </c>
    </row>
    <row r="699" spans="4:4" ht="17.649999999999999" x14ac:dyDescent="0.5">
      <c r="D699" s="3" t="s">
        <v>94</v>
      </c>
    </row>
    <row r="700" spans="4:4" ht="17.649999999999999" x14ac:dyDescent="0.5">
      <c r="D700" s="3" t="s">
        <v>98</v>
      </c>
    </row>
    <row r="701" spans="4:4" ht="17.649999999999999" x14ac:dyDescent="0.5">
      <c r="D701" s="3" t="s">
        <v>83</v>
      </c>
    </row>
    <row r="702" spans="4:4" ht="17.649999999999999" x14ac:dyDescent="0.5">
      <c r="D702" s="3" t="s">
        <v>50</v>
      </c>
    </row>
    <row r="703" spans="4:4" ht="17.649999999999999" x14ac:dyDescent="0.5">
      <c r="D703" s="3" t="s">
        <v>91</v>
      </c>
    </row>
    <row r="704" spans="4:4" ht="17.649999999999999" x14ac:dyDescent="0.5">
      <c r="D704" s="3" t="s">
        <v>49</v>
      </c>
    </row>
    <row r="705" spans="4:4" ht="17.649999999999999" x14ac:dyDescent="0.5">
      <c r="D705" s="3" t="s">
        <v>53</v>
      </c>
    </row>
    <row r="706" spans="4:4" ht="17.649999999999999" x14ac:dyDescent="0.5">
      <c r="D706" s="3" t="s">
        <v>48</v>
      </c>
    </row>
    <row r="707" spans="4:4" ht="17.649999999999999" x14ac:dyDescent="0.5">
      <c r="D707" s="3" t="s">
        <v>97</v>
      </c>
    </row>
    <row r="708" spans="4:4" ht="17.649999999999999" x14ac:dyDescent="0.5">
      <c r="D708" s="3" t="s">
        <v>64</v>
      </c>
    </row>
    <row r="709" spans="4:4" ht="17.649999999999999" x14ac:dyDescent="0.5">
      <c r="D709" s="3" t="s">
        <v>101</v>
      </c>
    </row>
    <row r="710" spans="4:4" ht="17.649999999999999" x14ac:dyDescent="0.5">
      <c r="D710" s="3" t="s">
        <v>108</v>
      </c>
    </row>
    <row r="711" spans="4:4" ht="17.649999999999999" x14ac:dyDescent="0.5">
      <c r="D711" s="3" t="s">
        <v>54</v>
      </c>
    </row>
    <row r="712" spans="4:4" ht="17.649999999999999" x14ac:dyDescent="0.5">
      <c r="D712" s="3" t="s">
        <v>61</v>
      </c>
    </row>
    <row r="713" spans="4:4" ht="17.649999999999999" x14ac:dyDescent="0.5">
      <c r="D713" s="3" t="s">
        <v>66</v>
      </c>
    </row>
    <row r="714" spans="4:4" ht="17.649999999999999" x14ac:dyDescent="0.5">
      <c r="D714" s="3" t="s">
        <v>69</v>
      </c>
    </row>
    <row r="715" spans="4:4" ht="17.649999999999999" x14ac:dyDescent="0.5">
      <c r="D715" s="3" t="s">
        <v>84</v>
      </c>
    </row>
    <row r="716" spans="4:4" ht="17.649999999999999" x14ac:dyDescent="0.5">
      <c r="D716" s="3" t="s">
        <v>102</v>
      </c>
    </row>
    <row r="717" spans="4:4" ht="17.649999999999999" x14ac:dyDescent="0.5">
      <c r="D717" s="3" t="s">
        <v>106</v>
      </c>
    </row>
    <row r="718" spans="4:4" ht="17.649999999999999" x14ac:dyDescent="0.5">
      <c r="D718" s="3" t="s">
        <v>73</v>
      </c>
    </row>
    <row r="719" spans="4:4" ht="17.649999999999999" x14ac:dyDescent="0.5">
      <c r="D719" s="3" t="s">
        <v>89</v>
      </c>
    </row>
    <row r="720" spans="4:4" ht="17.649999999999999" x14ac:dyDescent="0.5">
      <c r="D720" s="3" t="s">
        <v>81</v>
      </c>
    </row>
    <row r="721" spans="4:4" ht="17.649999999999999" x14ac:dyDescent="0.5">
      <c r="D721" s="3" t="s">
        <v>107</v>
      </c>
    </row>
    <row r="722" spans="4:4" ht="17.649999999999999" x14ac:dyDescent="0.5">
      <c r="D722" s="3" t="s">
        <v>48</v>
      </c>
    </row>
    <row r="723" spans="4:4" ht="17.649999999999999" x14ac:dyDescent="0.5">
      <c r="D723" s="3" t="s">
        <v>114</v>
      </c>
    </row>
    <row r="724" spans="4:4" ht="17.649999999999999" x14ac:dyDescent="0.5">
      <c r="D724" s="3" t="s">
        <v>83</v>
      </c>
    </row>
    <row r="725" spans="4:4" ht="17.649999999999999" x14ac:dyDescent="0.5">
      <c r="D725" s="3" t="s">
        <v>56</v>
      </c>
    </row>
    <row r="726" spans="4:4" ht="17.649999999999999" x14ac:dyDescent="0.5">
      <c r="D726" s="3" t="s">
        <v>98</v>
      </c>
    </row>
    <row r="727" spans="4:4" ht="17.649999999999999" x14ac:dyDescent="0.5">
      <c r="D727" s="3" t="s">
        <v>74</v>
      </c>
    </row>
    <row r="728" spans="4:4" ht="17.649999999999999" x14ac:dyDescent="0.5">
      <c r="D728" s="3" t="s">
        <v>101</v>
      </c>
    </row>
    <row r="729" spans="4:4" ht="17.649999999999999" x14ac:dyDescent="0.5">
      <c r="D729" s="3" t="s">
        <v>69</v>
      </c>
    </row>
    <row r="730" spans="4:4" ht="17.649999999999999" x14ac:dyDescent="0.5">
      <c r="D730" s="3" t="s">
        <v>101</v>
      </c>
    </row>
    <row r="731" spans="4:4" ht="17.649999999999999" x14ac:dyDescent="0.5">
      <c r="D731" s="3" t="s">
        <v>49</v>
      </c>
    </row>
    <row r="732" spans="4:4" ht="17.649999999999999" x14ac:dyDescent="0.5">
      <c r="D732" s="3" t="s">
        <v>47</v>
      </c>
    </row>
    <row r="733" spans="4:4" ht="17.649999999999999" x14ac:dyDescent="0.5">
      <c r="D733" s="3" t="s">
        <v>106</v>
      </c>
    </row>
    <row r="734" spans="4:4" ht="17.649999999999999" x14ac:dyDescent="0.5">
      <c r="D734" s="3" t="s">
        <v>52</v>
      </c>
    </row>
    <row r="735" spans="4:4" ht="17.649999999999999" x14ac:dyDescent="0.5">
      <c r="D735" s="3" t="s">
        <v>115</v>
      </c>
    </row>
    <row r="736" spans="4:4" ht="17.649999999999999" x14ac:dyDescent="0.5">
      <c r="D736" s="3" t="s">
        <v>102</v>
      </c>
    </row>
    <row r="737" spans="4:4" ht="17.649999999999999" x14ac:dyDescent="0.5">
      <c r="D737" s="3" t="s">
        <v>109</v>
      </c>
    </row>
    <row r="738" spans="4:4" ht="17.649999999999999" x14ac:dyDescent="0.5">
      <c r="D738" s="3" t="s">
        <v>47</v>
      </c>
    </row>
    <row r="739" spans="4:4" ht="17.649999999999999" x14ac:dyDescent="0.5">
      <c r="D739" s="3" t="s">
        <v>132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103</v>
      </c>
    </row>
    <row r="742" spans="4:4" ht="17.649999999999999" x14ac:dyDescent="0.5">
      <c r="D742" s="3" t="s">
        <v>108</v>
      </c>
    </row>
    <row r="743" spans="4:4" ht="17.649999999999999" x14ac:dyDescent="0.5">
      <c r="D743" s="3" t="s">
        <v>131</v>
      </c>
    </row>
    <row r="744" spans="4:4" ht="17.649999999999999" x14ac:dyDescent="0.5">
      <c r="D744" s="3" t="s">
        <v>73</v>
      </c>
    </row>
    <row r="745" spans="4:4" ht="17.649999999999999" x14ac:dyDescent="0.5">
      <c r="D745" s="3" t="s">
        <v>47</v>
      </c>
    </row>
    <row r="746" spans="4:4" ht="17.649999999999999" x14ac:dyDescent="0.5">
      <c r="D746" s="3" t="s">
        <v>69</v>
      </c>
    </row>
    <row r="747" spans="4:4" ht="17.649999999999999" x14ac:dyDescent="0.5">
      <c r="D747" s="3" t="s">
        <v>108</v>
      </c>
    </row>
    <row r="748" spans="4:4" ht="17.649999999999999" x14ac:dyDescent="0.5">
      <c r="D748" s="3" t="s">
        <v>78</v>
      </c>
    </row>
    <row r="749" spans="4:4" ht="17.649999999999999" x14ac:dyDescent="0.5">
      <c r="D749" s="3" t="s">
        <v>101</v>
      </c>
    </row>
    <row r="750" spans="4:4" ht="17.649999999999999" x14ac:dyDescent="0.5">
      <c r="D750" s="3" t="s">
        <v>56</v>
      </c>
    </row>
    <row r="751" spans="4:4" ht="17.649999999999999" x14ac:dyDescent="0.5">
      <c r="D751" s="3" t="s">
        <v>112</v>
      </c>
    </row>
    <row r="752" spans="4:4" ht="17.649999999999999" x14ac:dyDescent="0.5">
      <c r="D752" s="3" t="s">
        <v>131</v>
      </c>
    </row>
    <row r="753" spans="4:4" ht="17.649999999999999" x14ac:dyDescent="0.5">
      <c r="D753" s="3" t="s">
        <v>103</v>
      </c>
    </row>
    <row r="754" spans="4:4" ht="17.649999999999999" x14ac:dyDescent="0.5">
      <c r="D754" s="3" t="s">
        <v>85</v>
      </c>
    </row>
    <row r="755" spans="4:4" ht="17.649999999999999" x14ac:dyDescent="0.5">
      <c r="D755" s="3" t="s">
        <v>119</v>
      </c>
    </row>
    <row r="756" spans="4:4" ht="17.649999999999999" x14ac:dyDescent="0.5">
      <c r="D756" s="3" t="s">
        <v>78</v>
      </c>
    </row>
    <row r="757" spans="4:4" ht="17.649999999999999" x14ac:dyDescent="0.5">
      <c r="D757" s="3" t="s">
        <v>48</v>
      </c>
    </row>
    <row r="758" spans="4:4" ht="17.649999999999999" x14ac:dyDescent="0.5">
      <c r="D758" s="3" t="s">
        <v>126</v>
      </c>
    </row>
    <row r="759" spans="4:4" ht="17.649999999999999" x14ac:dyDescent="0.5">
      <c r="D759" s="3" t="s">
        <v>60</v>
      </c>
    </row>
    <row r="760" spans="4:4" ht="17.649999999999999" x14ac:dyDescent="0.5">
      <c r="D760" s="3" t="s">
        <v>67</v>
      </c>
    </row>
    <row r="761" spans="4:4" ht="17.649999999999999" x14ac:dyDescent="0.5">
      <c r="D761" s="3" t="s">
        <v>59</v>
      </c>
    </row>
    <row r="762" spans="4:4" ht="17.649999999999999" x14ac:dyDescent="0.5">
      <c r="D762" s="3" t="s">
        <v>80</v>
      </c>
    </row>
    <row r="763" spans="4:4" ht="17.649999999999999" x14ac:dyDescent="0.5">
      <c r="D763" s="3" t="s">
        <v>46</v>
      </c>
    </row>
    <row r="764" spans="4:4" ht="17.649999999999999" x14ac:dyDescent="0.5">
      <c r="D764" s="3" t="s">
        <v>120</v>
      </c>
    </row>
    <row r="765" spans="4:4" ht="17.649999999999999" x14ac:dyDescent="0.5">
      <c r="D765" s="3" t="s">
        <v>81</v>
      </c>
    </row>
    <row r="766" spans="4:4" ht="17.649999999999999" x14ac:dyDescent="0.5">
      <c r="D766" s="3" t="s">
        <v>73</v>
      </c>
    </row>
    <row r="767" spans="4:4" ht="17.649999999999999" x14ac:dyDescent="0.5">
      <c r="D767" s="3" t="s">
        <v>46</v>
      </c>
    </row>
    <row r="768" spans="4:4" ht="17.649999999999999" x14ac:dyDescent="0.5">
      <c r="D768" s="3" t="s">
        <v>69</v>
      </c>
    </row>
    <row r="769" spans="4:4" ht="17.649999999999999" x14ac:dyDescent="0.5">
      <c r="D769" s="3" t="s">
        <v>83</v>
      </c>
    </row>
    <row r="770" spans="4:4" ht="17.649999999999999" x14ac:dyDescent="0.5">
      <c r="D770" s="3" t="s">
        <v>52</v>
      </c>
    </row>
    <row r="771" spans="4:4" ht="17.649999999999999" x14ac:dyDescent="0.5">
      <c r="D771" s="3" t="s">
        <v>83</v>
      </c>
    </row>
    <row r="772" spans="4:4" ht="17.649999999999999" x14ac:dyDescent="0.5">
      <c r="D772" s="3" t="s">
        <v>67</v>
      </c>
    </row>
    <row r="773" spans="4:4" ht="17.649999999999999" x14ac:dyDescent="0.5">
      <c r="D773" s="3" t="s">
        <v>57</v>
      </c>
    </row>
    <row r="774" spans="4:4" ht="17.649999999999999" x14ac:dyDescent="0.5">
      <c r="D774" s="3" t="s">
        <v>133</v>
      </c>
    </row>
    <row r="775" spans="4:4" ht="17.649999999999999" x14ac:dyDescent="0.5">
      <c r="D775" s="3" t="s">
        <v>67</v>
      </c>
    </row>
    <row r="776" spans="4:4" ht="17.649999999999999" x14ac:dyDescent="0.5">
      <c r="D776" s="3" t="s">
        <v>49</v>
      </c>
    </row>
    <row r="777" spans="4:4" ht="17.649999999999999" x14ac:dyDescent="0.5">
      <c r="D777" s="3" t="s">
        <v>90</v>
      </c>
    </row>
    <row r="778" spans="4:4" ht="17.649999999999999" x14ac:dyDescent="0.5">
      <c r="D778" s="3" t="s">
        <v>72</v>
      </c>
    </row>
    <row r="779" spans="4:4" ht="17.649999999999999" x14ac:dyDescent="0.5">
      <c r="D779" s="3" t="s">
        <v>123</v>
      </c>
    </row>
    <row r="780" spans="4:4" ht="17.649999999999999" x14ac:dyDescent="0.5">
      <c r="D780" s="3" t="s">
        <v>61</v>
      </c>
    </row>
    <row r="781" spans="4:4" ht="17.649999999999999" x14ac:dyDescent="0.5">
      <c r="D781" s="3" t="s">
        <v>120</v>
      </c>
    </row>
    <row r="782" spans="4:4" ht="17.649999999999999" x14ac:dyDescent="0.5">
      <c r="D782" s="3" t="s">
        <v>66</v>
      </c>
    </row>
    <row r="783" spans="4:4" ht="17.649999999999999" x14ac:dyDescent="0.5">
      <c r="D783" s="3" t="s">
        <v>109</v>
      </c>
    </row>
    <row r="784" spans="4:4" ht="17.649999999999999" x14ac:dyDescent="0.5">
      <c r="D784" s="3" t="s">
        <v>96</v>
      </c>
    </row>
    <row r="785" spans="4:4" ht="17.649999999999999" x14ac:dyDescent="0.5">
      <c r="D785" s="3" t="s">
        <v>43</v>
      </c>
    </row>
    <row r="786" spans="4:4" ht="17.649999999999999" x14ac:dyDescent="0.5">
      <c r="D786" s="3" t="s">
        <v>119</v>
      </c>
    </row>
    <row r="787" spans="4:4" ht="17.649999999999999" x14ac:dyDescent="0.5">
      <c r="D787" s="3" t="s">
        <v>63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125</v>
      </c>
    </row>
    <row r="790" spans="4:4" ht="17.649999999999999" x14ac:dyDescent="0.5">
      <c r="D790" s="3" t="s">
        <v>73</v>
      </c>
    </row>
    <row r="791" spans="4:4" ht="17.649999999999999" x14ac:dyDescent="0.5">
      <c r="D791" s="3" t="s">
        <v>57</v>
      </c>
    </row>
    <row r="792" spans="4:4" ht="17.649999999999999" x14ac:dyDescent="0.5">
      <c r="D792" s="3" t="s">
        <v>75</v>
      </c>
    </row>
    <row r="793" spans="4:4" ht="17.649999999999999" x14ac:dyDescent="0.5">
      <c r="D793" s="3" t="s">
        <v>115</v>
      </c>
    </row>
    <row r="794" spans="4:4" ht="17.649999999999999" x14ac:dyDescent="0.5">
      <c r="D794" s="3" t="s">
        <v>88</v>
      </c>
    </row>
    <row r="795" spans="4:4" ht="17.649999999999999" x14ac:dyDescent="0.5">
      <c r="D795" s="3" t="s">
        <v>92</v>
      </c>
    </row>
    <row r="796" spans="4:4" ht="17.649999999999999" x14ac:dyDescent="0.5">
      <c r="D796" s="3" t="s">
        <v>85</v>
      </c>
    </row>
    <row r="797" spans="4:4" ht="17.649999999999999" x14ac:dyDescent="0.5">
      <c r="D797" s="3" t="s">
        <v>99</v>
      </c>
    </row>
    <row r="798" spans="4:4" ht="17.649999999999999" x14ac:dyDescent="0.5">
      <c r="D798" s="3" t="s">
        <v>87</v>
      </c>
    </row>
    <row r="799" spans="4:4" ht="17.649999999999999" x14ac:dyDescent="0.5">
      <c r="D799" s="3" t="s">
        <v>53</v>
      </c>
    </row>
    <row r="800" spans="4:4" ht="17.649999999999999" x14ac:dyDescent="0.5">
      <c r="D800" s="3" t="s">
        <v>55</v>
      </c>
    </row>
    <row r="801" spans="4:4" ht="17.649999999999999" x14ac:dyDescent="0.5">
      <c r="D801" s="3" t="s">
        <v>103</v>
      </c>
    </row>
    <row r="802" spans="4:4" ht="17.649999999999999" x14ac:dyDescent="0.5">
      <c r="D802" s="3" t="s">
        <v>112</v>
      </c>
    </row>
    <row r="803" spans="4:4" ht="17.649999999999999" x14ac:dyDescent="0.5">
      <c r="D803" s="3" t="s">
        <v>75</v>
      </c>
    </row>
    <row r="804" spans="4:4" ht="17.649999999999999" x14ac:dyDescent="0.5">
      <c r="D804" s="3" t="s">
        <v>85</v>
      </c>
    </row>
    <row r="805" spans="4:4" ht="17.649999999999999" x14ac:dyDescent="0.5">
      <c r="D805" s="3" t="s">
        <v>73</v>
      </c>
    </row>
    <row r="806" spans="4:4" ht="17.649999999999999" x14ac:dyDescent="0.5">
      <c r="D806" s="3" t="s">
        <v>61</v>
      </c>
    </row>
    <row r="807" spans="4:4" ht="17.649999999999999" x14ac:dyDescent="0.5">
      <c r="D807" s="3" t="s">
        <v>115</v>
      </c>
    </row>
    <row r="808" spans="4:4" ht="17.649999999999999" x14ac:dyDescent="0.5">
      <c r="D808" s="3" t="s">
        <v>42</v>
      </c>
    </row>
    <row r="809" spans="4:4" ht="17.649999999999999" x14ac:dyDescent="0.5">
      <c r="D809" s="3" t="s">
        <v>89</v>
      </c>
    </row>
    <row r="810" spans="4:4" ht="17.649999999999999" x14ac:dyDescent="0.5">
      <c r="D810" s="3" t="s">
        <v>41</v>
      </c>
    </row>
    <row r="811" spans="4:4" ht="17.649999999999999" x14ac:dyDescent="0.5">
      <c r="D811" s="3" t="s">
        <v>105</v>
      </c>
    </row>
    <row r="812" spans="4:4" ht="17.649999999999999" x14ac:dyDescent="0.5">
      <c r="D812" s="3" t="s">
        <v>101</v>
      </c>
    </row>
    <row r="813" spans="4:4" ht="17.649999999999999" x14ac:dyDescent="0.5">
      <c r="D813" s="3" t="s">
        <v>44</v>
      </c>
    </row>
    <row r="814" spans="4:4" ht="17.649999999999999" x14ac:dyDescent="0.5">
      <c r="D814" s="3" t="s">
        <v>59</v>
      </c>
    </row>
    <row r="815" spans="4:4" ht="17.649999999999999" x14ac:dyDescent="0.5">
      <c r="D815" s="3" t="s">
        <v>84</v>
      </c>
    </row>
    <row r="816" spans="4:4" ht="17.649999999999999" x14ac:dyDescent="0.5">
      <c r="D816" s="3" t="s">
        <v>75</v>
      </c>
    </row>
    <row r="817" spans="4:4" ht="17.649999999999999" x14ac:dyDescent="0.5">
      <c r="D817" s="3" t="s">
        <v>132</v>
      </c>
    </row>
    <row r="818" spans="4:4" ht="17.649999999999999" x14ac:dyDescent="0.5">
      <c r="D818" s="3" t="s">
        <v>46</v>
      </c>
    </row>
    <row r="819" spans="4:4" ht="17.649999999999999" x14ac:dyDescent="0.5">
      <c r="D819" s="3" t="s">
        <v>74</v>
      </c>
    </row>
    <row r="820" spans="4:4" ht="17.649999999999999" x14ac:dyDescent="0.5">
      <c r="D820" s="3" t="s">
        <v>78</v>
      </c>
    </row>
    <row r="821" spans="4:4" ht="17.649999999999999" x14ac:dyDescent="0.5">
      <c r="D821" s="3" t="s">
        <v>101</v>
      </c>
    </row>
    <row r="822" spans="4:4" ht="17.649999999999999" x14ac:dyDescent="0.5">
      <c r="D822" s="3" t="s">
        <v>62</v>
      </c>
    </row>
    <row r="823" spans="4:4" ht="17.649999999999999" x14ac:dyDescent="0.5">
      <c r="D823" s="3" t="s">
        <v>54</v>
      </c>
    </row>
    <row r="824" spans="4:4" ht="17.649999999999999" x14ac:dyDescent="0.5">
      <c r="D824" s="3" t="s">
        <v>112</v>
      </c>
    </row>
    <row r="825" spans="4:4" ht="17.649999999999999" x14ac:dyDescent="0.5">
      <c r="D825" s="3" t="s">
        <v>107</v>
      </c>
    </row>
    <row r="826" spans="4:4" ht="17.649999999999999" x14ac:dyDescent="0.5">
      <c r="D826" s="3" t="s">
        <v>94</v>
      </c>
    </row>
    <row r="827" spans="4:4" ht="17.649999999999999" x14ac:dyDescent="0.5">
      <c r="D827" s="3" t="s">
        <v>61</v>
      </c>
    </row>
    <row r="828" spans="4:4" ht="17.649999999999999" x14ac:dyDescent="0.5">
      <c r="D828" s="3" t="s">
        <v>136</v>
      </c>
    </row>
    <row r="829" spans="4:4" ht="17.649999999999999" x14ac:dyDescent="0.5">
      <c r="D829" s="3" t="s">
        <v>91</v>
      </c>
    </row>
    <row r="830" spans="4:4" ht="17.649999999999999" x14ac:dyDescent="0.5">
      <c r="D830" s="3" t="s">
        <v>107</v>
      </c>
    </row>
    <row r="831" spans="4:4" ht="17.649999999999999" x14ac:dyDescent="0.5">
      <c r="D831" s="3" t="s">
        <v>101</v>
      </c>
    </row>
    <row r="832" spans="4:4" ht="17.649999999999999" x14ac:dyDescent="0.5">
      <c r="D832" s="3" t="s">
        <v>61</v>
      </c>
    </row>
    <row r="833" spans="4:4" ht="17.649999999999999" x14ac:dyDescent="0.5">
      <c r="D833" s="3" t="s">
        <v>54</v>
      </c>
    </row>
    <row r="834" spans="4:4" ht="17.649999999999999" x14ac:dyDescent="0.5">
      <c r="D834" s="3" t="s">
        <v>57</v>
      </c>
    </row>
    <row r="835" spans="4:4" ht="17.649999999999999" x14ac:dyDescent="0.5">
      <c r="D835" s="3" t="s">
        <v>96</v>
      </c>
    </row>
    <row r="836" spans="4:4" ht="17.649999999999999" x14ac:dyDescent="0.5">
      <c r="D836" s="3" t="s">
        <v>90</v>
      </c>
    </row>
    <row r="837" spans="4:4" ht="17.649999999999999" x14ac:dyDescent="0.5">
      <c r="D837" s="3" t="s">
        <v>52</v>
      </c>
    </row>
    <row r="838" spans="4:4" ht="17.649999999999999" x14ac:dyDescent="0.5">
      <c r="D838" s="3" t="s">
        <v>115</v>
      </c>
    </row>
    <row r="839" spans="4:4" ht="17.649999999999999" x14ac:dyDescent="0.5">
      <c r="D839" s="3" t="s">
        <v>59</v>
      </c>
    </row>
    <row r="840" spans="4:4" ht="17.649999999999999" x14ac:dyDescent="0.5">
      <c r="D840" s="3" t="s">
        <v>46</v>
      </c>
    </row>
    <row r="841" spans="4:4" ht="17.649999999999999" x14ac:dyDescent="0.5">
      <c r="D841" s="3" t="s">
        <v>124</v>
      </c>
    </row>
    <row r="842" spans="4:4" ht="17.649999999999999" x14ac:dyDescent="0.5">
      <c r="D842" s="3" t="s">
        <v>92</v>
      </c>
    </row>
    <row r="843" spans="4:4" ht="17.649999999999999" x14ac:dyDescent="0.5">
      <c r="D843" s="3" t="s">
        <v>69</v>
      </c>
    </row>
    <row r="844" spans="4:4" ht="17.649999999999999" x14ac:dyDescent="0.5">
      <c r="D844" s="3" t="s">
        <v>41</v>
      </c>
    </row>
    <row r="845" spans="4:4" ht="17.649999999999999" x14ac:dyDescent="0.5">
      <c r="D845" s="3" t="s">
        <v>66</v>
      </c>
    </row>
    <row r="846" spans="4:4" ht="17.649999999999999" x14ac:dyDescent="0.5">
      <c r="D846" s="3" t="s">
        <v>83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126</v>
      </c>
    </row>
    <row r="849" spans="4:4" ht="17.649999999999999" x14ac:dyDescent="0.5">
      <c r="D849" s="3" t="s">
        <v>56</v>
      </c>
    </row>
    <row r="850" spans="4:4" ht="17.649999999999999" x14ac:dyDescent="0.5">
      <c r="D850" s="3" t="s">
        <v>51</v>
      </c>
    </row>
    <row r="851" spans="4:4" ht="17.649999999999999" x14ac:dyDescent="0.5">
      <c r="D851" s="3" t="s">
        <v>59</v>
      </c>
    </row>
    <row r="852" spans="4:4" ht="17.649999999999999" x14ac:dyDescent="0.5">
      <c r="D852" s="3" t="s">
        <v>50</v>
      </c>
    </row>
    <row r="853" spans="4:4" ht="17.649999999999999" x14ac:dyDescent="0.5">
      <c r="D853" s="3" t="s">
        <v>52</v>
      </c>
    </row>
    <row r="854" spans="4:4" ht="17.649999999999999" x14ac:dyDescent="0.5">
      <c r="D854" s="3" t="s">
        <v>74</v>
      </c>
    </row>
    <row r="855" spans="4:4" ht="17.649999999999999" x14ac:dyDescent="0.5">
      <c r="D855" s="3" t="s">
        <v>57</v>
      </c>
    </row>
    <row r="856" spans="4:4" ht="17.649999999999999" x14ac:dyDescent="0.5">
      <c r="D856" s="3" t="s">
        <v>117</v>
      </c>
    </row>
    <row r="857" spans="4:4" ht="17.649999999999999" x14ac:dyDescent="0.5">
      <c r="D857" s="3" t="s">
        <v>115</v>
      </c>
    </row>
    <row r="858" spans="4:4" ht="17.649999999999999" x14ac:dyDescent="0.5">
      <c r="D858" s="3" t="s">
        <v>48</v>
      </c>
    </row>
    <row r="859" spans="4:4" ht="17.649999999999999" x14ac:dyDescent="0.5">
      <c r="D859" s="3" t="s">
        <v>105</v>
      </c>
    </row>
    <row r="860" spans="4:4" ht="17.649999999999999" x14ac:dyDescent="0.5">
      <c r="D860" s="3" t="s">
        <v>63</v>
      </c>
    </row>
    <row r="861" spans="4:4" ht="17.649999999999999" x14ac:dyDescent="0.5">
      <c r="D861" s="3" t="s">
        <v>55</v>
      </c>
    </row>
    <row r="862" spans="4:4" ht="17.649999999999999" x14ac:dyDescent="0.5">
      <c r="D862" s="3" t="s">
        <v>84</v>
      </c>
    </row>
    <row r="863" spans="4:4" ht="17.649999999999999" x14ac:dyDescent="0.5">
      <c r="D863" s="3" t="s">
        <v>51</v>
      </c>
    </row>
    <row r="864" spans="4:4" ht="17.649999999999999" x14ac:dyDescent="0.5">
      <c r="D864" s="3" t="s">
        <v>89</v>
      </c>
    </row>
    <row r="865" spans="4:4" ht="17.649999999999999" x14ac:dyDescent="0.5">
      <c r="D865" s="3" t="s">
        <v>49</v>
      </c>
    </row>
    <row r="866" spans="4:4" ht="17.649999999999999" x14ac:dyDescent="0.5">
      <c r="D866" s="3" t="s">
        <v>50</v>
      </c>
    </row>
    <row r="867" spans="4:4" ht="17.649999999999999" x14ac:dyDescent="0.5">
      <c r="D867" s="3" t="s">
        <v>64</v>
      </c>
    </row>
    <row r="868" spans="4:4" ht="17.649999999999999" x14ac:dyDescent="0.5">
      <c r="D868" s="3" t="s">
        <v>91</v>
      </c>
    </row>
    <row r="869" spans="4:4" ht="17.649999999999999" x14ac:dyDescent="0.5">
      <c r="D869" s="3" t="s">
        <v>65</v>
      </c>
    </row>
    <row r="870" spans="4:4" ht="17.649999999999999" x14ac:dyDescent="0.5">
      <c r="D870" s="3" t="s">
        <v>94</v>
      </c>
    </row>
    <row r="871" spans="4:4" ht="17.649999999999999" x14ac:dyDescent="0.5">
      <c r="D871" s="3" t="s">
        <v>96</v>
      </c>
    </row>
    <row r="872" spans="4:4" ht="17.649999999999999" x14ac:dyDescent="0.5">
      <c r="D872" s="3" t="s">
        <v>111</v>
      </c>
    </row>
    <row r="873" spans="4:4" ht="17.649999999999999" x14ac:dyDescent="0.5">
      <c r="D873" s="3" t="s">
        <v>54</v>
      </c>
    </row>
    <row r="874" spans="4:4" ht="17.649999999999999" x14ac:dyDescent="0.5">
      <c r="D874" s="3" t="s">
        <v>92</v>
      </c>
    </row>
    <row r="875" spans="4:4" ht="17.649999999999999" x14ac:dyDescent="0.5">
      <c r="D875" s="3" t="s">
        <v>97</v>
      </c>
    </row>
    <row r="876" spans="4:4" ht="17.649999999999999" x14ac:dyDescent="0.5">
      <c r="D876" s="3" t="s">
        <v>55</v>
      </c>
    </row>
    <row r="877" spans="4:4" ht="17.649999999999999" x14ac:dyDescent="0.5">
      <c r="D877" s="3" t="s">
        <v>53</v>
      </c>
    </row>
    <row r="878" spans="4:4" ht="17.649999999999999" x14ac:dyDescent="0.5">
      <c r="D878" s="3" t="s">
        <v>77</v>
      </c>
    </row>
    <row r="879" spans="4:4" ht="17.649999999999999" x14ac:dyDescent="0.5">
      <c r="D879" s="3" t="s">
        <v>85</v>
      </c>
    </row>
    <row r="880" spans="4:4" ht="17.649999999999999" x14ac:dyDescent="0.5">
      <c r="D880" s="3" t="s">
        <v>67</v>
      </c>
    </row>
    <row r="881" spans="4:4" ht="17.649999999999999" x14ac:dyDescent="0.5">
      <c r="D881" s="3" t="s">
        <v>74</v>
      </c>
    </row>
    <row r="882" spans="4:4" ht="17.649999999999999" x14ac:dyDescent="0.5">
      <c r="D882" s="3" t="s">
        <v>58</v>
      </c>
    </row>
    <row r="883" spans="4:4" ht="17.649999999999999" x14ac:dyDescent="0.5">
      <c r="D883" s="3" t="s">
        <v>126</v>
      </c>
    </row>
    <row r="884" spans="4:4" ht="17.649999999999999" x14ac:dyDescent="0.5">
      <c r="D884" s="3" t="s">
        <v>56</v>
      </c>
    </row>
    <row r="885" spans="4:4" ht="17.649999999999999" x14ac:dyDescent="0.5">
      <c r="D885" s="3" t="s">
        <v>44</v>
      </c>
    </row>
    <row r="886" spans="4:4" ht="17.649999999999999" x14ac:dyDescent="0.5">
      <c r="D886" s="3" t="s">
        <v>68</v>
      </c>
    </row>
    <row r="887" spans="4:4" ht="17.649999999999999" x14ac:dyDescent="0.5">
      <c r="D887" s="3" t="s">
        <v>59</v>
      </c>
    </row>
    <row r="888" spans="4:4" ht="17.649999999999999" x14ac:dyDescent="0.5">
      <c r="D888" s="3" t="s">
        <v>52</v>
      </c>
    </row>
    <row r="889" spans="4:4" ht="17.649999999999999" x14ac:dyDescent="0.5">
      <c r="D889" s="3" t="s">
        <v>51</v>
      </c>
    </row>
    <row r="890" spans="4:4" ht="17.649999999999999" x14ac:dyDescent="0.5">
      <c r="D890" s="3" t="s">
        <v>83</v>
      </c>
    </row>
    <row r="891" spans="4:4" ht="17.649999999999999" x14ac:dyDescent="0.5">
      <c r="D891" s="3" t="s">
        <v>124</v>
      </c>
    </row>
    <row r="892" spans="4:4" ht="17.649999999999999" x14ac:dyDescent="0.5">
      <c r="D892" s="3" t="s">
        <v>47</v>
      </c>
    </row>
    <row r="893" spans="4:4" ht="17.649999999999999" x14ac:dyDescent="0.5">
      <c r="D893" s="3" t="s">
        <v>63</v>
      </c>
    </row>
    <row r="894" spans="4:4" ht="17.649999999999999" x14ac:dyDescent="0.5">
      <c r="D894" s="3" t="s">
        <v>44</v>
      </c>
    </row>
    <row r="895" spans="4:4" ht="17.649999999999999" x14ac:dyDescent="0.5">
      <c r="D895" s="3" t="s">
        <v>78</v>
      </c>
    </row>
    <row r="896" spans="4:4" ht="17.649999999999999" x14ac:dyDescent="0.5">
      <c r="D896" s="3" t="s">
        <v>105</v>
      </c>
    </row>
    <row r="897" spans="4:4" ht="17.649999999999999" x14ac:dyDescent="0.5">
      <c r="D897" s="3" t="s">
        <v>87</v>
      </c>
    </row>
    <row r="898" spans="4:4" ht="17.649999999999999" x14ac:dyDescent="0.5">
      <c r="D898" s="3" t="s">
        <v>123</v>
      </c>
    </row>
    <row r="899" spans="4:4" ht="17.649999999999999" x14ac:dyDescent="0.5">
      <c r="D899" s="3" t="s">
        <v>81</v>
      </c>
    </row>
    <row r="900" spans="4:4" ht="17.649999999999999" x14ac:dyDescent="0.5">
      <c r="D900" s="3" t="s">
        <v>110</v>
      </c>
    </row>
    <row r="901" spans="4:4" ht="17.649999999999999" x14ac:dyDescent="0.5">
      <c r="D901" s="3" t="s">
        <v>113</v>
      </c>
    </row>
    <row r="902" spans="4:4" ht="17.649999999999999" x14ac:dyDescent="0.5">
      <c r="D902" s="3" t="s">
        <v>44</v>
      </c>
    </row>
    <row r="903" spans="4:4" ht="17.649999999999999" x14ac:dyDescent="0.5">
      <c r="D903" s="3" t="s">
        <v>133</v>
      </c>
    </row>
    <row r="904" spans="4:4" ht="17.649999999999999" x14ac:dyDescent="0.5">
      <c r="D904" s="3" t="s">
        <v>117</v>
      </c>
    </row>
    <row r="905" spans="4:4" ht="17.649999999999999" x14ac:dyDescent="0.5">
      <c r="D905" s="3" t="s">
        <v>62</v>
      </c>
    </row>
    <row r="906" spans="4:4" ht="17.649999999999999" x14ac:dyDescent="0.5">
      <c r="D906" s="3" t="s">
        <v>67</v>
      </c>
    </row>
    <row r="907" spans="4:4" ht="17.649999999999999" x14ac:dyDescent="0.5">
      <c r="D907" s="3" t="s">
        <v>103</v>
      </c>
    </row>
    <row r="908" spans="4:4" ht="17.649999999999999" x14ac:dyDescent="0.5">
      <c r="D908" s="3" t="s">
        <v>69</v>
      </c>
    </row>
    <row r="909" spans="4:4" ht="17.649999999999999" x14ac:dyDescent="0.5">
      <c r="D909" s="3" t="s">
        <v>53</v>
      </c>
    </row>
    <row r="910" spans="4:4" ht="17.649999999999999" x14ac:dyDescent="0.5">
      <c r="D910" s="3" t="s">
        <v>126</v>
      </c>
    </row>
    <row r="911" spans="4:4" ht="17.649999999999999" x14ac:dyDescent="0.5">
      <c r="D911" s="3" t="s">
        <v>81</v>
      </c>
    </row>
    <row r="912" spans="4:4" ht="17.649999999999999" x14ac:dyDescent="0.5">
      <c r="D912" s="3" t="s">
        <v>65</v>
      </c>
    </row>
    <row r="913" spans="4:4" ht="17.649999999999999" x14ac:dyDescent="0.5">
      <c r="D913" s="3" t="s">
        <v>50</v>
      </c>
    </row>
    <row r="914" spans="4:4" ht="17.649999999999999" x14ac:dyDescent="0.5">
      <c r="D914" s="3" t="s">
        <v>112</v>
      </c>
    </row>
    <row r="915" spans="4:4" ht="17.649999999999999" x14ac:dyDescent="0.5">
      <c r="D915" s="3" t="s">
        <v>81</v>
      </c>
    </row>
    <row r="916" spans="4:4" ht="17.649999999999999" x14ac:dyDescent="0.5">
      <c r="D916" s="3" t="s">
        <v>101</v>
      </c>
    </row>
    <row r="917" spans="4:4" ht="17.649999999999999" x14ac:dyDescent="0.5">
      <c r="D917" s="3" t="s">
        <v>131</v>
      </c>
    </row>
    <row r="918" spans="4:4" ht="17.649999999999999" x14ac:dyDescent="0.5">
      <c r="D918" s="3" t="s">
        <v>122</v>
      </c>
    </row>
    <row r="919" spans="4:4" ht="17.649999999999999" x14ac:dyDescent="0.5">
      <c r="D919" s="3" t="s">
        <v>129</v>
      </c>
    </row>
    <row r="920" spans="4:4" ht="17.649999999999999" x14ac:dyDescent="0.5">
      <c r="D920" s="3" t="s">
        <v>52</v>
      </c>
    </row>
    <row r="921" spans="4:4" ht="17.649999999999999" x14ac:dyDescent="0.5">
      <c r="D921" s="3" t="s">
        <v>59</v>
      </c>
    </row>
    <row r="922" spans="4:4" ht="17.649999999999999" x14ac:dyDescent="0.5">
      <c r="D922" s="3" t="s">
        <v>132</v>
      </c>
    </row>
    <row r="923" spans="4:4" ht="17.649999999999999" x14ac:dyDescent="0.5">
      <c r="D923" s="3" t="s">
        <v>83</v>
      </c>
    </row>
    <row r="924" spans="4:4" ht="17.649999999999999" x14ac:dyDescent="0.5">
      <c r="D924" s="3" t="s">
        <v>56</v>
      </c>
    </row>
    <row r="925" spans="4:4" ht="17.649999999999999" x14ac:dyDescent="0.5">
      <c r="D925" s="3" t="s">
        <v>117</v>
      </c>
    </row>
    <row r="926" spans="4:4" ht="17.649999999999999" x14ac:dyDescent="0.5">
      <c r="D926" s="3" t="s">
        <v>85</v>
      </c>
    </row>
    <row r="927" spans="4:4" ht="17.649999999999999" x14ac:dyDescent="0.5">
      <c r="D927" s="3" t="s">
        <v>76</v>
      </c>
    </row>
    <row r="928" spans="4:4" ht="17.649999999999999" x14ac:dyDescent="0.5">
      <c r="D928" s="3" t="s">
        <v>115</v>
      </c>
    </row>
    <row r="929" spans="4:4" ht="17.649999999999999" x14ac:dyDescent="0.5">
      <c r="D929" s="3" t="s">
        <v>69</v>
      </c>
    </row>
    <row r="930" spans="4:4" ht="17.649999999999999" x14ac:dyDescent="0.5">
      <c r="D930" s="3" t="s">
        <v>59</v>
      </c>
    </row>
    <row r="931" spans="4:4" ht="17.649999999999999" x14ac:dyDescent="0.5">
      <c r="D931" s="3" t="s">
        <v>67</v>
      </c>
    </row>
    <row r="932" spans="4:4" ht="17.649999999999999" x14ac:dyDescent="0.5">
      <c r="D932" s="3" t="s">
        <v>78</v>
      </c>
    </row>
    <row r="933" spans="4:4" ht="17.649999999999999" x14ac:dyDescent="0.5">
      <c r="D933" s="3" t="s">
        <v>101</v>
      </c>
    </row>
    <row r="934" spans="4:4" ht="17.649999999999999" x14ac:dyDescent="0.5">
      <c r="D934" s="3" t="s">
        <v>125</v>
      </c>
    </row>
    <row r="935" spans="4:4" ht="17.649999999999999" x14ac:dyDescent="0.5">
      <c r="D935" s="3" t="s">
        <v>75</v>
      </c>
    </row>
    <row r="936" spans="4:4" ht="17.649999999999999" x14ac:dyDescent="0.5">
      <c r="D936" s="3" t="s">
        <v>96</v>
      </c>
    </row>
    <row r="937" spans="4:4" ht="17.649999999999999" x14ac:dyDescent="0.5">
      <c r="D937" s="3" t="s">
        <v>43</v>
      </c>
    </row>
    <row r="938" spans="4:4" ht="17.649999999999999" x14ac:dyDescent="0.5">
      <c r="D938" s="3" t="s">
        <v>99</v>
      </c>
    </row>
    <row r="939" spans="4:4" ht="17.649999999999999" x14ac:dyDescent="0.5">
      <c r="D939" s="3" t="s">
        <v>90</v>
      </c>
    </row>
    <row r="940" spans="4:4" ht="17.649999999999999" x14ac:dyDescent="0.5">
      <c r="D940" s="3" t="s">
        <v>105</v>
      </c>
    </row>
    <row r="941" spans="4:4" ht="17.649999999999999" x14ac:dyDescent="0.5">
      <c r="D941" s="3" t="s">
        <v>117</v>
      </c>
    </row>
    <row r="942" spans="4:4" ht="17.649999999999999" x14ac:dyDescent="0.5">
      <c r="D942" s="3" t="s">
        <v>73</v>
      </c>
    </row>
    <row r="943" spans="4:4" ht="17.649999999999999" x14ac:dyDescent="0.5">
      <c r="D943" s="3" t="s">
        <v>47</v>
      </c>
    </row>
    <row r="944" spans="4:4" ht="17.649999999999999" x14ac:dyDescent="0.5">
      <c r="D944" s="3" t="s">
        <v>50</v>
      </c>
    </row>
    <row r="945" spans="4:4" ht="17.649999999999999" x14ac:dyDescent="0.5">
      <c r="D945" s="3" t="s">
        <v>118</v>
      </c>
    </row>
    <row r="946" spans="4:4" ht="17.649999999999999" x14ac:dyDescent="0.5">
      <c r="D946" s="3" t="s">
        <v>53</v>
      </c>
    </row>
    <row r="947" spans="4:4" ht="17.649999999999999" x14ac:dyDescent="0.5">
      <c r="D947" s="3" t="s">
        <v>81</v>
      </c>
    </row>
    <row r="948" spans="4:4" ht="17.649999999999999" x14ac:dyDescent="0.5">
      <c r="D948" s="3" t="s">
        <v>73</v>
      </c>
    </row>
    <row r="949" spans="4:4" ht="17.649999999999999" x14ac:dyDescent="0.5">
      <c r="D949" s="3" t="s">
        <v>42</v>
      </c>
    </row>
    <row r="950" spans="4:4" ht="17.649999999999999" x14ac:dyDescent="0.5">
      <c r="D950" s="3" t="s">
        <v>105</v>
      </c>
    </row>
    <row r="951" spans="4:4" ht="17.649999999999999" x14ac:dyDescent="0.5">
      <c r="D951" s="3" t="s">
        <v>94</v>
      </c>
    </row>
    <row r="952" spans="4:4" ht="17.649999999999999" x14ac:dyDescent="0.5">
      <c r="D952" s="3" t="s">
        <v>108</v>
      </c>
    </row>
    <row r="953" spans="4:4" ht="17.649999999999999" x14ac:dyDescent="0.5">
      <c r="D953" s="3" t="s">
        <v>66</v>
      </c>
    </row>
    <row r="954" spans="4:4" ht="17.649999999999999" x14ac:dyDescent="0.5">
      <c r="D954" s="3" t="s">
        <v>61</v>
      </c>
    </row>
    <row r="955" spans="4:4" ht="17.649999999999999" x14ac:dyDescent="0.5">
      <c r="D955" s="3" t="s">
        <v>47</v>
      </c>
    </row>
    <row r="956" spans="4:4" ht="17.649999999999999" x14ac:dyDescent="0.5">
      <c r="D956" s="3" t="s">
        <v>120</v>
      </c>
    </row>
    <row r="957" spans="4:4" ht="17.649999999999999" x14ac:dyDescent="0.5">
      <c r="D957" s="3" t="s">
        <v>68</v>
      </c>
    </row>
    <row r="958" spans="4:4" ht="17.649999999999999" x14ac:dyDescent="0.5">
      <c r="D958" s="3" t="s">
        <v>121</v>
      </c>
    </row>
    <row r="959" spans="4:4" ht="17.649999999999999" x14ac:dyDescent="0.5">
      <c r="D959" s="3" t="s">
        <v>69</v>
      </c>
    </row>
    <row r="960" spans="4:4" ht="17.649999999999999" x14ac:dyDescent="0.5">
      <c r="D960" s="3" t="s">
        <v>51</v>
      </c>
    </row>
    <row r="961" spans="4:4" ht="17.649999999999999" x14ac:dyDescent="0.5">
      <c r="D961" s="3" t="s">
        <v>123</v>
      </c>
    </row>
    <row r="962" spans="4:4" ht="17.649999999999999" x14ac:dyDescent="0.5">
      <c r="D962" s="3" t="s">
        <v>52</v>
      </c>
    </row>
    <row r="963" spans="4:4" ht="17.649999999999999" x14ac:dyDescent="0.5">
      <c r="D963" s="3" t="s">
        <v>100</v>
      </c>
    </row>
    <row r="964" spans="4:4" ht="17.649999999999999" x14ac:dyDescent="0.5">
      <c r="D964" s="3" t="s">
        <v>94</v>
      </c>
    </row>
    <row r="965" spans="4:4" ht="17.649999999999999" x14ac:dyDescent="0.5">
      <c r="D965" s="3" t="s">
        <v>87</v>
      </c>
    </row>
    <row r="966" spans="4:4" ht="17.649999999999999" x14ac:dyDescent="0.5">
      <c r="D966" s="3" t="s">
        <v>116</v>
      </c>
    </row>
    <row r="967" spans="4:4" ht="17.649999999999999" x14ac:dyDescent="0.5">
      <c r="D967" s="3" t="s">
        <v>115</v>
      </c>
    </row>
    <row r="968" spans="4:4" ht="17.649999999999999" x14ac:dyDescent="0.5">
      <c r="D968" s="3" t="s">
        <v>85</v>
      </c>
    </row>
    <row r="969" spans="4:4" ht="17.649999999999999" x14ac:dyDescent="0.5">
      <c r="D969" s="3" t="s">
        <v>119</v>
      </c>
    </row>
    <row r="970" spans="4:4" ht="17.649999999999999" x14ac:dyDescent="0.5">
      <c r="D970" s="3" t="s">
        <v>44</v>
      </c>
    </row>
    <row r="971" spans="4:4" ht="17.649999999999999" x14ac:dyDescent="0.5">
      <c r="D971" s="3" t="s">
        <v>133</v>
      </c>
    </row>
    <row r="972" spans="4:4" ht="17.649999999999999" x14ac:dyDescent="0.5">
      <c r="D972" s="3" t="s">
        <v>100</v>
      </c>
    </row>
    <row r="973" spans="4:4" ht="17.649999999999999" x14ac:dyDescent="0.5">
      <c r="D973" s="3" t="s">
        <v>95</v>
      </c>
    </row>
    <row r="974" spans="4:4" ht="17.649999999999999" x14ac:dyDescent="0.5">
      <c r="D974" s="3" t="s">
        <v>105</v>
      </c>
    </row>
    <row r="975" spans="4:4" ht="17.649999999999999" x14ac:dyDescent="0.5">
      <c r="D975" s="3" t="s">
        <v>128</v>
      </c>
    </row>
    <row r="976" spans="4:4" ht="17.649999999999999" x14ac:dyDescent="0.5">
      <c r="D976" s="3" t="s">
        <v>107</v>
      </c>
    </row>
    <row r="977" spans="4:4" ht="17.649999999999999" x14ac:dyDescent="0.5">
      <c r="D977" s="3" t="s">
        <v>49</v>
      </c>
    </row>
    <row r="978" spans="4:4" ht="17.649999999999999" x14ac:dyDescent="0.5">
      <c r="D978" s="3" t="s">
        <v>110</v>
      </c>
    </row>
    <row r="979" spans="4:4" ht="17.649999999999999" x14ac:dyDescent="0.5">
      <c r="D979" s="3" t="s">
        <v>65</v>
      </c>
    </row>
    <row r="980" spans="4:4" ht="17.649999999999999" x14ac:dyDescent="0.5">
      <c r="D980" s="3" t="s">
        <v>77</v>
      </c>
    </row>
    <row r="981" spans="4:4" ht="17.649999999999999" x14ac:dyDescent="0.5">
      <c r="D981" s="3" t="s">
        <v>73</v>
      </c>
    </row>
    <row r="982" spans="4:4" ht="17.649999999999999" x14ac:dyDescent="0.5">
      <c r="D982" s="3" t="s">
        <v>98</v>
      </c>
    </row>
    <row r="983" spans="4:4" ht="17.649999999999999" x14ac:dyDescent="0.5">
      <c r="D983" s="3" t="s">
        <v>108</v>
      </c>
    </row>
    <row r="984" spans="4:4" ht="17.649999999999999" x14ac:dyDescent="0.5">
      <c r="D984" s="3" t="s">
        <v>103</v>
      </c>
    </row>
    <row r="985" spans="4:4" ht="17.649999999999999" x14ac:dyDescent="0.5">
      <c r="D985" s="3" t="s">
        <v>65</v>
      </c>
    </row>
    <row r="986" spans="4:4" ht="17.649999999999999" x14ac:dyDescent="0.5">
      <c r="D986" s="3" t="s">
        <v>64</v>
      </c>
    </row>
    <row r="987" spans="4:4" ht="17.649999999999999" x14ac:dyDescent="0.5">
      <c r="D987" s="3" t="s">
        <v>88</v>
      </c>
    </row>
    <row r="988" spans="4:4" ht="17.649999999999999" x14ac:dyDescent="0.5">
      <c r="D988" s="3" t="s">
        <v>44</v>
      </c>
    </row>
    <row r="989" spans="4:4" ht="17.649999999999999" x14ac:dyDescent="0.5">
      <c r="D989" s="3" t="s">
        <v>125</v>
      </c>
    </row>
    <row r="990" spans="4:4" ht="17.649999999999999" x14ac:dyDescent="0.5">
      <c r="D990" s="3" t="s">
        <v>69</v>
      </c>
    </row>
    <row r="991" spans="4:4" ht="17.649999999999999" x14ac:dyDescent="0.5">
      <c r="D991" s="3" t="s">
        <v>82</v>
      </c>
    </row>
    <row r="992" spans="4:4" ht="17.649999999999999" x14ac:dyDescent="0.5">
      <c r="D992" s="3" t="s">
        <v>78</v>
      </c>
    </row>
    <row r="993" spans="4:4" ht="17.649999999999999" x14ac:dyDescent="0.5">
      <c r="D993" s="3" t="s">
        <v>125</v>
      </c>
    </row>
    <row r="994" spans="4:4" ht="17.649999999999999" x14ac:dyDescent="0.5">
      <c r="D994" s="3" t="s">
        <v>47</v>
      </c>
    </row>
    <row r="995" spans="4:4" ht="17.649999999999999" x14ac:dyDescent="0.5">
      <c r="D995" s="3" t="s">
        <v>55</v>
      </c>
    </row>
    <row r="996" spans="4:4" ht="17.649999999999999" x14ac:dyDescent="0.5">
      <c r="D996" s="3" t="s">
        <v>53</v>
      </c>
    </row>
    <row r="997" spans="4:4" ht="17.649999999999999" x14ac:dyDescent="0.5">
      <c r="D997" s="3" t="s">
        <v>56</v>
      </c>
    </row>
    <row r="998" spans="4:4" ht="17.649999999999999" x14ac:dyDescent="0.5">
      <c r="D998" s="3" t="s">
        <v>68</v>
      </c>
    </row>
    <row r="999" spans="4:4" ht="17.649999999999999" x14ac:dyDescent="0.5">
      <c r="D999" s="3" t="s">
        <v>84</v>
      </c>
    </row>
    <row r="1000" spans="4:4" ht="17.649999999999999" x14ac:dyDescent="0.5">
      <c r="D1000" s="3" t="s">
        <v>115</v>
      </c>
    </row>
    <row r="1001" spans="4:4" ht="17.649999999999999" x14ac:dyDescent="0.5">
      <c r="D1001" s="3" t="s">
        <v>133</v>
      </c>
    </row>
    <row r="1002" spans="4:4" ht="17.649999999999999" x14ac:dyDescent="0.5">
      <c r="D1002" s="3" t="s">
        <v>64</v>
      </c>
    </row>
    <row r="1003" spans="4:4" ht="17.649999999999999" x14ac:dyDescent="0.5">
      <c r="D1003" s="3" t="s">
        <v>91</v>
      </c>
    </row>
    <row r="1004" spans="4:4" ht="17.649999999999999" x14ac:dyDescent="0.5">
      <c r="D1004" s="3" t="s">
        <v>73</v>
      </c>
    </row>
    <row r="1005" spans="4:4" ht="17.649999999999999" x14ac:dyDescent="0.5">
      <c r="D1005" s="3" t="s">
        <v>41</v>
      </c>
    </row>
    <row r="1006" spans="4:4" ht="17.649999999999999" x14ac:dyDescent="0.5">
      <c r="D1006" s="3" t="s">
        <v>92</v>
      </c>
    </row>
    <row r="1007" spans="4:4" ht="17.649999999999999" x14ac:dyDescent="0.5">
      <c r="D1007" s="3" t="s">
        <v>87</v>
      </c>
    </row>
    <row r="1008" spans="4:4" ht="17.649999999999999" x14ac:dyDescent="0.5">
      <c r="D1008" s="3" t="s">
        <v>66</v>
      </c>
    </row>
    <row r="1009" spans="4:4" ht="17.649999999999999" x14ac:dyDescent="0.5">
      <c r="D1009" s="3" t="s">
        <v>46</v>
      </c>
    </row>
    <row r="1010" spans="4:4" ht="17.649999999999999" x14ac:dyDescent="0.5">
      <c r="D1010" s="3" t="s">
        <v>46</v>
      </c>
    </row>
    <row r="1011" spans="4:4" ht="17.649999999999999" x14ac:dyDescent="0.5">
      <c r="D1011" s="3" t="s">
        <v>47</v>
      </c>
    </row>
    <row r="1012" spans="4:4" ht="17.649999999999999" x14ac:dyDescent="0.5">
      <c r="D1012" s="3" t="s">
        <v>78</v>
      </c>
    </row>
    <row r="1013" spans="4:4" ht="17.649999999999999" x14ac:dyDescent="0.5">
      <c r="D1013" s="3" t="s">
        <v>123</v>
      </c>
    </row>
    <row r="1014" spans="4:4" ht="17.649999999999999" x14ac:dyDescent="0.5">
      <c r="D1014" s="3" t="s">
        <v>87</v>
      </c>
    </row>
    <row r="1015" spans="4:4" ht="17.649999999999999" x14ac:dyDescent="0.5">
      <c r="D1015" s="3" t="s">
        <v>100</v>
      </c>
    </row>
    <row r="1016" spans="4:4" ht="17.649999999999999" x14ac:dyDescent="0.5">
      <c r="D1016" s="3" t="s">
        <v>61</v>
      </c>
    </row>
    <row r="1017" spans="4:4" ht="17.649999999999999" x14ac:dyDescent="0.5">
      <c r="D1017" s="3" t="s">
        <v>115</v>
      </c>
    </row>
    <row r="1018" spans="4:4" ht="17.649999999999999" x14ac:dyDescent="0.5">
      <c r="D1018" s="3" t="s">
        <v>107</v>
      </c>
    </row>
    <row r="1019" spans="4:4" ht="17.649999999999999" x14ac:dyDescent="0.5">
      <c r="D1019" s="3" t="s">
        <v>120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42</v>
      </c>
    </row>
    <row r="1022" spans="4:4" ht="17.649999999999999" x14ac:dyDescent="0.5">
      <c r="D1022" s="3" t="s">
        <v>84</v>
      </c>
    </row>
    <row r="1023" spans="4:4" ht="17.649999999999999" x14ac:dyDescent="0.5">
      <c r="D1023" s="3" t="s">
        <v>44</v>
      </c>
    </row>
    <row r="1024" spans="4:4" ht="17.649999999999999" x14ac:dyDescent="0.5">
      <c r="D1024" s="3" t="s">
        <v>75</v>
      </c>
    </row>
    <row r="1025" spans="4:4" ht="17.649999999999999" x14ac:dyDescent="0.5">
      <c r="D1025" s="3" t="s">
        <v>75</v>
      </c>
    </row>
    <row r="1026" spans="4:4" ht="17.649999999999999" x14ac:dyDescent="0.5">
      <c r="D1026" s="3" t="s">
        <v>46</v>
      </c>
    </row>
    <row r="1027" spans="4:4" ht="17.649999999999999" x14ac:dyDescent="0.5">
      <c r="D1027" s="3" t="s">
        <v>67</v>
      </c>
    </row>
    <row r="1028" spans="4:4" ht="17.649999999999999" x14ac:dyDescent="0.5">
      <c r="D1028" s="3" t="s">
        <v>54</v>
      </c>
    </row>
    <row r="1029" spans="4:4" ht="17.649999999999999" x14ac:dyDescent="0.5">
      <c r="D1029" s="3" t="s">
        <v>78</v>
      </c>
    </row>
    <row r="1030" spans="4:4" ht="17.649999999999999" x14ac:dyDescent="0.5">
      <c r="D1030" s="3" t="s">
        <v>112</v>
      </c>
    </row>
    <row r="1031" spans="4:4" ht="17.649999999999999" x14ac:dyDescent="0.5">
      <c r="D1031" s="3" t="s">
        <v>77</v>
      </c>
    </row>
    <row r="1032" spans="4:4" ht="17.649999999999999" x14ac:dyDescent="0.5">
      <c r="D1032" s="3" t="s">
        <v>57</v>
      </c>
    </row>
    <row r="1033" spans="4:4" ht="17.649999999999999" x14ac:dyDescent="0.5">
      <c r="D1033" s="3" t="s">
        <v>83</v>
      </c>
    </row>
    <row r="1034" spans="4:4" ht="17.649999999999999" x14ac:dyDescent="0.5">
      <c r="D1034" s="3" t="s">
        <v>113</v>
      </c>
    </row>
    <row r="1035" spans="4:4" ht="17.649999999999999" x14ac:dyDescent="0.5">
      <c r="D1035" s="3" t="s">
        <v>52</v>
      </c>
    </row>
    <row r="1036" spans="4:4" ht="17.649999999999999" x14ac:dyDescent="0.5">
      <c r="D1036" s="3" t="s">
        <v>51</v>
      </c>
    </row>
    <row r="1037" spans="4:4" ht="17.649999999999999" x14ac:dyDescent="0.5">
      <c r="D1037" s="3" t="s">
        <v>90</v>
      </c>
    </row>
    <row r="1038" spans="4:4" ht="17.649999999999999" x14ac:dyDescent="0.5">
      <c r="D1038" s="3" t="s">
        <v>49</v>
      </c>
    </row>
    <row r="1039" spans="4:4" ht="17.649999999999999" x14ac:dyDescent="0.5">
      <c r="D1039" s="3" t="s">
        <v>62</v>
      </c>
    </row>
    <row r="1040" spans="4:4" ht="17.649999999999999" x14ac:dyDescent="0.5">
      <c r="D1040" s="3" t="s">
        <v>86</v>
      </c>
    </row>
    <row r="1041" spans="4:4" ht="17.649999999999999" x14ac:dyDescent="0.5">
      <c r="D1041" s="3" t="s">
        <v>71</v>
      </c>
    </row>
    <row r="1042" spans="4:4" ht="17.649999999999999" x14ac:dyDescent="0.5">
      <c r="D1042" s="3" t="s">
        <v>96</v>
      </c>
    </row>
    <row r="1043" spans="4:4" ht="17.649999999999999" x14ac:dyDescent="0.5">
      <c r="D1043" s="3" t="s">
        <v>80</v>
      </c>
    </row>
    <row r="1044" spans="4:4" ht="17.649999999999999" x14ac:dyDescent="0.5">
      <c r="D1044" s="3" t="s">
        <v>101</v>
      </c>
    </row>
    <row r="1045" spans="4:4" ht="17.649999999999999" x14ac:dyDescent="0.5">
      <c r="D1045" s="3" t="s">
        <v>52</v>
      </c>
    </row>
    <row r="1046" spans="4:4" ht="17.649999999999999" x14ac:dyDescent="0.5">
      <c r="D1046" s="3" t="s">
        <v>75</v>
      </c>
    </row>
    <row r="1047" spans="4:4" ht="17.649999999999999" x14ac:dyDescent="0.5">
      <c r="D1047" s="3" t="s">
        <v>92</v>
      </c>
    </row>
    <row r="1048" spans="4:4" ht="17.649999999999999" x14ac:dyDescent="0.5">
      <c r="D1048" s="3" t="s">
        <v>68</v>
      </c>
    </row>
    <row r="1049" spans="4:4" ht="17.649999999999999" x14ac:dyDescent="0.5">
      <c r="D1049" s="3" t="s">
        <v>77</v>
      </c>
    </row>
    <row r="1050" spans="4:4" ht="17.649999999999999" x14ac:dyDescent="0.5">
      <c r="D1050" s="3" t="s">
        <v>61</v>
      </c>
    </row>
    <row r="1051" spans="4:4" ht="17.649999999999999" x14ac:dyDescent="0.5">
      <c r="D1051" s="3" t="s">
        <v>105</v>
      </c>
    </row>
    <row r="1052" spans="4:4" ht="17.649999999999999" x14ac:dyDescent="0.5">
      <c r="D1052" s="3" t="s">
        <v>66</v>
      </c>
    </row>
    <row r="1053" spans="4:4" ht="17.649999999999999" x14ac:dyDescent="0.5">
      <c r="D1053" s="3" t="s">
        <v>88</v>
      </c>
    </row>
    <row r="1054" spans="4:4" ht="17.649999999999999" x14ac:dyDescent="0.5">
      <c r="D1054" s="3" t="s">
        <v>115</v>
      </c>
    </row>
    <row r="1055" spans="4:4" ht="17.649999999999999" x14ac:dyDescent="0.5">
      <c r="D1055" s="3" t="s">
        <v>67</v>
      </c>
    </row>
    <row r="1056" spans="4:4" ht="17.649999999999999" x14ac:dyDescent="0.5">
      <c r="D1056" s="3" t="s">
        <v>111</v>
      </c>
    </row>
    <row r="1057" spans="4:4" ht="17.649999999999999" x14ac:dyDescent="0.5">
      <c r="D1057" s="3" t="s">
        <v>91</v>
      </c>
    </row>
    <row r="1058" spans="4:4" ht="17.649999999999999" x14ac:dyDescent="0.5">
      <c r="D1058" s="3" t="s">
        <v>54</v>
      </c>
    </row>
    <row r="1059" spans="4:4" ht="17.649999999999999" x14ac:dyDescent="0.5">
      <c r="D1059" s="3" t="s">
        <v>41</v>
      </c>
    </row>
    <row r="1060" spans="4:4" ht="17.649999999999999" x14ac:dyDescent="0.5">
      <c r="D1060" s="3" t="s">
        <v>101</v>
      </c>
    </row>
    <row r="1061" spans="4:4" ht="17.649999999999999" x14ac:dyDescent="0.5">
      <c r="D1061" s="3" t="s">
        <v>136</v>
      </c>
    </row>
    <row r="1062" spans="4:4" ht="17.649999999999999" x14ac:dyDescent="0.5">
      <c r="D1062" s="3" t="s">
        <v>94</v>
      </c>
    </row>
    <row r="1063" spans="4:4" ht="17.649999999999999" x14ac:dyDescent="0.5">
      <c r="D1063" s="3" t="s">
        <v>84</v>
      </c>
    </row>
    <row r="1064" spans="4:4" ht="17.649999999999999" x14ac:dyDescent="0.5">
      <c r="D1064" s="3" t="s">
        <v>59</v>
      </c>
    </row>
    <row r="1065" spans="4:4" ht="17.649999999999999" x14ac:dyDescent="0.5">
      <c r="D1065" s="3" t="s">
        <v>128</v>
      </c>
    </row>
    <row r="1066" spans="4:4" ht="17.649999999999999" x14ac:dyDescent="0.5">
      <c r="D1066" s="3" t="s">
        <v>41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65</v>
      </c>
    </row>
    <row r="1069" spans="4:4" ht="17.649999999999999" x14ac:dyDescent="0.5">
      <c r="D1069" s="3" t="s">
        <v>87</v>
      </c>
    </row>
    <row r="1070" spans="4:4" ht="17.649999999999999" x14ac:dyDescent="0.5">
      <c r="D1070" s="3" t="s">
        <v>124</v>
      </c>
    </row>
    <row r="1071" spans="4:4" ht="17.649999999999999" x14ac:dyDescent="0.5">
      <c r="D1071" s="3" t="s">
        <v>98</v>
      </c>
    </row>
    <row r="1072" spans="4:4" ht="17.649999999999999" x14ac:dyDescent="0.5">
      <c r="D1072" s="3" t="s">
        <v>117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126</v>
      </c>
    </row>
    <row r="1075" spans="4:4" ht="17.649999999999999" x14ac:dyDescent="0.5">
      <c r="D1075" s="3" t="s">
        <v>65</v>
      </c>
    </row>
    <row r="1076" spans="4:4" ht="17.649999999999999" x14ac:dyDescent="0.5">
      <c r="D1076" s="3" t="s">
        <v>44</v>
      </c>
    </row>
    <row r="1077" spans="4:4" ht="17.649999999999999" x14ac:dyDescent="0.5">
      <c r="D1077" s="3" t="s">
        <v>103</v>
      </c>
    </row>
    <row r="1078" spans="4:4" ht="17.649999999999999" x14ac:dyDescent="0.5">
      <c r="D1078" s="3" t="s">
        <v>119</v>
      </c>
    </row>
    <row r="1079" spans="4:4" ht="17.649999999999999" x14ac:dyDescent="0.5">
      <c r="D1079" s="3" t="s">
        <v>78</v>
      </c>
    </row>
    <row r="1080" spans="4:4" ht="17.649999999999999" x14ac:dyDescent="0.5">
      <c r="D1080" s="3" t="s">
        <v>51</v>
      </c>
    </row>
    <row r="1081" spans="4:4" ht="17.649999999999999" x14ac:dyDescent="0.5">
      <c r="D1081" s="3" t="s">
        <v>52</v>
      </c>
    </row>
    <row r="1082" spans="4:4" ht="17.649999999999999" x14ac:dyDescent="0.5">
      <c r="D1082" s="3" t="s">
        <v>59</v>
      </c>
    </row>
    <row r="1083" spans="4:4" ht="17.649999999999999" x14ac:dyDescent="0.5">
      <c r="D1083" s="3" t="s">
        <v>51</v>
      </c>
    </row>
    <row r="1084" spans="4:4" ht="17.649999999999999" x14ac:dyDescent="0.5">
      <c r="D1084" s="3" t="s">
        <v>50</v>
      </c>
    </row>
    <row r="1085" spans="4:4" ht="17.649999999999999" x14ac:dyDescent="0.5">
      <c r="D1085" s="3" t="s">
        <v>54</v>
      </c>
    </row>
    <row r="1086" spans="4:4" ht="17.649999999999999" x14ac:dyDescent="0.5">
      <c r="D1086" s="3" t="s">
        <v>104</v>
      </c>
    </row>
    <row r="1087" spans="4:4" ht="17.649999999999999" x14ac:dyDescent="0.5">
      <c r="D1087" s="3" t="s">
        <v>59</v>
      </c>
    </row>
    <row r="1088" spans="4:4" ht="17.649999999999999" x14ac:dyDescent="0.5">
      <c r="D1088" s="3" t="s">
        <v>81</v>
      </c>
    </row>
    <row r="1089" spans="4:4" ht="17.649999999999999" x14ac:dyDescent="0.5">
      <c r="D1089" s="3" t="s">
        <v>101</v>
      </c>
    </row>
    <row r="1090" spans="4:4" ht="17.649999999999999" x14ac:dyDescent="0.5">
      <c r="D1090" s="3" t="s">
        <v>43</v>
      </c>
    </row>
    <row r="1091" spans="4:4" ht="17.649999999999999" x14ac:dyDescent="0.5">
      <c r="D1091" s="3" t="s">
        <v>92</v>
      </c>
    </row>
    <row r="1092" spans="4:4" ht="17.649999999999999" x14ac:dyDescent="0.5">
      <c r="D1092" s="3" t="s">
        <v>56</v>
      </c>
    </row>
    <row r="1093" spans="4:4" ht="17.649999999999999" x14ac:dyDescent="0.5">
      <c r="D1093" s="3" t="s">
        <v>115</v>
      </c>
    </row>
    <row r="1094" spans="4:4" ht="17.649999999999999" x14ac:dyDescent="0.5">
      <c r="D1094" s="3" t="s">
        <v>54</v>
      </c>
    </row>
    <row r="1095" spans="4:4" ht="17.649999999999999" x14ac:dyDescent="0.5">
      <c r="D1095" s="3" t="s">
        <v>64</v>
      </c>
    </row>
    <row r="1096" spans="4:4" ht="17.649999999999999" x14ac:dyDescent="0.5">
      <c r="D1096" s="3" t="s">
        <v>112</v>
      </c>
    </row>
    <row r="1097" spans="4:4" ht="17.649999999999999" x14ac:dyDescent="0.5">
      <c r="D1097" s="3" t="s">
        <v>51</v>
      </c>
    </row>
    <row r="1098" spans="4:4" ht="17.649999999999999" x14ac:dyDescent="0.5">
      <c r="D1098" s="3" t="s">
        <v>117</v>
      </c>
    </row>
    <row r="1099" spans="4:4" ht="17.649999999999999" x14ac:dyDescent="0.5">
      <c r="D1099" s="3" t="s">
        <v>78</v>
      </c>
    </row>
    <row r="1100" spans="4:4" ht="17.649999999999999" x14ac:dyDescent="0.5">
      <c r="D1100" s="3" t="s">
        <v>57</v>
      </c>
    </row>
    <row r="1101" spans="4:4" ht="17.649999999999999" x14ac:dyDescent="0.5">
      <c r="D1101" s="3" t="s">
        <v>78</v>
      </c>
    </row>
    <row r="1102" spans="4:4" ht="17.649999999999999" x14ac:dyDescent="0.5">
      <c r="D1102" s="3" t="s">
        <v>101</v>
      </c>
    </row>
    <row r="1103" spans="4:4" ht="17.649999999999999" x14ac:dyDescent="0.5">
      <c r="D1103" s="3" t="s">
        <v>123</v>
      </c>
    </row>
    <row r="1104" spans="4:4" ht="17.649999999999999" x14ac:dyDescent="0.5">
      <c r="D1104" s="3" t="s">
        <v>59</v>
      </c>
    </row>
    <row r="1105" spans="4:4" ht="17.649999999999999" x14ac:dyDescent="0.5">
      <c r="D1105" s="3" t="s">
        <v>42</v>
      </c>
    </row>
    <row r="1106" spans="4:4" ht="17.649999999999999" x14ac:dyDescent="0.5">
      <c r="D1106" s="3" t="s">
        <v>116</v>
      </c>
    </row>
    <row r="1107" spans="4:4" ht="17.649999999999999" x14ac:dyDescent="0.5">
      <c r="D1107" s="3" t="s">
        <v>54</v>
      </c>
    </row>
    <row r="1108" spans="4:4" ht="17.649999999999999" x14ac:dyDescent="0.5">
      <c r="D1108" s="3" t="s">
        <v>81</v>
      </c>
    </row>
    <row r="1109" spans="4:4" ht="17.649999999999999" x14ac:dyDescent="0.5">
      <c r="D1109" s="3" t="s">
        <v>114</v>
      </c>
    </row>
    <row r="1110" spans="4:4" ht="17.649999999999999" x14ac:dyDescent="0.5">
      <c r="D1110" s="3" t="s">
        <v>43</v>
      </c>
    </row>
    <row r="1111" spans="4:4" ht="17.649999999999999" x14ac:dyDescent="0.5">
      <c r="D1111" s="3" t="s">
        <v>66</v>
      </c>
    </row>
    <row r="1112" spans="4:4" ht="17.649999999999999" x14ac:dyDescent="0.5">
      <c r="D1112" s="3" t="s">
        <v>112</v>
      </c>
    </row>
    <row r="1113" spans="4:4" ht="17.649999999999999" x14ac:dyDescent="0.5">
      <c r="D1113" s="3" t="s">
        <v>86</v>
      </c>
    </row>
    <row r="1114" spans="4:4" ht="17.649999999999999" x14ac:dyDescent="0.5">
      <c r="D1114" s="3" t="s">
        <v>74</v>
      </c>
    </row>
    <row r="1115" spans="4:4" ht="17.649999999999999" x14ac:dyDescent="0.5">
      <c r="D1115" s="3" t="s">
        <v>130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66</v>
      </c>
    </row>
    <row r="1118" spans="4:4" ht="17.649999999999999" x14ac:dyDescent="0.5">
      <c r="D1118" s="3" t="s">
        <v>55</v>
      </c>
    </row>
    <row r="1119" spans="4:4" ht="17.649999999999999" x14ac:dyDescent="0.5">
      <c r="D1119" s="3" t="s">
        <v>127</v>
      </c>
    </row>
    <row r="1120" spans="4:4" ht="17.649999999999999" x14ac:dyDescent="0.5">
      <c r="D1120" s="3" t="s">
        <v>44</v>
      </c>
    </row>
    <row r="1121" spans="4:4" ht="17.649999999999999" x14ac:dyDescent="0.5">
      <c r="D1121" s="3" t="s">
        <v>81</v>
      </c>
    </row>
    <row r="1122" spans="4:4" ht="17.649999999999999" x14ac:dyDescent="0.5">
      <c r="D1122" s="3" t="s">
        <v>122</v>
      </c>
    </row>
    <row r="1123" spans="4:4" ht="17.649999999999999" x14ac:dyDescent="0.5">
      <c r="D1123" s="3" t="s">
        <v>61</v>
      </c>
    </row>
    <row r="1124" spans="4:4" ht="17.649999999999999" x14ac:dyDescent="0.5">
      <c r="D1124" s="3" t="s">
        <v>111</v>
      </c>
    </row>
    <row r="1125" spans="4:4" ht="17.649999999999999" x14ac:dyDescent="0.5">
      <c r="D1125" s="3" t="s">
        <v>95</v>
      </c>
    </row>
    <row r="1126" spans="4:4" ht="17.649999999999999" x14ac:dyDescent="0.5">
      <c r="D1126" s="3" t="s">
        <v>70</v>
      </c>
    </row>
    <row r="1127" spans="4:4" ht="17.649999999999999" x14ac:dyDescent="0.5">
      <c r="D1127" s="3" t="s">
        <v>46</v>
      </c>
    </row>
    <row r="1128" spans="4:4" ht="17.649999999999999" x14ac:dyDescent="0.5">
      <c r="D1128" s="3" t="s">
        <v>83</v>
      </c>
    </row>
    <row r="1129" spans="4:4" ht="17.649999999999999" x14ac:dyDescent="0.5">
      <c r="D1129" s="3" t="s">
        <v>69</v>
      </c>
    </row>
    <row r="1130" spans="4:4" ht="17.649999999999999" x14ac:dyDescent="0.5">
      <c r="D1130" s="3" t="s">
        <v>109</v>
      </c>
    </row>
    <row r="1131" spans="4:4" ht="17.649999999999999" x14ac:dyDescent="0.5">
      <c r="D1131" s="3" t="s">
        <v>47</v>
      </c>
    </row>
    <row r="1132" spans="4:4" ht="17.649999999999999" x14ac:dyDescent="0.5">
      <c r="D1132" s="3" t="s">
        <v>107</v>
      </c>
    </row>
    <row r="1133" spans="4:4" ht="17.649999999999999" x14ac:dyDescent="0.5">
      <c r="D1133" s="3" t="s">
        <v>48</v>
      </c>
    </row>
    <row r="1134" spans="4:4" ht="17.649999999999999" x14ac:dyDescent="0.5">
      <c r="D1134" s="3" t="s">
        <v>133</v>
      </c>
    </row>
    <row r="1135" spans="4:4" ht="17.649999999999999" x14ac:dyDescent="0.5">
      <c r="D1135" s="3" t="s">
        <v>117</v>
      </c>
    </row>
    <row r="1136" spans="4:4" ht="17.649999999999999" x14ac:dyDescent="0.5">
      <c r="D1136" s="3" t="s">
        <v>41</v>
      </c>
    </row>
    <row r="1137" spans="4:4" ht="17.649999999999999" x14ac:dyDescent="0.5">
      <c r="D1137" s="3" t="s">
        <v>105</v>
      </c>
    </row>
    <row r="1138" spans="4:4" ht="17.649999999999999" x14ac:dyDescent="0.5">
      <c r="D1138" s="3" t="s">
        <v>73</v>
      </c>
    </row>
    <row r="1139" spans="4:4" ht="17.649999999999999" x14ac:dyDescent="0.5">
      <c r="D1139" s="3" t="s">
        <v>91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67</v>
      </c>
    </row>
    <row r="1142" spans="4:4" ht="17.649999999999999" x14ac:dyDescent="0.5">
      <c r="D1142" s="3" t="s">
        <v>92</v>
      </c>
    </row>
    <row r="1143" spans="4:4" ht="17.649999999999999" x14ac:dyDescent="0.5">
      <c r="D1143" s="3" t="s">
        <v>126</v>
      </c>
    </row>
    <row r="1144" spans="4:4" ht="17.649999999999999" x14ac:dyDescent="0.5">
      <c r="D1144" s="3" t="s">
        <v>64</v>
      </c>
    </row>
    <row r="1145" spans="4:4" ht="17.649999999999999" x14ac:dyDescent="0.5">
      <c r="D1145" s="3" t="s">
        <v>67</v>
      </c>
    </row>
    <row r="1146" spans="4:4" ht="17.649999999999999" x14ac:dyDescent="0.5">
      <c r="D1146" s="3" t="s">
        <v>77</v>
      </c>
    </row>
    <row r="1147" spans="4:4" ht="17.649999999999999" x14ac:dyDescent="0.5">
      <c r="D1147" s="3" t="s">
        <v>68</v>
      </c>
    </row>
    <row r="1148" spans="4:4" ht="17.649999999999999" x14ac:dyDescent="0.5">
      <c r="D1148" s="3" t="s">
        <v>90</v>
      </c>
    </row>
    <row r="1149" spans="4:4" ht="17.649999999999999" x14ac:dyDescent="0.5">
      <c r="D1149" s="3" t="s">
        <v>47</v>
      </c>
    </row>
    <row r="1150" spans="4:4" ht="17.649999999999999" x14ac:dyDescent="0.5">
      <c r="D1150" s="3" t="s">
        <v>98</v>
      </c>
    </row>
    <row r="1151" spans="4:4" ht="17.649999999999999" x14ac:dyDescent="0.5">
      <c r="D1151" s="3" t="s">
        <v>84</v>
      </c>
    </row>
    <row r="1152" spans="4:4" ht="17.649999999999999" x14ac:dyDescent="0.5">
      <c r="D1152" s="3" t="s">
        <v>83</v>
      </c>
    </row>
    <row r="1153" spans="4:4" ht="17.649999999999999" x14ac:dyDescent="0.5">
      <c r="D1153" s="3" t="s">
        <v>121</v>
      </c>
    </row>
    <row r="1154" spans="4:4" ht="17.649999999999999" x14ac:dyDescent="0.5">
      <c r="D1154" s="3" t="s">
        <v>98</v>
      </c>
    </row>
    <row r="1155" spans="4:4" ht="17.649999999999999" x14ac:dyDescent="0.5">
      <c r="D1155" s="3" t="s">
        <v>68</v>
      </c>
    </row>
    <row r="1156" spans="4:4" ht="17.649999999999999" x14ac:dyDescent="0.5">
      <c r="D1156" s="3" t="s">
        <v>50</v>
      </c>
    </row>
    <row r="1157" spans="4:4" ht="17.649999999999999" x14ac:dyDescent="0.5">
      <c r="D1157" s="3" t="s">
        <v>69</v>
      </c>
    </row>
    <row r="1158" spans="4:4" ht="17.649999999999999" x14ac:dyDescent="0.5">
      <c r="D1158" s="3" t="s">
        <v>85</v>
      </c>
    </row>
    <row r="1159" spans="4:4" ht="17.649999999999999" x14ac:dyDescent="0.5">
      <c r="D1159" s="3" t="s">
        <v>92</v>
      </c>
    </row>
    <row r="1160" spans="4:4" ht="17.649999999999999" x14ac:dyDescent="0.5">
      <c r="D1160" s="3" t="s">
        <v>52</v>
      </c>
    </row>
    <row r="1161" spans="4:4" ht="17.649999999999999" x14ac:dyDescent="0.5">
      <c r="D1161" s="3" t="s">
        <v>51</v>
      </c>
    </row>
    <row r="1162" spans="4:4" ht="17.649999999999999" x14ac:dyDescent="0.5">
      <c r="D1162" s="3" t="s">
        <v>72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57</v>
      </c>
    </row>
    <row r="1165" spans="4:4" ht="17.649999999999999" x14ac:dyDescent="0.5">
      <c r="D1165" s="3" t="s">
        <v>63</v>
      </c>
    </row>
    <row r="1166" spans="4:4" ht="17.649999999999999" x14ac:dyDescent="0.5">
      <c r="D1166" s="3" t="s">
        <v>47</v>
      </c>
    </row>
    <row r="1167" spans="4:4" ht="17.649999999999999" x14ac:dyDescent="0.5">
      <c r="D1167" s="3" t="s">
        <v>60</v>
      </c>
    </row>
    <row r="1168" spans="4:4" ht="17.649999999999999" x14ac:dyDescent="0.5">
      <c r="D1168" s="3" t="s">
        <v>68</v>
      </c>
    </row>
    <row r="1169" spans="4:4" ht="17.649999999999999" x14ac:dyDescent="0.5">
      <c r="D1169" s="3" t="s">
        <v>112</v>
      </c>
    </row>
    <row r="1170" spans="4:4" ht="17.649999999999999" x14ac:dyDescent="0.5">
      <c r="D1170" s="3" t="s">
        <v>49</v>
      </c>
    </row>
    <row r="1171" spans="4:4" ht="17.649999999999999" x14ac:dyDescent="0.5">
      <c r="D1171" s="3" t="s">
        <v>66</v>
      </c>
    </row>
    <row r="1172" spans="4:4" ht="17.649999999999999" x14ac:dyDescent="0.5">
      <c r="D1172" s="3" t="s">
        <v>67</v>
      </c>
    </row>
    <row r="1173" spans="4:4" ht="17.649999999999999" x14ac:dyDescent="0.5">
      <c r="D1173" s="3" t="s">
        <v>79</v>
      </c>
    </row>
    <row r="1174" spans="4:4" ht="17.649999999999999" x14ac:dyDescent="0.5">
      <c r="D1174" s="3" t="s">
        <v>84</v>
      </c>
    </row>
    <row r="1175" spans="4:4" ht="17.649999999999999" x14ac:dyDescent="0.5">
      <c r="D1175" s="3" t="s">
        <v>115</v>
      </c>
    </row>
    <row r="1176" spans="4:4" ht="17.649999999999999" x14ac:dyDescent="0.5">
      <c r="D1176" s="3" t="s">
        <v>44</v>
      </c>
    </row>
    <row r="1177" spans="4:4" ht="17.649999999999999" x14ac:dyDescent="0.5">
      <c r="D1177" s="3" t="s">
        <v>107</v>
      </c>
    </row>
    <row r="1178" spans="4:4" ht="17.649999999999999" x14ac:dyDescent="0.5">
      <c r="D1178" s="3" t="s">
        <v>132</v>
      </c>
    </row>
    <row r="1179" spans="4:4" ht="17.649999999999999" x14ac:dyDescent="0.5">
      <c r="D1179" s="3" t="s">
        <v>98</v>
      </c>
    </row>
    <row r="1180" spans="4:4" ht="17.649999999999999" x14ac:dyDescent="0.5">
      <c r="D1180" s="3" t="s">
        <v>61</v>
      </c>
    </row>
    <row r="1181" spans="4:4" ht="17.649999999999999" x14ac:dyDescent="0.5">
      <c r="D1181" s="3" t="s">
        <v>48</v>
      </c>
    </row>
    <row r="1182" spans="4:4" ht="17.649999999999999" x14ac:dyDescent="0.5">
      <c r="D1182" s="3" t="s">
        <v>95</v>
      </c>
    </row>
    <row r="1183" spans="4:4" ht="17.649999999999999" x14ac:dyDescent="0.5">
      <c r="D1183" s="3" t="s">
        <v>77</v>
      </c>
    </row>
    <row r="1184" spans="4:4" ht="17.649999999999999" x14ac:dyDescent="0.5">
      <c r="D1184" s="3" t="s">
        <v>62</v>
      </c>
    </row>
    <row r="1185" spans="4:4" ht="17.649999999999999" x14ac:dyDescent="0.5">
      <c r="D1185" s="3" t="s">
        <v>85</v>
      </c>
    </row>
    <row r="1186" spans="4:4" ht="17.649999999999999" x14ac:dyDescent="0.5">
      <c r="D1186" s="3" t="s">
        <v>104</v>
      </c>
    </row>
    <row r="1187" spans="4:4" ht="17.649999999999999" x14ac:dyDescent="0.5">
      <c r="D1187" s="3" t="s">
        <v>46</v>
      </c>
    </row>
    <row r="1188" spans="4:4" ht="17.649999999999999" x14ac:dyDescent="0.5">
      <c r="D1188" s="3" t="s">
        <v>87</v>
      </c>
    </row>
    <row r="1189" spans="4:4" ht="17.649999999999999" x14ac:dyDescent="0.5">
      <c r="D1189" s="3" t="s">
        <v>122</v>
      </c>
    </row>
    <row r="1190" spans="4:4" ht="17.649999999999999" x14ac:dyDescent="0.5">
      <c r="D1190" s="3" t="s">
        <v>81</v>
      </c>
    </row>
    <row r="1191" spans="4:4" ht="17.649999999999999" x14ac:dyDescent="0.5">
      <c r="D1191" s="3" t="s">
        <v>113</v>
      </c>
    </row>
    <row r="1192" spans="4:4" ht="17.649999999999999" x14ac:dyDescent="0.5">
      <c r="D1192" s="3" t="s">
        <v>110</v>
      </c>
    </row>
    <row r="1193" spans="4:4" ht="17.649999999999999" x14ac:dyDescent="0.5">
      <c r="D1193" s="3" t="s">
        <v>42</v>
      </c>
    </row>
    <row r="1194" spans="4:4" ht="17.649999999999999" x14ac:dyDescent="0.5">
      <c r="D1194" s="3" t="s">
        <v>64</v>
      </c>
    </row>
    <row r="1195" spans="4:4" ht="17.649999999999999" x14ac:dyDescent="0.5">
      <c r="D1195" s="3" t="s">
        <v>48</v>
      </c>
    </row>
    <row r="1196" spans="4:4" ht="17.649999999999999" x14ac:dyDescent="0.5">
      <c r="D1196" s="3" t="s">
        <v>116</v>
      </c>
    </row>
    <row r="1197" spans="4:4" ht="17.649999999999999" x14ac:dyDescent="0.5">
      <c r="D1197" s="3" t="s">
        <v>91</v>
      </c>
    </row>
    <row r="1198" spans="4:4" ht="17.649999999999999" x14ac:dyDescent="0.5">
      <c r="D1198" s="3" t="s">
        <v>115</v>
      </c>
    </row>
    <row r="1199" spans="4:4" ht="17.649999999999999" x14ac:dyDescent="0.5">
      <c r="D1199" s="3" t="s">
        <v>52</v>
      </c>
    </row>
    <row r="1200" spans="4:4" ht="17.649999999999999" x14ac:dyDescent="0.5">
      <c r="D1200" s="3" t="s">
        <v>51</v>
      </c>
    </row>
    <row r="1201" spans="4:4" ht="17.649999999999999" x14ac:dyDescent="0.5">
      <c r="D1201" s="3" t="s">
        <v>63</v>
      </c>
    </row>
    <row r="1202" spans="4:4" ht="17.649999999999999" x14ac:dyDescent="0.5">
      <c r="D1202" s="3" t="s">
        <v>85</v>
      </c>
    </row>
    <row r="1203" spans="4:4" ht="17.649999999999999" x14ac:dyDescent="0.5">
      <c r="D1203" s="3" t="s">
        <v>98</v>
      </c>
    </row>
    <row r="1204" spans="4:4" ht="17.649999999999999" x14ac:dyDescent="0.5">
      <c r="D1204" s="3" t="s">
        <v>105</v>
      </c>
    </row>
    <row r="1205" spans="4:4" ht="17.649999999999999" x14ac:dyDescent="0.5">
      <c r="D1205" s="3" t="s">
        <v>121</v>
      </c>
    </row>
    <row r="1206" spans="4:4" ht="17.649999999999999" x14ac:dyDescent="0.5">
      <c r="D1206" s="3" t="s">
        <v>87</v>
      </c>
    </row>
    <row r="1207" spans="4:4" ht="17.649999999999999" x14ac:dyDescent="0.5">
      <c r="D1207" s="3" t="s">
        <v>56</v>
      </c>
    </row>
    <row r="1208" spans="4:4" ht="17.649999999999999" x14ac:dyDescent="0.5">
      <c r="D1208" s="3" t="s">
        <v>106</v>
      </c>
    </row>
    <row r="1209" spans="4:4" ht="17.649999999999999" x14ac:dyDescent="0.5">
      <c r="D1209" s="3" t="s">
        <v>41</v>
      </c>
    </row>
    <row r="1210" spans="4:4" ht="17.649999999999999" x14ac:dyDescent="0.5">
      <c r="D1210" s="3" t="s">
        <v>63</v>
      </c>
    </row>
    <row r="1211" spans="4:4" ht="17.649999999999999" x14ac:dyDescent="0.5">
      <c r="D1211" s="3" t="s">
        <v>54</v>
      </c>
    </row>
    <row r="1212" spans="4:4" ht="17.649999999999999" x14ac:dyDescent="0.5">
      <c r="D1212" s="3" t="s">
        <v>52</v>
      </c>
    </row>
    <row r="1213" spans="4:4" ht="17.649999999999999" x14ac:dyDescent="0.5">
      <c r="D1213" s="3" t="s">
        <v>103</v>
      </c>
    </row>
    <row r="1214" spans="4:4" ht="17.649999999999999" x14ac:dyDescent="0.5">
      <c r="D1214" s="3" t="s">
        <v>128</v>
      </c>
    </row>
    <row r="1215" spans="4:4" ht="17.649999999999999" x14ac:dyDescent="0.5">
      <c r="D1215" s="3" t="s">
        <v>55</v>
      </c>
    </row>
    <row r="1216" spans="4:4" ht="17.649999999999999" x14ac:dyDescent="0.5">
      <c r="D1216" s="3" t="s">
        <v>105</v>
      </c>
    </row>
    <row r="1217" spans="4:4" ht="17.649999999999999" x14ac:dyDescent="0.5">
      <c r="D1217" s="3" t="s">
        <v>75</v>
      </c>
    </row>
    <row r="1218" spans="4:4" ht="17.649999999999999" x14ac:dyDescent="0.5">
      <c r="D1218" s="3" t="s">
        <v>90</v>
      </c>
    </row>
    <row r="1219" spans="4:4" ht="17.649999999999999" x14ac:dyDescent="0.5">
      <c r="D1219" s="3" t="s">
        <v>52</v>
      </c>
    </row>
    <row r="1220" spans="4:4" ht="17.649999999999999" x14ac:dyDescent="0.5">
      <c r="D1220" s="3" t="s">
        <v>114</v>
      </c>
    </row>
    <row r="1221" spans="4:4" ht="17.649999999999999" x14ac:dyDescent="0.5">
      <c r="D1221" s="3" t="s">
        <v>80</v>
      </c>
    </row>
    <row r="1222" spans="4:4" ht="17.649999999999999" x14ac:dyDescent="0.5">
      <c r="D1222" s="3" t="s">
        <v>78</v>
      </c>
    </row>
    <row r="1223" spans="4:4" ht="17.649999999999999" x14ac:dyDescent="0.5">
      <c r="D1223" s="3" t="s">
        <v>80</v>
      </c>
    </row>
    <row r="1224" spans="4:4" ht="17.649999999999999" x14ac:dyDescent="0.5">
      <c r="D1224" s="3" t="s">
        <v>114</v>
      </c>
    </row>
    <row r="1225" spans="4:4" ht="17.649999999999999" x14ac:dyDescent="0.5">
      <c r="D1225" s="3" t="s">
        <v>106</v>
      </c>
    </row>
    <row r="1226" spans="4:4" ht="17.649999999999999" x14ac:dyDescent="0.5">
      <c r="D1226" s="3" t="s">
        <v>54</v>
      </c>
    </row>
    <row r="1227" spans="4:4" ht="17.649999999999999" x14ac:dyDescent="0.5">
      <c r="D1227" s="3" t="s">
        <v>83</v>
      </c>
    </row>
    <row r="1228" spans="4:4" ht="17.649999999999999" x14ac:dyDescent="0.5">
      <c r="D1228" s="3" t="s">
        <v>112</v>
      </c>
    </row>
    <row r="1229" spans="4:4" ht="17.649999999999999" x14ac:dyDescent="0.5">
      <c r="D1229" s="3" t="s">
        <v>98</v>
      </c>
    </row>
    <row r="1230" spans="4:4" ht="17.649999999999999" x14ac:dyDescent="0.5">
      <c r="D1230" s="3" t="s">
        <v>43</v>
      </c>
    </row>
    <row r="1231" spans="4:4" ht="17.649999999999999" x14ac:dyDescent="0.5">
      <c r="D1231" s="3" t="s">
        <v>104</v>
      </c>
    </row>
    <row r="1232" spans="4:4" ht="17.649999999999999" x14ac:dyDescent="0.5">
      <c r="D1232" s="3" t="s">
        <v>53</v>
      </c>
    </row>
    <row r="1233" spans="4:4" ht="17.649999999999999" x14ac:dyDescent="0.5">
      <c r="D1233" s="3" t="s">
        <v>103</v>
      </c>
    </row>
    <row r="1234" spans="4:4" ht="17.649999999999999" x14ac:dyDescent="0.5">
      <c r="D1234" s="3" t="s">
        <v>48</v>
      </c>
    </row>
    <row r="1235" spans="4:4" ht="17.649999999999999" x14ac:dyDescent="0.5">
      <c r="D1235" s="3" t="s">
        <v>74</v>
      </c>
    </row>
    <row r="1236" spans="4:4" ht="17.649999999999999" x14ac:dyDescent="0.5">
      <c r="D1236" s="3" t="s">
        <v>64</v>
      </c>
    </row>
    <row r="1237" spans="4:4" ht="17.649999999999999" x14ac:dyDescent="0.5">
      <c r="D1237" s="3" t="s">
        <v>68</v>
      </c>
    </row>
    <row r="1238" spans="4:4" ht="17.649999999999999" x14ac:dyDescent="0.5">
      <c r="D1238" s="3" t="s">
        <v>57</v>
      </c>
    </row>
    <row r="1239" spans="4:4" ht="17.649999999999999" x14ac:dyDescent="0.5">
      <c r="D1239" s="3" t="s">
        <v>61</v>
      </c>
    </row>
    <row r="1240" spans="4:4" ht="17.649999999999999" x14ac:dyDescent="0.5">
      <c r="D1240" s="3" t="s">
        <v>63</v>
      </c>
    </row>
    <row r="1241" spans="4:4" ht="17.649999999999999" x14ac:dyDescent="0.5">
      <c r="D1241" s="3" t="s">
        <v>87</v>
      </c>
    </row>
    <row r="1242" spans="4:4" ht="17.649999999999999" x14ac:dyDescent="0.5">
      <c r="D1242" s="3" t="s">
        <v>107</v>
      </c>
    </row>
    <row r="1243" spans="4:4" ht="17.649999999999999" x14ac:dyDescent="0.5">
      <c r="D1243" s="3" t="s">
        <v>101</v>
      </c>
    </row>
    <row r="1244" spans="4:4" ht="17.649999999999999" x14ac:dyDescent="0.5">
      <c r="D1244" s="3" t="s">
        <v>56</v>
      </c>
    </row>
    <row r="1245" spans="4:4" ht="17.649999999999999" x14ac:dyDescent="0.5">
      <c r="D1245" s="3" t="s">
        <v>83</v>
      </c>
    </row>
    <row r="1246" spans="4:4" ht="17.649999999999999" x14ac:dyDescent="0.5">
      <c r="D1246" s="3" t="s">
        <v>53</v>
      </c>
    </row>
    <row r="1247" spans="4:4" ht="17.649999999999999" x14ac:dyDescent="0.5">
      <c r="D1247" s="3" t="s">
        <v>124</v>
      </c>
    </row>
    <row r="1248" spans="4:4" ht="17.649999999999999" x14ac:dyDescent="0.5">
      <c r="D1248" s="3" t="s">
        <v>90</v>
      </c>
    </row>
    <row r="1249" spans="4:4" ht="17.649999999999999" x14ac:dyDescent="0.5">
      <c r="D1249" s="3" t="s">
        <v>49</v>
      </c>
    </row>
    <row r="1250" spans="4:4" ht="17.649999999999999" x14ac:dyDescent="0.5">
      <c r="D1250" s="3" t="s">
        <v>101</v>
      </c>
    </row>
    <row r="1251" spans="4:4" ht="17.649999999999999" x14ac:dyDescent="0.5">
      <c r="D1251" s="3" t="s">
        <v>97</v>
      </c>
    </row>
    <row r="1252" spans="4:4" ht="17.649999999999999" x14ac:dyDescent="0.5">
      <c r="D1252" s="3" t="s">
        <v>43</v>
      </c>
    </row>
    <row r="1253" spans="4:4" ht="17.649999999999999" x14ac:dyDescent="0.5">
      <c r="D1253" s="3" t="s">
        <v>83</v>
      </c>
    </row>
    <row r="1254" spans="4:4" ht="17.649999999999999" x14ac:dyDescent="0.5">
      <c r="D1254" s="3" t="s">
        <v>53</v>
      </c>
    </row>
    <row r="1255" spans="4:4" ht="17.649999999999999" x14ac:dyDescent="0.5">
      <c r="D1255" s="3" t="s">
        <v>87</v>
      </c>
    </row>
    <row r="1256" spans="4:4" ht="17.649999999999999" x14ac:dyDescent="0.5">
      <c r="D1256" s="3" t="s">
        <v>52</v>
      </c>
    </row>
    <row r="1257" spans="4:4" ht="17.649999999999999" x14ac:dyDescent="0.5">
      <c r="D1257" s="3" t="s">
        <v>83</v>
      </c>
    </row>
    <row r="1258" spans="4:4" ht="17.649999999999999" x14ac:dyDescent="0.5">
      <c r="D1258" s="3" t="s">
        <v>117</v>
      </c>
    </row>
    <row r="1259" spans="4:4" ht="17.649999999999999" x14ac:dyDescent="0.5">
      <c r="D1259" s="3" t="s">
        <v>49</v>
      </c>
    </row>
    <row r="1260" spans="4:4" ht="17.649999999999999" x14ac:dyDescent="0.5">
      <c r="D1260" s="3" t="s">
        <v>73</v>
      </c>
    </row>
    <row r="1261" spans="4:4" ht="17.649999999999999" x14ac:dyDescent="0.5">
      <c r="D1261" s="3" t="s">
        <v>69</v>
      </c>
    </row>
    <row r="1262" spans="4:4" ht="17.649999999999999" x14ac:dyDescent="0.5">
      <c r="D1262" s="3" t="s">
        <v>66</v>
      </c>
    </row>
    <row r="1263" spans="4:4" ht="17.649999999999999" x14ac:dyDescent="0.5">
      <c r="D1263" s="3" t="s">
        <v>63</v>
      </c>
    </row>
    <row r="1264" spans="4:4" ht="17.649999999999999" x14ac:dyDescent="0.5">
      <c r="D1264" s="3" t="s">
        <v>87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68</v>
      </c>
    </row>
    <row r="1267" spans="4:4" ht="17.649999999999999" x14ac:dyDescent="0.5">
      <c r="D1267" s="3" t="s">
        <v>63</v>
      </c>
    </row>
    <row r="1268" spans="4:4" ht="17.649999999999999" x14ac:dyDescent="0.5">
      <c r="D1268" s="3" t="s">
        <v>41</v>
      </c>
    </row>
    <row r="1269" spans="4:4" ht="17.649999999999999" x14ac:dyDescent="0.5">
      <c r="D1269" s="3" t="s">
        <v>43</v>
      </c>
    </row>
    <row r="1270" spans="4:4" ht="17.649999999999999" x14ac:dyDescent="0.5">
      <c r="D1270" s="3" t="s">
        <v>74</v>
      </c>
    </row>
    <row r="1271" spans="4:4" ht="17.649999999999999" x14ac:dyDescent="0.5">
      <c r="D1271" s="3" t="s">
        <v>104</v>
      </c>
    </row>
    <row r="1272" spans="4:4" ht="17.649999999999999" x14ac:dyDescent="0.5">
      <c r="D1272" s="3" t="s">
        <v>96</v>
      </c>
    </row>
    <row r="1273" spans="4:4" ht="17.649999999999999" x14ac:dyDescent="0.5">
      <c r="D1273" s="3" t="s">
        <v>43</v>
      </c>
    </row>
    <row r="1274" spans="4:4" ht="17.649999999999999" x14ac:dyDescent="0.5">
      <c r="D1274" s="3" t="s">
        <v>50</v>
      </c>
    </row>
    <row r="1275" spans="4:4" ht="17.649999999999999" x14ac:dyDescent="0.5">
      <c r="D1275" s="3" t="s">
        <v>98</v>
      </c>
    </row>
    <row r="1276" spans="4:4" ht="17.649999999999999" x14ac:dyDescent="0.5">
      <c r="D1276" s="3" t="s">
        <v>75</v>
      </c>
    </row>
    <row r="1277" spans="4:4" ht="17.649999999999999" x14ac:dyDescent="0.5">
      <c r="D1277" s="3" t="s">
        <v>73</v>
      </c>
    </row>
    <row r="1278" spans="4:4" ht="17.649999999999999" x14ac:dyDescent="0.5">
      <c r="D1278" s="3" t="s">
        <v>115</v>
      </c>
    </row>
    <row r="1279" spans="4:4" ht="17.649999999999999" x14ac:dyDescent="0.5">
      <c r="D1279" s="3" t="s">
        <v>81</v>
      </c>
    </row>
    <row r="1280" spans="4:4" ht="17.649999999999999" x14ac:dyDescent="0.5">
      <c r="D1280" s="3" t="s">
        <v>47</v>
      </c>
    </row>
    <row r="1281" spans="4:4" ht="17.649999999999999" x14ac:dyDescent="0.5">
      <c r="D1281" s="3" t="s">
        <v>100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115</v>
      </c>
    </row>
    <row r="1284" spans="4:4" ht="17.649999999999999" x14ac:dyDescent="0.5">
      <c r="D1284" s="3" t="s">
        <v>57</v>
      </c>
    </row>
    <row r="1285" spans="4:4" ht="17.649999999999999" x14ac:dyDescent="0.5">
      <c r="D1285" s="3" t="s">
        <v>63</v>
      </c>
    </row>
    <row r="1286" spans="4:4" ht="17.649999999999999" x14ac:dyDescent="0.5">
      <c r="D1286" s="3" t="s">
        <v>74</v>
      </c>
    </row>
    <row r="1287" spans="4:4" ht="17.649999999999999" x14ac:dyDescent="0.5">
      <c r="D1287" s="3" t="s">
        <v>83</v>
      </c>
    </row>
    <row r="1288" spans="4:4" ht="17.649999999999999" x14ac:dyDescent="0.5">
      <c r="D1288" s="3" t="s">
        <v>69</v>
      </c>
    </row>
    <row r="1289" spans="4:4" ht="17.649999999999999" x14ac:dyDescent="0.5">
      <c r="D1289" s="3" t="s">
        <v>48</v>
      </c>
    </row>
    <row r="1290" spans="4:4" ht="17.649999999999999" x14ac:dyDescent="0.5">
      <c r="D1290" s="3" t="s">
        <v>43</v>
      </c>
    </row>
    <row r="1291" spans="4:4" ht="17.649999999999999" x14ac:dyDescent="0.5">
      <c r="D1291" s="3" t="s">
        <v>87</v>
      </c>
    </row>
    <row r="1292" spans="4:4" ht="17.649999999999999" x14ac:dyDescent="0.5">
      <c r="D1292" s="3" t="s">
        <v>85</v>
      </c>
    </row>
    <row r="1293" spans="4:4" ht="17.649999999999999" x14ac:dyDescent="0.5">
      <c r="D1293" s="3" t="s">
        <v>88</v>
      </c>
    </row>
    <row r="1294" spans="4:4" ht="17.649999999999999" x14ac:dyDescent="0.5">
      <c r="D1294" s="3" t="s">
        <v>134</v>
      </c>
    </row>
    <row r="1295" spans="4:4" ht="17.649999999999999" x14ac:dyDescent="0.5">
      <c r="D1295" s="3" t="s">
        <v>121</v>
      </c>
    </row>
    <row r="1296" spans="4:4" ht="17.649999999999999" x14ac:dyDescent="0.5">
      <c r="D1296" s="3" t="s">
        <v>109</v>
      </c>
    </row>
    <row r="1297" spans="4:4" ht="17.649999999999999" x14ac:dyDescent="0.5">
      <c r="D1297" s="3" t="s">
        <v>117</v>
      </c>
    </row>
    <row r="1298" spans="4:4" ht="17.649999999999999" x14ac:dyDescent="0.5">
      <c r="D1298" s="3" t="s">
        <v>47</v>
      </c>
    </row>
    <row r="1299" spans="4:4" ht="17.649999999999999" x14ac:dyDescent="0.5">
      <c r="D1299" s="3" t="s">
        <v>129</v>
      </c>
    </row>
    <row r="1300" spans="4:4" ht="17.649999999999999" x14ac:dyDescent="0.5">
      <c r="D1300" s="3" t="s">
        <v>57</v>
      </c>
    </row>
    <row r="1301" spans="4:4" ht="17.649999999999999" x14ac:dyDescent="0.5">
      <c r="D1301" s="3" t="s">
        <v>121</v>
      </c>
    </row>
    <row r="1302" spans="4:4" ht="17.649999999999999" x14ac:dyDescent="0.5">
      <c r="D1302" s="3" t="s">
        <v>93</v>
      </c>
    </row>
    <row r="1303" spans="4:4" ht="17.649999999999999" x14ac:dyDescent="0.5">
      <c r="D1303" s="3" t="s">
        <v>50</v>
      </c>
    </row>
    <row r="1304" spans="4:4" ht="17.649999999999999" x14ac:dyDescent="0.5">
      <c r="D1304" s="3" t="s">
        <v>46</v>
      </c>
    </row>
    <row r="1305" spans="4:4" ht="17.649999999999999" x14ac:dyDescent="0.5">
      <c r="D1305" s="3" t="s">
        <v>96</v>
      </c>
    </row>
    <row r="1306" spans="4:4" ht="17.649999999999999" x14ac:dyDescent="0.5">
      <c r="D1306" s="3" t="s">
        <v>85</v>
      </c>
    </row>
    <row r="1307" spans="4:4" ht="17.649999999999999" x14ac:dyDescent="0.5">
      <c r="D1307" s="3" t="s">
        <v>84</v>
      </c>
    </row>
    <row r="1308" spans="4:4" ht="17.649999999999999" x14ac:dyDescent="0.5">
      <c r="D1308" s="3" t="s">
        <v>74</v>
      </c>
    </row>
    <row r="1309" spans="4:4" ht="17.649999999999999" x14ac:dyDescent="0.5">
      <c r="D1309" s="3" t="s">
        <v>106</v>
      </c>
    </row>
    <row r="1310" spans="4:4" ht="17.649999999999999" x14ac:dyDescent="0.5">
      <c r="D1310" s="3" t="s">
        <v>98</v>
      </c>
    </row>
    <row r="1311" spans="4:4" ht="17.649999999999999" x14ac:dyDescent="0.5">
      <c r="D1311" s="3" t="s">
        <v>108</v>
      </c>
    </row>
    <row r="1312" spans="4:4" ht="17.649999999999999" x14ac:dyDescent="0.5">
      <c r="D1312" s="3" t="s">
        <v>57</v>
      </c>
    </row>
    <row r="1313" spans="4:4" ht="17.649999999999999" x14ac:dyDescent="0.5">
      <c r="D1313" s="3" t="s">
        <v>100</v>
      </c>
    </row>
    <row r="1314" spans="4:4" ht="17.649999999999999" x14ac:dyDescent="0.5">
      <c r="D1314" s="3" t="s">
        <v>63</v>
      </c>
    </row>
    <row r="1315" spans="4:4" ht="17.649999999999999" x14ac:dyDescent="0.5">
      <c r="D1315" s="3" t="s">
        <v>46</v>
      </c>
    </row>
    <row r="1316" spans="4:4" ht="17.649999999999999" x14ac:dyDescent="0.5">
      <c r="D1316" s="3" t="s">
        <v>66</v>
      </c>
    </row>
    <row r="1317" spans="4:4" ht="17.649999999999999" x14ac:dyDescent="0.5">
      <c r="D1317" s="3" t="s">
        <v>129</v>
      </c>
    </row>
    <row r="1318" spans="4:4" ht="17.649999999999999" x14ac:dyDescent="0.5">
      <c r="D1318" s="3" t="s">
        <v>49</v>
      </c>
    </row>
    <row r="1319" spans="4:4" ht="17.649999999999999" x14ac:dyDescent="0.5">
      <c r="D1319" s="3" t="s">
        <v>50</v>
      </c>
    </row>
    <row r="1320" spans="4:4" ht="17.649999999999999" x14ac:dyDescent="0.5">
      <c r="D1320" s="3" t="s">
        <v>112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41</v>
      </c>
    </row>
    <row r="1323" spans="4:4" ht="17.649999999999999" x14ac:dyDescent="0.5">
      <c r="D1323" s="3" t="s">
        <v>52</v>
      </c>
    </row>
    <row r="1324" spans="4:4" ht="17.649999999999999" x14ac:dyDescent="0.5">
      <c r="D1324" s="3" t="s">
        <v>61</v>
      </c>
    </row>
    <row r="1325" spans="4:4" ht="17.649999999999999" x14ac:dyDescent="0.5">
      <c r="D1325" s="3" t="s">
        <v>87</v>
      </c>
    </row>
    <row r="1326" spans="4:4" ht="17.649999999999999" x14ac:dyDescent="0.5">
      <c r="D1326" s="3" t="s">
        <v>66</v>
      </c>
    </row>
    <row r="1327" spans="4:4" ht="17.649999999999999" x14ac:dyDescent="0.5">
      <c r="D1327" s="3" t="s">
        <v>107</v>
      </c>
    </row>
    <row r="1328" spans="4:4" ht="17.649999999999999" x14ac:dyDescent="0.5">
      <c r="D1328" s="3" t="s">
        <v>76</v>
      </c>
    </row>
    <row r="1329" spans="4:4" ht="17.649999999999999" x14ac:dyDescent="0.5">
      <c r="D1329" s="3" t="s">
        <v>100</v>
      </c>
    </row>
    <row r="1330" spans="4:4" ht="17.649999999999999" x14ac:dyDescent="0.5">
      <c r="D1330" s="3" t="s">
        <v>113</v>
      </c>
    </row>
    <row r="1331" spans="4:4" ht="17.649999999999999" x14ac:dyDescent="0.5">
      <c r="D1331" s="3" t="s">
        <v>75</v>
      </c>
    </row>
    <row r="1332" spans="4:4" ht="17.649999999999999" x14ac:dyDescent="0.5">
      <c r="D1332" s="3" t="s">
        <v>59</v>
      </c>
    </row>
    <row r="1333" spans="4:4" ht="17.649999999999999" x14ac:dyDescent="0.5">
      <c r="D1333" s="3" t="s">
        <v>94</v>
      </c>
    </row>
    <row r="1334" spans="4:4" ht="17.649999999999999" x14ac:dyDescent="0.5">
      <c r="D1334" s="3" t="s">
        <v>48</v>
      </c>
    </row>
    <row r="1335" spans="4:4" ht="17.649999999999999" x14ac:dyDescent="0.5">
      <c r="D1335" s="3" t="s">
        <v>67</v>
      </c>
    </row>
    <row r="1336" spans="4:4" ht="17.649999999999999" x14ac:dyDescent="0.5">
      <c r="D1336" s="3" t="s">
        <v>120</v>
      </c>
    </row>
    <row r="1337" spans="4:4" ht="17.649999999999999" x14ac:dyDescent="0.5">
      <c r="D1337" s="3" t="s">
        <v>47</v>
      </c>
    </row>
    <row r="1338" spans="4:4" ht="17.649999999999999" x14ac:dyDescent="0.5">
      <c r="D1338" s="3" t="s">
        <v>115</v>
      </c>
    </row>
    <row r="1339" spans="4:4" ht="17.649999999999999" x14ac:dyDescent="0.5">
      <c r="D1339" s="3" t="s">
        <v>56</v>
      </c>
    </row>
    <row r="1340" spans="4:4" ht="17.649999999999999" x14ac:dyDescent="0.5">
      <c r="D1340" s="3" t="s">
        <v>94</v>
      </c>
    </row>
    <row r="1341" spans="4:4" ht="17.649999999999999" x14ac:dyDescent="0.5">
      <c r="D1341" s="3" t="s">
        <v>98</v>
      </c>
    </row>
    <row r="1342" spans="4:4" ht="17.649999999999999" x14ac:dyDescent="0.5">
      <c r="D1342" s="3" t="s">
        <v>120</v>
      </c>
    </row>
    <row r="1343" spans="4:4" ht="17.649999999999999" x14ac:dyDescent="0.5">
      <c r="D1343" s="3" t="s">
        <v>78</v>
      </c>
    </row>
    <row r="1344" spans="4:4" ht="17.649999999999999" x14ac:dyDescent="0.5">
      <c r="D1344" s="3" t="s">
        <v>81</v>
      </c>
    </row>
    <row r="1345" spans="4:4" ht="17.649999999999999" x14ac:dyDescent="0.5">
      <c r="D1345" s="3" t="s">
        <v>122</v>
      </c>
    </row>
    <row r="1346" spans="4:4" ht="17.649999999999999" x14ac:dyDescent="0.5">
      <c r="D1346" s="3" t="s">
        <v>47</v>
      </c>
    </row>
    <row r="1347" spans="4:4" ht="17.649999999999999" x14ac:dyDescent="0.5">
      <c r="D1347" s="3" t="s">
        <v>55</v>
      </c>
    </row>
    <row r="1348" spans="4:4" ht="17.649999999999999" x14ac:dyDescent="0.5">
      <c r="D1348" s="3" t="s">
        <v>66</v>
      </c>
    </row>
    <row r="1349" spans="4:4" ht="17.649999999999999" x14ac:dyDescent="0.5">
      <c r="D1349" s="3" t="s">
        <v>67</v>
      </c>
    </row>
    <row r="1350" spans="4:4" ht="17.649999999999999" x14ac:dyDescent="0.5">
      <c r="D1350" s="3" t="s">
        <v>101</v>
      </c>
    </row>
    <row r="1351" spans="4:4" ht="17.649999999999999" x14ac:dyDescent="0.5">
      <c r="D1351" s="3" t="s">
        <v>84</v>
      </c>
    </row>
    <row r="1352" spans="4:4" ht="17.649999999999999" x14ac:dyDescent="0.5">
      <c r="D1352" s="3" t="s">
        <v>78</v>
      </c>
    </row>
    <row r="1353" spans="4:4" ht="17.649999999999999" x14ac:dyDescent="0.5">
      <c r="D1353" s="3" t="s">
        <v>80</v>
      </c>
    </row>
    <row r="1354" spans="4:4" ht="17.649999999999999" x14ac:dyDescent="0.5">
      <c r="D1354" s="3" t="s">
        <v>75</v>
      </c>
    </row>
    <row r="1355" spans="4:4" ht="17.649999999999999" x14ac:dyDescent="0.5">
      <c r="D1355" s="3" t="s">
        <v>101</v>
      </c>
    </row>
    <row r="1356" spans="4:4" ht="17.649999999999999" x14ac:dyDescent="0.5">
      <c r="D1356" s="3" t="s">
        <v>61</v>
      </c>
    </row>
    <row r="1357" spans="4:4" ht="17.649999999999999" x14ac:dyDescent="0.5">
      <c r="D1357" s="3" t="s">
        <v>69</v>
      </c>
    </row>
    <row r="1358" spans="4:4" ht="17.649999999999999" x14ac:dyDescent="0.5">
      <c r="D1358" s="3" t="s">
        <v>73</v>
      </c>
    </row>
    <row r="1359" spans="4:4" ht="17.649999999999999" x14ac:dyDescent="0.5">
      <c r="D1359" s="3" t="s">
        <v>64</v>
      </c>
    </row>
    <row r="1360" spans="4:4" ht="17.649999999999999" x14ac:dyDescent="0.5">
      <c r="D1360" s="3" t="s">
        <v>61</v>
      </c>
    </row>
    <row r="1361" spans="4:4" ht="17.649999999999999" x14ac:dyDescent="0.5">
      <c r="D1361" s="3" t="s">
        <v>61</v>
      </c>
    </row>
    <row r="1362" spans="4:4" ht="17.649999999999999" x14ac:dyDescent="0.5">
      <c r="D1362" s="3" t="s">
        <v>99</v>
      </c>
    </row>
    <row r="1363" spans="4:4" ht="17.649999999999999" x14ac:dyDescent="0.5">
      <c r="D1363" s="3" t="s">
        <v>103</v>
      </c>
    </row>
    <row r="1364" spans="4:4" ht="17.649999999999999" x14ac:dyDescent="0.5">
      <c r="D1364" s="3" t="s">
        <v>72</v>
      </c>
    </row>
    <row r="1365" spans="4:4" ht="17.649999999999999" x14ac:dyDescent="0.5">
      <c r="D1365" s="3" t="s">
        <v>101</v>
      </c>
    </row>
    <row r="1366" spans="4:4" ht="17.649999999999999" x14ac:dyDescent="0.5">
      <c r="D1366" s="3" t="s">
        <v>56</v>
      </c>
    </row>
    <row r="1367" spans="4:4" ht="17.649999999999999" x14ac:dyDescent="0.5">
      <c r="D1367" s="3" t="s">
        <v>69</v>
      </c>
    </row>
    <row r="1368" spans="4:4" ht="17.649999999999999" x14ac:dyDescent="0.5">
      <c r="D1368" s="3" t="s">
        <v>54</v>
      </c>
    </row>
    <row r="1369" spans="4:4" ht="17.649999999999999" x14ac:dyDescent="0.5">
      <c r="D1369" s="3" t="s">
        <v>122</v>
      </c>
    </row>
    <row r="1370" spans="4:4" ht="17.649999999999999" x14ac:dyDescent="0.5">
      <c r="D1370" s="3" t="s">
        <v>66</v>
      </c>
    </row>
    <row r="1371" spans="4:4" ht="17.649999999999999" x14ac:dyDescent="0.5">
      <c r="D1371" s="3" t="s">
        <v>75</v>
      </c>
    </row>
    <row r="1372" spans="4:4" ht="17.649999999999999" x14ac:dyDescent="0.5">
      <c r="D1372" s="3" t="s">
        <v>94</v>
      </c>
    </row>
    <row r="1373" spans="4:4" ht="17.649999999999999" x14ac:dyDescent="0.5">
      <c r="D1373" s="3" t="s">
        <v>76</v>
      </c>
    </row>
    <row r="1374" spans="4:4" ht="17.649999999999999" x14ac:dyDescent="0.5">
      <c r="D1374" s="3" t="s">
        <v>51</v>
      </c>
    </row>
    <row r="1375" spans="4:4" ht="17.649999999999999" x14ac:dyDescent="0.5">
      <c r="D1375" s="3" t="s">
        <v>105</v>
      </c>
    </row>
    <row r="1376" spans="4:4" ht="17.649999999999999" x14ac:dyDescent="0.5">
      <c r="D1376" s="3" t="s">
        <v>67</v>
      </c>
    </row>
    <row r="1377" spans="4:4" ht="17.649999999999999" x14ac:dyDescent="0.5">
      <c r="D1377" s="3" t="s">
        <v>87</v>
      </c>
    </row>
    <row r="1378" spans="4:4" ht="17.649999999999999" x14ac:dyDescent="0.5">
      <c r="D1378" s="3" t="s">
        <v>50</v>
      </c>
    </row>
    <row r="1379" spans="4:4" ht="17.649999999999999" x14ac:dyDescent="0.5">
      <c r="D1379" s="3" t="s">
        <v>69</v>
      </c>
    </row>
    <row r="1380" spans="4:4" ht="17.649999999999999" x14ac:dyDescent="0.5">
      <c r="D1380" s="3" t="s">
        <v>64</v>
      </c>
    </row>
    <row r="1381" spans="4:4" ht="17.649999999999999" x14ac:dyDescent="0.5">
      <c r="D1381" s="3" t="s">
        <v>68</v>
      </c>
    </row>
    <row r="1382" spans="4:4" ht="17.649999999999999" x14ac:dyDescent="0.5">
      <c r="D1382" s="3" t="s">
        <v>53</v>
      </c>
    </row>
    <row r="1383" spans="4:4" ht="17.649999999999999" x14ac:dyDescent="0.5">
      <c r="D1383" s="3" t="s">
        <v>56</v>
      </c>
    </row>
    <row r="1384" spans="4:4" ht="17.649999999999999" x14ac:dyDescent="0.5">
      <c r="D1384" s="3" t="s">
        <v>115</v>
      </c>
    </row>
    <row r="1385" spans="4:4" ht="17.649999999999999" x14ac:dyDescent="0.5">
      <c r="D1385" s="3" t="s">
        <v>120</v>
      </c>
    </row>
    <row r="1386" spans="4:4" ht="17.649999999999999" x14ac:dyDescent="0.5">
      <c r="D1386" s="3" t="s">
        <v>81</v>
      </c>
    </row>
    <row r="1387" spans="4:4" ht="17.649999999999999" x14ac:dyDescent="0.5">
      <c r="D1387" s="3" t="s">
        <v>122</v>
      </c>
    </row>
    <row r="1388" spans="4:4" ht="17.649999999999999" x14ac:dyDescent="0.5">
      <c r="D1388" s="3" t="s">
        <v>85</v>
      </c>
    </row>
    <row r="1389" spans="4:4" ht="17.649999999999999" x14ac:dyDescent="0.5">
      <c r="D1389" s="3" t="s">
        <v>67</v>
      </c>
    </row>
    <row r="1390" spans="4:4" ht="17.649999999999999" x14ac:dyDescent="0.5">
      <c r="D1390" s="3" t="s">
        <v>101</v>
      </c>
    </row>
    <row r="1391" spans="4:4" ht="17.649999999999999" x14ac:dyDescent="0.5">
      <c r="D1391" s="3" t="s">
        <v>107</v>
      </c>
    </row>
    <row r="1392" spans="4:4" ht="17.649999999999999" x14ac:dyDescent="0.5">
      <c r="D1392" s="3" t="s">
        <v>83</v>
      </c>
    </row>
    <row r="1393" spans="4:4" ht="17.649999999999999" x14ac:dyDescent="0.5">
      <c r="D1393" s="3" t="s">
        <v>52</v>
      </c>
    </row>
    <row r="1394" spans="4:4" ht="17.649999999999999" x14ac:dyDescent="0.5">
      <c r="D1394" s="3" t="s">
        <v>50</v>
      </c>
    </row>
    <row r="1395" spans="4:4" ht="17.649999999999999" x14ac:dyDescent="0.5">
      <c r="D1395" s="3" t="s">
        <v>80</v>
      </c>
    </row>
    <row r="1396" spans="4:4" ht="17.649999999999999" x14ac:dyDescent="0.5">
      <c r="D1396" s="3" t="s">
        <v>63</v>
      </c>
    </row>
    <row r="1397" spans="4:4" ht="17.649999999999999" x14ac:dyDescent="0.5">
      <c r="D1397" s="3" t="s">
        <v>120</v>
      </c>
    </row>
    <row r="1398" spans="4:4" ht="17.649999999999999" x14ac:dyDescent="0.5">
      <c r="D1398" s="3" t="s">
        <v>56</v>
      </c>
    </row>
    <row r="1399" spans="4:4" ht="17.649999999999999" x14ac:dyDescent="0.5">
      <c r="D1399" s="3" t="s">
        <v>113</v>
      </c>
    </row>
    <row r="1400" spans="4:4" ht="17.649999999999999" x14ac:dyDescent="0.5">
      <c r="D1400" s="3" t="s">
        <v>57</v>
      </c>
    </row>
    <row r="1401" spans="4:4" ht="17.649999999999999" x14ac:dyDescent="0.5">
      <c r="D1401" s="3" t="s">
        <v>113</v>
      </c>
    </row>
    <row r="1402" spans="4:4" ht="17.649999999999999" x14ac:dyDescent="0.5">
      <c r="D1402" s="3" t="s">
        <v>122</v>
      </c>
    </row>
    <row r="1403" spans="4:4" ht="17.649999999999999" x14ac:dyDescent="0.5">
      <c r="D1403" s="3" t="s">
        <v>103</v>
      </c>
    </row>
    <row r="1404" spans="4:4" ht="17.649999999999999" x14ac:dyDescent="0.5">
      <c r="D1404" s="3" t="s">
        <v>63</v>
      </c>
    </row>
    <row r="1405" spans="4:4" ht="17.649999999999999" x14ac:dyDescent="0.5">
      <c r="D1405" s="3" t="s">
        <v>41</v>
      </c>
    </row>
    <row r="1406" spans="4:4" ht="17.649999999999999" x14ac:dyDescent="0.5">
      <c r="D1406" s="3" t="s">
        <v>85</v>
      </c>
    </row>
    <row r="1407" spans="4:4" ht="17.649999999999999" x14ac:dyDescent="0.5">
      <c r="D1407" s="3" t="s">
        <v>75</v>
      </c>
    </row>
    <row r="1408" spans="4:4" ht="17.649999999999999" x14ac:dyDescent="0.5">
      <c r="D1408" s="3" t="s">
        <v>134</v>
      </c>
    </row>
    <row r="1409" spans="4:4" ht="17.649999999999999" x14ac:dyDescent="0.5">
      <c r="D1409" s="3" t="s">
        <v>98</v>
      </c>
    </row>
    <row r="1410" spans="4:4" ht="17.649999999999999" x14ac:dyDescent="0.5">
      <c r="D1410" s="3" t="s">
        <v>57</v>
      </c>
    </row>
    <row r="1411" spans="4:4" ht="17.649999999999999" x14ac:dyDescent="0.5">
      <c r="D1411" s="3" t="s">
        <v>65</v>
      </c>
    </row>
    <row r="1412" spans="4:4" ht="17.649999999999999" x14ac:dyDescent="0.5">
      <c r="D1412" s="3" t="s">
        <v>77</v>
      </c>
    </row>
    <row r="1413" spans="4:4" ht="17.649999999999999" x14ac:dyDescent="0.5">
      <c r="D1413" s="3" t="s">
        <v>94</v>
      </c>
    </row>
    <row r="1414" spans="4:4" ht="17.649999999999999" x14ac:dyDescent="0.5">
      <c r="D1414" s="3" t="s">
        <v>96</v>
      </c>
    </row>
    <row r="1415" spans="4:4" ht="17.649999999999999" x14ac:dyDescent="0.5">
      <c r="D1415" s="3" t="s">
        <v>45</v>
      </c>
    </row>
    <row r="1416" spans="4:4" ht="17.649999999999999" x14ac:dyDescent="0.5">
      <c r="D1416" s="3" t="s">
        <v>49</v>
      </c>
    </row>
    <row r="1417" spans="4:4" ht="17.649999999999999" x14ac:dyDescent="0.5">
      <c r="D1417" s="3" t="s">
        <v>69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96</v>
      </c>
    </row>
    <row r="1420" spans="4:4" ht="17.649999999999999" x14ac:dyDescent="0.5">
      <c r="D1420" s="3" t="s">
        <v>48</v>
      </c>
    </row>
    <row r="1421" spans="4:4" ht="17.649999999999999" x14ac:dyDescent="0.5">
      <c r="D1421" s="3" t="s">
        <v>103</v>
      </c>
    </row>
    <row r="1422" spans="4:4" ht="17.649999999999999" x14ac:dyDescent="0.5">
      <c r="D1422" s="3" t="s">
        <v>98</v>
      </c>
    </row>
    <row r="1423" spans="4:4" ht="17.649999999999999" x14ac:dyDescent="0.5">
      <c r="D1423" s="3" t="s">
        <v>49</v>
      </c>
    </row>
    <row r="1424" spans="4:4" ht="17.649999999999999" x14ac:dyDescent="0.5">
      <c r="D1424" s="3" t="s">
        <v>83</v>
      </c>
    </row>
    <row r="1425" spans="4:4" ht="17.649999999999999" x14ac:dyDescent="0.5">
      <c r="D1425" s="3" t="s">
        <v>132</v>
      </c>
    </row>
    <row r="1426" spans="4:4" ht="17.649999999999999" x14ac:dyDescent="0.5">
      <c r="D1426" s="3" t="s">
        <v>50</v>
      </c>
    </row>
    <row r="1427" spans="4:4" ht="17.649999999999999" x14ac:dyDescent="0.5">
      <c r="D1427" s="3" t="s">
        <v>123</v>
      </c>
    </row>
    <row r="1428" spans="4:4" ht="17.649999999999999" x14ac:dyDescent="0.5">
      <c r="D1428" s="3" t="s">
        <v>103</v>
      </c>
    </row>
    <row r="1429" spans="4:4" ht="17.649999999999999" x14ac:dyDescent="0.5">
      <c r="D1429" s="3" t="s">
        <v>73</v>
      </c>
    </row>
    <row r="1430" spans="4:4" ht="17.649999999999999" x14ac:dyDescent="0.5">
      <c r="D1430" s="3" t="s">
        <v>101</v>
      </c>
    </row>
    <row r="1431" spans="4:4" ht="17.649999999999999" x14ac:dyDescent="0.5">
      <c r="D1431" s="3" t="s">
        <v>52</v>
      </c>
    </row>
    <row r="1432" spans="4:4" ht="17.649999999999999" x14ac:dyDescent="0.5">
      <c r="D1432" s="3" t="s">
        <v>41</v>
      </c>
    </row>
    <row r="1433" spans="4:4" ht="17.649999999999999" x14ac:dyDescent="0.5">
      <c r="D1433" s="3" t="s">
        <v>87</v>
      </c>
    </row>
    <row r="1434" spans="4:4" ht="17.649999999999999" x14ac:dyDescent="0.5">
      <c r="D1434" s="3" t="s">
        <v>73</v>
      </c>
    </row>
    <row r="1435" spans="4:4" ht="17.649999999999999" x14ac:dyDescent="0.5">
      <c r="D1435" s="3" t="s">
        <v>85</v>
      </c>
    </row>
    <row r="1436" spans="4:4" ht="17.649999999999999" x14ac:dyDescent="0.5">
      <c r="D1436" s="3" t="s">
        <v>65</v>
      </c>
    </row>
    <row r="1437" spans="4:4" ht="17.649999999999999" x14ac:dyDescent="0.5">
      <c r="D1437" s="3" t="s">
        <v>43</v>
      </c>
    </row>
    <row r="1438" spans="4:4" ht="17.649999999999999" x14ac:dyDescent="0.5">
      <c r="D1438" s="3" t="s">
        <v>96</v>
      </c>
    </row>
    <row r="1439" spans="4:4" ht="17.649999999999999" x14ac:dyDescent="0.5">
      <c r="D1439" s="3" t="s">
        <v>77</v>
      </c>
    </row>
    <row r="1440" spans="4:4" ht="17.649999999999999" x14ac:dyDescent="0.5">
      <c r="D1440" s="3" t="s">
        <v>69</v>
      </c>
    </row>
    <row r="1441" spans="4:4" ht="17.649999999999999" x14ac:dyDescent="0.5">
      <c r="D1441" s="3" t="s">
        <v>83</v>
      </c>
    </row>
    <row r="1442" spans="4:4" ht="17.649999999999999" x14ac:dyDescent="0.5">
      <c r="D1442" s="3" t="s">
        <v>77</v>
      </c>
    </row>
    <row r="1443" spans="4:4" ht="17.649999999999999" x14ac:dyDescent="0.5">
      <c r="D1443" s="3" t="s">
        <v>53</v>
      </c>
    </row>
    <row r="1444" spans="4:4" ht="17.649999999999999" x14ac:dyDescent="0.5">
      <c r="D1444" s="3" t="s">
        <v>132</v>
      </c>
    </row>
    <row r="1445" spans="4:4" ht="17.649999999999999" x14ac:dyDescent="0.5">
      <c r="D1445" s="3" t="s">
        <v>98</v>
      </c>
    </row>
    <row r="1446" spans="4:4" ht="17.649999999999999" x14ac:dyDescent="0.5">
      <c r="D1446" s="3" t="s">
        <v>46</v>
      </c>
    </row>
    <row r="1447" spans="4:4" ht="17.649999999999999" x14ac:dyDescent="0.5">
      <c r="D1447" s="3" t="s">
        <v>120</v>
      </c>
    </row>
    <row r="1448" spans="4:4" ht="17.649999999999999" x14ac:dyDescent="0.5">
      <c r="D1448" s="3" t="s">
        <v>57</v>
      </c>
    </row>
    <row r="1449" spans="4:4" ht="17.649999999999999" x14ac:dyDescent="0.5">
      <c r="D1449" s="3" t="s">
        <v>78</v>
      </c>
    </row>
    <row r="1450" spans="4:4" ht="17.649999999999999" x14ac:dyDescent="0.5">
      <c r="D1450" s="3" t="s">
        <v>43</v>
      </c>
    </row>
    <row r="1451" spans="4:4" ht="17.649999999999999" x14ac:dyDescent="0.5">
      <c r="D1451" s="3" t="s">
        <v>117</v>
      </c>
    </row>
    <row r="1452" spans="4:4" ht="17.649999999999999" x14ac:dyDescent="0.5">
      <c r="D1452" s="3" t="s">
        <v>101</v>
      </c>
    </row>
    <row r="1453" spans="4:4" ht="17.649999999999999" x14ac:dyDescent="0.5">
      <c r="D1453" s="3" t="s">
        <v>68</v>
      </c>
    </row>
    <row r="1454" spans="4:4" ht="17.649999999999999" x14ac:dyDescent="0.5">
      <c r="D1454" s="3" t="s">
        <v>43</v>
      </c>
    </row>
    <row r="1455" spans="4:4" ht="17.649999999999999" x14ac:dyDescent="0.5">
      <c r="D1455" s="3" t="s">
        <v>105</v>
      </c>
    </row>
    <row r="1456" spans="4:4" ht="17.649999999999999" x14ac:dyDescent="0.5">
      <c r="D1456" s="3" t="s">
        <v>53</v>
      </c>
    </row>
    <row r="1457" spans="4:4" ht="17.649999999999999" x14ac:dyDescent="0.5">
      <c r="D1457" s="3" t="s">
        <v>43</v>
      </c>
    </row>
    <row r="1458" spans="4:4" ht="17.649999999999999" x14ac:dyDescent="0.5">
      <c r="D1458" s="3" t="s">
        <v>92</v>
      </c>
    </row>
    <row r="1459" spans="4:4" ht="17.649999999999999" x14ac:dyDescent="0.5">
      <c r="D1459" s="3" t="s">
        <v>59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108</v>
      </c>
    </row>
    <row r="1462" spans="4:4" ht="17.649999999999999" x14ac:dyDescent="0.5">
      <c r="D1462" s="3" t="s">
        <v>123</v>
      </c>
    </row>
    <row r="1463" spans="4:4" ht="17.649999999999999" x14ac:dyDescent="0.5">
      <c r="D1463" s="3" t="s">
        <v>46</v>
      </c>
    </row>
    <row r="1464" spans="4:4" ht="17.649999999999999" x14ac:dyDescent="0.5">
      <c r="D1464" s="3" t="s">
        <v>68</v>
      </c>
    </row>
    <row r="1465" spans="4:4" ht="17.649999999999999" x14ac:dyDescent="0.5">
      <c r="D1465" s="3" t="s">
        <v>52</v>
      </c>
    </row>
    <row r="1466" spans="4:4" ht="17.649999999999999" x14ac:dyDescent="0.5">
      <c r="D1466" s="3" t="s">
        <v>107</v>
      </c>
    </row>
    <row r="1467" spans="4:4" ht="17.649999999999999" x14ac:dyDescent="0.5">
      <c r="D1467" s="3" t="s">
        <v>117</v>
      </c>
    </row>
    <row r="1468" spans="4:4" ht="17.649999999999999" x14ac:dyDescent="0.5">
      <c r="D1468" s="3" t="s">
        <v>60</v>
      </c>
    </row>
    <row r="1469" spans="4:4" ht="17.649999999999999" x14ac:dyDescent="0.5">
      <c r="D1469" s="3" t="s">
        <v>105</v>
      </c>
    </row>
    <row r="1470" spans="4:4" ht="17.649999999999999" x14ac:dyDescent="0.5">
      <c r="D1470" s="3" t="s">
        <v>54</v>
      </c>
    </row>
    <row r="1471" spans="4:4" ht="17.649999999999999" x14ac:dyDescent="0.5">
      <c r="D1471" s="3" t="s">
        <v>94</v>
      </c>
    </row>
    <row r="1472" spans="4:4" ht="17.649999999999999" x14ac:dyDescent="0.5">
      <c r="D1472" s="3" t="s">
        <v>75</v>
      </c>
    </row>
    <row r="1473" spans="4:4" ht="17.649999999999999" x14ac:dyDescent="0.5">
      <c r="D1473" s="3" t="s">
        <v>90</v>
      </c>
    </row>
    <row r="1474" spans="4:4" ht="17.649999999999999" x14ac:dyDescent="0.5">
      <c r="D1474" s="3" t="s">
        <v>112</v>
      </c>
    </row>
    <row r="1475" spans="4:4" ht="17.649999999999999" x14ac:dyDescent="0.5">
      <c r="D1475" s="3" t="s">
        <v>105</v>
      </c>
    </row>
    <row r="1476" spans="4:4" ht="17.649999999999999" x14ac:dyDescent="0.5">
      <c r="D1476" s="3" t="s">
        <v>77</v>
      </c>
    </row>
    <row r="1477" spans="4:4" ht="17.649999999999999" x14ac:dyDescent="0.5">
      <c r="D1477" s="3" t="s">
        <v>94</v>
      </c>
    </row>
    <row r="1478" spans="4:4" ht="17.649999999999999" x14ac:dyDescent="0.5">
      <c r="D1478" s="3" t="s">
        <v>50</v>
      </c>
    </row>
    <row r="1479" spans="4:4" ht="17.649999999999999" x14ac:dyDescent="0.5">
      <c r="D1479" s="3" t="s">
        <v>45</v>
      </c>
    </row>
    <row r="1480" spans="4:4" ht="17.649999999999999" x14ac:dyDescent="0.5">
      <c r="D1480" s="3" t="s">
        <v>112</v>
      </c>
    </row>
    <row r="1481" spans="4:4" ht="17.649999999999999" x14ac:dyDescent="0.5">
      <c r="D1481" s="3" t="s">
        <v>70</v>
      </c>
    </row>
    <row r="1482" spans="4:4" ht="17.649999999999999" x14ac:dyDescent="0.5">
      <c r="D1482" s="3" t="s">
        <v>61</v>
      </c>
    </row>
    <row r="1483" spans="4:4" ht="17.649999999999999" x14ac:dyDescent="0.5">
      <c r="D1483" s="3" t="s">
        <v>131</v>
      </c>
    </row>
    <row r="1484" spans="4:4" ht="17.649999999999999" x14ac:dyDescent="0.5">
      <c r="D1484" s="3" t="s">
        <v>105</v>
      </c>
    </row>
    <row r="1485" spans="4:4" ht="17.649999999999999" x14ac:dyDescent="0.5">
      <c r="D1485" s="3" t="s">
        <v>117</v>
      </c>
    </row>
    <row r="1486" spans="4:4" ht="17.649999999999999" x14ac:dyDescent="0.5">
      <c r="D1486" s="3" t="s">
        <v>120</v>
      </c>
    </row>
    <row r="1487" spans="4:4" ht="17.649999999999999" x14ac:dyDescent="0.5">
      <c r="D1487" s="3" t="s">
        <v>112</v>
      </c>
    </row>
    <row r="1488" spans="4:4" ht="17.649999999999999" x14ac:dyDescent="0.5">
      <c r="D1488" s="3" t="s">
        <v>80</v>
      </c>
    </row>
    <row r="1489" spans="4:4" ht="17.649999999999999" x14ac:dyDescent="0.5">
      <c r="D1489" s="3" t="s">
        <v>61</v>
      </c>
    </row>
    <row r="1490" spans="4:4" ht="17.649999999999999" x14ac:dyDescent="0.5">
      <c r="D1490" s="3" t="s">
        <v>83</v>
      </c>
    </row>
    <row r="1491" spans="4:4" ht="17.649999999999999" x14ac:dyDescent="0.5">
      <c r="D1491" s="3" t="s">
        <v>105</v>
      </c>
    </row>
    <row r="1492" spans="4:4" ht="17.649999999999999" x14ac:dyDescent="0.5">
      <c r="D1492" s="3" t="s">
        <v>94</v>
      </c>
    </row>
    <row r="1493" spans="4:4" ht="17.649999999999999" x14ac:dyDescent="0.5">
      <c r="D1493" s="3" t="s">
        <v>103</v>
      </c>
    </row>
    <row r="1494" spans="4:4" ht="17.649999999999999" x14ac:dyDescent="0.5">
      <c r="D1494" s="3" t="s">
        <v>74</v>
      </c>
    </row>
    <row r="1495" spans="4:4" ht="17.649999999999999" x14ac:dyDescent="0.5">
      <c r="D1495" s="3" t="s">
        <v>94</v>
      </c>
    </row>
    <row r="1496" spans="4:4" ht="17.649999999999999" x14ac:dyDescent="0.5">
      <c r="D1496" s="3" t="s">
        <v>85</v>
      </c>
    </row>
    <row r="1497" spans="4:4" ht="17.649999999999999" x14ac:dyDescent="0.5">
      <c r="D1497" s="3" t="s">
        <v>100</v>
      </c>
    </row>
    <row r="1498" spans="4:4" ht="17.649999999999999" x14ac:dyDescent="0.5">
      <c r="D1498" s="3" t="s">
        <v>96</v>
      </c>
    </row>
    <row r="1499" spans="4:4" ht="17.649999999999999" x14ac:dyDescent="0.5">
      <c r="D1499" s="3" t="s">
        <v>87</v>
      </c>
    </row>
    <row r="1500" spans="4:4" ht="17.649999999999999" x14ac:dyDescent="0.5">
      <c r="D1500" s="3" t="s">
        <v>63</v>
      </c>
    </row>
    <row r="1501" spans="4:4" ht="17.649999999999999" x14ac:dyDescent="0.5">
      <c r="D1501" s="3" t="s">
        <v>99</v>
      </c>
    </row>
    <row r="1502" spans="4:4" ht="17.649999999999999" x14ac:dyDescent="0.5">
      <c r="D1502" s="3" t="s">
        <v>114</v>
      </c>
    </row>
    <row r="1503" spans="4:4" ht="17.649999999999999" x14ac:dyDescent="0.5">
      <c r="D1503" s="3" t="s">
        <v>87</v>
      </c>
    </row>
    <row r="1504" spans="4:4" ht="17.649999999999999" x14ac:dyDescent="0.5">
      <c r="D1504" s="3" t="s">
        <v>44</v>
      </c>
    </row>
    <row r="1505" spans="4:4" ht="17.649999999999999" x14ac:dyDescent="0.5">
      <c r="D1505" s="3" t="s">
        <v>133</v>
      </c>
    </row>
    <row r="1506" spans="4:4" ht="17.649999999999999" x14ac:dyDescent="0.5">
      <c r="D1506" s="3" t="s">
        <v>77</v>
      </c>
    </row>
    <row r="1507" spans="4:4" ht="17.649999999999999" x14ac:dyDescent="0.5">
      <c r="D1507" s="3" t="s">
        <v>53</v>
      </c>
    </row>
    <row r="1508" spans="4:4" ht="17.649999999999999" x14ac:dyDescent="0.5">
      <c r="D1508" s="3" t="s">
        <v>65</v>
      </c>
    </row>
    <row r="1509" spans="4:4" ht="17.649999999999999" x14ac:dyDescent="0.5">
      <c r="D1509" s="3" t="s">
        <v>69</v>
      </c>
    </row>
    <row r="1510" spans="4:4" ht="17.649999999999999" x14ac:dyDescent="0.5">
      <c r="D1510" s="3" t="s">
        <v>90</v>
      </c>
    </row>
    <row r="1511" spans="4:4" ht="17.649999999999999" x14ac:dyDescent="0.5">
      <c r="D1511" s="3" t="s">
        <v>98</v>
      </c>
    </row>
    <row r="1512" spans="4:4" ht="17.649999999999999" x14ac:dyDescent="0.5">
      <c r="D1512" s="3" t="s">
        <v>96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44</v>
      </c>
    </row>
    <row r="1515" spans="4:4" ht="17.649999999999999" x14ac:dyDescent="0.5">
      <c r="D1515" s="3" t="s">
        <v>125</v>
      </c>
    </row>
    <row r="1516" spans="4:4" ht="17.649999999999999" x14ac:dyDescent="0.5">
      <c r="D1516" s="3" t="s">
        <v>87</v>
      </c>
    </row>
    <row r="1517" spans="4:4" ht="17.649999999999999" x14ac:dyDescent="0.5">
      <c r="D1517" s="3" t="s">
        <v>73</v>
      </c>
    </row>
    <row r="1518" spans="4:4" ht="17.649999999999999" x14ac:dyDescent="0.5">
      <c r="D1518" s="3" t="s">
        <v>48</v>
      </c>
    </row>
    <row r="1519" spans="4:4" ht="17.649999999999999" x14ac:dyDescent="0.5">
      <c r="D1519" s="3" t="s">
        <v>69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81</v>
      </c>
    </row>
    <row r="1522" spans="4:4" ht="17.649999999999999" x14ac:dyDescent="0.5">
      <c r="D1522" s="3" t="s">
        <v>62</v>
      </c>
    </row>
    <row r="1523" spans="4:4" ht="17.649999999999999" x14ac:dyDescent="0.5">
      <c r="D1523" s="3" t="s">
        <v>48</v>
      </c>
    </row>
    <row r="1524" spans="4:4" ht="17.649999999999999" x14ac:dyDescent="0.5">
      <c r="D1524" s="3" t="s">
        <v>83</v>
      </c>
    </row>
    <row r="1525" spans="4:4" ht="17.649999999999999" x14ac:dyDescent="0.5">
      <c r="D1525" s="3" t="s">
        <v>94</v>
      </c>
    </row>
    <row r="1526" spans="4:4" ht="17.649999999999999" x14ac:dyDescent="0.5">
      <c r="D1526" s="3" t="s">
        <v>99</v>
      </c>
    </row>
    <row r="1527" spans="4:4" ht="17.649999999999999" x14ac:dyDescent="0.5">
      <c r="D1527" s="3" t="s">
        <v>107</v>
      </c>
    </row>
    <row r="1528" spans="4:4" ht="17.649999999999999" x14ac:dyDescent="0.5">
      <c r="D1528" s="3" t="s">
        <v>47</v>
      </c>
    </row>
    <row r="1529" spans="4:4" ht="17.649999999999999" x14ac:dyDescent="0.5">
      <c r="D1529" s="3" t="s">
        <v>116</v>
      </c>
    </row>
    <row r="1530" spans="4:4" ht="17.649999999999999" x14ac:dyDescent="0.5">
      <c r="D1530" s="3" t="s">
        <v>55</v>
      </c>
    </row>
    <row r="1531" spans="4:4" ht="17.649999999999999" x14ac:dyDescent="0.5">
      <c r="D1531" s="3" t="s">
        <v>103</v>
      </c>
    </row>
    <row r="1532" spans="4:4" ht="17.649999999999999" x14ac:dyDescent="0.5">
      <c r="D1532" s="3" t="s">
        <v>46</v>
      </c>
    </row>
    <row r="1533" spans="4:4" ht="17.649999999999999" x14ac:dyDescent="0.5">
      <c r="D1533" s="3" t="s">
        <v>81</v>
      </c>
    </row>
    <row r="1534" spans="4:4" ht="17.649999999999999" x14ac:dyDescent="0.5">
      <c r="D1534" s="3" t="s">
        <v>131</v>
      </c>
    </row>
    <row r="1535" spans="4:4" ht="17.649999999999999" x14ac:dyDescent="0.5">
      <c r="D1535" s="3" t="s">
        <v>55</v>
      </c>
    </row>
    <row r="1536" spans="4:4" ht="17.649999999999999" x14ac:dyDescent="0.5">
      <c r="D1536" s="3" t="s">
        <v>85</v>
      </c>
    </row>
    <row r="1537" spans="4:4" ht="17.649999999999999" x14ac:dyDescent="0.5">
      <c r="D1537" s="3" t="s">
        <v>101</v>
      </c>
    </row>
    <row r="1538" spans="4:4" ht="17.649999999999999" x14ac:dyDescent="0.5">
      <c r="D1538" s="3" t="s">
        <v>124</v>
      </c>
    </row>
    <row r="1539" spans="4:4" ht="17.649999999999999" x14ac:dyDescent="0.5">
      <c r="D1539" s="3" t="s">
        <v>90</v>
      </c>
    </row>
    <row r="1540" spans="4:4" ht="17.649999999999999" x14ac:dyDescent="0.5">
      <c r="D1540" s="3" t="s">
        <v>44</v>
      </c>
    </row>
    <row r="1541" spans="4:4" ht="17.649999999999999" x14ac:dyDescent="0.5">
      <c r="D1541" s="3" t="s">
        <v>59</v>
      </c>
    </row>
    <row r="1542" spans="4:4" ht="17.649999999999999" x14ac:dyDescent="0.5">
      <c r="D1542" s="3" t="s">
        <v>112</v>
      </c>
    </row>
    <row r="1543" spans="4:4" ht="17.649999999999999" x14ac:dyDescent="0.5">
      <c r="D1543" s="3" t="s">
        <v>52</v>
      </c>
    </row>
    <row r="1544" spans="4:4" ht="17.649999999999999" x14ac:dyDescent="0.5">
      <c r="D1544" s="3" t="s">
        <v>133</v>
      </c>
    </row>
    <row r="1545" spans="4:4" ht="17.649999999999999" x14ac:dyDescent="0.5">
      <c r="D1545" s="3" t="s">
        <v>103</v>
      </c>
    </row>
    <row r="1546" spans="4:4" ht="17.649999999999999" x14ac:dyDescent="0.5">
      <c r="D1546" s="3" t="s">
        <v>121</v>
      </c>
    </row>
    <row r="1547" spans="4:4" ht="17.649999999999999" x14ac:dyDescent="0.5">
      <c r="D1547" s="3" t="s">
        <v>48</v>
      </c>
    </row>
    <row r="1548" spans="4:4" ht="17.649999999999999" x14ac:dyDescent="0.5">
      <c r="D1548" s="3" t="s">
        <v>128</v>
      </c>
    </row>
    <row r="1549" spans="4:4" ht="17.649999999999999" x14ac:dyDescent="0.5">
      <c r="D1549" s="3" t="s">
        <v>77</v>
      </c>
    </row>
    <row r="1550" spans="4:4" ht="17.649999999999999" x14ac:dyDescent="0.5">
      <c r="D1550" s="3" t="s">
        <v>53</v>
      </c>
    </row>
    <row r="1551" spans="4:4" ht="17.649999999999999" x14ac:dyDescent="0.5">
      <c r="D1551" s="3" t="s">
        <v>61</v>
      </c>
    </row>
    <row r="1552" spans="4:4" ht="17.649999999999999" x14ac:dyDescent="0.5">
      <c r="D1552" s="3" t="s">
        <v>98</v>
      </c>
    </row>
    <row r="1553" spans="4:4" ht="17.649999999999999" x14ac:dyDescent="0.5">
      <c r="D1553" s="3" t="s">
        <v>103</v>
      </c>
    </row>
    <row r="1554" spans="4:4" ht="17.649999999999999" x14ac:dyDescent="0.5">
      <c r="D1554" s="3" t="s">
        <v>79</v>
      </c>
    </row>
    <row r="1555" spans="4:4" ht="17.649999999999999" x14ac:dyDescent="0.5">
      <c r="D1555" s="3" t="s">
        <v>90</v>
      </c>
    </row>
    <row r="1556" spans="4:4" ht="17.649999999999999" x14ac:dyDescent="0.5">
      <c r="D1556" s="3" t="s">
        <v>64</v>
      </c>
    </row>
    <row r="1557" spans="4:4" ht="17.649999999999999" x14ac:dyDescent="0.5">
      <c r="D1557" s="3" t="s">
        <v>57</v>
      </c>
    </row>
    <row r="1558" spans="4:4" ht="17.649999999999999" x14ac:dyDescent="0.5">
      <c r="D1558" s="3" t="s">
        <v>76</v>
      </c>
    </row>
    <row r="1559" spans="4:4" ht="17.649999999999999" x14ac:dyDescent="0.5">
      <c r="D1559" s="3" t="s">
        <v>52</v>
      </c>
    </row>
    <row r="1560" spans="4:4" ht="17.649999999999999" x14ac:dyDescent="0.5">
      <c r="D1560" s="3" t="s">
        <v>63</v>
      </c>
    </row>
    <row r="1561" spans="4:4" ht="17.649999999999999" x14ac:dyDescent="0.5">
      <c r="D1561" s="3" t="s">
        <v>100</v>
      </c>
    </row>
    <row r="1562" spans="4:4" ht="17.649999999999999" x14ac:dyDescent="0.5">
      <c r="D1562" s="3" t="s">
        <v>67</v>
      </c>
    </row>
    <row r="1563" spans="4:4" ht="17.649999999999999" x14ac:dyDescent="0.5">
      <c r="D1563" s="3" t="s">
        <v>43</v>
      </c>
    </row>
    <row r="1564" spans="4:4" ht="17.649999999999999" x14ac:dyDescent="0.5">
      <c r="D1564" s="3" t="s">
        <v>68</v>
      </c>
    </row>
    <row r="1565" spans="4:4" ht="17.649999999999999" x14ac:dyDescent="0.5">
      <c r="D1565" s="3" t="s">
        <v>98</v>
      </c>
    </row>
    <row r="1566" spans="4:4" ht="17.649999999999999" x14ac:dyDescent="0.5">
      <c r="D1566" s="3" t="s">
        <v>47</v>
      </c>
    </row>
    <row r="1567" spans="4:4" ht="17.649999999999999" x14ac:dyDescent="0.5">
      <c r="D1567" s="3" t="s">
        <v>76</v>
      </c>
    </row>
    <row r="1568" spans="4:4" ht="17.649999999999999" x14ac:dyDescent="0.5">
      <c r="D1568" s="3" t="s">
        <v>49</v>
      </c>
    </row>
    <row r="1569" spans="4:4" ht="17.649999999999999" x14ac:dyDescent="0.5">
      <c r="D1569" s="3" t="s">
        <v>73</v>
      </c>
    </row>
    <row r="1570" spans="4:4" ht="17.649999999999999" x14ac:dyDescent="0.5">
      <c r="D1570" s="3" t="s">
        <v>84</v>
      </c>
    </row>
    <row r="1571" spans="4:4" ht="17.649999999999999" x14ac:dyDescent="0.5">
      <c r="D1571" s="3" t="s">
        <v>117</v>
      </c>
    </row>
    <row r="1572" spans="4:4" ht="17.649999999999999" x14ac:dyDescent="0.5">
      <c r="D1572" s="3" t="s">
        <v>87</v>
      </c>
    </row>
    <row r="1573" spans="4:4" ht="17.649999999999999" x14ac:dyDescent="0.5">
      <c r="D1573" s="3" t="s">
        <v>69</v>
      </c>
    </row>
    <row r="1574" spans="4:4" ht="17.649999999999999" x14ac:dyDescent="0.5">
      <c r="D1574" s="3" t="s">
        <v>86</v>
      </c>
    </row>
    <row r="1575" spans="4:4" ht="17.649999999999999" x14ac:dyDescent="0.5">
      <c r="D1575" s="3" t="s">
        <v>52</v>
      </c>
    </row>
    <row r="1576" spans="4:4" ht="17.649999999999999" x14ac:dyDescent="0.5">
      <c r="D1576" s="3" t="s">
        <v>101</v>
      </c>
    </row>
    <row r="1577" spans="4:4" ht="17.649999999999999" x14ac:dyDescent="0.5">
      <c r="D1577" s="3" t="s">
        <v>91</v>
      </c>
    </row>
    <row r="1578" spans="4:4" ht="17.649999999999999" x14ac:dyDescent="0.5">
      <c r="D1578" s="3" t="s">
        <v>101</v>
      </c>
    </row>
    <row r="1579" spans="4:4" ht="17.649999999999999" x14ac:dyDescent="0.5">
      <c r="D1579" s="3" t="s">
        <v>60</v>
      </c>
    </row>
    <row r="1580" spans="4:4" ht="17.649999999999999" x14ac:dyDescent="0.5">
      <c r="D1580" s="3" t="s">
        <v>128</v>
      </c>
    </row>
    <row r="1581" spans="4:4" ht="17.649999999999999" x14ac:dyDescent="0.5">
      <c r="D1581" s="3" t="s">
        <v>131</v>
      </c>
    </row>
    <row r="1582" spans="4:4" ht="17.649999999999999" x14ac:dyDescent="0.5">
      <c r="D1582" s="3" t="s">
        <v>68</v>
      </c>
    </row>
    <row r="1583" spans="4:4" ht="17.649999999999999" x14ac:dyDescent="0.5">
      <c r="D1583" s="3" t="s">
        <v>77</v>
      </c>
    </row>
    <row r="1584" spans="4:4" ht="17.649999999999999" x14ac:dyDescent="0.5">
      <c r="D1584" s="3" t="s">
        <v>59</v>
      </c>
    </row>
    <row r="1585" spans="4:4" ht="17.649999999999999" x14ac:dyDescent="0.5">
      <c r="D1585" s="3" t="s">
        <v>55</v>
      </c>
    </row>
    <row r="1586" spans="4:4" ht="17.649999999999999" x14ac:dyDescent="0.5">
      <c r="D1586" s="3" t="s">
        <v>117</v>
      </c>
    </row>
    <row r="1587" spans="4:4" ht="17.649999999999999" x14ac:dyDescent="0.5">
      <c r="D1587" s="3" t="s">
        <v>74</v>
      </c>
    </row>
    <row r="1588" spans="4:4" ht="17.649999999999999" x14ac:dyDescent="0.5">
      <c r="D1588" s="3" t="s">
        <v>85</v>
      </c>
    </row>
    <row r="1589" spans="4:4" ht="17.649999999999999" x14ac:dyDescent="0.5">
      <c r="D1589" s="3" t="s">
        <v>115</v>
      </c>
    </row>
    <row r="1590" spans="4:4" ht="17.649999999999999" x14ac:dyDescent="0.5">
      <c r="D1590" s="3" t="s">
        <v>69</v>
      </c>
    </row>
    <row r="1591" spans="4:4" ht="17.649999999999999" x14ac:dyDescent="0.5">
      <c r="D1591" s="3" t="s">
        <v>122</v>
      </c>
    </row>
    <row r="1592" spans="4:4" ht="17.649999999999999" x14ac:dyDescent="0.5">
      <c r="D1592" s="3" t="s">
        <v>50</v>
      </c>
    </row>
    <row r="1593" spans="4:4" ht="17.649999999999999" x14ac:dyDescent="0.5">
      <c r="D1593" s="3" t="s">
        <v>107</v>
      </c>
    </row>
    <row r="1594" spans="4:4" ht="17.649999999999999" x14ac:dyDescent="0.5">
      <c r="D1594" s="3" t="s">
        <v>61</v>
      </c>
    </row>
    <row r="1595" spans="4:4" ht="17.649999999999999" x14ac:dyDescent="0.5">
      <c r="D1595" s="3" t="s">
        <v>103</v>
      </c>
    </row>
    <row r="1596" spans="4:4" ht="17.649999999999999" x14ac:dyDescent="0.5">
      <c r="D1596" s="3" t="s">
        <v>52</v>
      </c>
    </row>
    <row r="1597" spans="4:4" ht="17.649999999999999" x14ac:dyDescent="0.5">
      <c r="D1597" s="3" t="s">
        <v>101</v>
      </c>
    </row>
    <row r="1598" spans="4:4" ht="17.649999999999999" x14ac:dyDescent="0.5">
      <c r="D1598" s="3" t="s">
        <v>96</v>
      </c>
    </row>
    <row r="1599" spans="4:4" ht="17.649999999999999" x14ac:dyDescent="0.5">
      <c r="D1599" s="3" t="s">
        <v>77</v>
      </c>
    </row>
    <row r="1600" spans="4:4" ht="17.649999999999999" x14ac:dyDescent="0.5">
      <c r="D1600" s="3" t="s">
        <v>87</v>
      </c>
    </row>
    <row r="1601" spans="4:4" ht="17.649999999999999" x14ac:dyDescent="0.5">
      <c r="D1601" s="3" t="s">
        <v>68</v>
      </c>
    </row>
    <row r="1602" spans="4:4" ht="17.649999999999999" x14ac:dyDescent="0.5">
      <c r="D1602" s="3" t="s">
        <v>63</v>
      </c>
    </row>
    <row r="1603" spans="4:4" ht="17.649999999999999" x14ac:dyDescent="0.5">
      <c r="D1603" s="3" t="s">
        <v>62</v>
      </c>
    </row>
    <row r="1604" spans="4:4" ht="17.649999999999999" x14ac:dyDescent="0.5">
      <c r="D1604" s="3" t="s">
        <v>74</v>
      </c>
    </row>
    <row r="1605" spans="4:4" ht="17.649999999999999" x14ac:dyDescent="0.5">
      <c r="D1605" s="3" t="s">
        <v>134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65</v>
      </c>
    </row>
    <row r="1608" spans="4:4" ht="17.649999999999999" x14ac:dyDescent="0.5">
      <c r="D1608" s="3" t="s">
        <v>49</v>
      </c>
    </row>
    <row r="1609" spans="4:4" ht="17.649999999999999" x14ac:dyDescent="0.5">
      <c r="D1609" s="3" t="s">
        <v>116</v>
      </c>
    </row>
    <row r="1610" spans="4:4" ht="17.649999999999999" x14ac:dyDescent="0.5">
      <c r="D1610" s="3" t="s">
        <v>92</v>
      </c>
    </row>
    <row r="1611" spans="4:4" ht="17.649999999999999" x14ac:dyDescent="0.5">
      <c r="D1611" s="3" t="s">
        <v>77</v>
      </c>
    </row>
    <row r="1612" spans="4:4" ht="17.649999999999999" x14ac:dyDescent="0.5">
      <c r="D1612" s="3" t="s">
        <v>68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52</v>
      </c>
    </row>
    <row r="1615" spans="4:4" ht="17.649999999999999" x14ac:dyDescent="0.5">
      <c r="D1615" s="3" t="s">
        <v>59</v>
      </c>
    </row>
    <row r="1616" spans="4:4" ht="17.649999999999999" x14ac:dyDescent="0.5">
      <c r="D1616" s="3" t="s">
        <v>67</v>
      </c>
    </row>
    <row r="1617" spans="4:4" ht="17.649999999999999" x14ac:dyDescent="0.5">
      <c r="D1617" s="3" t="s">
        <v>81</v>
      </c>
    </row>
    <row r="1618" spans="4:4" ht="17.649999999999999" x14ac:dyDescent="0.5">
      <c r="D1618" s="3" t="s">
        <v>83</v>
      </c>
    </row>
    <row r="1619" spans="4:4" ht="17.649999999999999" x14ac:dyDescent="0.5">
      <c r="D1619" s="3" t="s">
        <v>44</v>
      </c>
    </row>
    <row r="1620" spans="4:4" ht="17.649999999999999" x14ac:dyDescent="0.5">
      <c r="D1620" s="3" t="s">
        <v>47</v>
      </c>
    </row>
    <row r="1621" spans="4:4" ht="17.649999999999999" x14ac:dyDescent="0.5">
      <c r="D1621" s="3" t="s">
        <v>109</v>
      </c>
    </row>
    <row r="1622" spans="4:4" ht="17.649999999999999" x14ac:dyDescent="0.5">
      <c r="D1622" s="3" t="s">
        <v>112</v>
      </c>
    </row>
    <row r="1623" spans="4:4" ht="17.649999999999999" x14ac:dyDescent="0.5">
      <c r="D1623" s="3" t="s">
        <v>71</v>
      </c>
    </row>
    <row r="1624" spans="4:4" ht="17.649999999999999" x14ac:dyDescent="0.5">
      <c r="D1624" s="3" t="s">
        <v>112</v>
      </c>
    </row>
    <row r="1625" spans="4:4" ht="17.649999999999999" x14ac:dyDescent="0.5">
      <c r="D1625" s="3" t="s">
        <v>87</v>
      </c>
    </row>
    <row r="1626" spans="4:4" ht="17.649999999999999" x14ac:dyDescent="0.5">
      <c r="D1626" s="3" t="s">
        <v>61</v>
      </c>
    </row>
    <row r="1627" spans="4:4" ht="17.649999999999999" x14ac:dyDescent="0.5">
      <c r="D1627" s="3" t="s">
        <v>84</v>
      </c>
    </row>
    <row r="1628" spans="4:4" ht="17.649999999999999" x14ac:dyDescent="0.5">
      <c r="D1628" s="3" t="s">
        <v>70</v>
      </c>
    </row>
    <row r="1629" spans="4:4" ht="17.649999999999999" x14ac:dyDescent="0.5">
      <c r="D1629" s="3" t="s">
        <v>85</v>
      </c>
    </row>
    <row r="1630" spans="4:4" ht="17.649999999999999" x14ac:dyDescent="0.5">
      <c r="D1630" s="3" t="s">
        <v>76</v>
      </c>
    </row>
    <row r="1631" spans="4:4" ht="17.649999999999999" x14ac:dyDescent="0.5">
      <c r="D1631" s="3" t="s">
        <v>59</v>
      </c>
    </row>
    <row r="1632" spans="4:4" ht="17.649999999999999" x14ac:dyDescent="0.5">
      <c r="D1632" s="3" t="s">
        <v>110</v>
      </c>
    </row>
    <row r="1633" spans="4:4" ht="17.649999999999999" x14ac:dyDescent="0.5">
      <c r="D1633" s="3" t="s">
        <v>115</v>
      </c>
    </row>
    <row r="1634" spans="4:4" ht="17.649999999999999" x14ac:dyDescent="0.5">
      <c r="D1634" s="3" t="s">
        <v>61</v>
      </c>
    </row>
    <row r="1635" spans="4:4" ht="17.649999999999999" x14ac:dyDescent="0.5">
      <c r="D1635" s="3" t="s">
        <v>98</v>
      </c>
    </row>
    <row r="1636" spans="4:4" ht="17.649999999999999" x14ac:dyDescent="0.5">
      <c r="D1636" s="3" t="s">
        <v>115</v>
      </c>
    </row>
    <row r="1637" spans="4:4" ht="17.649999999999999" x14ac:dyDescent="0.5">
      <c r="D1637" s="3" t="s">
        <v>87</v>
      </c>
    </row>
    <row r="1638" spans="4:4" ht="17.649999999999999" x14ac:dyDescent="0.5">
      <c r="D1638" s="3" t="s">
        <v>66</v>
      </c>
    </row>
    <row r="1639" spans="4:4" ht="17.649999999999999" x14ac:dyDescent="0.5">
      <c r="D1639" s="3" t="s">
        <v>44</v>
      </c>
    </row>
    <row r="1640" spans="4:4" ht="17.649999999999999" x14ac:dyDescent="0.5">
      <c r="D1640" s="3" t="s">
        <v>90</v>
      </c>
    </row>
    <row r="1641" spans="4:4" ht="17.649999999999999" x14ac:dyDescent="0.5">
      <c r="D1641" s="3" t="s">
        <v>103</v>
      </c>
    </row>
    <row r="1642" spans="4:4" ht="17.649999999999999" x14ac:dyDescent="0.5">
      <c r="D1642" s="3" t="s">
        <v>117</v>
      </c>
    </row>
    <row r="1643" spans="4:4" ht="17.649999999999999" x14ac:dyDescent="0.5">
      <c r="D1643" s="3" t="s">
        <v>105</v>
      </c>
    </row>
    <row r="1644" spans="4:4" ht="17.649999999999999" x14ac:dyDescent="0.5">
      <c r="D1644" s="3" t="s">
        <v>75</v>
      </c>
    </row>
    <row r="1645" spans="4:4" ht="17.649999999999999" x14ac:dyDescent="0.5">
      <c r="D1645" s="3" t="s">
        <v>96</v>
      </c>
    </row>
    <row r="1646" spans="4:4" ht="17.649999999999999" x14ac:dyDescent="0.5">
      <c r="D1646" s="3" t="s">
        <v>57</v>
      </c>
    </row>
    <row r="1647" spans="4:4" ht="17.649999999999999" x14ac:dyDescent="0.5">
      <c r="D1647" s="3" t="s">
        <v>53</v>
      </c>
    </row>
    <row r="1648" spans="4:4" ht="17.649999999999999" x14ac:dyDescent="0.5">
      <c r="D1648" s="3" t="s">
        <v>49</v>
      </c>
    </row>
    <row r="1649" spans="4:4" ht="17.649999999999999" x14ac:dyDescent="0.5">
      <c r="D1649" s="3" t="s">
        <v>130</v>
      </c>
    </row>
    <row r="1650" spans="4:4" ht="17.649999999999999" x14ac:dyDescent="0.5">
      <c r="D1650" s="3" t="s">
        <v>44</v>
      </c>
    </row>
    <row r="1651" spans="4:4" ht="17.649999999999999" x14ac:dyDescent="0.5">
      <c r="D1651" s="3" t="s">
        <v>85</v>
      </c>
    </row>
    <row r="1652" spans="4:4" ht="17.649999999999999" x14ac:dyDescent="0.5">
      <c r="D1652" s="3" t="s">
        <v>61</v>
      </c>
    </row>
    <row r="1653" spans="4:4" ht="17.649999999999999" x14ac:dyDescent="0.5">
      <c r="D1653" s="3" t="s">
        <v>69</v>
      </c>
    </row>
    <row r="1654" spans="4:4" ht="17.649999999999999" x14ac:dyDescent="0.5">
      <c r="D1654" s="3" t="s">
        <v>49</v>
      </c>
    </row>
    <row r="1655" spans="4:4" ht="17.649999999999999" x14ac:dyDescent="0.5">
      <c r="D1655" s="3" t="s">
        <v>57</v>
      </c>
    </row>
    <row r="1656" spans="4:4" ht="17.649999999999999" x14ac:dyDescent="0.5">
      <c r="D1656" s="3" t="s">
        <v>68</v>
      </c>
    </row>
    <row r="1657" spans="4:4" ht="17.649999999999999" x14ac:dyDescent="0.5">
      <c r="D1657" s="3" t="s">
        <v>86</v>
      </c>
    </row>
    <row r="1658" spans="4:4" ht="17.649999999999999" x14ac:dyDescent="0.5">
      <c r="D1658" s="3" t="s">
        <v>73</v>
      </c>
    </row>
    <row r="1659" spans="4:4" ht="17.649999999999999" x14ac:dyDescent="0.5">
      <c r="D1659" s="3" t="s">
        <v>66</v>
      </c>
    </row>
    <row r="1660" spans="4:4" ht="17.649999999999999" x14ac:dyDescent="0.5">
      <c r="D1660" s="3" t="s">
        <v>92</v>
      </c>
    </row>
    <row r="1661" spans="4:4" ht="17.649999999999999" x14ac:dyDescent="0.5">
      <c r="D1661" s="3" t="s">
        <v>44</v>
      </c>
    </row>
    <row r="1662" spans="4:4" ht="17.649999999999999" x14ac:dyDescent="0.5">
      <c r="D1662" s="3" t="s">
        <v>85</v>
      </c>
    </row>
    <row r="1663" spans="4:4" ht="17.649999999999999" x14ac:dyDescent="0.5">
      <c r="D1663" s="3" t="s">
        <v>64</v>
      </c>
    </row>
    <row r="1664" spans="4:4" ht="17.649999999999999" x14ac:dyDescent="0.5">
      <c r="D1664" s="3" t="s">
        <v>55</v>
      </c>
    </row>
    <row r="1665" spans="4:4" ht="17.649999999999999" x14ac:dyDescent="0.5">
      <c r="D1665" s="3" t="s">
        <v>103</v>
      </c>
    </row>
    <row r="1666" spans="4:4" ht="17.649999999999999" x14ac:dyDescent="0.5">
      <c r="D1666" s="3" t="s">
        <v>117</v>
      </c>
    </row>
    <row r="1667" spans="4:4" ht="17.649999999999999" x14ac:dyDescent="0.5">
      <c r="D1667" s="3" t="s">
        <v>64</v>
      </c>
    </row>
    <row r="1668" spans="4:4" ht="17.649999999999999" x14ac:dyDescent="0.5">
      <c r="D1668" s="3" t="s">
        <v>101</v>
      </c>
    </row>
    <row r="1669" spans="4:4" ht="17.649999999999999" x14ac:dyDescent="0.5">
      <c r="D1669" s="3" t="s">
        <v>75</v>
      </c>
    </row>
    <row r="1670" spans="4:4" ht="17.649999999999999" x14ac:dyDescent="0.5">
      <c r="D1670" s="3" t="s">
        <v>59</v>
      </c>
    </row>
    <row r="1671" spans="4:4" ht="17.649999999999999" x14ac:dyDescent="0.5">
      <c r="D1671" s="3" t="s">
        <v>134</v>
      </c>
    </row>
    <row r="1672" spans="4:4" ht="17.649999999999999" x14ac:dyDescent="0.5">
      <c r="D1672" s="3" t="s">
        <v>46</v>
      </c>
    </row>
    <row r="1673" spans="4:4" ht="17.649999999999999" x14ac:dyDescent="0.5">
      <c r="D1673" s="3" t="s">
        <v>59</v>
      </c>
    </row>
    <row r="1674" spans="4:4" ht="17.649999999999999" x14ac:dyDescent="0.5">
      <c r="D1674" s="3" t="s">
        <v>88</v>
      </c>
    </row>
    <row r="1675" spans="4:4" ht="17.649999999999999" x14ac:dyDescent="0.5">
      <c r="D1675" s="3" t="s">
        <v>66</v>
      </c>
    </row>
    <row r="1676" spans="4:4" ht="17.649999999999999" x14ac:dyDescent="0.5">
      <c r="D1676" s="3" t="s">
        <v>57</v>
      </c>
    </row>
    <row r="1677" spans="4:4" ht="17.649999999999999" x14ac:dyDescent="0.5">
      <c r="D1677" s="3" t="s">
        <v>65</v>
      </c>
    </row>
    <row r="1678" spans="4:4" ht="17.649999999999999" x14ac:dyDescent="0.5">
      <c r="D1678" s="3" t="s">
        <v>84</v>
      </c>
    </row>
    <row r="1679" spans="4:4" ht="17.649999999999999" x14ac:dyDescent="0.5">
      <c r="D1679" s="3" t="s">
        <v>98</v>
      </c>
    </row>
    <row r="1680" spans="4:4" ht="17.649999999999999" x14ac:dyDescent="0.5">
      <c r="D1680" s="3" t="s">
        <v>112</v>
      </c>
    </row>
    <row r="1681" spans="4:4" ht="17.649999999999999" x14ac:dyDescent="0.5">
      <c r="D1681" s="3" t="s">
        <v>122</v>
      </c>
    </row>
    <row r="1682" spans="4:4" ht="17.649999999999999" x14ac:dyDescent="0.5">
      <c r="D1682" s="3" t="s">
        <v>105</v>
      </c>
    </row>
    <row r="1683" spans="4:4" ht="17.649999999999999" x14ac:dyDescent="0.5">
      <c r="D1683" s="3" t="s">
        <v>63</v>
      </c>
    </row>
    <row r="1684" spans="4:4" ht="17.649999999999999" x14ac:dyDescent="0.5">
      <c r="D1684" s="3" t="s">
        <v>132</v>
      </c>
    </row>
    <row r="1685" spans="4:4" ht="17.649999999999999" x14ac:dyDescent="0.5">
      <c r="D1685" s="3" t="s">
        <v>77</v>
      </c>
    </row>
    <row r="1686" spans="4:4" ht="17.649999999999999" x14ac:dyDescent="0.5">
      <c r="D1686" s="3" t="s">
        <v>61</v>
      </c>
    </row>
    <row r="1687" spans="4:4" ht="17.649999999999999" x14ac:dyDescent="0.5">
      <c r="D1687" s="3" t="s">
        <v>89</v>
      </c>
    </row>
    <row r="1688" spans="4:4" ht="17.649999999999999" x14ac:dyDescent="0.5">
      <c r="D1688" s="3" t="s">
        <v>48</v>
      </c>
    </row>
    <row r="1689" spans="4:4" ht="17.649999999999999" x14ac:dyDescent="0.5">
      <c r="D1689" s="3" t="s">
        <v>107</v>
      </c>
    </row>
    <row r="1690" spans="4:4" ht="17.649999999999999" x14ac:dyDescent="0.5">
      <c r="D1690" s="3" t="s">
        <v>90</v>
      </c>
    </row>
    <row r="1691" spans="4:4" ht="17.649999999999999" x14ac:dyDescent="0.5">
      <c r="D1691" s="3" t="s">
        <v>77</v>
      </c>
    </row>
    <row r="1692" spans="4:4" ht="17.649999999999999" x14ac:dyDescent="0.5">
      <c r="D1692" s="3" t="s">
        <v>63</v>
      </c>
    </row>
    <row r="1693" spans="4:4" ht="17.649999999999999" x14ac:dyDescent="0.5">
      <c r="D1693" s="3" t="s">
        <v>95</v>
      </c>
    </row>
    <row r="1694" spans="4:4" ht="17.649999999999999" x14ac:dyDescent="0.5">
      <c r="D1694" s="3" t="s">
        <v>66</v>
      </c>
    </row>
    <row r="1695" spans="4:4" ht="17.649999999999999" x14ac:dyDescent="0.5">
      <c r="D1695" s="3" t="s">
        <v>101</v>
      </c>
    </row>
    <row r="1696" spans="4:4" ht="17.649999999999999" x14ac:dyDescent="0.5">
      <c r="D1696" s="3" t="s">
        <v>55</v>
      </c>
    </row>
    <row r="1697" spans="4:4" ht="17.649999999999999" x14ac:dyDescent="0.5">
      <c r="D1697" s="3" t="s">
        <v>92</v>
      </c>
    </row>
    <row r="1698" spans="4:4" ht="17.649999999999999" x14ac:dyDescent="0.5">
      <c r="D1698" s="3" t="s">
        <v>47</v>
      </c>
    </row>
    <row r="1699" spans="4:4" ht="17.649999999999999" x14ac:dyDescent="0.5">
      <c r="D1699" s="3" t="s">
        <v>52</v>
      </c>
    </row>
    <row r="1700" spans="4:4" ht="17.649999999999999" x14ac:dyDescent="0.5">
      <c r="D1700" s="3" t="s">
        <v>68</v>
      </c>
    </row>
    <row r="1701" spans="4:4" ht="17.649999999999999" x14ac:dyDescent="0.5">
      <c r="D1701" s="3" t="s">
        <v>59</v>
      </c>
    </row>
    <row r="1702" spans="4:4" ht="17.649999999999999" x14ac:dyDescent="0.5">
      <c r="D1702" s="3" t="s">
        <v>135</v>
      </c>
    </row>
    <row r="1703" spans="4:4" ht="17.649999999999999" x14ac:dyDescent="0.5">
      <c r="D1703" s="3" t="s">
        <v>66</v>
      </c>
    </row>
    <row r="1704" spans="4:4" ht="17.649999999999999" x14ac:dyDescent="0.5">
      <c r="D1704" s="3" t="s">
        <v>50</v>
      </c>
    </row>
    <row r="1705" spans="4:4" ht="17.649999999999999" x14ac:dyDescent="0.5">
      <c r="D1705" s="3" t="s">
        <v>103</v>
      </c>
    </row>
    <row r="1706" spans="4:4" ht="17.649999999999999" x14ac:dyDescent="0.5">
      <c r="D1706" s="3" t="s">
        <v>73</v>
      </c>
    </row>
    <row r="1707" spans="4:4" ht="17.649999999999999" x14ac:dyDescent="0.5">
      <c r="D1707" s="3" t="s">
        <v>98</v>
      </c>
    </row>
    <row r="1708" spans="4:4" ht="17.649999999999999" x14ac:dyDescent="0.5">
      <c r="D1708" s="3" t="s">
        <v>118</v>
      </c>
    </row>
    <row r="1709" spans="4:4" ht="17.649999999999999" x14ac:dyDescent="0.5">
      <c r="D1709" s="3" t="s">
        <v>51</v>
      </c>
    </row>
    <row r="1710" spans="4:4" ht="17.649999999999999" x14ac:dyDescent="0.5">
      <c r="D1710" s="3" t="s">
        <v>61</v>
      </c>
    </row>
    <row r="1711" spans="4:4" ht="17.649999999999999" x14ac:dyDescent="0.5">
      <c r="D1711" s="3" t="s">
        <v>112</v>
      </c>
    </row>
    <row r="1712" spans="4:4" ht="17.649999999999999" x14ac:dyDescent="0.5">
      <c r="D1712" s="3" t="s">
        <v>42</v>
      </c>
    </row>
    <row r="1713" spans="4:4" ht="17.649999999999999" x14ac:dyDescent="0.5">
      <c r="D1713" s="3" t="s">
        <v>48</v>
      </c>
    </row>
    <row r="1714" spans="4:4" ht="17.649999999999999" x14ac:dyDescent="0.5">
      <c r="D1714" s="3" t="s">
        <v>54</v>
      </c>
    </row>
    <row r="1715" spans="4:4" ht="17.649999999999999" x14ac:dyDescent="0.5">
      <c r="D1715" s="3" t="s">
        <v>63</v>
      </c>
    </row>
    <row r="1716" spans="4:4" ht="17.649999999999999" x14ac:dyDescent="0.5">
      <c r="D1716" s="3" t="s">
        <v>103</v>
      </c>
    </row>
    <row r="1717" spans="4:4" ht="17.649999999999999" x14ac:dyDescent="0.5">
      <c r="D1717" s="3" t="s">
        <v>112</v>
      </c>
    </row>
    <row r="1718" spans="4:4" ht="17.649999999999999" x14ac:dyDescent="0.5">
      <c r="D1718" s="3" t="s">
        <v>59</v>
      </c>
    </row>
    <row r="1719" spans="4:4" ht="17.649999999999999" x14ac:dyDescent="0.5">
      <c r="D1719" s="3" t="s">
        <v>77</v>
      </c>
    </row>
    <row r="1720" spans="4:4" ht="17.649999999999999" x14ac:dyDescent="0.5">
      <c r="D1720" s="3" t="s">
        <v>86</v>
      </c>
    </row>
    <row r="1721" spans="4:4" ht="17.649999999999999" x14ac:dyDescent="0.5">
      <c r="D1721" s="3" t="s">
        <v>98</v>
      </c>
    </row>
    <row r="1722" spans="4:4" ht="17.649999999999999" x14ac:dyDescent="0.5">
      <c r="D1722" s="3" t="s">
        <v>52</v>
      </c>
    </row>
    <row r="1723" spans="4:4" ht="17.649999999999999" x14ac:dyDescent="0.5">
      <c r="D1723" s="3" t="s">
        <v>61</v>
      </c>
    </row>
    <row r="1724" spans="4:4" ht="17.649999999999999" x14ac:dyDescent="0.5">
      <c r="D1724" s="3" t="s">
        <v>84</v>
      </c>
    </row>
    <row r="1725" spans="4:4" ht="17.649999999999999" x14ac:dyDescent="0.5">
      <c r="D1725" s="3" t="s">
        <v>57</v>
      </c>
    </row>
    <row r="1726" spans="4:4" ht="17.649999999999999" x14ac:dyDescent="0.5">
      <c r="D1726" s="3" t="s">
        <v>104</v>
      </c>
    </row>
    <row r="1727" spans="4:4" ht="17.649999999999999" x14ac:dyDescent="0.5">
      <c r="D1727" s="3" t="s">
        <v>46</v>
      </c>
    </row>
    <row r="1728" spans="4:4" ht="17.649999999999999" x14ac:dyDescent="0.5">
      <c r="D1728" s="3" t="s">
        <v>51</v>
      </c>
    </row>
    <row r="1729" spans="4:4" ht="17.649999999999999" x14ac:dyDescent="0.5">
      <c r="D1729" s="3" t="s">
        <v>92</v>
      </c>
    </row>
    <row r="1730" spans="4:4" ht="17.649999999999999" x14ac:dyDescent="0.5">
      <c r="D1730" s="3" t="s">
        <v>66</v>
      </c>
    </row>
    <row r="1731" spans="4:4" ht="17.649999999999999" x14ac:dyDescent="0.5">
      <c r="D1731" s="3" t="s">
        <v>74</v>
      </c>
    </row>
    <row r="1732" spans="4:4" ht="17.649999999999999" x14ac:dyDescent="0.5">
      <c r="D1732" s="3" t="s">
        <v>67</v>
      </c>
    </row>
    <row r="1733" spans="4:4" ht="17.649999999999999" x14ac:dyDescent="0.5">
      <c r="D1733" s="3" t="s">
        <v>49</v>
      </c>
    </row>
    <row r="1734" spans="4:4" ht="17.649999999999999" x14ac:dyDescent="0.5">
      <c r="D1734" s="3" t="s">
        <v>112</v>
      </c>
    </row>
    <row r="1735" spans="4:4" ht="17.649999999999999" x14ac:dyDescent="0.5">
      <c r="D1735" s="3" t="s">
        <v>126</v>
      </c>
    </row>
    <row r="1736" spans="4:4" ht="17.649999999999999" x14ac:dyDescent="0.5">
      <c r="D1736" s="3" t="s">
        <v>47</v>
      </c>
    </row>
    <row r="1737" spans="4:4" ht="17.649999999999999" x14ac:dyDescent="0.5">
      <c r="D1737" s="3" t="s">
        <v>72</v>
      </c>
    </row>
    <row r="1738" spans="4:4" ht="17.649999999999999" x14ac:dyDescent="0.5">
      <c r="D1738" s="3" t="s">
        <v>90</v>
      </c>
    </row>
    <row r="1739" spans="4:4" ht="17.649999999999999" x14ac:dyDescent="0.5">
      <c r="D1739" s="3" t="s">
        <v>43</v>
      </c>
    </row>
    <row r="1740" spans="4:4" ht="17.649999999999999" x14ac:dyDescent="0.5">
      <c r="D1740" s="3" t="s">
        <v>73</v>
      </c>
    </row>
    <row r="1741" spans="4:4" ht="17.649999999999999" x14ac:dyDescent="0.5">
      <c r="D1741" s="3" t="s">
        <v>54</v>
      </c>
    </row>
    <row r="1742" spans="4:4" ht="17.649999999999999" x14ac:dyDescent="0.5">
      <c r="D1742" s="3" t="s">
        <v>117</v>
      </c>
    </row>
    <row r="1743" spans="4:4" ht="17.649999999999999" x14ac:dyDescent="0.5">
      <c r="D1743" s="3" t="s">
        <v>52</v>
      </c>
    </row>
    <row r="1744" spans="4:4" ht="17.649999999999999" x14ac:dyDescent="0.5">
      <c r="D1744" s="3" t="s">
        <v>74</v>
      </c>
    </row>
    <row r="1745" spans="4:4" ht="17.649999999999999" x14ac:dyDescent="0.5">
      <c r="D1745" s="3" t="s">
        <v>76</v>
      </c>
    </row>
    <row r="1746" spans="4:4" ht="17.649999999999999" x14ac:dyDescent="0.5">
      <c r="D1746" s="3" t="s">
        <v>44</v>
      </c>
    </row>
    <row r="1747" spans="4:4" ht="17.649999999999999" x14ac:dyDescent="0.5">
      <c r="D1747" s="3" t="s">
        <v>107</v>
      </c>
    </row>
    <row r="1748" spans="4:4" ht="17.649999999999999" x14ac:dyDescent="0.5">
      <c r="D1748" s="3" t="s">
        <v>51</v>
      </c>
    </row>
    <row r="1749" spans="4:4" ht="17.649999999999999" x14ac:dyDescent="0.5">
      <c r="D1749" s="3" t="s">
        <v>97</v>
      </c>
    </row>
    <row r="1750" spans="4:4" ht="17.649999999999999" x14ac:dyDescent="0.5">
      <c r="D1750" s="3" t="s">
        <v>57</v>
      </c>
    </row>
    <row r="1751" spans="4:4" ht="17.649999999999999" x14ac:dyDescent="0.5">
      <c r="D1751" s="3" t="s">
        <v>78</v>
      </c>
    </row>
    <row r="1752" spans="4:4" ht="17.649999999999999" x14ac:dyDescent="0.5">
      <c r="D1752" s="3" t="s">
        <v>117</v>
      </c>
    </row>
    <row r="1753" spans="4:4" ht="17.649999999999999" x14ac:dyDescent="0.5">
      <c r="D1753" s="3" t="s">
        <v>129</v>
      </c>
    </row>
    <row r="1754" spans="4:4" ht="17.649999999999999" x14ac:dyDescent="0.5">
      <c r="D1754" s="3" t="s">
        <v>59</v>
      </c>
    </row>
    <row r="1755" spans="4:4" ht="17.649999999999999" x14ac:dyDescent="0.5">
      <c r="D1755" s="3" t="s">
        <v>102</v>
      </c>
    </row>
    <row r="1756" spans="4:4" ht="17.649999999999999" x14ac:dyDescent="0.5">
      <c r="D1756" s="3" t="s">
        <v>66</v>
      </c>
    </row>
    <row r="1757" spans="4:4" ht="17.649999999999999" x14ac:dyDescent="0.5">
      <c r="D1757" s="3" t="s">
        <v>50</v>
      </c>
    </row>
    <row r="1758" spans="4:4" ht="17.649999999999999" x14ac:dyDescent="0.5">
      <c r="D1758" s="3" t="s">
        <v>105</v>
      </c>
    </row>
    <row r="1759" spans="4:4" ht="17.649999999999999" x14ac:dyDescent="0.5">
      <c r="D1759" s="3" t="s">
        <v>67</v>
      </c>
    </row>
    <row r="1760" spans="4:4" ht="17.649999999999999" x14ac:dyDescent="0.5">
      <c r="D1760" s="3" t="s">
        <v>77</v>
      </c>
    </row>
    <row r="1761" spans="4:4" ht="17.649999999999999" x14ac:dyDescent="0.5">
      <c r="D1761" s="3" t="s">
        <v>72</v>
      </c>
    </row>
    <row r="1762" spans="4:4" ht="17.649999999999999" x14ac:dyDescent="0.5">
      <c r="D1762" s="3" t="s">
        <v>87</v>
      </c>
    </row>
    <row r="1763" spans="4:4" ht="17.649999999999999" x14ac:dyDescent="0.5">
      <c r="D1763" s="3" t="s">
        <v>78</v>
      </c>
    </row>
    <row r="1764" spans="4:4" ht="17.649999999999999" x14ac:dyDescent="0.5">
      <c r="D1764" s="3" t="s">
        <v>44</v>
      </c>
    </row>
    <row r="1765" spans="4:4" ht="17.649999999999999" x14ac:dyDescent="0.5">
      <c r="D1765" s="3" t="s">
        <v>66</v>
      </c>
    </row>
    <row r="1766" spans="4:4" ht="17.649999999999999" x14ac:dyDescent="0.5">
      <c r="D1766" s="3" t="s">
        <v>105</v>
      </c>
    </row>
    <row r="1767" spans="4:4" ht="17.649999999999999" x14ac:dyDescent="0.5">
      <c r="D1767" s="3" t="s">
        <v>48</v>
      </c>
    </row>
    <row r="1768" spans="4:4" ht="17.649999999999999" x14ac:dyDescent="0.5">
      <c r="D1768" s="3" t="s">
        <v>56</v>
      </c>
    </row>
    <row r="1769" spans="4:4" ht="17.649999999999999" x14ac:dyDescent="0.5">
      <c r="D1769" s="3" t="s">
        <v>84</v>
      </c>
    </row>
    <row r="1770" spans="4:4" ht="17.649999999999999" x14ac:dyDescent="0.5">
      <c r="D1770" s="3" t="s">
        <v>101</v>
      </c>
    </row>
    <row r="1771" spans="4:4" ht="17.649999999999999" x14ac:dyDescent="0.5">
      <c r="D1771" s="3" t="s">
        <v>122</v>
      </c>
    </row>
    <row r="1772" spans="4:4" ht="17.649999999999999" x14ac:dyDescent="0.5">
      <c r="D1772" s="3" t="s">
        <v>49</v>
      </c>
    </row>
    <row r="1773" spans="4:4" ht="17.649999999999999" x14ac:dyDescent="0.5">
      <c r="D1773" s="3" t="s">
        <v>113</v>
      </c>
    </row>
    <row r="1774" spans="4:4" ht="17.649999999999999" x14ac:dyDescent="0.5">
      <c r="D1774" s="3" t="s">
        <v>124</v>
      </c>
    </row>
    <row r="1775" spans="4:4" ht="17.649999999999999" x14ac:dyDescent="0.5">
      <c r="D1775" s="3" t="s">
        <v>74</v>
      </c>
    </row>
    <row r="1776" spans="4:4" ht="17.649999999999999" x14ac:dyDescent="0.5">
      <c r="D1776" s="3" t="s">
        <v>41</v>
      </c>
    </row>
    <row r="1777" spans="4:4" ht="17.649999999999999" x14ac:dyDescent="0.5">
      <c r="D1777" s="3" t="s">
        <v>67</v>
      </c>
    </row>
    <row r="1778" spans="4:4" ht="17.649999999999999" x14ac:dyDescent="0.5">
      <c r="D1778" s="3" t="s">
        <v>82</v>
      </c>
    </row>
    <row r="1779" spans="4:4" ht="17.649999999999999" x14ac:dyDescent="0.5">
      <c r="D1779" s="3" t="s">
        <v>71</v>
      </c>
    </row>
    <row r="1780" spans="4:4" ht="17.649999999999999" x14ac:dyDescent="0.5">
      <c r="D1780" s="3" t="s">
        <v>73</v>
      </c>
    </row>
    <row r="1781" spans="4:4" ht="17.649999999999999" x14ac:dyDescent="0.5">
      <c r="D1781" s="3" t="s">
        <v>65</v>
      </c>
    </row>
    <row r="1782" spans="4:4" ht="17.649999999999999" x14ac:dyDescent="0.5">
      <c r="D1782" s="3" t="s">
        <v>66</v>
      </c>
    </row>
    <row r="1783" spans="4:4" ht="17.649999999999999" x14ac:dyDescent="0.5">
      <c r="D1783" s="3" t="s">
        <v>69</v>
      </c>
    </row>
    <row r="1784" spans="4:4" ht="17.649999999999999" x14ac:dyDescent="0.5">
      <c r="D1784" s="3" t="s">
        <v>96</v>
      </c>
    </row>
    <row r="1785" spans="4:4" ht="17.649999999999999" x14ac:dyDescent="0.5">
      <c r="D1785" s="3" t="s">
        <v>91</v>
      </c>
    </row>
    <row r="1786" spans="4:4" ht="17.649999999999999" x14ac:dyDescent="0.5">
      <c r="D1786" s="3" t="s">
        <v>91</v>
      </c>
    </row>
    <row r="1787" spans="4:4" ht="17.649999999999999" x14ac:dyDescent="0.5">
      <c r="D1787" s="3" t="s">
        <v>57</v>
      </c>
    </row>
    <row r="1788" spans="4:4" ht="17.649999999999999" x14ac:dyDescent="0.5">
      <c r="D1788" s="3" t="s">
        <v>114</v>
      </c>
    </row>
    <row r="1789" spans="4:4" ht="17.649999999999999" x14ac:dyDescent="0.5">
      <c r="D1789" s="3" t="s">
        <v>46</v>
      </c>
    </row>
    <row r="1790" spans="4:4" ht="17.649999999999999" x14ac:dyDescent="0.5">
      <c r="D1790" s="3" t="s">
        <v>112</v>
      </c>
    </row>
    <row r="1791" spans="4:4" ht="17.649999999999999" x14ac:dyDescent="0.5">
      <c r="D1791" s="3" t="s">
        <v>47</v>
      </c>
    </row>
    <row r="1792" spans="4:4" ht="17.649999999999999" x14ac:dyDescent="0.5">
      <c r="D1792" s="3" t="s">
        <v>68</v>
      </c>
    </row>
    <row r="1793" spans="4:4" ht="17.649999999999999" x14ac:dyDescent="0.5">
      <c r="D1793" s="3" t="s">
        <v>75</v>
      </c>
    </row>
    <row r="1794" spans="4:4" ht="17.649999999999999" x14ac:dyDescent="0.5">
      <c r="D1794" s="3" t="s">
        <v>48</v>
      </c>
    </row>
    <row r="1795" spans="4:4" ht="17.649999999999999" x14ac:dyDescent="0.5">
      <c r="D1795" s="3" t="s">
        <v>50</v>
      </c>
    </row>
    <row r="1796" spans="4:4" ht="17.649999999999999" x14ac:dyDescent="0.5">
      <c r="D1796" s="3" t="s">
        <v>125</v>
      </c>
    </row>
    <row r="1797" spans="4:4" ht="17.649999999999999" x14ac:dyDescent="0.5">
      <c r="D1797" s="3" t="s">
        <v>103</v>
      </c>
    </row>
    <row r="1798" spans="4:4" ht="17.649999999999999" x14ac:dyDescent="0.5">
      <c r="D1798" s="3" t="s">
        <v>119</v>
      </c>
    </row>
    <row r="1799" spans="4:4" ht="17.649999999999999" x14ac:dyDescent="0.5">
      <c r="D1799" s="3" t="s">
        <v>108</v>
      </c>
    </row>
    <row r="1800" spans="4:4" ht="17.649999999999999" x14ac:dyDescent="0.5">
      <c r="D1800" s="3" t="s">
        <v>77</v>
      </c>
    </row>
    <row r="1801" spans="4:4" ht="17.649999999999999" x14ac:dyDescent="0.5">
      <c r="D1801" s="3" t="s">
        <v>41</v>
      </c>
    </row>
    <row r="1802" spans="4:4" ht="17.649999999999999" x14ac:dyDescent="0.5">
      <c r="D1802" s="3" t="s">
        <v>98</v>
      </c>
    </row>
    <row r="1803" spans="4:4" ht="17.649999999999999" x14ac:dyDescent="0.5">
      <c r="D1803" s="3" t="s">
        <v>100</v>
      </c>
    </row>
    <row r="1804" spans="4:4" ht="17.649999999999999" x14ac:dyDescent="0.5">
      <c r="D1804" s="3" t="s">
        <v>94</v>
      </c>
    </row>
    <row r="1805" spans="4:4" ht="17.649999999999999" x14ac:dyDescent="0.5">
      <c r="D1805" s="3" t="s">
        <v>111</v>
      </c>
    </row>
    <row r="1806" spans="4:4" ht="17.649999999999999" x14ac:dyDescent="0.5">
      <c r="D1806" s="3" t="s">
        <v>90</v>
      </c>
    </row>
    <row r="1807" spans="4:4" ht="17.649999999999999" x14ac:dyDescent="0.5">
      <c r="D1807" s="3" t="s">
        <v>101</v>
      </c>
    </row>
    <row r="1808" spans="4:4" ht="17.649999999999999" x14ac:dyDescent="0.5">
      <c r="D1808" s="3" t="s">
        <v>77</v>
      </c>
    </row>
    <row r="1809" spans="4:4" ht="17.649999999999999" x14ac:dyDescent="0.5">
      <c r="D1809" s="3" t="s">
        <v>78</v>
      </c>
    </row>
    <row r="1810" spans="4:4" ht="17.649999999999999" x14ac:dyDescent="0.5">
      <c r="D1810" s="3" t="s">
        <v>84</v>
      </c>
    </row>
    <row r="1811" spans="4:4" ht="17.649999999999999" x14ac:dyDescent="0.5">
      <c r="D1811" s="3" t="s">
        <v>85</v>
      </c>
    </row>
    <row r="1812" spans="4:4" ht="17.649999999999999" x14ac:dyDescent="0.5">
      <c r="D1812" s="3" t="s">
        <v>61</v>
      </c>
    </row>
    <row r="1813" spans="4:4" ht="17.649999999999999" x14ac:dyDescent="0.5">
      <c r="D1813" s="3" t="s">
        <v>43</v>
      </c>
    </row>
    <row r="1814" spans="4:4" ht="17.649999999999999" x14ac:dyDescent="0.5">
      <c r="D1814" s="3" t="s">
        <v>43</v>
      </c>
    </row>
    <row r="1815" spans="4:4" ht="17.649999999999999" x14ac:dyDescent="0.5">
      <c r="D1815" s="3" t="s">
        <v>115</v>
      </c>
    </row>
    <row r="1816" spans="4:4" ht="17.649999999999999" x14ac:dyDescent="0.5">
      <c r="D1816" s="3" t="s">
        <v>45</v>
      </c>
    </row>
    <row r="1817" spans="4:4" ht="17.649999999999999" x14ac:dyDescent="0.5">
      <c r="D1817" s="3" t="s">
        <v>64</v>
      </c>
    </row>
    <row r="1818" spans="4:4" ht="17.649999999999999" x14ac:dyDescent="0.5">
      <c r="D1818" s="3" t="s">
        <v>108</v>
      </c>
    </row>
    <row r="1819" spans="4:4" ht="17.649999999999999" x14ac:dyDescent="0.5">
      <c r="D1819" s="3" t="s">
        <v>103</v>
      </c>
    </row>
    <row r="1820" spans="4:4" ht="17.649999999999999" x14ac:dyDescent="0.5">
      <c r="D1820" s="3" t="s">
        <v>55</v>
      </c>
    </row>
    <row r="1821" spans="4:4" ht="17.649999999999999" x14ac:dyDescent="0.5">
      <c r="D1821" s="3" t="s">
        <v>76</v>
      </c>
    </row>
    <row r="1822" spans="4:4" ht="17.649999999999999" x14ac:dyDescent="0.5">
      <c r="D1822" s="3" t="s">
        <v>94</v>
      </c>
    </row>
    <row r="1823" spans="4:4" ht="17.649999999999999" x14ac:dyDescent="0.5">
      <c r="D1823" s="3" t="s">
        <v>49</v>
      </c>
    </row>
    <row r="1824" spans="4:4" ht="17.649999999999999" x14ac:dyDescent="0.5">
      <c r="D1824" s="3" t="s">
        <v>65</v>
      </c>
    </row>
    <row r="1825" spans="4:4" ht="17.649999999999999" x14ac:dyDescent="0.5">
      <c r="D1825" s="3" t="s">
        <v>103</v>
      </c>
    </row>
    <row r="1826" spans="4:4" ht="17.649999999999999" x14ac:dyDescent="0.5">
      <c r="D1826" s="3" t="s">
        <v>64</v>
      </c>
    </row>
    <row r="1827" spans="4:4" ht="17.649999999999999" x14ac:dyDescent="0.5">
      <c r="D1827" s="3" t="s">
        <v>46</v>
      </c>
    </row>
    <row r="1828" spans="4:4" ht="17.649999999999999" x14ac:dyDescent="0.5">
      <c r="D1828" s="3" t="s">
        <v>53</v>
      </c>
    </row>
    <row r="1829" spans="4:4" ht="17.649999999999999" x14ac:dyDescent="0.5">
      <c r="D1829" s="3" t="s">
        <v>99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81</v>
      </c>
    </row>
    <row r="1832" spans="4:4" ht="17.649999999999999" x14ac:dyDescent="0.5">
      <c r="D1832" s="3" t="s">
        <v>63</v>
      </c>
    </row>
    <row r="1833" spans="4:4" ht="17.649999999999999" x14ac:dyDescent="0.5">
      <c r="D1833" s="3" t="s">
        <v>84</v>
      </c>
    </row>
    <row r="1834" spans="4:4" ht="17.649999999999999" x14ac:dyDescent="0.5">
      <c r="D1834" s="3" t="s">
        <v>105</v>
      </c>
    </row>
    <row r="1835" spans="4:4" ht="17.649999999999999" x14ac:dyDescent="0.5">
      <c r="D1835" s="3" t="s">
        <v>101</v>
      </c>
    </row>
    <row r="1836" spans="4:4" ht="17.649999999999999" x14ac:dyDescent="0.5">
      <c r="D1836" s="3" t="s">
        <v>133</v>
      </c>
    </row>
    <row r="1837" spans="4:4" ht="17.649999999999999" x14ac:dyDescent="0.5">
      <c r="D1837" s="3" t="s">
        <v>63</v>
      </c>
    </row>
    <row r="1838" spans="4:4" ht="17.649999999999999" x14ac:dyDescent="0.5">
      <c r="D1838" s="3" t="s">
        <v>92</v>
      </c>
    </row>
    <row r="1839" spans="4:4" ht="17.649999999999999" x14ac:dyDescent="0.5">
      <c r="D1839" s="3" t="s">
        <v>42</v>
      </c>
    </row>
    <row r="1840" spans="4:4" ht="17.649999999999999" x14ac:dyDescent="0.5">
      <c r="D1840" s="3" t="s">
        <v>43</v>
      </c>
    </row>
    <row r="1841" spans="4:4" ht="17.649999999999999" x14ac:dyDescent="0.5">
      <c r="D1841" s="3" t="s">
        <v>100</v>
      </c>
    </row>
    <row r="1842" spans="4:4" ht="17.649999999999999" x14ac:dyDescent="0.5">
      <c r="D1842" s="3" t="s">
        <v>101</v>
      </c>
    </row>
    <row r="1843" spans="4:4" ht="17.649999999999999" x14ac:dyDescent="0.5">
      <c r="D1843" s="3" t="s">
        <v>120</v>
      </c>
    </row>
    <row r="1844" spans="4:4" ht="17.649999999999999" x14ac:dyDescent="0.5">
      <c r="D1844" s="3" t="s">
        <v>78</v>
      </c>
    </row>
    <row r="1845" spans="4:4" ht="17.649999999999999" x14ac:dyDescent="0.5">
      <c r="D1845" s="3" t="s">
        <v>80</v>
      </c>
    </row>
    <row r="1846" spans="4:4" ht="17.649999999999999" x14ac:dyDescent="0.5">
      <c r="D1846" s="3" t="s">
        <v>55</v>
      </c>
    </row>
    <row r="1847" spans="4:4" ht="17.649999999999999" x14ac:dyDescent="0.5">
      <c r="D1847" s="3" t="s">
        <v>57</v>
      </c>
    </row>
    <row r="1848" spans="4:4" ht="17.649999999999999" x14ac:dyDescent="0.5">
      <c r="D1848" s="3" t="s">
        <v>97</v>
      </c>
    </row>
    <row r="1849" spans="4:4" ht="17.649999999999999" x14ac:dyDescent="0.5">
      <c r="D1849" s="3" t="s">
        <v>55</v>
      </c>
    </row>
    <row r="1850" spans="4:4" ht="17.649999999999999" x14ac:dyDescent="0.5">
      <c r="D1850" s="3" t="s">
        <v>47</v>
      </c>
    </row>
    <row r="1851" spans="4:4" ht="17.649999999999999" x14ac:dyDescent="0.5">
      <c r="D1851" s="3" t="s">
        <v>115</v>
      </c>
    </row>
    <row r="1852" spans="4:4" ht="17.649999999999999" x14ac:dyDescent="0.5">
      <c r="D1852" s="3" t="s">
        <v>63</v>
      </c>
    </row>
    <row r="1853" spans="4:4" ht="17.649999999999999" x14ac:dyDescent="0.5">
      <c r="D1853" s="3" t="s">
        <v>77</v>
      </c>
    </row>
    <row r="1854" spans="4:4" ht="17.649999999999999" x14ac:dyDescent="0.5">
      <c r="D1854" s="3" t="s">
        <v>98</v>
      </c>
    </row>
    <row r="1855" spans="4:4" ht="17.649999999999999" x14ac:dyDescent="0.5">
      <c r="D1855" s="3" t="s">
        <v>113</v>
      </c>
    </row>
    <row r="1856" spans="4:4" ht="17.649999999999999" x14ac:dyDescent="0.5">
      <c r="D1856" s="3" t="s">
        <v>64</v>
      </c>
    </row>
    <row r="1857" spans="4:4" ht="17.649999999999999" x14ac:dyDescent="0.5">
      <c r="D1857" s="3" t="s">
        <v>41</v>
      </c>
    </row>
    <row r="1858" spans="4:4" ht="17.649999999999999" x14ac:dyDescent="0.5">
      <c r="D1858" s="3" t="s">
        <v>47</v>
      </c>
    </row>
    <row r="1859" spans="4:4" ht="17.649999999999999" x14ac:dyDescent="0.5">
      <c r="D1859" s="3" t="s">
        <v>65</v>
      </c>
    </row>
    <row r="1860" spans="4:4" ht="17.649999999999999" x14ac:dyDescent="0.5">
      <c r="D1860" s="3" t="s">
        <v>56</v>
      </c>
    </row>
    <row r="1861" spans="4:4" ht="17.649999999999999" x14ac:dyDescent="0.5">
      <c r="D1861" s="3" t="s">
        <v>63</v>
      </c>
    </row>
    <row r="1862" spans="4:4" ht="17.649999999999999" x14ac:dyDescent="0.5">
      <c r="D1862" s="3" t="s">
        <v>55</v>
      </c>
    </row>
    <row r="1863" spans="4:4" ht="17.649999999999999" x14ac:dyDescent="0.5">
      <c r="D1863" s="3" t="s">
        <v>107</v>
      </c>
    </row>
    <row r="1864" spans="4:4" ht="17.649999999999999" x14ac:dyDescent="0.5">
      <c r="D1864" s="3" t="s">
        <v>105</v>
      </c>
    </row>
    <row r="1865" spans="4:4" ht="17.649999999999999" x14ac:dyDescent="0.5">
      <c r="D1865" s="3" t="s">
        <v>43</v>
      </c>
    </row>
    <row r="1866" spans="4:4" ht="17.649999999999999" x14ac:dyDescent="0.5">
      <c r="D1866" s="3" t="s">
        <v>88</v>
      </c>
    </row>
    <row r="1867" spans="4:4" ht="17.649999999999999" x14ac:dyDescent="0.5">
      <c r="D1867" s="3" t="s">
        <v>104</v>
      </c>
    </row>
    <row r="1868" spans="4:4" ht="17.649999999999999" x14ac:dyDescent="0.5">
      <c r="D1868" s="3" t="s">
        <v>46</v>
      </c>
    </row>
    <row r="1869" spans="4:4" ht="17.649999999999999" x14ac:dyDescent="0.5">
      <c r="D1869" s="3" t="s">
        <v>74</v>
      </c>
    </row>
    <row r="1870" spans="4:4" ht="17.649999999999999" x14ac:dyDescent="0.5">
      <c r="D1870" s="3" t="s">
        <v>73</v>
      </c>
    </row>
    <row r="1871" spans="4:4" ht="17.649999999999999" x14ac:dyDescent="0.5">
      <c r="D1871" s="3" t="s">
        <v>75</v>
      </c>
    </row>
    <row r="1872" spans="4:4" ht="17.649999999999999" x14ac:dyDescent="0.5">
      <c r="D1872" s="3" t="s">
        <v>54</v>
      </c>
    </row>
    <row r="1873" spans="4:4" ht="17.649999999999999" x14ac:dyDescent="0.5">
      <c r="D1873" s="3" t="s">
        <v>41</v>
      </c>
    </row>
    <row r="1874" spans="4:4" ht="17.649999999999999" x14ac:dyDescent="0.5">
      <c r="D1874" s="3" t="s">
        <v>46</v>
      </c>
    </row>
    <row r="1875" spans="4:4" ht="17.649999999999999" x14ac:dyDescent="0.5">
      <c r="D1875" s="3" t="s">
        <v>64</v>
      </c>
    </row>
    <row r="1876" spans="4:4" ht="17.649999999999999" x14ac:dyDescent="0.5">
      <c r="D1876" s="3" t="s">
        <v>112</v>
      </c>
    </row>
    <row r="1877" spans="4:4" ht="17.649999999999999" x14ac:dyDescent="0.5">
      <c r="D1877" s="3" t="s">
        <v>85</v>
      </c>
    </row>
    <row r="1878" spans="4:4" ht="17.649999999999999" x14ac:dyDescent="0.5">
      <c r="D1878" s="3" t="s">
        <v>90</v>
      </c>
    </row>
    <row r="1879" spans="4:4" ht="17.649999999999999" x14ac:dyDescent="0.5">
      <c r="D1879" s="3" t="s">
        <v>80</v>
      </c>
    </row>
    <row r="1880" spans="4:4" ht="17.649999999999999" x14ac:dyDescent="0.5">
      <c r="D1880" s="3" t="s">
        <v>69</v>
      </c>
    </row>
    <row r="1881" spans="4:4" ht="17.649999999999999" x14ac:dyDescent="0.5">
      <c r="D1881" s="3" t="s">
        <v>49</v>
      </c>
    </row>
    <row r="1882" spans="4:4" ht="17.649999999999999" x14ac:dyDescent="0.5">
      <c r="D1882" s="3" t="s">
        <v>78</v>
      </c>
    </row>
    <row r="1883" spans="4:4" ht="17.649999999999999" x14ac:dyDescent="0.5">
      <c r="D1883" s="3" t="s">
        <v>41</v>
      </c>
    </row>
    <row r="1884" spans="4:4" ht="17.649999999999999" x14ac:dyDescent="0.5">
      <c r="D1884" s="3" t="s">
        <v>46</v>
      </c>
    </row>
    <row r="1885" spans="4:4" ht="17.649999999999999" x14ac:dyDescent="0.5">
      <c r="D1885" s="3" t="s">
        <v>69</v>
      </c>
    </row>
    <row r="1886" spans="4:4" ht="17.649999999999999" x14ac:dyDescent="0.5">
      <c r="D1886" s="3" t="s">
        <v>117</v>
      </c>
    </row>
    <row r="1887" spans="4:4" ht="17.649999999999999" x14ac:dyDescent="0.5">
      <c r="D1887" s="3" t="s">
        <v>85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127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94</v>
      </c>
    </row>
    <row r="1892" spans="4:4" ht="17.649999999999999" x14ac:dyDescent="0.5">
      <c r="D1892" s="3" t="s">
        <v>48</v>
      </c>
    </row>
    <row r="1893" spans="4:4" ht="17.649999999999999" x14ac:dyDescent="0.5">
      <c r="D1893" s="3" t="s">
        <v>96</v>
      </c>
    </row>
    <row r="1894" spans="4:4" ht="17.649999999999999" x14ac:dyDescent="0.5">
      <c r="D1894" s="3" t="s">
        <v>129</v>
      </c>
    </row>
    <row r="1895" spans="4:4" ht="17.649999999999999" x14ac:dyDescent="0.5">
      <c r="D1895" s="3" t="s">
        <v>50</v>
      </c>
    </row>
    <row r="1896" spans="4:4" ht="17.649999999999999" x14ac:dyDescent="0.5">
      <c r="D1896" s="3" t="s">
        <v>119</v>
      </c>
    </row>
    <row r="1897" spans="4:4" ht="17.649999999999999" x14ac:dyDescent="0.5">
      <c r="D1897" s="3" t="s">
        <v>69</v>
      </c>
    </row>
    <row r="1898" spans="4:4" ht="17.649999999999999" x14ac:dyDescent="0.5">
      <c r="D1898" s="3" t="s">
        <v>91</v>
      </c>
    </row>
    <row r="1899" spans="4:4" ht="17.649999999999999" x14ac:dyDescent="0.5">
      <c r="D1899" s="3" t="s">
        <v>63</v>
      </c>
    </row>
    <row r="1900" spans="4:4" ht="17.649999999999999" x14ac:dyDescent="0.5">
      <c r="D1900" s="3" t="s">
        <v>49</v>
      </c>
    </row>
    <row r="1901" spans="4:4" ht="17.649999999999999" x14ac:dyDescent="0.5">
      <c r="D1901" s="3" t="s">
        <v>87</v>
      </c>
    </row>
    <row r="1902" spans="4:4" ht="17.649999999999999" x14ac:dyDescent="0.5">
      <c r="D1902" s="3" t="s">
        <v>114</v>
      </c>
    </row>
    <row r="1903" spans="4:4" ht="17.649999999999999" x14ac:dyDescent="0.5">
      <c r="D1903" s="3" t="s">
        <v>60</v>
      </c>
    </row>
    <row r="1904" spans="4:4" ht="17.649999999999999" x14ac:dyDescent="0.5">
      <c r="D1904" s="3" t="s">
        <v>107</v>
      </c>
    </row>
    <row r="1905" spans="4:4" ht="17.649999999999999" x14ac:dyDescent="0.5">
      <c r="D1905" s="3" t="s">
        <v>57</v>
      </c>
    </row>
    <row r="1906" spans="4:4" ht="17.649999999999999" x14ac:dyDescent="0.5">
      <c r="D1906" s="3" t="s">
        <v>88</v>
      </c>
    </row>
    <row r="1907" spans="4:4" ht="17.649999999999999" x14ac:dyDescent="0.5">
      <c r="D1907" s="3" t="s">
        <v>96</v>
      </c>
    </row>
    <row r="1908" spans="4:4" ht="17.649999999999999" x14ac:dyDescent="0.5">
      <c r="D1908" s="3" t="s">
        <v>62</v>
      </c>
    </row>
    <row r="1909" spans="4:4" ht="17.649999999999999" x14ac:dyDescent="0.5">
      <c r="D1909" s="3" t="s">
        <v>50</v>
      </c>
    </row>
    <row r="1910" spans="4:4" ht="17.649999999999999" x14ac:dyDescent="0.5">
      <c r="D1910" s="3" t="s">
        <v>105</v>
      </c>
    </row>
    <row r="1911" spans="4:4" ht="17.649999999999999" x14ac:dyDescent="0.5">
      <c r="D1911" s="3" t="s">
        <v>72</v>
      </c>
    </row>
    <row r="1912" spans="4:4" ht="17.649999999999999" x14ac:dyDescent="0.5">
      <c r="D1912" s="3" t="s">
        <v>56</v>
      </c>
    </row>
    <row r="1913" spans="4:4" ht="17.649999999999999" x14ac:dyDescent="0.5">
      <c r="D1913" s="3" t="s">
        <v>63</v>
      </c>
    </row>
    <row r="1914" spans="4:4" ht="17.649999999999999" x14ac:dyDescent="0.5">
      <c r="D1914" s="3" t="s">
        <v>68</v>
      </c>
    </row>
    <row r="1915" spans="4:4" ht="17.649999999999999" x14ac:dyDescent="0.5">
      <c r="D1915" s="3" t="s">
        <v>91</v>
      </c>
    </row>
    <row r="1916" spans="4:4" ht="17.649999999999999" x14ac:dyDescent="0.5">
      <c r="D1916" s="3" t="s">
        <v>115</v>
      </c>
    </row>
    <row r="1917" spans="4:4" ht="17.649999999999999" x14ac:dyDescent="0.5">
      <c r="D1917" s="3" t="s">
        <v>87</v>
      </c>
    </row>
    <row r="1918" spans="4:4" ht="17.649999999999999" x14ac:dyDescent="0.5">
      <c r="D1918" s="3" t="s">
        <v>98</v>
      </c>
    </row>
    <row r="1919" spans="4:4" ht="17.649999999999999" x14ac:dyDescent="0.5">
      <c r="D1919" s="3" t="s">
        <v>48</v>
      </c>
    </row>
    <row r="1920" spans="4:4" ht="17.649999999999999" x14ac:dyDescent="0.5">
      <c r="D1920" s="3" t="s">
        <v>67</v>
      </c>
    </row>
    <row r="1921" spans="4:4" ht="17.649999999999999" x14ac:dyDescent="0.5">
      <c r="D1921" s="3" t="s">
        <v>105</v>
      </c>
    </row>
    <row r="1922" spans="4:4" ht="17.649999999999999" x14ac:dyDescent="0.5">
      <c r="D1922" s="3" t="s">
        <v>80</v>
      </c>
    </row>
    <row r="1923" spans="4:4" ht="17.649999999999999" x14ac:dyDescent="0.5">
      <c r="D1923" s="3" t="s">
        <v>102</v>
      </c>
    </row>
    <row r="1924" spans="4:4" ht="17.649999999999999" x14ac:dyDescent="0.5">
      <c r="D1924" s="3" t="s">
        <v>78</v>
      </c>
    </row>
    <row r="1925" spans="4:4" ht="17.649999999999999" x14ac:dyDescent="0.5">
      <c r="D1925" s="3" t="s">
        <v>71</v>
      </c>
    </row>
    <row r="1926" spans="4:4" ht="17.649999999999999" x14ac:dyDescent="0.5">
      <c r="D1926" s="3" t="s">
        <v>85</v>
      </c>
    </row>
    <row r="1927" spans="4:4" ht="17.649999999999999" x14ac:dyDescent="0.5">
      <c r="D1927" s="3" t="s">
        <v>50</v>
      </c>
    </row>
    <row r="1928" spans="4:4" ht="17.649999999999999" x14ac:dyDescent="0.5">
      <c r="D1928" s="3" t="s">
        <v>87</v>
      </c>
    </row>
    <row r="1929" spans="4:4" ht="17.649999999999999" x14ac:dyDescent="0.5">
      <c r="D1929" s="3" t="s">
        <v>47</v>
      </c>
    </row>
    <row r="1930" spans="4:4" ht="17.649999999999999" x14ac:dyDescent="0.5">
      <c r="D1930" s="3" t="s">
        <v>106</v>
      </c>
    </row>
    <row r="1931" spans="4:4" ht="17.649999999999999" x14ac:dyDescent="0.5">
      <c r="D1931" s="3" t="s">
        <v>63</v>
      </c>
    </row>
    <row r="1932" spans="4:4" ht="17.649999999999999" x14ac:dyDescent="0.5">
      <c r="D1932" s="3" t="s">
        <v>41</v>
      </c>
    </row>
    <row r="1933" spans="4:4" ht="17.649999999999999" x14ac:dyDescent="0.5">
      <c r="D1933" s="3" t="s">
        <v>66</v>
      </c>
    </row>
    <row r="1934" spans="4:4" ht="17.649999999999999" x14ac:dyDescent="0.5">
      <c r="D1934" s="3" t="s">
        <v>64</v>
      </c>
    </row>
    <row r="1935" spans="4:4" ht="17.649999999999999" x14ac:dyDescent="0.5">
      <c r="D1935" s="3" t="s">
        <v>112</v>
      </c>
    </row>
    <row r="1936" spans="4:4" ht="17.649999999999999" x14ac:dyDescent="0.5">
      <c r="D1936" s="3" t="s">
        <v>49</v>
      </c>
    </row>
    <row r="1937" spans="4:4" ht="17.649999999999999" x14ac:dyDescent="0.5">
      <c r="D1937" s="3" t="s">
        <v>63</v>
      </c>
    </row>
    <row r="1938" spans="4:4" ht="17.649999999999999" x14ac:dyDescent="0.5">
      <c r="D1938" s="3" t="s">
        <v>68</v>
      </c>
    </row>
    <row r="1939" spans="4:4" ht="17.649999999999999" x14ac:dyDescent="0.5">
      <c r="D1939" s="3" t="s">
        <v>95</v>
      </c>
    </row>
    <row r="1940" spans="4:4" ht="17.649999999999999" x14ac:dyDescent="0.5">
      <c r="D1940" s="3" t="s">
        <v>107</v>
      </c>
    </row>
    <row r="1941" spans="4:4" ht="17.649999999999999" x14ac:dyDescent="0.5">
      <c r="D1941" s="3" t="s">
        <v>88</v>
      </c>
    </row>
    <row r="1942" spans="4:4" ht="17.649999999999999" x14ac:dyDescent="0.5">
      <c r="D1942" s="3" t="s">
        <v>84</v>
      </c>
    </row>
    <row r="1943" spans="4:4" ht="17.649999999999999" x14ac:dyDescent="0.5">
      <c r="D1943" s="3" t="s">
        <v>90</v>
      </c>
    </row>
    <row r="1944" spans="4:4" ht="17.649999999999999" x14ac:dyDescent="0.5">
      <c r="D1944" s="3" t="s">
        <v>74</v>
      </c>
    </row>
    <row r="1945" spans="4:4" ht="17.649999999999999" x14ac:dyDescent="0.5">
      <c r="D1945" s="3" t="s">
        <v>50</v>
      </c>
    </row>
    <row r="1946" spans="4:4" ht="17.649999999999999" x14ac:dyDescent="0.5">
      <c r="D1946" s="3" t="s">
        <v>81</v>
      </c>
    </row>
    <row r="1947" spans="4:4" ht="17.649999999999999" x14ac:dyDescent="0.5">
      <c r="D1947" s="3" t="s">
        <v>68</v>
      </c>
    </row>
    <row r="1948" spans="4:4" ht="17.649999999999999" x14ac:dyDescent="0.5">
      <c r="D1948" s="3" t="s">
        <v>47</v>
      </c>
    </row>
    <row r="1949" spans="4:4" ht="17.649999999999999" x14ac:dyDescent="0.5">
      <c r="D1949" s="3" t="s">
        <v>115</v>
      </c>
    </row>
    <row r="1950" spans="4:4" ht="17.649999999999999" x14ac:dyDescent="0.5">
      <c r="D1950" s="3" t="s">
        <v>83</v>
      </c>
    </row>
    <row r="1951" spans="4:4" ht="17.649999999999999" x14ac:dyDescent="0.5">
      <c r="D1951" s="3" t="s">
        <v>131</v>
      </c>
    </row>
    <row r="1952" spans="4:4" ht="17.649999999999999" x14ac:dyDescent="0.5">
      <c r="D1952" s="3" t="s">
        <v>73</v>
      </c>
    </row>
    <row r="1953" spans="4:4" ht="17.649999999999999" x14ac:dyDescent="0.5">
      <c r="D1953" s="3" t="s">
        <v>91</v>
      </c>
    </row>
    <row r="1954" spans="4:4" ht="17.649999999999999" x14ac:dyDescent="0.5">
      <c r="D1954" s="3" t="s">
        <v>44</v>
      </c>
    </row>
    <row r="1955" spans="4:4" ht="17.649999999999999" x14ac:dyDescent="0.5">
      <c r="D1955" s="3" t="s">
        <v>93</v>
      </c>
    </row>
    <row r="1956" spans="4:4" ht="17.649999999999999" x14ac:dyDescent="0.5">
      <c r="D1956" s="3" t="s">
        <v>84</v>
      </c>
    </row>
    <row r="1957" spans="4:4" ht="17.649999999999999" x14ac:dyDescent="0.5">
      <c r="D1957" s="3" t="s">
        <v>90</v>
      </c>
    </row>
    <row r="1958" spans="4:4" ht="17.649999999999999" x14ac:dyDescent="0.5">
      <c r="D1958" s="3" t="s">
        <v>78</v>
      </c>
    </row>
    <row r="1959" spans="4:4" ht="17.649999999999999" x14ac:dyDescent="0.5">
      <c r="D1959" s="3" t="s">
        <v>98</v>
      </c>
    </row>
    <row r="1960" spans="4:4" ht="17.649999999999999" x14ac:dyDescent="0.5">
      <c r="D1960" s="3" t="s">
        <v>44</v>
      </c>
    </row>
    <row r="1961" spans="4:4" ht="17.649999999999999" x14ac:dyDescent="0.5">
      <c r="D1961" s="3" t="s">
        <v>103</v>
      </c>
    </row>
    <row r="1962" spans="4:4" ht="17.649999999999999" x14ac:dyDescent="0.5">
      <c r="D1962" s="3" t="s">
        <v>77</v>
      </c>
    </row>
    <row r="1963" spans="4:4" ht="17.649999999999999" x14ac:dyDescent="0.5">
      <c r="D1963" s="3" t="s">
        <v>87</v>
      </c>
    </row>
    <row r="1964" spans="4:4" ht="17.649999999999999" x14ac:dyDescent="0.5">
      <c r="D1964" s="3" t="s">
        <v>60</v>
      </c>
    </row>
    <row r="1965" spans="4:4" ht="17.649999999999999" x14ac:dyDescent="0.5">
      <c r="D1965" s="3" t="s">
        <v>117</v>
      </c>
    </row>
    <row r="1966" spans="4:4" ht="17.649999999999999" x14ac:dyDescent="0.5">
      <c r="D1966" s="3" t="s">
        <v>46</v>
      </c>
    </row>
    <row r="1967" spans="4:4" ht="17.649999999999999" x14ac:dyDescent="0.5">
      <c r="D1967" s="3" t="s">
        <v>92</v>
      </c>
    </row>
    <row r="1968" spans="4:4" ht="17.649999999999999" x14ac:dyDescent="0.5">
      <c r="D1968" s="3" t="s">
        <v>62</v>
      </c>
    </row>
    <row r="1969" spans="4:4" ht="17.649999999999999" x14ac:dyDescent="0.5">
      <c r="D1969" s="3" t="s">
        <v>55</v>
      </c>
    </row>
    <row r="1970" spans="4:4" ht="17.649999999999999" x14ac:dyDescent="0.5">
      <c r="D1970" s="3" t="s">
        <v>99</v>
      </c>
    </row>
    <row r="1971" spans="4:4" ht="17.649999999999999" x14ac:dyDescent="0.5">
      <c r="D1971" s="3" t="s">
        <v>65</v>
      </c>
    </row>
    <row r="1972" spans="4:4" ht="17.649999999999999" x14ac:dyDescent="0.5">
      <c r="D1972" s="3" t="s">
        <v>129</v>
      </c>
    </row>
    <row r="1973" spans="4:4" ht="17.649999999999999" x14ac:dyDescent="0.5">
      <c r="D1973" s="3" t="s">
        <v>66</v>
      </c>
    </row>
    <row r="1974" spans="4:4" ht="17.649999999999999" x14ac:dyDescent="0.5">
      <c r="D1974" s="3" t="s">
        <v>107</v>
      </c>
    </row>
    <row r="1975" spans="4:4" ht="17.649999999999999" x14ac:dyDescent="0.5">
      <c r="D1975" s="3" t="s">
        <v>61</v>
      </c>
    </row>
    <row r="1976" spans="4:4" ht="17.649999999999999" x14ac:dyDescent="0.5">
      <c r="D1976" s="3" t="s">
        <v>64</v>
      </c>
    </row>
    <row r="1977" spans="4:4" ht="17.649999999999999" x14ac:dyDescent="0.5">
      <c r="D1977" s="3" t="s">
        <v>117</v>
      </c>
    </row>
    <row r="1978" spans="4:4" ht="17.649999999999999" x14ac:dyDescent="0.5">
      <c r="D1978" s="3" t="s">
        <v>66</v>
      </c>
    </row>
    <row r="1979" spans="4:4" ht="17.649999999999999" x14ac:dyDescent="0.5">
      <c r="D1979" s="3" t="s">
        <v>96</v>
      </c>
    </row>
    <row r="1980" spans="4:4" ht="17.649999999999999" x14ac:dyDescent="0.5">
      <c r="D1980" s="3" t="s">
        <v>112</v>
      </c>
    </row>
    <row r="1981" spans="4:4" ht="17.649999999999999" x14ac:dyDescent="0.5">
      <c r="D1981" s="3" t="s">
        <v>48</v>
      </c>
    </row>
    <row r="1982" spans="4:4" ht="17.649999999999999" x14ac:dyDescent="0.5">
      <c r="D1982" s="3" t="s">
        <v>85</v>
      </c>
    </row>
    <row r="1983" spans="4:4" ht="17.649999999999999" x14ac:dyDescent="0.5">
      <c r="D1983" s="3" t="s">
        <v>55</v>
      </c>
    </row>
    <row r="1984" spans="4:4" ht="17.649999999999999" x14ac:dyDescent="0.5">
      <c r="D1984" s="3" t="s">
        <v>42</v>
      </c>
    </row>
    <row r="1985" spans="4:4" ht="17.649999999999999" x14ac:dyDescent="0.5">
      <c r="D1985" s="3" t="s">
        <v>54</v>
      </c>
    </row>
    <row r="1986" spans="4:4" ht="17.649999999999999" x14ac:dyDescent="0.5">
      <c r="D1986" s="3" t="s">
        <v>68</v>
      </c>
    </row>
    <row r="1987" spans="4:4" ht="17.649999999999999" x14ac:dyDescent="0.5">
      <c r="D1987" s="3" t="s">
        <v>57</v>
      </c>
    </row>
    <row r="1988" spans="4:4" ht="17.649999999999999" x14ac:dyDescent="0.5">
      <c r="D1988" s="3" t="s">
        <v>86</v>
      </c>
    </row>
    <row r="1989" spans="4:4" ht="17.649999999999999" x14ac:dyDescent="0.5">
      <c r="D1989" s="3" t="s">
        <v>66</v>
      </c>
    </row>
    <row r="1990" spans="4:4" ht="17.649999999999999" x14ac:dyDescent="0.5">
      <c r="D1990" s="3" t="s">
        <v>56</v>
      </c>
    </row>
    <row r="1991" spans="4:4" ht="17.649999999999999" x14ac:dyDescent="0.5">
      <c r="D1991" s="3" t="s">
        <v>53</v>
      </c>
    </row>
    <row r="1992" spans="4:4" ht="17.649999999999999" x14ac:dyDescent="0.5">
      <c r="D1992" s="3" t="s">
        <v>68</v>
      </c>
    </row>
    <row r="1993" spans="4:4" ht="17.649999999999999" x14ac:dyDescent="0.5">
      <c r="D1993" s="3" t="s">
        <v>64</v>
      </c>
    </row>
    <row r="1994" spans="4:4" ht="17.649999999999999" x14ac:dyDescent="0.5">
      <c r="D1994" s="3" t="s">
        <v>91</v>
      </c>
    </row>
    <row r="1995" spans="4:4" ht="17.649999999999999" x14ac:dyDescent="0.5">
      <c r="D1995" s="3" t="s">
        <v>94</v>
      </c>
    </row>
    <row r="1996" spans="4:4" ht="17.649999999999999" x14ac:dyDescent="0.5">
      <c r="D1996" s="3" t="s">
        <v>118</v>
      </c>
    </row>
    <row r="1997" spans="4:4" ht="17.649999999999999" x14ac:dyDescent="0.5">
      <c r="D1997" s="3" t="s">
        <v>61</v>
      </c>
    </row>
    <row r="1998" spans="4:4" ht="17.649999999999999" x14ac:dyDescent="0.5">
      <c r="D1998" s="3" t="s">
        <v>57</v>
      </c>
    </row>
    <row r="1999" spans="4:4" ht="17.649999999999999" x14ac:dyDescent="0.5">
      <c r="D1999" s="3" t="s">
        <v>56</v>
      </c>
    </row>
    <row r="2000" spans="4:4" ht="17.649999999999999" x14ac:dyDescent="0.5">
      <c r="D2000" s="3" t="s">
        <v>94</v>
      </c>
    </row>
    <row r="2001" spans="4:4" ht="17.649999999999999" x14ac:dyDescent="0.5">
      <c r="D2001" s="3" t="s">
        <v>128</v>
      </c>
    </row>
    <row r="2002" spans="4:4" ht="17.649999999999999" x14ac:dyDescent="0.5">
      <c r="D2002" s="3" t="s">
        <v>107</v>
      </c>
    </row>
    <row r="2003" spans="4:4" ht="17.649999999999999" x14ac:dyDescent="0.5">
      <c r="D2003" s="3" t="s">
        <v>76</v>
      </c>
    </row>
    <row r="2004" spans="4:4" ht="17.649999999999999" x14ac:dyDescent="0.5">
      <c r="D2004" s="3" t="s">
        <v>83</v>
      </c>
    </row>
    <row r="2005" spans="4:4" ht="17.649999999999999" x14ac:dyDescent="0.5">
      <c r="D2005" s="3" t="s">
        <v>59</v>
      </c>
    </row>
    <row r="2006" spans="4:4" ht="17.649999999999999" x14ac:dyDescent="0.5">
      <c r="D2006" s="3" t="s">
        <v>115</v>
      </c>
    </row>
    <row r="2007" spans="4:4" ht="17.649999999999999" x14ac:dyDescent="0.5">
      <c r="D2007" s="3" t="s">
        <v>120</v>
      </c>
    </row>
    <row r="2008" spans="4:4" ht="17.649999999999999" x14ac:dyDescent="0.5">
      <c r="D2008" s="3" t="s">
        <v>75</v>
      </c>
    </row>
    <row r="2009" spans="4:4" ht="17.649999999999999" x14ac:dyDescent="0.5">
      <c r="D2009" s="3" t="s">
        <v>78</v>
      </c>
    </row>
    <row r="2010" spans="4:4" ht="17.649999999999999" x14ac:dyDescent="0.5">
      <c r="D2010" s="3" t="s">
        <v>56</v>
      </c>
    </row>
    <row r="2011" spans="4:4" ht="17.649999999999999" x14ac:dyDescent="0.5">
      <c r="D2011" s="3" t="s">
        <v>56</v>
      </c>
    </row>
    <row r="2012" spans="4:4" ht="17.649999999999999" x14ac:dyDescent="0.5">
      <c r="D2012" s="3" t="s">
        <v>54</v>
      </c>
    </row>
    <row r="2013" spans="4:4" ht="17.649999999999999" x14ac:dyDescent="0.5">
      <c r="D2013" s="3" t="s">
        <v>82</v>
      </c>
    </row>
    <row r="2014" spans="4:4" ht="17.649999999999999" x14ac:dyDescent="0.5">
      <c r="D2014" s="3" t="s">
        <v>78</v>
      </c>
    </row>
    <row r="2015" spans="4:4" ht="17.649999999999999" x14ac:dyDescent="0.5">
      <c r="D2015" s="3" t="s">
        <v>87</v>
      </c>
    </row>
    <row r="2016" spans="4:4" ht="17.649999999999999" x14ac:dyDescent="0.5">
      <c r="D2016" s="3" t="s">
        <v>104</v>
      </c>
    </row>
    <row r="2017" spans="4:4" ht="17.649999999999999" x14ac:dyDescent="0.5">
      <c r="D2017" s="3" t="s">
        <v>49</v>
      </c>
    </row>
    <row r="2018" spans="4:4" ht="17.649999999999999" x14ac:dyDescent="0.5">
      <c r="D2018" s="3" t="s">
        <v>51</v>
      </c>
    </row>
    <row r="2019" spans="4:4" ht="17.649999999999999" x14ac:dyDescent="0.5">
      <c r="D2019" s="3" t="s">
        <v>135</v>
      </c>
    </row>
    <row r="2020" spans="4:4" ht="17.649999999999999" x14ac:dyDescent="0.5">
      <c r="D2020" s="3" t="s">
        <v>50</v>
      </c>
    </row>
    <row r="2021" spans="4:4" ht="17.649999999999999" x14ac:dyDescent="0.5">
      <c r="D2021" s="3" t="s">
        <v>54</v>
      </c>
    </row>
    <row r="2022" spans="4:4" ht="17.649999999999999" x14ac:dyDescent="0.5">
      <c r="D2022" s="3" t="s">
        <v>57</v>
      </c>
    </row>
    <row r="2023" spans="4:4" ht="17.649999999999999" x14ac:dyDescent="0.5">
      <c r="D2023" s="3" t="s">
        <v>78</v>
      </c>
    </row>
    <row r="2024" spans="4:4" ht="17.649999999999999" x14ac:dyDescent="0.5">
      <c r="D2024" s="3" t="s">
        <v>82</v>
      </c>
    </row>
    <row r="2025" spans="4:4" ht="17.649999999999999" x14ac:dyDescent="0.5">
      <c r="D2025" s="3" t="s">
        <v>84</v>
      </c>
    </row>
    <row r="2026" spans="4:4" ht="17.649999999999999" x14ac:dyDescent="0.5">
      <c r="D2026" s="3" t="s">
        <v>92</v>
      </c>
    </row>
    <row r="2027" spans="4:4" ht="17.649999999999999" x14ac:dyDescent="0.5">
      <c r="D2027" s="3" t="s">
        <v>69</v>
      </c>
    </row>
    <row r="2028" spans="4:4" ht="17.649999999999999" x14ac:dyDescent="0.5">
      <c r="D2028" s="3" t="s">
        <v>64</v>
      </c>
    </row>
    <row r="2029" spans="4:4" ht="17.649999999999999" x14ac:dyDescent="0.5">
      <c r="D2029" s="3" t="s">
        <v>82</v>
      </c>
    </row>
    <row r="2030" spans="4:4" ht="17.649999999999999" x14ac:dyDescent="0.5">
      <c r="D2030" s="3" t="s">
        <v>63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103</v>
      </c>
    </row>
    <row r="2033" spans="4:4" ht="17.649999999999999" x14ac:dyDescent="0.5">
      <c r="D2033" s="3" t="s">
        <v>87</v>
      </c>
    </row>
    <row r="2034" spans="4:4" ht="17.649999999999999" x14ac:dyDescent="0.5">
      <c r="D2034" s="3" t="s">
        <v>46</v>
      </c>
    </row>
    <row r="2035" spans="4:4" ht="17.649999999999999" x14ac:dyDescent="0.5">
      <c r="D2035" s="3" t="s">
        <v>115</v>
      </c>
    </row>
    <row r="2036" spans="4:4" ht="17.649999999999999" x14ac:dyDescent="0.5">
      <c r="D2036" s="3" t="s">
        <v>120</v>
      </c>
    </row>
    <row r="2037" spans="4:4" ht="17.649999999999999" x14ac:dyDescent="0.5">
      <c r="D2037" s="3" t="s">
        <v>78</v>
      </c>
    </row>
    <row r="2038" spans="4:4" ht="17.649999999999999" x14ac:dyDescent="0.5">
      <c r="D2038" s="3" t="s">
        <v>81</v>
      </c>
    </row>
    <row r="2039" spans="4:4" ht="17.649999999999999" x14ac:dyDescent="0.5">
      <c r="D2039" s="3" t="s">
        <v>90</v>
      </c>
    </row>
    <row r="2040" spans="4:4" ht="17.649999999999999" x14ac:dyDescent="0.5">
      <c r="D2040" s="3" t="s">
        <v>91</v>
      </c>
    </row>
    <row r="2041" spans="4:4" ht="17.649999999999999" x14ac:dyDescent="0.5">
      <c r="D2041" s="3" t="s">
        <v>104</v>
      </c>
    </row>
    <row r="2042" spans="4:4" ht="17.649999999999999" x14ac:dyDescent="0.5">
      <c r="D2042" s="3" t="s">
        <v>57</v>
      </c>
    </row>
    <row r="2043" spans="4:4" ht="17.649999999999999" x14ac:dyDescent="0.5">
      <c r="D2043" s="3" t="s">
        <v>77</v>
      </c>
    </row>
    <row r="2044" spans="4:4" ht="17.649999999999999" x14ac:dyDescent="0.5">
      <c r="D2044" s="3" t="s">
        <v>65</v>
      </c>
    </row>
    <row r="2045" spans="4:4" ht="17.649999999999999" x14ac:dyDescent="0.5">
      <c r="D2045" s="3" t="s">
        <v>92</v>
      </c>
    </row>
    <row r="2046" spans="4:4" ht="17.649999999999999" x14ac:dyDescent="0.5">
      <c r="D2046" s="3" t="s">
        <v>121</v>
      </c>
    </row>
    <row r="2047" spans="4:4" ht="17.649999999999999" x14ac:dyDescent="0.5">
      <c r="D2047" s="3" t="s">
        <v>81</v>
      </c>
    </row>
    <row r="2048" spans="4:4" ht="17.649999999999999" x14ac:dyDescent="0.5">
      <c r="D2048" s="3" t="s">
        <v>49</v>
      </c>
    </row>
    <row r="2049" spans="4:4" ht="17.649999999999999" x14ac:dyDescent="0.5">
      <c r="D2049" s="3" t="s">
        <v>78</v>
      </c>
    </row>
    <row r="2050" spans="4:4" ht="17.649999999999999" x14ac:dyDescent="0.5">
      <c r="D2050" s="3" t="s">
        <v>112</v>
      </c>
    </row>
    <row r="2051" spans="4:4" ht="17.649999999999999" x14ac:dyDescent="0.5">
      <c r="D2051" s="3" t="s">
        <v>74</v>
      </c>
    </row>
    <row r="2052" spans="4:4" ht="17.649999999999999" x14ac:dyDescent="0.5">
      <c r="D2052" s="3" t="s">
        <v>105</v>
      </c>
    </row>
    <row r="2053" spans="4:4" ht="17.649999999999999" x14ac:dyDescent="0.5">
      <c r="D2053" s="3" t="s">
        <v>96</v>
      </c>
    </row>
    <row r="2054" spans="4:4" ht="17.649999999999999" x14ac:dyDescent="0.5">
      <c r="D2054" s="3" t="s">
        <v>65</v>
      </c>
    </row>
    <row r="2055" spans="4:4" ht="17.649999999999999" x14ac:dyDescent="0.5">
      <c r="D2055" s="3" t="s">
        <v>80</v>
      </c>
    </row>
    <row r="2056" spans="4:4" ht="17.649999999999999" x14ac:dyDescent="0.5">
      <c r="D2056" s="3" t="s">
        <v>136</v>
      </c>
    </row>
    <row r="2057" spans="4:4" ht="17.649999999999999" x14ac:dyDescent="0.5">
      <c r="D2057" s="3" t="s">
        <v>68</v>
      </c>
    </row>
    <row r="2058" spans="4:4" ht="17.649999999999999" x14ac:dyDescent="0.5">
      <c r="D2058" s="3" t="s">
        <v>56</v>
      </c>
    </row>
    <row r="2059" spans="4:4" ht="17.649999999999999" x14ac:dyDescent="0.5">
      <c r="D2059" s="3" t="s">
        <v>78</v>
      </c>
    </row>
    <row r="2060" spans="4:4" ht="17.649999999999999" x14ac:dyDescent="0.5">
      <c r="D2060" s="3" t="s">
        <v>44</v>
      </c>
    </row>
    <row r="2061" spans="4:4" ht="17.649999999999999" x14ac:dyDescent="0.5">
      <c r="D2061" s="3" t="s">
        <v>133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165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500</v>
      </c>
      <c r="J13" s="2">
        <v>500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502</v>
      </c>
      <c r="J23" s="2">
        <v>498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48</v>
      </c>
      <c r="F31" s="2">
        <v>44</v>
      </c>
      <c r="G31" s="2">
        <v>41</v>
      </c>
      <c r="H31" s="2">
        <v>37</v>
      </c>
      <c r="I31" s="2">
        <v>45</v>
      </c>
      <c r="J31" s="2">
        <v>50</v>
      </c>
      <c r="K31" s="2">
        <v>44</v>
      </c>
      <c r="L31" s="2">
        <v>40</v>
      </c>
      <c r="M31" s="2">
        <v>44</v>
      </c>
      <c r="N31" s="2">
        <v>45</v>
      </c>
      <c r="O31" s="2">
        <v>37</v>
      </c>
      <c r="P31" s="2">
        <v>36</v>
      </c>
    </row>
    <row r="32" spans="4:16" x14ac:dyDescent="0.5">
      <c r="D32" s="2">
        <v>2</v>
      </c>
      <c r="E32" s="2">
        <v>29</v>
      </c>
      <c r="F32" s="2">
        <v>36</v>
      </c>
      <c r="G32" s="2">
        <v>44</v>
      </c>
      <c r="H32" s="2">
        <v>45</v>
      </c>
      <c r="I32" s="2">
        <v>36</v>
      </c>
      <c r="J32" s="2">
        <v>45</v>
      </c>
      <c r="K32" s="2">
        <v>43</v>
      </c>
      <c r="L32" s="2">
        <v>48</v>
      </c>
      <c r="M32" s="2">
        <v>48</v>
      </c>
      <c r="N32" s="2">
        <v>30</v>
      </c>
      <c r="O32" s="2">
        <v>41</v>
      </c>
      <c r="P32" s="2">
        <v>44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35</v>
      </c>
      <c r="F37" s="2">
        <v>39</v>
      </c>
      <c r="G37" s="2">
        <v>43</v>
      </c>
      <c r="H37" s="2">
        <v>46</v>
      </c>
      <c r="I37" s="2">
        <v>39</v>
      </c>
      <c r="J37" s="2">
        <v>33</v>
      </c>
      <c r="K37" s="2">
        <v>39</v>
      </c>
      <c r="L37" s="2">
        <v>43</v>
      </c>
      <c r="M37" s="2">
        <v>40</v>
      </c>
      <c r="N37" s="2">
        <v>38</v>
      </c>
      <c r="O37" s="2">
        <v>46</v>
      </c>
      <c r="P37" s="2">
        <v>48</v>
      </c>
    </row>
    <row r="38" spans="4:16" x14ac:dyDescent="0.5">
      <c r="D38" s="2">
        <v>2</v>
      </c>
      <c r="E38" s="2">
        <v>54</v>
      </c>
      <c r="F38" s="2">
        <v>47</v>
      </c>
      <c r="G38" s="2">
        <v>40</v>
      </c>
      <c r="H38" s="2">
        <v>38</v>
      </c>
      <c r="I38" s="2">
        <v>48</v>
      </c>
      <c r="J38" s="2">
        <v>38</v>
      </c>
      <c r="K38" s="2">
        <v>40</v>
      </c>
      <c r="L38" s="2">
        <v>35</v>
      </c>
      <c r="M38" s="2">
        <v>36</v>
      </c>
      <c r="N38" s="2">
        <v>53</v>
      </c>
      <c r="O38" s="2">
        <v>42</v>
      </c>
      <c r="P38" s="2">
        <v>40</v>
      </c>
    </row>
    <row r="39" spans="4:16" ht="17.649999999999999" x14ac:dyDescent="0.5">
      <c r="D39" s="3" t="s">
        <v>137</v>
      </c>
      <c r="E39">
        <f t="shared" ref="E39:P39" si="0">E31-E37</f>
        <v>13</v>
      </c>
      <c r="F39">
        <f t="shared" si="0"/>
        <v>5</v>
      </c>
      <c r="G39">
        <f t="shared" si="0"/>
        <v>-2</v>
      </c>
      <c r="H39">
        <f t="shared" si="0"/>
        <v>-9</v>
      </c>
      <c r="I39">
        <f t="shared" si="0"/>
        <v>6</v>
      </c>
      <c r="J39">
        <f t="shared" si="0"/>
        <v>17</v>
      </c>
      <c r="K39">
        <f t="shared" si="0"/>
        <v>5</v>
      </c>
      <c r="L39">
        <f t="shared" si="0"/>
        <v>-3</v>
      </c>
      <c r="M39">
        <f t="shared" si="0"/>
        <v>4</v>
      </c>
      <c r="N39">
        <f t="shared" si="0"/>
        <v>7</v>
      </c>
      <c r="O39">
        <f t="shared" si="0"/>
        <v>-9</v>
      </c>
      <c r="P39">
        <f t="shared" si="0"/>
        <v>-12</v>
      </c>
    </row>
    <row r="40" spans="4:16" ht="17.649999999999999" x14ac:dyDescent="0.5">
      <c r="D40" s="3" t="s">
        <v>138</v>
      </c>
      <c r="E40">
        <f t="shared" ref="E40:P40" si="1">E32-E38</f>
        <v>-25</v>
      </c>
      <c r="F40">
        <f t="shared" si="1"/>
        <v>-11</v>
      </c>
      <c r="G40">
        <f t="shared" si="1"/>
        <v>4</v>
      </c>
      <c r="H40">
        <f t="shared" si="1"/>
        <v>7</v>
      </c>
      <c r="I40">
        <f t="shared" si="1"/>
        <v>-12</v>
      </c>
      <c r="J40">
        <f t="shared" si="1"/>
        <v>7</v>
      </c>
      <c r="K40">
        <f t="shared" si="1"/>
        <v>3</v>
      </c>
      <c r="L40">
        <f t="shared" si="1"/>
        <v>13</v>
      </c>
      <c r="M40">
        <f t="shared" si="1"/>
        <v>12</v>
      </c>
      <c r="N40">
        <f t="shared" si="1"/>
        <v>-23</v>
      </c>
      <c r="O40">
        <f t="shared" si="1"/>
        <v>-1</v>
      </c>
      <c r="P40">
        <f t="shared" si="1"/>
        <v>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77</v>
      </c>
      <c r="F44" s="2">
        <v>80</v>
      </c>
      <c r="G44" s="2">
        <v>85</v>
      </c>
      <c r="H44" s="2">
        <v>82</v>
      </c>
      <c r="I44" s="2">
        <v>81</v>
      </c>
      <c r="J44" s="2">
        <v>95</v>
      </c>
      <c r="K44" s="2">
        <v>87</v>
      </c>
      <c r="L44" s="2">
        <v>88</v>
      </c>
      <c r="M44" s="2">
        <v>92</v>
      </c>
      <c r="N44" s="2">
        <v>75</v>
      </c>
      <c r="O44" s="2">
        <v>78</v>
      </c>
      <c r="P44" s="2">
        <v>80</v>
      </c>
    </row>
    <row r="45" spans="4:16" x14ac:dyDescent="0.5">
      <c r="D45" s="2" t="s">
        <v>28</v>
      </c>
      <c r="E45" s="2">
        <v>89</v>
      </c>
      <c r="F45" s="2">
        <v>86</v>
      </c>
      <c r="G45" s="2">
        <v>83</v>
      </c>
      <c r="H45" s="2">
        <v>84</v>
      </c>
      <c r="I45" s="2">
        <v>87</v>
      </c>
      <c r="J45" s="2">
        <v>71</v>
      </c>
      <c r="K45" s="2">
        <v>79</v>
      </c>
      <c r="L45" s="2">
        <v>78</v>
      </c>
      <c r="M45" s="2">
        <v>76</v>
      </c>
      <c r="N45" s="2">
        <v>91</v>
      </c>
      <c r="O45" s="2">
        <v>88</v>
      </c>
      <c r="P45" s="2">
        <v>88</v>
      </c>
    </row>
    <row r="46" spans="4:16" x14ac:dyDescent="0.5">
      <c r="D46" s="2" t="s">
        <v>30</v>
      </c>
      <c r="E46" s="2">
        <v>-12</v>
      </c>
      <c r="F46" s="2">
        <v>-6</v>
      </c>
      <c r="G46" s="2">
        <v>2</v>
      </c>
      <c r="H46" s="2">
        <v>-2</v>
      </c>
      <c r="I46" s="2">
        <v>-6</v>
      </c>
      <c r="J46" s="2">
        <v>24</v>
      </c>
      <c r="K46" s="2">
        <v>8</v>
      </c>
      <c r="L46" s="2">
        <v>10</v>
      </c>
      <c r="M46" s="2">
        <v>16</v>
      </c>
      <c r="N46" s="2">
        <v>-16</v>
      </c>
      <c r="O46" s="2">
        <v>-10</v>
      </c>
      <c r="P46" s="2">
        <v>-8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500</v>
      </c>
      <c r="K51" s="2">
        <v>500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502</v>
      </c>
      <c r="K52" s="2">
        <v>498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-2</v>
      </c>
      <c r="K53" s="2">
        <v>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95</v>
      </c>
      <c r="F56" s="2">
        <v>478</v>
      </c>
      <c r="G56" s="2">
        <v>800</v>
      </c>
      <c r="H56" s="2">
        <v>521</v>
      </c>
      <c r="I56" s="2">
        <v>105</v>
      </c>
      <c r="J56" s="2">
        <v>1</v>
      </c>
    </row>
    <row r="57" spans="4:11" x14ac:dyDescent="0.5">
      <c r="D57" s="2" t="s">
        <v>37</v>
      </c>
      <c r="E57" s="2">
        <v>2</v>
      </c>
      <c r="F57" s="2">
        <v>1</v>
      </c>
      <c r="G57" s="2">
        <v>0</v>
      </c>
      <c r="H57" s="2">
        <v>-1</v>
      </c>
      <c r="I57" s="2">
        <v>-2</v>
      </c>
      <c r="J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166</v>
      </c>
    </row>
    <row r="61" spans="4:11" ht="17.649999999999999" x14ac:dyDescent="0.5">
      <c r="D61" s="3" t="s">
        <v>167</v>
      </c>
    </row>
    <row r="62" spans="4:11" ht="17.649999999999999" x14ac:dyDescent="0.5">
      <c r="D62" s="3" t="s">
        <v>83</v>
      </c>
    </row>
    <row r="63" spans="4:11" ht="17.649999999999999" x14ac:dyDescent="0.5">
      <c r="D63" s="3" t="s">
        <v>105</v>
      </c>
    </row>
    <row r="64" spans="4:11" ht="17.649999999999999" x14ac:dyDescent="0.5">
      <c r="D64" s="3" t="s">
        <v>132</v>
      </c>
    </row>
    <row r="65" spans="4:4" ht="17.649999999999999" x14ac:dyDescent="0.5">
      <c r="D65" s="3" t="s">
        <v>52</v>
      </c>
    </row>
    <row r="66" spans="4:4" ht="17.649999999999999" x14ac:dyDescent="0.5">
      <c r="D66" s="3" t="s">
        <v>65</v>
      </c>
    </row>
    <row r="67" spans="4:4" ht="17.649999999999999" x14ac:dyDescent="0.5">
      <c r="D67" s="3" t="s">
        <v>69</v>
      </c>
    </row>
    <row r="68" spans="4:4" ht="17.649999999999999" x14ac:dyDescent="0.5">
      <c r="D68" s="3" t="s">
        <v>54</v>
      </c>
    </row>
    <row r="69" spans="4:4" ht="17.649999999999999" x14ac:dyDescent="0.5">
      <c r="D69" s="3" t="s">
        <v>63</v>
      </c>
    </row>
    <row r="70" spans="4:4" ht="17.649999999999999" x14ac:dyDescent="0.5">
      <c r="D70" s="3" t="s">
        <v>80</v>
      </c>
    </row>
    <row r="71" spans="4:4" ht="17.649999999999999" x14ac:dyDescent="0.5">
      <c r="D71" s="3" t="s">
        <v>115</v>
      </c>
    </row>
    <row r="72" spans="4:4" ht="17.649999999999999" x14ac:dyDescent="0.5">
      <c r="D72" s="3" t="s">
        <v>41</v>
      </c>
    </row>
    <row r="73" spans="4:4" ht="17.649999999999999" x14ac:dyDescent="0.5">
      <c r="D73" s="3" t="s">
        <v>75</v>
      </c>
    </row>
    <row r="74" spans="4:4" ht="17.649999999999999" x14ac:dyDescent="0.5">
      <c r="D74" s="3" t="s">
        <v>54</v>
      </c>
    </row>
    <row r="75" spans="4:4" ht="17.649999999999999" x14ac:dyDescent="0.5">
      <c r="D75" s="3" t="s">
        <v>61</v>
      </c>
    </row>
    <row r="76" spans="4:4" ht="17.649999999999999" x14ac:dyDescent="0.5">
      <c r="D76" s="3" t="s">
        <v>73</v>
      </c>
    </row>
    <row r="77" spans="4:4" ht="17.649999999999999" x14ac:dyDescent="0.5">
      <c r="D77" s="3" t="s">
        <v>59</v>
      </c>
    </row>
    <row r="78" spans="4:4" ht="17.649999999999999" x14ac:dyDescent="0.5">
      <c r="D78" s="3" t="s">
        <v>94</v>
      </c>
    </row>
    <row r="79" spans="4:4" ht="17.649999999999999" x14ac:dyDescent="0.5">
      <c r="D79" s="3" t="s">
        <v>84</v>
      </c>
    </row>
    <row r="80" spans="4:4" ht="17.649999999999999" x14ac:dyDescent="0.5">
      <c r="D80" s="3" t="s">
        <v>65</v>
      </c>
    </row>
    <row r="81" spans="4:4" ht="17.649999999999999" x14ac:dyDescent="0.5">
      <c r="D81" s="3" t="s">
        <v>47</v>
      </c>
    </row>
    <row r="82" spans="4:4" ht="17.649999999999999" x14ac:dyDescent="0.5">
      <c r="D82" s="3" t="s">
        <v>98</v>
      </c>
    </row>
    <row r="83" spans="4:4" ht="17.649999999999999" x14ac:dyDescent="0.5">
      <c r="D83" s="3" t="s">
        <v>96</v>
      </c>
    </row>
    <row r="84" spans="4:4" ht="17.649999999999999" x14ac:dyDescent="0.5">
      <c r="D84" s="3" t="s">
        <v>87</v>
      </c>
    </row>
    <row r="85" spans="4:4" ht="17.649999999999999" x14ac:dyDescent="0.5">
      <c r="D85" s="3" t="s">
        <v>53</v>
      </c>
    </row>
    <row r="86" spans="4:4" ht="17.649999999999999" x14ac:dyDescent="0.5">
      <c r="D86" s="3" t="s">
        <v>43</v>
      </c>
    </row>
    <row r="87" spans="4:4" ht="17.649999999999999" x14ac:dyDescent="0.5">
      <c r="D87" s="3" t="s">
        <v>44</v>
      </c>
    </row>
    <row r="88" spans="4:4" ht="17.649999999999999" x14ac:dyDescent="0.5">
      <c r="D88" s="3" t="s">
        <v>94</v>
      </c>
    </row>
    <row r="89" spans="4:4" ht="17.649999999999999" x14ac:dyDescent="0.5">
      <c r="D89" s="3" t="s">
        <v>129</v>
      </c>
    </row>
    <row r="90" spans="4:4" ht="17.649999999999999" x14ac:dyDescent="0.5">
      <c r="D90" s="3" t="s">
        <v>74</v>
      </c>
    </row>
    <row r="91" spans="4:4" ht="17.649999999999999" x14ac:dyDescent="0.5">
      <c r="D91" s="3" t="s">
        <v>61</v>
      </c>
    </row>
    <row r="92" spans="4:4" ht="17.649999999999999" x14ac:dyDescent="0.5">
      <c r="D92" s="3" t="s">
        <v>59</v>
      </c>
    </row>
    <row r="93" spans="4:4" ht="17.649999999999999" x14ac:dyDescent="0.5">
      <c r="D93" s="3" t="s">
        <v>101</v>
      </c>
    </row>
    <row r="94" spans="4:4" ht="17.649999999999999" x14ac:dyDescent="0.5">
      <c r="D94" s="3" t="s">
        <v>92</v>
      </c>
    </row>
    <row r="95" spans="4:4" ht="17.649999999999999" x14ac:dyDescent="0.5">
      <c r="D95" s="3" t="s">
        <v>57</v>
      </c>
    </row>
    <row r="96" spans="4:4" ht="17.649999999999999" x14ac:dyDescent="0.5">
      <c r="D96" s="3" t="s">
        <v>53</v>
      </c>
    </row>
    <row r="97" spans="4:4" ht="17.649999999999999" x14ac:dyDescent="0.5">
      <c r="D97" s="3" t="s">
        <v>127</v>
      </c>
    </row>
    <row r="98" spans="4:4" ht="17.649999999999999" x14ac:dyDescent="0.5">
      <c r="D98" s="3" t="s">
        <v>112</v>
      </c>
    </row>
    <row r="99" spans="4:4" ht="17.649999999999999" x14ac:dyDescent="0.5">
      <c r="D99" s="3" t="s">
        <v>66</v>
      </c>
    </row>
    <row r="100" spans="4:4" ht="17.649999999999999" x14ac:dyDescent="0.5">
      <c r="D100" s="3" t="s">
        <v>87</v>
      </c>
    </row>
    <row r="101" spans="4:4" ht="17.649999999999999" x14ac:dyDescent="0.5">
      <c r="D101" s="3" t="s">
        <v>55</v>
      </c>
    </row>
    <row r="102" spans="4:4" ht="17.649999999999999" x14ac:dyDescent="0.5">
      <c r="D102" s="3" t="s">
        <v>75</v>
      </c>
    </row>
    <row r="103" spans="4:4" ht="17.649999999999999" x14ac:dyDescent="0.5">
      <c r="D103" s="3" t="s">
        <v>92</v>
      </c>
    </row>
    <row r="104" spans="4:4" ht="17.649999999999999" x14ac:dyDescent="0.5">
      <c r="D104" s="3" t="s">
        <v>115</v>
      </c>
    </row>
    <row r="105" spans="4:4" ht="17.649999999999999" x14ac:dyDescent="0.5">
      <c r="D105" s="3" t="s">
        <v>64</v>
      </c>
    </row>
    <row r="106" spans="4:4" ht="17.649999999999999" x14ac:dyDescent="0.5">
      <c r="D106" s="3" t="s">
        <v>54</v>
      </c>
    </row>
    <row r="107" spans="4:4" ht="17.649999999999999" x14ac:dyDescent="0.5">
      <c r="D107" s="3" t="s">
        <v>43</v>
      </c>
    </row>
    <row r="108" spans="4:4" ht="17.649999999999999" x14ac:dyDescent="0.5">
      <c r="D108" s="3" t="s">
        <v>109</v>
      </c>
    </row>
    <row r="109" spans="4:4" ht="17.649999999999999" x14ac:dyDescent="0.5">
      <c r="D109" s="3" t="s">
        <v>112</v>
      </c>
    </row>
    <row r="110" spans="4:4" ht="17.649999999999999" x14ac:dyDescent="0.5">
      <c r="D110" s="3" t="s">
        <v>62</v>
      </c>
    </row>
    <row r="111" spans="4:4" ht="17.649999999999999" x14ac:dyDescent="0.5">
      <c r="D111" s="3" t="s">
        <v>103</v>
      </c>
    </row>
    <row r="112" spans="4:4" ht="17.649999999999999" x14ac:dyDescent="0.5">
      <c r="D112" s="3" t="s">
        <v>121</v>
      </c>
    </row>
    <row r="113" spans="4:4" ht="17.649999999999999" x14ac:dyDescent="0.5">
      <c r="D113" s="3" t="s">
        <v>101</v>
      </c>
    </row>
    <row r="114" spans="4:4" ht="17.649999999999999" x14ac:dyDescent="0.5">
      <c r="D114" s="3" t="s">
        <v>59</v>
      </c>
    </row>
    <row r="115" spans="4:4" ht="17.649999999999999" x14ac:dyDescent="0.5">
      <c r="D115" s="3" t="s">
        <v>110</v>
      </c>
    </row>
    <row r="116" spans="4:4" ht="17.649999999999999" x14ac:dyDescent="0.5">
      <c r="D116" s="3" t="s">
        <v>65</v>
      </c>
    </row>
    <row r="117" spans="4:4" ht="17.649999999999999" x14ac:dyDescent="0.5">
      <c r="D117" s="3" t="s">
        <v>117</v>
      </c>
    </row>
    <row r="118" spans="4:4" ht="17.649999999999999" x14ac:dyDescent="0.5">
      <c r="D118" s="3" t="s">
        <v>66</v>
      </c>
    </row>
    <row r="119" spans="4:4" ht="17.649999999999999" x14ac:dyDescent="0.5">
      <c r="D119" s="3" t="s">
        <v>55</v>
      </c>
    </row>
    <row r="120" spans="4:4" ht="17.649999999999999" x14ac:dyDescent="0.5">
      <c r="D120" s="3" t="s">
        <v>74</v>
      </c>
    </row>
    <row r="121" spans="4:4" ht="17.649999999999999" x14ac:dyDescent="0.5">
      <c r="D121" s="3" t="s">
        <v>48</v>
      </c>
    </row>
    <row r="122" spans="4:4" ht="17.649999999999999" x14ac:dyDescent="0.5">
      <c r="D122" s="3" t="s">
        <v>95</v>
      </c>
    </row>
    <row r="123" spans="4:4" ht="17.649999999999999" x14ac:dyDescent="0.5">
      <c r="D123" s="3" t="s">
        <v>126</v>
      </c>
    </row>
    <row r="124" spans="4:4" ht="17.649999999999999" x14ac:dyDescent="0.5">
      <c r="D124" s="3" t="s">
        <v>85</v>
      </c>
    </row>
    <row r="125" spans="4:4" ht="17.649999999999999" x14ac:dyDescent="0.5">
      <c r="D125" s="3" t="s">
        <v>77</v>
      </c>
    </row>
    <row r="126" spans="4:4" ht="17.649999999999999" x14ac:dyDescent="0.5">
      <c r="D126" s="3" t="s">
        <v>53</v>
      </c>
    </row>
    <row r="127" spans="4:4" ht="17.649999999999999" x14ac:dyDescent="0.5">
      <c r="D127" s="3" t="s">
        <v>106</v>
      </c>
    </row>
    <row r="128" spans="4:4" ht="17.649999999999999" x14ac:dyDescent="0.5">
      <c r="D128" s="3" t="s">
        <v>61</v>
      </c>
    </row>
    <row r="129" spans="4:4" ht="17.649999999999999" x14ac:dyDescent="0.5">
      <c r="D129" s="3" t="s">
        <v>55</v>
      </c>
    </row>
    <row r="130" spans="4:4" ht="17.649999999999999" x14ac:dyDescent="0.5">
      <c r="D130" s="3" t="s">
        <v>118</v>
      </c>
    </row>
    <row r="131" spans="4:4" ht="17.649999999999999" x14ac:dyDescent="0.5">
      <c r="D131" s="3" t="s">
        <v>80</v>
      </c>
    </row>
    <row r="132" spans="4:4" ht="17.649999999999999" x14ac:dyDescent="0.5">
      <c r="D132" s="3" t="s">
        <v>75</v>
      </c>
    </row>
    <row r="133" spans="4:4" ht="17.649999999999999" x14ac:dyDescent="0.5">
      <c r="D133" s="3" t="s">
        <v>56</v>
      </c>
    </row>
    <row r="134" spans="4:4" ht="17.649999999999999" x14ac:dyDescent="0.5">
      <c r="D134" s="3" t="s">
        <v>121</v>
      </c>
    </row>
    <row r="135" spans="4:4" ht="17.649999999999999" x14ac:dyDescent="0.5">
      <c r="D135" s="3" t="s">
        <v>78</v>
      </c>
    </row>
    <row r="136" spans="4:4" ht="17.649999999999999" x14ac:dyDescent="0.5">
      <c r="D136" s="3" t="s">
        <v>43</v>
      </c>
    </row>
    <row r="137" spans="4:4" ht="17.649999999999999" x14ac:dyDescent="0.5">
      <c r="D137" s="3" t="s">
        <v>75</v>
      </c>
    </row>
    <row r="138" spans="4:4" ht="17.649999999999999" x14ac:dyDescent="0.5">
      <c r="D138" s="3" t="s">
        <v>113</v>
      </c>
    </row>
    <row r="139" spans="4:4" ht="17.649999999999999" x14ac:dyDescent="0.5">
      <c r="D139" s="3" t="s">
        <v>60</v>
      </c>
    </row>
    <row r="140" spans="4:4" ht="17.649999999999999" x14ac:dyDescent="0.5">
      <c r="D140" s="3" t="s">
        <v>84</v>
      </c>
    </row>
    <row r="141" spans="4:4" ht="17.649999999999999" x14ac:dyDescent="0.5">
      <c r="D141" s="3" t="s">
        <v>115</v>
      </c>
    </row>
    <row r="142" spans="4:4" ht="17.649999999999999" x14ac:dyDescent="0.5">
      <c r="D142" s="3" t="s">
        <v>54</v>
      </c>
    </row>
    <row r="143" spans="4:4" ht="17.649999999999999" x14ac:dyDescent="0.5">
      <c r="D143" s="3" t="s">
        <v>115</v>
      </c>
    </row>
    <row r="144" spans="4:4" ht="17.649999999999999" x14ac:dyDescent="0.5">
      <c r="D144" s="3" t="s">
        <v>65</v>
      </c>
    </row>
    <row r="145" spans="4:4" ht="17.649999999999999" x14ac:dyDescent="0.5">
      <c r="D145" s="3" t="s">
        <v>47</v>
      </c>
    </row>
    <row r="146" spans="4:4" ht="17.649999999999999" x14ac:dyDescent="0.5">
      <c r="D146" s="3" t="s">
        <v>55</v>
      </c>
    </row>
    <row r="147" spans="4:4" ht="17.649999999999999" x14ac:dyDescent="0.5">
      <c r="D147" s="3" t="s">
        <v>133</v>
      </c>
    </row>
    <row r="148" spans="4:4" ht="17.649999999999999" x14ac:dyDescent="0.5">
      <c r="D148" s="3" t="s">
        <v>75</v>
      </c>
    </row>
    <row r="149" spans="4:4" ht="17.649999999999999" x14ac:dyDescent="0.5">
      <c r="D149" s="3" t="s">
        <v>101</v>
      </c>
    </row>
    <row r="150" spans="4:4" ht="17.649999999999999" x14ac:dyDescent="0.5">
      <c r="D150" s="3" t="s">
        <v>75</v>
      </c>
    </row>
    <row r="151" spans="4:4" ht="17.649999999999999" x14ac:dyDescent="0.5">
      <c r="D151" s="3" t="s">
        <v>130</v>
      </c>
    </row>
    <row r="152" spans="4:4" ht="17.649999999999999" x14ac:dyDescent="0.5">
      <c r="D152" s="3" t="s">
        <v>57</v>
      </c>
    </row>
    <row r="153" spans="4:4" ht="17.649999999999999" x14ac:dyDescent="0.5">
      <c r="D153" s="3" t="s">
        <v>48</v>
      </c>
    </row>
    <row r="154" spans="4:4" ht="17.649999999999999" x14ac:dyDescent="0.5">
      <c r="D154" s="3" t="s">
        <v>96</v>
      </c>
    </row>
    <row r="155" spans="4:4" ht="17.649999999999999" x14ac:dyDescent="0.5">
      <c r="D155" s="3" t="s">
        <v>67</v>
      </c>
    </row>
    <row r="156" spans="4:4" ht="17.649999999999999" x14ac:dyDescent="0.5">
      <c r="D156" s="3" t="s">
        <v>56</v>
      </c>
    </row>
    <row r="157" spans="4:4" ht="17.649999999999999" x14ac:dyDescent="0.5">
      <c r="D157" s="3" t="s">
        <v>66</v>
      </c>
    </row>
    <row r="158" spans="4:4" ht="17.649999999999999" x14ac:dyDescent="0.5">
      <c r="D158" s="3" t="s">
        <v>41</v>
      </c>
    </row>
    <row r="159" spans="4:4" ht="17.649999999999999" x14ac:dyDescent="0.5">
      <c r="D159" s="3" t="s">
        <v>85</v>
      </c>
    </row>
    <row r="160" spans="4:4" ht="17.649999999999999" x14ac:dyDescent="0.5">
      <c r="D160" s="3" t="s">
        <v>59</v>
      </c>
    </row>
    <row r="161" spans="4:4" ht="17.649999999999999" x14ac:dyDescent="0.5">
      <c r="D161" s="3" t="s">
        <v>112</v>
      </c>
    </row>
    <row r="162" spans="4:4" ht="17.649999999999999" x14ac:dyDescent="0.5">
      <c r="D162" s="3" t="s">
        <v>90</v>
      </c>
    </row>
    <row r="163" spans="4:4" ht="17.649999999999999" x14ac:dyDescent="0.5">
      <c r="D163" s="3" t="s">
        <v>59</v>
      </c>
    </row>
    <row r="164" spans="4:4" ht="17.649999999999999" x14ac:dyDescent="0.5">
      <c r="D164" s="3" t="s">
        <v>50</v>
      </c>
    </row>
    <row r="165" spans="4:4" ht="17.649999999999999" x14ac:dyDescent="0.5">
      <c r="D165" s="3" t="s">
        <v>42</v>
      </c>
    </row>
    <row r="166" spans="4:4" ht="17.649999999999999" x14ac:dyDescent="0.5">
      <c r="D166" s="3" t="s">
        <v>51</v>
      </c>
    </row>
    <row r="167" spans="4:4" ht="17.649999999999999" x14ac:dyDescent="0.5">
      <c r="D167" s="3" t="s">
        <v>47</v>
      </c>
    </row>
    <row r="168" spans="4:4" ht="17.649999999999999" x14ac:dyDescent="0.5">
      <c r="D168" s="3" t="s">
        <v>55</v>
      </c>
    </row>
    <row r="169" spans="4:4" ht="17.649999999999999" x14ac:dyDescent="0.5">
      <c r="D169" s="3" t="s">
        <v>56</v>
      </c>
    </row>
    <row r="170" spans="4:4" ht="17.649999999999999" x14ac:dyDescent="0.5">
      <c r="D170" s="3" t="s">
        <v>54</v>
      </c>
    </row>
    <row r="171" spans="4:4" ht="17.649999999999999" x14ac:dyDescent="0.5">
      <c r="D171" s="3" t="s">
        <v>46</v>
      </c>
    </row>
    <row r="172" spans="4:4" ht="17.649999999999999" x14ac:dyDescent="0.5">
      <c r="D172" s="3" t="s">
        <v>115</v>
      </c>
    </row>
    <row r="173" spans="4:4" ht="17.649999999999999" x14ac:dyDescent="0.5">
      <c r="D173" s="3" t="s">
        <v>112</v>
      </c>
    </row>
    <row r="174" spans="4:4" ht="17.649999999999999" x14ac:dyDescent="0.5">
      <c r="D174" s="3" t="s">
        <v>70</v>
      </c>
    </row>
    <row r="175" spans="4:4" ht="17.649999999999999" x14ac:dyDescent="0.5">
      <c r="D175" s="3" t="s">
        <v>99</v>
      </c>
    </row>
    <row r="176" spans="4:4" ht="17.649999999999999" x14ac:dyDescent="0.5">
      <c r="D176" s="3" t="s">
        <v>63</v>
      </c>
    </row>
    <row r="177" spans="4:4" ht="17.649999999999999" x14ac:dyDescent="0.5">
      <c r="D177" s="3" t="s">
        <v>54</v>
      </c>
    </row>
    <row r="178" spans="4:4" ht="17.649999999999999" x14ac:dyDescent="0.5">
      <c r="D178" s="3" t="s">
        <v>52</v>
      </c>
    </row>
    <row r="179" spans="4:4" ht="17.649999999999999" x14ac:dyDescent="0.5">
      <c r="D179" s="3" t="s">
        <v>52</v>
      </c>
    </row>
    <row r="180" spans="4:4" ht="17.649999999999999" x14ac:dyDescent="0.5">
      <c r="D180" s="3" t="s">
        <v>108</v>
      </c>
    </row>
    <row r="181" spans="4:4" ht="17.649999999999999" x14ac:dyDescent="0.5">
      <c r="D181" s="3" t="s">
        <v>109</v>
      </c>
    </row>
    <row r="182" spans="4:4" ht="17.649999999999999" x14ac:dyDescent="0.5">
      <c r="D182" s="3" t="s">
        <v>48</v>
      </c>
    </row>
    <row r="183" spans="4:4" ht="17.649999999999999" x14ac:dyDescent="0.5">
      <c r="D183" s="3" t="s">
        <v>111</v>
      </c>
    </row>
    <row r="184" spans="4:4" ht="17.649999999999999" x14ac:dyDescent="0.5">
      <c r="D184" s="3" t="s">
        <v>73</v>
      </c>
    </row>
    <row r="185" spans="4:4" ht="17.649999999999999" x14ac:dyDescent="0.5">
      <c r="D185" s="3" t="s">
        <v>66</v>
      </c>
    </row>
    <row r="186" spans="4:4" ht="17.649999999999999" x14ac:dyDescent="0.5">
      <c r="D186" s="3" t="s">
        <v>49</v>
      </c>
    </row>
    <row r="187" spans="4:4" ht="17.649999999999999" x14ac:dyDescent="0.5">
      <c r="D187" s="3" t="s">
        <v>78</v>
      </c>
    </row>
    <row r="188" spans="4:4" ht="17.649999999999999" x14ac:dyDescent="0.5">
      <c r="D188" s="3" t="s">
        <v>101</v>
      </c>
    </row>
    <row r="189" spans="4:4" ht="17.649999999999999" x14ac:dyDescent="0.5">
      <c r="D189" s="3" t="s">
        <v>49</v>
      </c>
    </row>
    <row r="190" spans="4:4" ht="17.649999999999999" x14ac:dyDescent="0.5">
      <c r="D190" s="3" t="s">
        <v>67</v>
      </c>
    </row>
    <row r="191" spans="4:4" ht="17.649999999999999" x14ac:dyDescent="0.5">
      <c r="D191" s="3" t="s">
        <v>98</v>
      </c>
    </row>
    <row r="192" spans="4:4" ht="17.649999999999999" x14ac:dyDescent="0.5">
      <c r="D192" s="3" t="s">
        <v>54</v>
      </c>
    </row>
    <row r="193" spans="4:4" ht="17.649999999999999" x14ac:dyDescent="0.5">
      <c r="D193" s="3" t="s">
        <v>50</v>
      </c>
    </row>
    <row r="194" spans="4:4" ht="17.649999999999999" x14ac:dyDescent="0.5">
      <c r="D194" s="3" t="s">
        <v>63</v>
      </c>
    </row>
    <row r="195" spans="4:4" ht="17.649999999999999" x14ac:dyDescent="0.5">
      <c r="D195" s="3" t="s">
        <v>56</v>
      </c>
    </row>
    <row r="196" spans="4:4" ht="17.649999999999999" x14ac:dyDescent="0.5">
      <c r="D196" s="3" t="s">
        <v>107</v>
      </c>
    </row>
    <row r="197" spans="4:4" ht="17.649999999999999" x14ac:dyDescent="0.5">
      <c r="D197" s="3" t="s">
        <v>100</v>
      </c>
    </row>
    <row r="198" spans="4:4" ht="17.649999999999999" x14ac:dyDescent="0.5">
      <c r="D198" s="3" t="s">
        <v>130</v>
      </c>
    </row>
    <row r="199" spans="4:4" ht="17.649999999999999" x14ac:dyDescent="0.5">
      <c r="D199" s="3" t="s">
        <v>48</v>
      </c>
    </row>
    <row r="200" spans="4:4" ht="17.649999999999999" x14ac:dyDescent="0.5">
      <c r="D200" s="3" t="s">
        <v>47</v>
      </c>
    </row>
    <row r="201" spans="4:4" ht="17.649999999999999" x14ac:dyDescent="0.5">
      <c r="D201" s="3" t="s">
        <v>69</v>
      </c>
    </row>
    <row r="202" spans="4:4" ht="17.649999999999999" x14ac:dyDescent="0.5">
      <c r="D202" s="3" t="s">
        <v>57</v>
      </c>
    </row>
    <row r="203" spans="4:4" ht="17.649999999999999" x14ac:dyDescent="0.5">
      <c r="D203" s="3" t="s">
        <v>52</v>
      </c>
    </row>
    <row r="204" spans="4:4" ht="17.649999999999999" x14ac:dyDescent="0.5">
      <c r="D204" s="3" t="s">
        <v>109</v>
      </c>
    </row>
    <row r="205" spans="4:4" ht="17.649999999999999" x14ac:dyDescent="0.5">
      <c r="D205" s="3" t="s">
        <v>72</v>
      </c>
    </row>
    <row r="206" spans="4:4" ht="17.649999999999999" x14ac:dyDescent="0.5">
      <c r="D206" s="3" t="s">
        <v>54</v>
      </c>
    </row>
    <row r="207" spans="4:4" ht="17.649999999999999" x14ac:dyDescent="0.5">
      <c r="D207" s="3" t="s">
        <v>96</v>
      </c>
    </row>
    <row r="208" spans="4:4" ht="17.649999999999999" x14ac:dyDescent="0.5">
      <c r="D208" s="3" t="s">
        <v>98</v>
      </c>
    </row>
    <row r="209" spans="4:4" ht="17.649999999999999" x14ac:dyDescent="0.5">
      <c r="D209" s="3" t="s">
        <v>67</v>
      </c>
    </row>
    <row r="210" spans="4:4" ht="17.649999999999999" x14ac:dyDescent="0.5">
      <c r="D210" s="3" t="s">
        <v>84</v>
      </c>
    </row>
    <row r="211" spans="4:4" ht="17.649999999999999" x14ac:dyDescent="0.5">
      <c r="D211" s="3" t="s">
        <v>74</v>
      </c>
    </row>
    <row r="212" spans="4:4" ht="17.649999999999999" x14ac:dyDescent="0.5">
      <c r="D212" s="3" t="s">
        <v>82</v>
      </c>
    </row>
    <row r="213" spans="4:4" ht="17.649999999999999" x14ac:dyDescent="0.5">
      <c r="D213" s="3" t="s">
        <v>46</v>
      </c>
    </row>
    <row r="214" spans="4:4" ht="17.649999999999999" x14ac:dyDescent="0.5">
      <c r="D214" s="3" t="s">
        <v>115</v>
      </c>
    </row>
    <row r="215" spans="4:4" ht="17.649999999999999" x14ac:dyDescent="0.5">
      <c r="D215" s="3" t="s">
        <v>42</v>
      </c>
    </row>
    <row r="216" spans="4:4" ht="17.649999999999999" x14ac:dyDescent="0.5">
      <c r="D216" s="3" t="s">
        <v>108</v>
      </c>
    </row>
    <row r="217" spans="4:4" ht="17.649999999999999" x14ac:dyDescent="0.5">
      <c r="D217" s="3" t="s">
        <v>120</v>
      </c>
    </row>
    <row r="218" spans="4:4" ht="17.649999999999999" x14ac:dyDescent="0.5">
      <c r="D218" s="3" t="s">
        <v>59</v>
      </c>
    </row>
    <row r="219" spans="4:4" ht="17.649999999999999" x14ac:dyDescent="0.5">
      <c r="D219" s="3" t="s">
        <v>107</v>
      </c>
    </row>
    <row r="220" spans="4:4" ht="17.649999999999999" x14ac:dyDescent="0.5">
      <c r="D220" s="3" t="s">
        <v>63</v>
      </c>
    </row>
    <row r="221" spans="4:4" ht="17.649999999999999" x14ac:dyDescent="0.5">
      <c r="D221" s="3" t="s">
        <v>115</v>
      </c>
    </row>
    <row r="222" spans="4:4" ht="17.649999999999999" x14ac:dyDescent="0.5">
      <c r="D222" s="3" t="s">
        <v>55</v>
      </c>
    </row>
    <row r="223" spans="4:4" ht="17.649999999999999" x14ac:dyDescent="0.5">
      <c r="D223" s="3" t="s">
        <v>89</v>
      </c>
    </row>
    <row r="224" spans="4:4" ht="17.649999999999999" x14ac:dyDescent="0.5">
      <c r="D224" s="3" t="s">
        <v>47</v>
      </c>
    </row>
    <row r="225" spans="4:4" ht="17.649999999999999" x14ac:dyDescent="0.5">
      <c r="D225" s="3" t="s">
        <v>48</v>
      </c>
    </row>
    <row r="226" spans="4:4" ht="17.649999999999999" x14ac:dyDescent="0.5">
      <c r="D226" s="3" t="s">
        <v>115</v>
      </c>
    </row>
    <row r="227" spans="4:4" ht="17.649999999999999" x14ac:dyDescent="0.5">
      <c r="D227" s="3" t="s">
        <v>131</v>
      </c>
    </row>
    <row r="228" spans="4:4" ht="17.649999999999999" x14ac:dyDescent="0.5">
      <c r="D228" s="3" t="s">
        <v>64</v>
      </c>
    </row>
    <row r="229" spans="4:4" ht="17.649999999999999" x14ac:dyDescent="0.5">
      <c r="D229" s="3" t="s">
        <v>112</v>
      </c>
    </row>
    <row r="230" spans="4:4" ht="17.649999999999999" x14ac:dyDescent="0.5">
      <c r="D230" s="3" t="s">
        <v>61</v>
      </c>
    </row>
    <row r="231" spans="4:4" ht="17.649999999999999" x14ac:dyDescent="0.5">
      <c r="D231" s="3" t="s">
        <v>63</v>
      </c>
    </row>
    <row r="232" spans="4:4" ht="17.649999999999999" x14ac:dyDescent="0.5">
      <c r="D232" s="3" t="s">
        <v>74</v>
      </c>
    </row>
    <row r="233" spans="4:4" ht="17.649999999999999" x14ac:dyDescent="0.5">
      <c r="D233" s="3" t="s">
        <v>59</v>
      </c>
    </row>
    <row r="234" spans="4:4" ht="17.649999999999999" x14ac:dyDescent="0.5">
      <c r="D234" s="3" t="s">
        <v>77</v>
      </c>
    </row>
    <row r="235" spans="4:4" ht="17.649999999999999" x14ac:dyDescent="0.5">
      <c r="D235" s="3" t="s">
        <v>130</v>
      </c>
    </row>
    <row r="236" spans="4:4" ht="17.649999999999999" x14ac:dyDescent="0.5">
      <c r="D236" s="3" t="s">
        <v>57</v>
      </c>
    </row>
    <row r="237" spans="4:4" ht="17.649999999999999" x14ac:dyDescent="0.5">
      <c r="D237" s="3" t="s">
        <v>116</v>
      </c>
    </row>
    <row r="238" spans="4:4" ht="17.649999999999999" x14ac:dyDescent="0.5">
      <c r="D238" s="3" t="s">
        <v>84</v>
      </c>
    </row>
    <row r="239" spans="4:4" ht="17.649999999999999" x14ac:dyDescent="0.5">
      <c r="D239" s="3" t="s">
        <v>92</v>
      </c>
    </row>
    <row r="240" spans="4:4" ht="17.649999999999999" x14ac:dyDescent="0.5">
      <c r="D240" s="3" t="s">
        <v>112</v>
      </c>
    </row>
    <row r="241" spans="4:4" ht="17.649999999999999" x14ac:dyDescent="0.5">
      <c r="D241" s="3" t="s">
        <v>103</v>
      </c>
    </row>
    <row r="242" spans="4:4" ht="17.649999999999999" x14ac:dyDescent="0.5">
      <c r="D242" s="3" t="s">
        <v>56</v>
      </c>
    </row>
    <row r="243" spans="4:4" ht="17.649999999999999" x14ac:dyDescent="0.5">
      <c r="D243" s="3" t="s">
        <v>67</v>
      </c>
    </row>
    <row r="244" spans="4:4" ht="17.649999999999999" x14ac:dyDescent="0.5">
      <c r="D244" s="3" t="s">
        <v>94</v>
      </c>
    </row>
    <row r="245" spans="4:4" ht="17.649999999999999" x14ac:dyDescent="0.5">
      <c r="D245" s="3" t="s">
        <v>87</v>
      </c>
    </row>
    <row r="246" spans="4:4" ht="17.649999999999999" x14ac:dyDescent="0.5">
      <c r="D246" s="3" t="s">
        <v>84</v>
      </c>
    </row>
    <row r="247" spans="4:4" ht="17.649999999999999" x14ac:dyDescent="0.5">
      <c r="D247" s="3" t="s">
        <v>92</v>
      </c>
    </row>
    <row r="248" spans="4:4" ht="17.649999999999999" x14ac:dyDescent="0.5">
      <c r="D248" s="3" t="s">
        <v>126</v>
      </c>
    </row>
    <row r="249" spans="4:4" ht="17.649999999999999" x14ac:dyDescent="0.5">
      <c r="D249" s="3" t="s">
        <v>61</v>
      </c>
    </row>
    <row r="250" spans="4:4" ht="17.649999999999999" x14ac:dyDescent="0.5">
      <c r="D250" s="3" t="s">
        <v>68</v>
      </c>
    </row>
    <row r="251" spans="4:4" ht="17.649999999999999" x14ac:dyDescent="0.5">
      <c r="D251" s="3" t="s">
        <v>54</v>
      </c>
    </row>
    <row r="252" spans="4:4" ht="17.649999999999999" x14ac:dyDescent="0.5">
      <c r="D252" s="3" t="s">
        <v>126</v>
      </c>
    </row>
    <row r="253" spans="4:4" ht="17.649999999999999" x14ac:dyDescent="0.5">
      <c r="D253" s="3" t="s">
        <v>60</v>
      </c>
    </row>
    <row r="254" spans="4:4" ht="17.649999999999999" x14ac:dyDescent="0.5">
      <c r="D254" s="3" t="s">
        <v>85</v>
      </c>
    </row>
    <row r="255" spans="4:4" ht="17.649999999999999" x14ac:dyDescent="0.5">
      <c r="D255" s="3" t="s">
        <v>67</v>
      </c>
    </row>
    <row r="256" spans="4:4" ht="17.649999999999999" x14ac:dyDescent="0.5">
      <c r="D256" s="3" t="s">
        <v>101</v>
      </c>
    </row>
    <row r="257" spans="4:4" ht="17.649999999999999" x14ac:dyDescent="0.5">
      <c r="D257" s="3" t="s">
        <v>47</v>
      </c>
    </row>
    <row r="258" spans="4:4" ht="17.649999999999999" x14ac:dyDescent="0.5">
      <c r="D258" s="3" t="s">
        <v>73</v>
      </c>
    </row>
    <row r="259" spans="4:4" ht="17.649999999999999" x14ac:dyDescent="0.5">
      <c r="D259" s="3" t="s">
        <v>136</v>
      </c>
    </row>
    <row r="260" spans="4:4" ht="17.649999999999999" x14ac:dyDescent="0.5">
      <c r="D260" s="3" t="s">
        <v>50</v>
      </c>
    </row>
    <row r="261" spans="4:4" ht="17.649999999999999" x14ac:dyDescent="0.5">
      <c r="D261" s="3" t="s">
        <v>91</v>
      </c>
    </row>
    <row r="262" spans="4:4" ht="17.649999999999999" x14ac:dyDescent="0.5">
      <c r="D262" s="3" t="s">
        <v>98</v>
      </c>
    </row>
    <row r="263" spans="4:4" ht="17.649999999999999" x14ac:dyDescent="0.5">
      <c r="D263" s="3" t="s">
        <v>65</v>
      </c>
    </row>
    <row r="264" spans="4:4" ht="17.649999999999999" x14ac:dyDescent="0.5">
      <c r="D264" s="3" t="s">
        <v>57</v>
      </c>
    </row>
    <row r="265" spans="4:4" ht="17.649999999999999" x14ac:dyDescent="0.5">
      <c r="D265" s="3" t="s">
        <v>72</v>
      </c>
    </row>
    <row r="266" spans="4:4" ht="17.649999999999999" x14ac:dyDescent="0.5">
      <c r="D266" s="3" t="s">
        <v>49</v>
      </c>
    </row>
    <row r="267" spans="4:4" ht="17.649999999999999" x14ac:dyDescent="0.5">
      <c r="D267" s="3" t="s">
        <v>51</v>
      </c>
    </row>
    <row r="268" spans="4:4" ht="17.649999999999999" x14ac:dyDescent="0.5">
      <c r="D268" s="3" t="s">
        <v>117</v>
      </c>
    </row>
    <row r="269" spans="4:4" ht="17.649999999999999" x14ac:dyDescent="0.5">
      <c r="D269" s="3" t="s">
        <v>81</v>
      </c>
    </row>
    <row r="270" spans="4:4" ht="17.649999999999999" x14ac:dyDescent="0.5">
      <c r="D270" s="3" t="s">
        <v>54</v>
      </c>
    </row>
    <row r="271" spans="4:4" ht="17.649999999999999" x14ac:dyDescent="0.5">
      <c r="D271" s="3" t="s">
        <v>117</v>
      </c>
    </row>
    <row r="272" spans="4:4" ht="17.649999999999999" x14ac:dyDescent="0.5">
      <c r="D272" s="3" t="s">
        <v>80</v>
      </c>
    </row>
    <row r="273" spans="4:4" ht="17.649999999999999" x14ac:dyDescent="0.5">
      <c r="D273" s="3" t="s">
        <v>101</v>
      </c>
    </row>
    <row r="274" spans="4:4" ht="17.649999999999999" x14ac:dyDescent="0.5">
      <c r="D274" s="3" t="s">
        <v>61</v>
      </c>
    </row>
    <row r="275" spans="4:4" ht="17.649999999999999" x14ac:dyDescent="0.5">
      <c r="D275" s="3" t="s">
        <v>49</v>
      </c>
    </row>
    <row r="276" spans="4:4" ht="17.649999999999999" x14ac:dyDescent="0.5">
      <c r="D276" s="3" t="s">
        <v>93</v>
      </c>
    </row>
    <row r="277" spans="4:4" ht="17.649999999999999" x14ac:dyDescent="0.5">
      <c r="D277" s="3" t="s">
        <v>96</v>
      </c>
    </row>
    <row r="278" spans="4:4" ht="17.649999999999999" x14ac:dyDescent="0.5">
      <c r="D278" s="3" t="s">
        <v>83</v>
      </c>
    </row>
    <row r="279" spans="4:4" ht="17.649999999999999" x14ac:dyDescent="0.5">
      <c r="D279" s="3" t="s">
        <v>65</v>
      </c>
    </row>
    <row r="280" spans="4:4" ht="17.649999999999999" x14ac:dyDescent="0.5">
      <c r="D280" s="3" t="s">
        <v>105</v>
      </c>
    </row>
    <row r="281" spans="4:4" ht="17.649999999999999" x14ac:dyDescent="0.5">
      <c r="D281" s="3" t="s">
        <v>93</v>
      </c>
    </row>
    <row r="282" spans="4:4" ht="17.649999999999999" x14ac:dyDescent="0.5">
      <c r="D282" s="3" t="s">
        <v>117</v>
      </c>
    </row>
    <row r="283" spans="4:4" ht="17.649999999999999" x14ac:dyDescent="0.5">
      <c r="D283" s="3" t="s">
        <v>95</v>
      </c>
    </row>
    <row r="284" spans="4:4" ht="17.649999999999999" x14ac:dyDescent="0.5">
      <c r="D284" s="3" t="s">
        <v>81</v>
      </c>
    </row>
    <row r="285" spans="4:4" ht="17.649999999999999" x14ac:dyDescent="0.5">
      <c r="D285" s="3" t="s">
        <v>63</v>
      </c>
    </row>
    <row r="286" spans="4:4" ht="17.649999999999999" x14ac:dyDescent="0.5">
      <c r="D286" s="3" t="s">
        <v>41</v>
      </c>
    </row>
    <row r="287" spans="4:4" ht="17.649999999999999" x14ac:dyDescent="0.5">
      <c r="D287" s="3" t="s">
        <v>69</v>
      </c>
    </row>
    <row r="288" spans="4:4" ht="17.649999999999999" x14ac:dyDescent="0.5">
      <c r="D288" s="3" t="s">
        <v>96</v>
      </c>
    </row>
    <row r="289" spans="4:4" ht="17.649999999999999" x14ac:dyDescent="0.5">
      <c r="D289" s="3" t="s">
        <v>78</v>
      </c>
    </row>
    <row r="290" spans="4:4" ht="17.649999999999999" x14ac:dyDescent="0.5">
      <c r="D290" s="3" t="s">
        <v>74</v>
      </c>
    </row>
    <row r="291" spans="4:4" ht="17.649999999999999" x14ac:dyDescent="0.5">
      <c r="D291" s="3" t="s">
        <v>56</v>
      </c>
    </row>
    <row r="292" spans="4:4" ht="17.649999999999999" x14ac:dyDescent="0.5">
      <c r="D292" s="3" t="s">
        <v>96</v>
      </c>
    </row>
    <row r="293" spans="4:4" ht="17.649999999999999" x14ac:dyDescent="0.5">
      <c r="D293" s="3" t="s">
        <v>69</v>
      </c>
    </row>
    <row r="294" spans="4:4" ht="17.649999999999999" x14ac:dyDescent="0.5">
      <c r="D294" s="3" t="s">
        <v>59</v>
      </c>
    </row>
    <row r="295" spans="4:4" ht="17.649999999999999" x14ac:dyDescent="0.5">
      <c r="D295" s="3" t="s">
        <v>94</v>
      </c>
    </row>
    <row r="296" spans="4:4" ht="17.649999999999999" x14ac:dyDescent="0.5">
      <c r="D296" s="3" t="s">
        <v>64</v>
      </c>
    </row>
    <row r="297" spans="4:4" ht="17.649999999999999" x14ac:dyDescent="0.5">
      <c r="D297" s="3" t="s">
        <v>55</v>
      </c>
    </row>
    <row r="298" spans="4:4" ht="17.649999999999999" x14ac:dyDescent="0.5">
      <c r="D298" s="3" t="s">
        <v>47</v>
      </c>
    </row>
    <row r="299" spans="4:4" ht="17.649999999999999" x14ac:dyDescent="0.5">
      <c r="D299" s="3" t="s">
        <v>96</v>
      </c>
    </row>
    <row r="300" spans="4:4" ht="17.649999999999999" x14ac:dyDescent="0.5">
      <c r="D300" s="3" t="s">
        <v>52</v>
      </c>
    </row>
    <row r="301" spans="4:4" ht="17.649999999999999" x14ac:dyDescent="0.5">
      <c r="D301" s="3" t="s">
        <v>41</v>
      </c>
    </row>
    <row r="302" spans="4:4" ht="17.649999999999999" x14ac:dyDescent="0.5">
      <c r="D302" s="3" t="s">
        <v>51</v>
      </c>
    </row>
    <row r="303" spans="4:4" ht="17.649999999999999" x14ac:dyDescent="0.5">
      <c r="D303" s="3" t="s">
        <v>97</v>
      </c>
    </row>
    <row r="304" spans="4:4" ht="17.649999999999999" x14ac:dyDescent="0.5">
      <c r="D304" s="3" t="s">
        <v>80</v>
      </c>
    </row>
    <row r="305" spans="4:4" ht="17.649999999999999" x14ac:dyDescent="0.5">
      <c r="D305" s="3" t="s">
        <v>115</v>
      </c>
    </row>
    <row r="306" spans="4:4" ht="17.649999999999999" x14ac:dyDescent="0.5">
      <c r="D306" s="3" t="s">
        <v>78</v>
      </c>
    </row>
    <row r="307" spans="4:4" ht="17.649999999999999" x14ac:dyDescent="0.5">
      <c r="D307" s="3" t="s">
        <v>105</v>
      </c>
    </row>
    <row r="308" spans="4:4" ht="17.649999999999999" x14ac:dyDescent="0.5">
      <c r="D308" s="3" t="s">
        <v>57</v>
      </c>
    </row>
    <row r="309" spans="4:4" ht="17.649999999999999" x14ac:dyDescent="0.5">
      <c r="D309" s="3" t="s">
        <v>86</v>
      </c>
    </row>
    <row r="310" spans="4:4" ht="17.649999999999999" x14ac:dyDescent="0.5">
      <c r="D310" s="3" t="s">
        <v>63</v>
      </c>
    </row>
    <row r="311" spans="4:4" ht="17.649999999999999" x14ac:dyDescent="0.5">
      <c r="D311" s="3" t="s">
        <v>77</v>
      </c>
    </row>
    <row r="312" spans="4:4" ht="17.649999999999999" x14ac:dyDescent="0.5">
      <c r="D312" s="3" t="s">
        <v>41</v>
      </c>
    </row>
    <row r="313" spans="4:4" ht="17.649999999999999" x14ac:dyDescent="0.5">
      <c r="D313" s="3" t="s">
        <v>85</v>
      </c>
    </row>
    <row r="314" spans="4:4" ht="17.649999999999999" x14ac:dyDescent="0.5">
      <c r="D314" s="3" t="s">
        <v>74</v>
      </c>
    </row>
    <row r="315" spans="4:4" ht="17.649999999999999" x14ac:dyDescent="0.5">
      <c r="D315" s="3" t="s">
        <v>46</v>
      </c>
    </row>
    <row r="316" spans="4:4" ht="17.649999999999999" x14ac:dyDescent="0.5">
      <c r="D316" s="3" t="s">
        <v>59</v>
      </c>
    </row>
    <row r="317" spans="4:4" ht="17.649999999999999" x14ac:dyDescent="0.5">
      <c r="D317" s="3" t="s">
        <v>48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56</v>
      </c>
    </row>
    <row r="320" spans="4:4" ht="17.649999999999999" x14ac:dyDescent="0.5">
      <c r="D320" s="3" t="s">
        <v>110</v>
      </c>
    </row>
    <row r="321" spans="4:4" ht="17.649999999999999" x14ac:dyDescent="0.5">
      <c r="D321" s="3" t="s">
        <v>121</v>
      </c>
    </row>
    <row r="322" spans="4:4" ht="17.649999999999999" x14ac:dyDescent="0.5">
      <c r="D322" s="3" t="s">
        <v>87</v>
      </c>
    </row>
    <row r="323" spans="4:4" ht="17.649999999999999" x14ac:dyDescent="0.5">
      <c r="D323" s="3" t="s">
        <v>88</v>
      </c>
    </row>
    <row r="324" spans="4:4" ht="17.649999999999999" x14ac:dyDescent="0.5">
      <c r="D324" s="3" t="s">
        <v>94</v>
      </c>
    </row>
    <row r="325" spans="4:4" ht="17.649999999999999" x14ac:dyDescent="0.5">
      <c r="D325" s="3" t="s">
        <v>103</v>
      </c>
    </row>
    <row r="326" spans="4:4" ht="17.649999999999999" x14ac:dyDescent="0.5">
      <c r="D326" s="3" t="s">
        <v>112</v>
      </c>
    </row>
    <row r="327" spans="4:4" ht="17.649999999999999" x14ac:dyDescent="0.5">
      <c r="D327" s="3" t="s">
        <v>59</v>
      </c>
    </row>
    <row r="328" spans="4:4" ht="17.649999999999999" x14ac:dyDescent="0.5">
      <c r="D328" s="3" t="s">
        <v>90</v>
      </c>
    </row>
    <row r="329" spans="4:4" ht="17.649999999999999" x14ac:dyDescent="0.5">
      <c r="D329" s="3" t="s">
        <v>120</v>
      </c>
    </row>
    <row r="330" spans="4:4" ht="17.649999999999999" x14ac:dyDescent="0.5">
      <c r="D330" s="3" t="s">
        <v>96</v>
      </c>
    </row>
    <row r="331" spans="4:4" ht="17.649999999999999" x14ac:dyDescent="0.5">
      <c r="D331" s="3" t="s">
        <v>44</v>
      </c>
    </row>
    <row r="332" spans="4:4" ht="17.649999999999999" x14ac:dyDescent="0.5">
      <c r="D332" s="3" t="s">
        <v>93</v>
      </c>
    </row>
    <row r="333" spans="4:4" ht="17.649999999999999" x14ac:dyDescent="0.5">
      <c r="D333" s="3" t="s">
        <v>75</v>
      </c>
    </row>
    <row r="334" spans="4:4" ht="17.649999999999999" x14ac:dyDescent="0.5">
      <c r="D334" s="3" t="s">
        <v>56</v>
      </c>
    </row>
    <row r="335" spans="4:4" ht="17.649999999999999" x14ac:dyDescent="0.5">
      <c r="D335" s="3" t="s">
        <v>88</v>
      </c>
    </row>
    <row r="336" spans="4:4" ht="17.649999999999999" x14ac:dyDescent="0.5">
      <c r="D336" s="3" t="s">
        <v>43</v>
      </c>
    </row>
    <row r="337" spans="4:4" ht="17.649999999999999" x14ac:dyDescent="0.5">
      <c r="D337" s="3" t="s">
        <v>108</v>
      </c>
    </row>
    <row r="338" spans="4:4" ht="17.649999999999999" x14ac:dyDescent="0.5">
      <c r="D338" s="3" t="s">
        <v>64</v>
      </c>
    </row>
    <row r="339" spans="4:4" ht="17.649999999999999" x14ac:dyDescent="0.5">
      <c r="D339" s="3" t="s">
        <v>105</v>
      </c>
    </row>
    <row r="340" spans="4:4" ht="17.649999999999999" x14ac:dyDescent="0.5">
      <c r="D340" s="3" t="s">
        <v>109</v>
      </c>
    </row>
    <row r="341" spans="4:4" ht="17.649999999999999" x14ac:dyDescent="0.5">
      <c r="D341" s="3" t="s">
        <v>90</v>
      </c>
    </row>
    <row r="342" spans="4:4" ht="17.649999999999999" x14ac:dyDescent="0.5">
      <c r="D342" s="3" t="s">
        <v>91</v>
      </c>
    </row>
    <row r="343" spans="4:4" ht="17.649999999999999" x14ac:dyDescent="0.5">
      <c r="D343" s="3" t="s">
        <v>106</v>
      </c>
    </row>
    <row r="344" spans="4:4" ht="17.649999999999999" x14ac:dyDescent="0.5">
      <c r="D344" s="3" t="s">
        <v>64</v>
      </c>
    </row>
    <row r="345" spans="4:4" ht="17.649999999999999" x14ac:dyDescent="0.5">
      <c r="D345" s="3" t="s">
        <v>104</v>
      </c>
    </row>
    <row r="346" spans="4:4" ht="17.649999999999999" x14ac:dyDescent="0.5">
      <c r="D346" s="3" t="s">
        <v>83</v>
      </c>
    </row>
    <row r="347" spans="4:4" ht="17.649999999999999" x14ac:dyDescent="0.5">
      <c r="D347" s="3" t="s">
        <v>75</v>
      </c>
    </row>
    <row r="348" spans="4:4" ht="17.649999999999999" x14ac:dyDescent="0.5">
      <c r="D348" s="3" t="s">
        <v>69</v>
      </c>
    </row>
    <row r="349" spans="4:4" ht="17.649999999999999" x14ac:dyDescent="0.5">
      <c r="D349" s="3" t="s">
        <v>87</v>
      </c>
    </row>
    <row r="350" spans="4:4" ht="17.649999999999999" x14ac:dyDescent="0.5">
      <c r="D350" s="3" t="s">
        <v>102</v>
      </c>
    </row>
    <row r="351" spans="4:4" ht="17.649999999999999" x14ac:dyDescent="0.5">
      <c r="D351" s="3" t="s">
        <v>68</v>
      </c>
    </row>
    <row r="352" spans="4:4" ht="17.649999999999999" x14ac:dyDescent="0.5">
      <c r="D352" s="3" t="s">
        <v>43</v>
      </c>
    </row>
    <row r="353" spans="4:4" ht="17.649999999999999" x14ac:dyDescent="0.5">
      <c r="D353" s="3" t="s">
        <v>66</v>
      </c>
    </row>
    <row r="354" spans="4:4" ht="17.649999999999999" x14ac:dyDescent="0.5">
      <c r="D354" s="3" t="s">
        <v>117</v>
      </c>
    </row>
    <row r="355" spans="4:4" ht="17.649999999999999" x14ac:dyDescent="0.5">
      <c r="D355" s="3" t="s">
        <v>80</v>
      </c>
    </row>
    <row r="356" spans="4:4" ht="17.649999999999999" x14ac:dyDescent="0.5">
      <c r="D356" s="3" t="s">
        <v>108</v>
      </c>
    </row>
    <row r="357" spans="4:4" ht="17.649999999999999" x14ac:dyDescent="0.5">
      <c r="D357" s="3" t="s">
        <v>78</v>
      </c>
    </row>
    <row r="358" spans="4:4" ht="17.649999999999999" x14ac:dyDescent="0.5">
      <c r="D358" s="3" t="s">
        <v>111</v>
      </c>
    </row>
    <row r="359" spans="4:4" ht="17.649999999999999" x14ac:dyDescent="0.5">
      <c r="D359" s="3" t="s">
        <v>63</v>
      </c>
    </row>
    <row r="360" spans="4:4" ht="17.649999999999999" x14ac:dyDescent="0.5">
      <c r="D360" s="3" t="s">
        <v>59</v>
      </c>
    </row>
    <row r="361" spans="4:4" ht="17.649999999999999" x14ac:dyDescent="0.5">
      <c r="D361" s="3" t="s">
        <v>53</v>
      </c>
    </row>
    <row r="362" spans="4:4" ht="17.649999999999999" x14ac:dyDescent="0.5">
      <c r="D362" s="3" t="s">
        <v>49</v>
      </c>
    </row>
    <row r="363" spans="4:4" ht="17.649999999999999" x14ac:dyDescent="0.5">
      <c r="D363" s="3" t="s">
        <v>117</v>
      </c>
    </row>
    <row r="364" spans="4:4" ht="17.649999999999999" x14ac:dyDescent="0.5">
      <c r="D364" s="3" t="s">
        <v>107</v>
      </c>
    </row>
    <row r="365" spans="4:4" ht="17.649999999999999" x14ac:dyDescent="0.5">
      <c r="D365" s="3" t="s">
        <v>65</v>
      </c>
    </row>
    <row r="366" spans="4:4" ht="17.649999999999999" x14ac:dyDescent="0.5">
      <c r="D366" s="3" t="s">
        <v>96</v>
      </c>
    </row>
    <row r="367" spans="4:4" ht="17.649999999999999" x14ac:dyDescent="0.5">
      <c r="D367" s="3" t="s">
        <v>91</v>
      </c>
    </row>
    <row r="368" spans="4:4" ht="17.649999999999999" x14ac:dyDescent="0.5">
      <c r="D368" s="3" t="s">
        <v>123</v>
      </c>
    </row>
    <row r="369" spans="4:4" ht="17.649999999999999" x14ac:dyDescent="0.5">
      <c r="D369" s="3" t="s">
        <v>57</v>
      </c>
    </row>
    <row r="370" spans="4:4" ht="17.649999999999999" x14ac:dyDescent="0.5">
      <c r="D370" s="3" t="s">
        <v>106</v>
      </c>
    </row>
    <row r="371" spans="4:4" ht="17.649999999999999" x14ac:dyDescent="0.5">
      <c r="D371" s="3" t="s">
        <v>41</v>
      </c>
    </row>
    <row r="372" spans="4:4" ht="17.649999999999999" x14ac:dyDescent="0.5">
      <c r="D372" s="3" t="s">
        <v>64</v>
      </c>
    </row>
    <row r="373" spans="4:4" ht="17.649999999999999" x14ac:dyDescent="0.5">
      <c r="D373" s="3" t="s">
        <v>78</v>
      </c>
    </row>
    <row r="374" spans="4:4" ht="17.649999999999999" x14ac:dyDescent="0.5">
      <c r="D374" s="3" t="s">
        <v>97</v>
      </c>
    </row>
    <row r="375" spans="4:4" ht="17.649999999999999" x14ac:dyDescent="0.5">
      <c r="D375" s="3" t="s">
        <v>115</v>
      </c>
    </row>
    <row r="376" spans="4:4" ht="17.649999999999999" x14ac:dyDescent="0.5">
      <c r="D376" s="3" t="s">
        <v>75</v>
      </c>
    </row>
    <row r="377" spans="4:4" ht="17.649999999999999" x14ac:dyDescent="0.5">
      <c r="D377" s="3" t="s">
        <v>53</v>
      </c>
    </row>
    <row r="378" spans="4:4" ht="17.649999999999999" x14ac:dyDescent="0.5">
      <c r="D378" s="3" t="s">
        <v>103</v>
      </c>
    </row>
    <row r="379" spans="4:4" ht="17.649999999999999" x14ac:dyDescent="0.5">
      <c r="D379" s="3" t="s">
        <v>134</v>
      </c>
    </row>
    <row r="380" spans="4:4" ht="17.649999999999999" x14ac:dyDescent="0.5">
      <c r="D380" s="3" t="s">
        <v>68</v>
      </c>
    </row>
    <row r="381" spans="4:4" ht="17.649999999999999" x14ac:dyDescent="0.5">
      <c r="D381" s="3" t="s">
        <v>66</v>
      </c>
    </row>
    <row r="382" spans="4:4" ht="17.649999999999999" x14ac:dyDescent="0.5">
      <c r="D382" s="3" t="s">
        <v>90</v>
      </c>
    </row>
    <row r="383" spans="4:4" ht="17.649999999999999" x14ac:dyDescent="0.5">
      <c r="D383" s="3" t="s">
        <v>80</v>
      </c>
    </row>
    <row r="384" spans="4:4" ht="17.649999999999999" x14ac:dyDescent="0.5">
      <c r="D384" s="3" t="s">
        <v>84</v>
      </c>
    </row>
    <row r="385" spans="4:4" ht="17.649999999999999" x14ac:dyDescent="0.5">
      <c r="D385" s="3" t="s">
        <v>108</v>
      </c>
    </row>
    <row r="386" spans="4:4" ht="17.649999999999999" x14ac:dyDescent="0.5">
      <c r="D386" s="3" t="s">
        <v>92</v>
      </c>
    </row>
    <row r="387" spans="4:4" ht="17.649999999999999" x14ac:dyDescent="0.5">
      <c r="D387" s="3" t="s">
        <v>91</v>
      </c>
    </row>
    <row r="388" spans="4:4" ht="17.649999999999999" x14ac:dyDescent="0.5">
      <c r="D388" s="3" t="s">
        <v>56</v>
      </c>
    </row>
    <row r="389" spans="4:4" ht="17.649999999999999" x14ac:dyDescent="0.5">
      <c r="D389" s="3" t="s">
        <v>94</v>
      </c>
    </row>
    <row r="390" spans="4:4" ht="17.649999999999999" x14ac:dyDescent="0.5">
      <c r="D390" s="3" t="s">
        <v>57</v>
      </c>
    </row>
    <row r="391" spans="4:4" ht="17.649999999999999" x14ac:dyDescent="0.5">
      <c r="D391" s="3" t="s">
        <v>101</v>
      </c>
    </row>
    <row r="392" spans="4:4" ht="17.649999999999999" x14ac:dyDescent="0.5">
      <c r="D392" s="3" t="s">
        <v>91</v>
      </c>
    </row>
    <row r="393" spans="4:4" ht="17.649999999999999" x14ac:dyDescent="0.5">
      <c r="D393" s="3" t="s">
        <v>48</v>
      </c>
    </row>
    <row r="394" spans="4:4" ht="17.649999999999999" x14ac:dyDescent="0.5">
      <c r="D394" s="3" t="s">
        <v>112</v>
      </c>
    </row>
    <row r="395" spans="4:4" ht="17.649999999999999" x14ac:dyDescent="0.5">
      <c r="D395" s="3" t="s">
        <v>131</v>
      </c>
    </row>
    <row r="396" spans="4:4" ht="17.649999999999999" x14ac:dyDescent="0.5">
      <c r="D396" s="3" t="s">
        <v>50</v>
      </c>
    </row>
    <row r="397" spans="4:4" ht="17.649999999999999" x14ac:dyDescent="0.5">
      <c r="D397" s="3" t="s">
        <v>111</v>
      </c>
    </row>
    <row r="398" spans="4:4" ht="17.649999999999999" x14ac:dyDescent="0.5">
      <c r="D398" s="3" t="s">
        <v>107</v>
      </c>
    </row>
    <row r="399" spans="4:4" ht="17.649999999999999" x14ac:dyDescent="0.5">
      <c r="D399" s="3" t="s">
        <v>54</v>
      </c>
    </row>
    <row r="400" spans="4:4" ht="17.649999999999999" x14ac:dyDescent="0.5">
      <c r="D400" s="3" t="s">
        <v>130</v>
      </c>
    </row>
    <row r="401" spans="4:4" ht="17.649999999999999" x14ac:dyDescent="0.5">
      <c r="D401" s="3" t="s">
        <v>109</v>
      </c>
    </row>
    <row r="402" spans="4:4" ht="17.649999999999999" x14ac:dyDescent="0.5">
      <c r="D402" s="3" t="s">
        <v>91</v>
      </c>
    </row>
    <row r="403" spans="4:4" ht="17.649999999999999" x14ac:dyDescent="0.5">
      <c r="D403" s="3" t="s">
        <v>61</v>
      </c>
    </row>
    <row r="404" spans="4:4" ht="17.649999999999999" x14ac:dyDescent="0.5">
      <c r="D404" s="3" t="s">
        <v>91</v>
      </c>
    </row>
    <row r="405" spans="4:4" ht="17.649999999999999" x14ac:dyDescent="0.5">
      <c r="D405" s="3" t="s">
        <v>107</v>
      </c>
    </row>
    <row r="406" spans="4:4" ht="17.649999999999999" x14ac:dyDescent="0.5">
      <c r="D406" s="3" t="s">
        <v>82</v>
      </c>
    </row>
    <row r="407" spans="4:4" ht="17.649999999999999" x14ac:dyDescent="0.5">
      <c r="D407" s="3" t="s">
        <v>76</v>
      </c>
    </row>
    <row r="408" spans="4:4" ht="17.649999999999999" x14ac:dyDescent="0.5">
      <c r="D408" s="3" t="s">
        <v>112</v>
      </c>
    </row>
    <row r="409" spans="4:4" ht="17.649999999999999" x14ac:dyDescent="0.5">
      <c r="D409" s="3" t="s">
        <v>103</v>
      </c>
    </row>
    <row r="410" spans="4:4" ht="17.649999999999999" x14ac:dyDescent="0.5">
      <c r="D410" s="3" t="s">
        <v>87</v>
      </c>
    </row>
    <row r="411" spans="4:4" ht="17.649999999999999" x14ac:dyDescent="0.5">
      <c r="D411" s="3" t="s">
        <v>77</v>
      </c>
    </row>
    <row r="412" spans="4:4" ht="17.649999999999999" x14ac:dyDescent="0.5">
      <c r="D412" s="3" t="s">
        <v>96</v>
      </c>
    </row>
    <row r="413" spans="4:4" ht="17.649999999999999" x14ac:dyDescent="0.5">
      <c r="D413" s="3" t="s">
        <v>130</v>
      </c>
    </row>
    <row r="414" spans="4:4" ht="17.649999999999999" x14ac:dyDescent="0.5">
      <c r="D414" s="3" t="s">
        <v>46</v>
      </c>
    </row>
    <row r="415" spans="4:4" ht="17.649999999999999" x14ac:dyDescent="0.5">
      <c r="D415" s="3" t="s">
        <v>55</v>
      </c>
    </row>
    <row r="416" spans="4:4" ht="17.649999999999999" x14ac:dyDescent="0.5">
      <c r="D416" s="3" t="s">
        <v>97</v>
      </c>
    </row>
    <row r="417" spans="4:4" ht="17.649999999999999" x14ac:dyDescent="0.5">
      <c r="D417" s="3" t="s">
        <v>120</v>
      </c>
    </row>
    <row r="418" spans="4:4" ht="17.649999999999999" x14ac:dyDescent="0.5">
      <c r="D418" s="3" t="s">
        <v>101</v>
      </c>
    </row>
    <row r="419" spans="4:4" ht="17.649999999999999" x14ac:dyDescent="0.5">
      <c r="D419" s="3" t="s">
        <v>43</v>
      </c>
    </row>
    <row r="420" spans="4:4" ht="17.649999999999999" x14ac:dyDescent="0.5">
      <c r="D420" s="3" t="s">
        <v>67</v>
      </c>
    </row>
    <row r="421" spans="4:4" ht="17.649999999999999" x14ac:dyDescent="0.5">
      <c r="D421" s="3" t="s">
        <v>94</v>
      </c>
    </row>
    <row r="422" spans="4:4" ht="17.649999999999999" x14ac:dyDescent="0.5">
      <c r="D422" s="3" t="s">
        <v>103</v>
      </c>
    </row>
    <row r="423" spans="4:4" ht="17.649999999999999" x14ac:dyDescent="0.5">
      <c r="D423" s="3" t="s">
        <v>105</v>
      </c>
    </row>
    <row r="424" spans="4:4" ht="17.649999999999999" x14ac:dyDescent="0.5">
      <c r="D424" s="3" t="s">
        <v>135</v>
      </c>
    </row>
    <row r="425" spans="4:4" ht="17.649999999999999" x14ac:dyDescent="0.5">
      <c r="D425" s="3" t="s">
        <v>56</v>
      </c>
    </row>
    <row r="426" spans="4:4" ht="17.649999999999999" x14ac:dyDescent="0.5">
      <c r="D426" s="3" t="s">
        <v>119</v>
      </c>
    </row>
    <row r="427" spans="4:4" ht="17.649999999999999" x14ac:dyDescent="0.5">
      <c r="D427" s="3" t="s">
        <v>112</v>
      </c>
    </row>
    <row r="428" spans="4:4" ht="17.649999999999999" x14ac:dyDescent="0.5">
      <c r="D428" s="3" t="s">
        <v>122</v>
      </c>
    </row>
    <row r="429" spans="4:4" ht="17.649999999999999" x14ac:dyDescent="0.5">
      <c r="D429" s="3" t="s">
        <v>77</v>
      </c>
    </row>
    <row r="430" spans="4:4" ht="17.649999999999999" x14ac:dyDescent="0.5">
      <c r="D430" s="3" t="s">
        <v>67</v>
      </c>
    </row>
    <row r="431" spans="4:4" ht="17.649999999999999" x14ac:dyDescent="0.5">
      <c r="D431" s="3" t="s">
        <v>71</v>
      </c>
    </row>
    <row r="432" spans="4:4" ht="17.649999999999999" x14ac:dyDescent="0.5">
      <c r="D432" s="3" t="s">
        <v>78</v>
      </c>
    </row>
    <row r="433" spans="4:4" ht="17.649999999999999" x14ac:dyDescent="0.5">
      <c r="D433" s="3" t="s">
        <v>65</v>
      </c>
    </row>
    <row r="434" spans="4:4" ht="17.649999999999999" x14ac:dyDescent="0.5">
      <c r="D434" s="3" t="s">
        <v>125</v>
      </c>
    </row>
    <row r="435" spans="4:4" ht="17.649999999999999" x14ac:dyDescent="0.5">
      <c r="D435" s="3" t="s">
        <v>91</v>
      </c>
    </row>
    <row r="436" spans="4:4" ht="17.649999999999999" x14ac:dyDescent="0.5">
      <c r="D436" s="3" t="s">
        <v>105</v>
      </c>
    </row>
    <row r="437" spans="4:4" ht="17.649999999999999" x14ac:dyDescent="0.5">
      <c r="D437" s="3" t="s">
        <v>44</v>
      </c>
    </row>
    <row r="438" spans="4:4" ht="17.649999999999999" x14ac:dyDescent="0.5">
      <c r="D438" s="3" t="s">
        <v>68</v>
      </c>
    </row>
    <row r="439" spans="4:4" ht="17.649999999999999" x14ac:dyDescent="0.5">
      <c r="D439" s="3" t="s">
        <v>73</v>
      </c>
    </row>
    <row r="440" spans="4:4" ht="17.649999999999999" x14ac:dyDescent="0.5">
      <c r="D440" s="3" t="s">
        <v>54</v>
      </c>
    </row>
    <row r="441" spans="4:4" ht="17.649999999999999" x14ac:dyDescent="0.5">
      <c r="D441" s="3" t="s">
        <v>94</v>
      </c>
    </row>
    <row r="442" spans="4:4" ht="17.649999999999999" x14ac:dyDescent="0.5">
      <c r="D442" s="3" t="s">
        <v>84</v>
      </c>
    </row>
    <row r="443" spans="4:4" ht="17.649999999999999" x14ac:dyDescent="0.5">
      <c r="D443" s="3" t="s">
        <v>90</v>
      </c>
    </row>
    <row r="444" spans="4:4" ht="17.649999999999999" x14ac:dyDescent="0.5">
      <c r="D444" s="3" t="s">
        <v>99</v>
      </c>
    </row>
    <row r="445" spans="4:4" ht="17.649999999999999" x14ac:dyDescent="0.5">
      <c r="D445" s="3" t="s">
        <v>70</v>
      </c>
    </row>
    <row r="446" spans="4:4" ht="17.649999999999999" x14ac:dyDescent="0.5">
      <c r="D446" s="3" t="s">
        <v>50</v>
      </c>
    </row>
    <row r="447" spans="4:4" ht="17.649999999999999" x14ac:dyDescent="0.5">
      <c r="D447" s="3" t="s">
        <v>64</v>
      </c>
    </row>
    <row r="448" spans="4:4" ht="17.649999999999999" x14ac:dyDescent="0.5">
      <c r="D448" s="3" t="s">
        <v>47</v>
      </c>
    </row>
    <row r="449" spans="4:4" ht="17.649999999999999" x14ac:dyDescent="0.5">
      <c r="D449" s="3" t="s">
        <v>94</v>
      </c>
    </row>
    <row r="450" spans="4:4" ht="17.649999999999999" x14ac:dyDescent="0.5">
      <c r="D450" s="3" t="s">
        <v>92</v>
      </c>
    </row>
    <row r="451" spans="4:4" ht="17.649999999999999" x14ac:dyDescent="0.5">
      <c r="D451" s="3" t="s">
        <v>56</v>
      </c>
    </row>
    <row r="452" spans="4:4" ht="17.649999999999999" x14ac:dyDescent="0.5">
      <c r="D452" s="3" t="s">
        <v>73</v>
      </c>
    </row>
    <row r="453" spans="4:4" ht="17.649999999999999" x14ac:dyDescent="0.5">
      <c r="D453" s="3" t="s">
        <v>41</v>
      </c>
    </row>
    <row r="454" spans="4:4" ht="17.649999999999999" x14ac:dyDescent="0.5">
      <c r="D454" s="3" t="s">
        <v>81</v>
      </c>
    </row>
    <row r="455" spans="4:4" ht="17.649999999999999" x14ac:dyDescent="0.5">
      <c r="D455" s="3" t="s">
        <v>85</v>
      </c>
    </row>
    <row r="456" spans="4:4" ht="17.649999999999999" x14ac:dyDescent="0.5">
      <c r="D456" s="3" t="s">
        <v>43</v>
      </c>
    </row>
    <row r="457" spans="4:4" ht="17.649999999999999" x14ac:dyDescent="0.5">
      <c r="D457" s="3" t="s">
        <v>48</v>
      </c>
    </row>
    <row r="458" spans="4:4" ht="17.649999999999999" x14ac:dyDescent="0.5">
      <c r="D458" s="3" t="s">
        <v>74</v>
      </c>
    </row>
    <row r="459" spans="4:4" ht="17.649999999999999" x14ac:dyDescent="0.5">
      <c r="D459" s="3" t="s">
        <v>112</v>
      </c>
    </row>
    <row r="460" spans="4:4" ht="17.649999999999999" x14ac:dyDescent="0.5">
      <c r="D460" s="3" t="s">
        <v>87</v>
      </c>
    </row>
    <row r="461" spans="4:4" ht="17.649999999999999" x14ac:dyDescent="0.5">
      <c r="D461" s="3" t="s">
        <v>112</v>
      </c>
    </row>
    <row r="462" spans="4:4" ht="17.649999999999999" x14ac:dyDescent="0.5">
      <c r="D462" s="3" t="s">
        <v>56</v>
      </c>
    </row>
    <row r="463" spans="4:4" ht="17.649999999999999" x14ac:dyDescent="0.5">
      <c r="D463" s="3" t="s">
        <v>54</v>
      </c>
    </row>
    <row r="464" spans="4:4" ht="17.649999999999999" x14ac:dyDescent="0.5">
      <c r="D464" s="3" t="s">
        <v>122</v>
      </c>
    </row>
    <row r="465" spans="4:4" ht="17.649999999999999" x14ac:dyDescent="0.5">
      <c r="D465" s="3" t="s">
        <v>71</v>
      </c>
    </row>
    <row r="466" spans="4:4" ht="17.649999999999999" x14ac:dyDescent="0.5">
      <c r="D466" s="3" t="s">
        <v>76</v>
      </c>
    </row>
    <row r="467" spans="4:4" ht="17.649999999999999" x14ac:dyDescent="0.5">
      <c r="D467" s="3" t="s">
        <v>132</v>
      </c>
    </row>
    <row r="468" spans="4:4" ht="17.649999999999999" x14ac:dyDescent="0.5">
      <c r="D468" s="3" t="s">
        <v>116</v>
      </c>
    </row>
    <row r="469" spans="4:4" ht="17.649999999999999" x14ac:dyDescent="0.5">
      <c r="D469" s="3" t="s">
        <v>129</v>
      </c>
    </row>
    <row r="470" spans="4:4" ht="17.649999999999999" x14ac:dyDescent="0.5">
      <c r="D470" s="3" t="s">
        <v>74</v>
      </c>
    </row>
    <row r="471" spans="4:4" ht="17.649999999999999" x14ac:dyDescent="0.5">
      <c r="D471" s="3" t="s">
        <v>52</v>
      </c>
    </row>
    <row r="472" spans="4:4" ht="17.649999999999999" x14ac:dyDescent="0.5">
      <c r="D472" s="3" t="s">
        <v>82</v>
      </c>
    </row>
    <row r="473" spans="4:4" ht="17.649999999999999" x14ac:dyDescent="0.5">
      <c r="D473" s="3" t="s">
        <v>112</v>
      </c>
    </row>
    <row r="474" spans="4:4" ht="17.649999999999999" x14ac:dyDescent="0.5">
      <c r="D474" s="3" t="s">
        <v>62</v>
      </c>
    </row>
    <row r="475" spans="4:4" ht="17.649999999999999" x14ac:dyDescent="0.5">
      <c r="D475" s="3" t="s">
        <v>110</v>
      </c>
    </row>
    <row r="476" spans="4:4" ht="17.649999999999999" x14ac:dyDescent="0.5">
      <c r="D476" s="3" t="s">
        <v>92</v>
      </c>
    </row>
    <row r="477" spans="4:4" ht="17.649999999999999" x14ac:dyDescent="0.5">
      <c r="D477" s="3" t="s">
        <v>96</v>
      </c>
    </row>
    <row r="478" spans="4:4" ht="17.649999999999999" x14ac:dyDescent="0.5">
      <c r="D478" s="3" t="s">
        <v>43</v>
      </c>
    </row>
    <row r="479" spans="4:4" ht="17.649999999999999" x14ac:dyDescent="0.5">
      <c r="D479" s="3" t="s">
        <v>115</v>
      </c>
    </row>
    <row r="480" spans="4:4" ht="17.649999999999999" x14ac:dyDescent="0.5">
      <c r="D480" s="3" t="s">
        <v>75</v>
      </c>
    </row>
    <row r="481" spans="4:4" ht="17.649999999999999" x14ac:dyDescent="0.5">
      <c r="D481" s="3" t="s">
        <v>120</v>
      </c>
    </row>
    <row r="482" spans="4:4" ht="17.649999999999999" x14ac:dyDescent="0.5">
      <c r="D482" s="3" t="s">
        <v>94</v>
      </c>
    </row>
    <row r="483" spans="4:4" ht="17.649999999999999" x14ac:dyDescent="0.5">
      <c r="D483" s="3" t="s">
        <v>91</v>
      </c>
    </row>
    <row r="484" spans="4:4" ht="17.649999999999999" x14ac:dyDescent="0.5">
      <c r="D484" s="3" t="s">
        <v>126</v>
      </c>
    </row>
    <row r="485" spans="4:4" ht="17.649999999999999" x14ac:dyDescent="0.5">
      <c r="D485" s="3" t="s">
        <v>57</v>
      </c>
    </row>
    <row r="486" spans="4:4" ht="17.649999999999999" x14ac:dyDescent="0.5">
      <c r="D486" s="3" t="s">
        <v>135</v>
      </c>
    </row>
    <row r="487" spans="4:4" ht="17.649999999999999" x14ac:dyDescent="0.5">
      <c r="D487" s="3" t="s">
        <v>46</v>
      </c>
    </row>
    <row r="488" spans="4:4" ht="17.649999999999999" x14ac:dyDescent="0.5">
      <c r="D488" s="3" t="s">
        <v>73</v>
      </c>
    </row>
    <row r="489" spans="4:4" ht="17.649999999999999" x14ac:dyDescent="0.5">
      <c r="D489" s="3" t="s">
        <v>70</v>
      </c>
    </row>
    <row r="490" spans="4:4" ht="17.649999999999999" x14ac:dyDescent="0.5">
      <c r="D490" s="3" t="s">
        <v>92</v>
      </c>
    </row>
    <row r="491" spans="4:4" ht="17.649999999999999" x14ac:dyDescent="0.5">
      <c r="D491" s="3" t="s">
        <v>129</v>
      </c>
    </row>
    <row r="492" spans="4:4" ht="17.649999999999999" x14ac:dyDescent="0.5">
      <c r="D492" s="3" t="s">
        <v>84</v>
      </c>
    </row>
    <row r="493" spans="4:4" ht="17.649999999999999" x14ac:dyDescent="0.5">
      <c r="D493" s="3" t="s">
        <v>112</v>
      </c>
    </row>
    <row r="494" spans="4:4" ht="17.649999999999999" x14ac:dyDescent="0.5">
      <c r="D494" s="3" t="s">
        <v>55</v>
      </c>
    </row>
    <row r="495" spans="4:4" ht="17.649999999999999" x14ac:dyDescent="0.5">
      <c r="D495" s="3" t="s">
        <v>94</v>
      </c>
    </row>
    <row r="496" spans="4:4" ht="17.649999999999999" x14ac:dyDescent="0.5">
      <c r="D496" s="3" t="s">
        <v>77</v>
      </c>
    </row>
    <row r="497" spans="4:4" ht="17.649999999999999" x14ac:dyDescent="0.5">
      <c r="D497" s="3" t="s">
        <v>54</v>
      </c>
    </row>
    <row r="498" spans="4:4" ht="17.649999999999999" x14ac:dyDescent="0.5">
      <c r="D498" s="3" t="s">
        <v>130</v>
      </c>
    </row>
    <row r="499" spans="4:4" ht="17.649999999999999" x14ac:dyDescent="0.5">
      <c r="D499" s="3" t="s">
        <v>62</v>
      </c>
    </row>
    <row r="500" spans="4:4" ht="17.649999999999999" x14ac:dyDescent="0.5">
      <c r="D500" s="3" t="s">
        <v>103</v>
      </c>
    </row>
    <row r="501" spans="4:4" ht="17.649999999999999" x14ac:dyDescent="0.5">
      <c r="D501" s="3" t="s">
        <v>50</v>
      </c>
    </row>
    <row r="502" spans="4:4" ht="17.649999999999999" x14ac:dyDescent="0.5">
      <c r="D502" s="3" t="s">
        <v>54</v>
      </c>
    </row>
    <row r="503" spans="4:4" ht="17.649999999999999" x14ac:dyDescent="0.5">
      <c r="D503" s="3" t="s">
        <v>53</v>
      </c>
    </row>
    <row r="504" spans="4:4" ht="17.649999999999999" x14ac:dyDescent="0.5">
      <c r="D504" s="3" t="s">
        <v>51</v>
      </c>
    </row>
    <row r="505" spans="4:4" ht="17.649999999999999" x14ac:dyDescent="0.5">
      <c r="D505" s="3" t="s">
        <v>69</v>
      </c>
    </row>
    <row r="506" spans="4:4" ht="17.649999999999999" x14ac:dyDescent="0.5">
      <c r="D506" s="3" t="s">
        <v>72</v>
      </c>
    </row>
    <row r="507" spans="4:4" ht="17.649999999999999" x14ac:dyDescent="0.5">
      <c r="D507" s="3" t="s">
        <v>69</v>
      </c>
    </row>
    <row r="508" spans="4:4" ht="17.649999999999999" x14ac:dyDescent="0.5">
      <c r="D508" s="3" t="s">
        <v>107</v>
      </c>
    </row>
    <row r="509" spans="4:4" ht="17.649999999999999" x14ac:dyDescent="0.5">
      <c r="D509" s="3" t="s">
        <v>96</v>
      </c>
    </row>
    <row r="510" spans="4:4" ht="17.649999999999999" x14ac:dyDescent="0.5">
      <c r="D510" s="3" t="s">
        <v>43</v>
      </c>
    </row>
    <row r="511" spans="4:4" ht="17.649999999999999" x14ac:dyDescent="0.5">
      <c r="D511" s="3" t="s">
        <v>117</v>
      </c>
    </row>
    <row r="512" spans="4:4" ht="17.649999999999999" x14ac:dyDescent="0.5">
      <c r="D512" s="3" t="s">
        <v>52</v>
      </c>
    </row>
    <row r="513" spans="4:4" ht="17.649999999999999" x14ac:dyDescent="0.5">
      <c r="D513" s="3" t="s">
        <v>61</v>
      </c>
    </row>
    <row r="514" spans="4:4" ht="17.649999999999999" x14ac:dyDescent="0.5">
      <c r="D514" s="3" t="s">
        <v>76</v>
      </c>
    </row>
    <row r="515" spans="4:4" ht="17.649999999999999" x14ac:dyDescent="0.5">
      <c r="D515" s="3" t="s">
        <v>111</v>
      </c>
    </row>
    <row r="516" spans="4:4" ht="17.649999999999999" x14ac:dyDescent="0.5">
      <c r="D516" s="3" t="s">
        <v>44</v>
      </c>
    </row>
    <row r="517" spans="4:4" ht="17.649999999999999" x14ac:dyDescent="0.5">
      <c r="D517" s="3" t="s">
        <v>90</v>
      </c>
    </row>
    <row r="518" spans="4:4" ht="17.649999999999999" x14ac:dyDescent="0.5">
      <c r="D518" s="3" t="s">
        <v>127</v>
      </c>
    </row>
    <row r="519" spans="4:4" ht="17.649999999999999" x14ac:dyDescent="0.5">
      <c r="D519" s="3" t="s">
        <v>62</v>
      </c>
    </row>
    <row r="520" spans="4:4" ht="17.649999999999999" x14ac:dyDescent="0.5">
      <c r="D520" s="3" t="s">
        <v>105</v>
      </c>
    </row>
    <row r="521" spans="4:4" ht="17.649999999999999" x14ac:dyDescent="0.5">
      <c r="D521" s="3" t="s">
        <v>87</v>
      </c>
    </row>
    <row r="522" spans="4:4" ht="17.649999999999999" x14ac:dyDescent="0.5">
      <c r="D522" s="3" t="s">
        <v>102</v>
      </c>
    </row>
    <row r="523" spans="4:4" ht="17.649999999999999" x14ac:dyDescent="0.5">
      <c r="D523" s="3" t="s">
        <v>47</v>
      </c>
    </row>
    <row r="524" spans="4:4" ht="17.649999999999999" x14ac:dyDescent="0.5">
      <c r="D524" s="3" t="s">
        <v>58</v>
      </c>
    </row>
    <row r="525" spans="4:4" ht="17.649999999999999" x14ac:dyDescent="0.5">
      <c r="D525" s="3" t="s">
        <v>46</v>
      </c>
    </row>
    <row r="526" spans="4:4" ht="17.649999999999999" x14ac:dyDescent="0.5">
      <c r="D526" s="3" t="s">
        <v>99</v>
      </c>
    </row>
    <row r="527" spans="4:4" ht="17.649999999999999" x14ac:dyDescent="0.5">
      <c r="D527" s="3" t="s">
        <v>54</v>
      </c>
    </row>
    <row r="528" spans="4:4" ht="17.649999999999999" x14ac:dyDescent="0.5">
      <c r="D528" s="3" t="s">
        <v>104</v>
      </c>
    </row>
    <row r="529" spans="4:4" ht="17.649999999999999" x14ac:dyDescent="0.5">
      <c r="D529" s="3" t="s">
        <v>75</v>
      </c>
    </row>
    <row r="530" spans="4:4" ht="17.649999999999999" x14ac:dyDescent="0.5">
      <c r="D530" s="3" t="s">
        <v>76</v>
      </c>
    </row>
    <row r="531" spans="4:4" ht="17.649999999999999" x14ac:dyDescent="0.5">
      <c r="D531" s="3" t="s">
        <v>44</v>
      </c>
    </row>
    <row r="532" spans="4:4" ht="17.649999999999999" x14ac:dyDescent="0.5">
      <c r="D532" s="3" t="s">
        <v>61</v>
      </c>
    </row>
    <row r="533" spans="4:4" ht="17.649999999999999" x14ac:dyDescent="0.5">
      <c r="D533" s="3" t="s">
        <v>52</v>
      </c>
    </row>
    <row r="534" spans="4:4" ht="17.649999999999999" x14ac:dyDescent="0.5">
      <c r="D534" s="3" t="s">
        <v>49</v>
      </c>
    </row>
    <row r="535" spans="4:4" ht="17.649999999999999" x14ac:dyDescent="0.5">
      <c r="D535" s="3" t="s">
        <v>53</v>
      </c>
    </row>
    <row r="536" spans="4:4" ht="17.649999999999999" x14ac:dyDescent="0.5">
      <c r="D536" s="3" t="s">
        <v>65</v>
      </c>
    </row>
    <row r="537" spans="4:4" ht="17.649999999999999" x14ac:dyDescent="0.5">
      <c r="D537" s="3" t="s">
        <v>85</v>
      </c>
    </row>
    <row r="538" spans="4:4" ht="17.649999999999999" x14ac:dyDescent="0.5">
      <c r="D538" s="3" t="s">
        <v>51</v>
      </c>
    </row>
    <row r="539" spans="4:4" ht="17.649999999999999" x14ac:dyDescent="0.5">
      <c r="D539" s="3" t="s">
        <v>79</v>
      </c>
    </row>
    <row r="540" spans="4:4" ht="17.649999999999999" x14ac:dyDescent="0.5">
      <c r="D540" s="3" t="s">
        <v>78</v>
      </c>
    </row>
    <row r="541" spans="4:4" ht="17.649999999999999" x14ac:dyDescent="0.5">
      <c r="D541" s="3" t="s">
        <v>80</v>
      </c>
    </row>
    <row r="542" spans="4:4" ht="17.649999999999999" x14ac:dyDescent="0.5">
      <c r="D542" s="3" t="s">
        <v>44</v>
      </c>
    </row>
    <row r="543" spans="4:4" ht="17.649999999999999" x14ac:dyDescent="0.5">
      <c r="D543" s="3" t="s">
        <v>74</v>
      </c>
    </row>
    <row r="544" spans="4:4" ht="17.649999999999999" x14ac:dyDescent="0.5">
      <c r="D544" s="3" t="s">
        <v>44</v>
      </c>
    </row>
    <row r="545" spans="4:4" ht="17.649999999999999" x14ac:dyDescent="0.5">
      <c r="D545" s="3" t="s">
        <v>95</v>
      </c>
    </row>
    <row r="546" spans="4:4" ht="17.649999999999999" x14ac:dyDescent="0.5">
      <c r="D546" s="3" t="s">
        <v>83</v>
      </c>
    </row>
    <row r="547" spans="4:4" ht="17.649999999999999" x14ac:dyDescent="0.5">
      <c r="D547" s="3" t="s">
        <v>98</v>
      </c>
    </row>
    <row r="548" spans="4:4" ht="17.649999999999999" x14ac:dyDescent="0.5">
      <c r="D548" s="3" t="s">
        <v>81</v>
      </c>
    </row>
    <row r="549" spans="4:4" ht="17.649999999999999" x14ac:dyDescent="0.5">
      <c r="D549" s="3" t="s">
        <v>63</v>
      </c>
    </row>
    <row r="550" spans="4:4" ht="17.649999999999999" x14ac:dyDescent="0.5">
      <c r="D550" s="3" t="s">
        <v>55</v>
      </c>
    </row>
    <row r="551" spans="4:4" ht="17.649999999999999" x14ac:dyDescent="0.5">
      <c r="D551" s="3" t="s">
        <v>74</v>
      </c>
    </row>
    <row r="552" spans="4:4" ht="17.649999999999999" x14ac:dyDescent="0.5">
      <c r="D552" s="3" t="s">
        <v>68</v>
      </c>
    </row>
    <row r="553" spans="4:4" ht="17.649999999999999" x14ac:dyDescent="0.5">
      <c r="D553" s="3" t="s">
        <v>111</v>
      </c>
    </row>
    <row r="554" spans="4:4" ht="17.649999999999999" x14ac:dyDescent="0.5">
      <c r="D554" s="3" t="s">
        <v>113</v>
      </c>
    </row>
    <row r="555" spans="4:4" ht="17.649999999999999" x14ac:dyDescent="0.5">
      <c r="D555" s="3" t="s">
        <v>84</v>
      </c>
    </row>
    <row r="556" spans="4:4" ht="17.649999999999999" x14ac:dyDescent="0.5">
      <c r="D556" s="3" t="s">
        <v>90</v>
      </c>
    </row>
    <row r="557" spans="4:4" ht="17.649999999999999" x14ac:dyDescent="0.5">
      <c r="D557" s="3" t="s">
        <v>81</v>
      </c>
    </row>
    <row r="558" spans="4:4" ht="17.649999999999999" x14ac:dyDescent="0.5">
      <c r="D558" s="3" t="s">
        <v>85</v>
      </c>
    </row>
    <row r="559" spans="4:4" ht="17.649999999999999" x14ac:dyDescent="0.5">
      <c r="D559" s="3" t="s">
        <v>128</v>
      </c>
    </row>
    <row r="560" spans="4:4" ht="17.649999999999999" x14ac:dyDescent="0.5">
      <c r="D560" s="3" t="s">
        <v>73</v>
      </c>
    </row>
    <row r="561" spans="4:4" ht="17.649999999999999" x14ac:dyDescent="0.5">
      <c r="D561" s="3" t="s">
        <v>47</v>
      </c>
    </row>
    <row r="562" spans="4:4" ht="17.649999999999999" x14ac:dyDescent="0.5">
      <c r="D562" s="3" t="s">
        <v>84</v>
      </c>
    </row>
    <row r="563" spans="4:4" ht="17.649999999999999" x14ac:dyDescent="0.5">
      <c r="D563" s="3" t="s">
        <v>68</v>
      </c>
    </row>
    <row r="564" spans="4:4" ht="17.649999999999999" x14ac:dyDescent="0.5">
      <c r="D564" s="3" t="s">
        <v>67</v>
      </c>
    </row>
    <row r="565" spans="4:4" ht="17.649999999999999" x14ac:dyDescent="0.5">
      <c r="D565" s="3" t="s">
        <v>90</v>
      </c>
    </row>
    <row r="566" spans="4:4" ht="17.649999999999999" x14ac:dyDescent="0.5">
      <c r="D566" s="3" t="s">
        <v>93</v>
      </c>
    </row>
    <row r="567" spans="4:4" ht="17.649999999999999" x14ac:dyDescent="0.5">
      <c r="D567" s="3" t="s">
        <v>124</v>
      </c>
    </row>
    <row r="568" spans="4:4" ht="17.649999999999999" x14ac:dyDescent="0.5">
      <c r="D568" s="3" t="s">
        <v>44</v>
      </c>
    </row>
    <row r="569" spans="4:4" ht="17.649999999999999" x14ac:dyDescent="0.5">
      <c r="D569" s="3" t="s">
        <v>47</v>
      </c>
    </row>
    <row r="570" spans="4:4" ht="17.649999999999999" x14ac:dyDescent="0.5">
      <c r="D570" s="3" t="s">
        <v>87</v>
      </c>
    </row>
    <row r="571" spans="4:4" ht="17.649999999999999" x14ac:dyDescent="0.5">
      <c r="D571" s="3" t="s">
        <v>61</v>
      </c>
    </row>
    <row r="572" spans="4:4" ht="17.649999999999999" x14ac:dyDescent="0.5">
      <c r="D572" s="3" t="s">
        <v>44</v>
      </c>
    </row>
    <row r="573" spans="4:4" ht="17.649999999999999" x14ac:dyDescent="0.5">
      <c r="D573" s="3" t="s">
        <v>91</v>
      </c>
    </row>
    <row r="574" spans="4:4" ht="17.649999999999999" x14ac:dyDescent="0.5">
      <c r="D574" s="3" t="s">
        <v>77</v>
      </c>
    </row>
    <row r="575" spans="4:4" ht="17.649999999999999" x14ac:dyDescent="0.5">
      <c r="D575" s="3" t="s">
        <v>80</v>
      </c>
    </row>
    <row r="576" spans="4:4" ht="17.649999999999999" x14ac:dyDescent="0.5">
      <c r="D576" s="3" t="s">
        <v>82</v>
      </c>
    </row>
    <row r="577" spans="4:4" ht="17.649999999999999" x14ac:dyDescent="0.5">
      <c r="D577" s="3" t="s">
        <v>59</v>
      </c>
    </row>
    <row r="578" spans="4:4" ht="17.649999999999999" x14ac:dyDescent="0.5">
      <c r="D578" s="3" t="s">
        <v>134</v>
      </c>
    </row>
    <row r="579" spans="4:4" ht="17.649999999999999" x14ac:dyDescent="0.5">
      <c r="D579" s="3" t="s">
        <v>116</v>
      </c>
    </row>
    <row r="580" spans="4:4" ht="17.649999999999999" x14ac:dyDescent="0.5">
      <c r="D580" s="3" t="s">
        <v>44</v>
      </c>
    </row>
    <row r="581" spans="4:4" ht="17.649999999999999" x14ac:dyDescent="0.5">
      <c r="D581" s="3" t="s">
        <v>91</v>
      </c>
    </row>
    <row r="582" spans="4:4" ht="17.649999999999999" x14ac:dyDescent="0.5">
      <c r="D582" s="3" t="s">
        <v>84</v>
      </c>
    </row>
    <row r="583" spans="4:4" ht="17.649999999999999" x14ac:dyDescent="0.5">
      <c r="D583" s="3" t="s">
        <v>66</v>
      </c>
    </row>
    <row r="584" spans="4:4" ht="17.649999999999999" x14ac:dyDescent="0.5">
      <c r="D584" s="3" t="s">
        <v>115</v>
      </c>
    </row>
    <row r="585" spans="4:4" ht="17.649999999999999" x14ac:dyDescent="0.5">
      <c r="D585" s="3" t="s">
        <v>68</v>
      </c>
    </row>
    <row r="586" spans="4:4" ht="17.649999999999999" x14ac:dyDescent="0.5">
      <c r="D586" s="3" t="s">
        <v>103</v>
      </c>
    </row>
    <row r="587" spans="4:4" ht="17.649999999999999" x14ac:dyDescent="0.5">
      <c r="D587" s="3" t="s">
        <v>44</v>
      </c>
    </row>
    <row r="588" spans="4:4" ht="17.649999999999999" x14ac:dyDescent="0.5">
      <c r="D588" s="3" t="s">
        <v>54</v>
      </c>
    </row>
    <row r="589" spans="4:4" ht="17.649999999999999" x14ac:dyDescent="0.5">
      <c r="D589" s="3" t="s">
        <v>130</v>
      </c>
    </row>
    <row r="590" spans="4:4" ht="17.649999999999999" x14ac:dyDescent="0.5">
      <c r="D590" s="3" t="s">
        <v>75</v>
      </c>
    </row>
    <row r="591" spans="4:4" ht="17.649999999999999" x14ac:dyDescent="0.5">
      <c r="D591" s="3" t="s">
        <v>46</v>
      </c>
    </row>
    <row r="592" spans="4:4" ht="17.649999999999999" x14ac:dyDescent="0.5">
      <c r="D592" s="3" t="s">
        <v>65</v>
      </c>
    </row>
    <row r="593" spans="4:4" ht="17.649999999999999" x14ac:dyDescent="0.5">
      <c r="D593" s="3" t="s">
        <v>105</v>
      </c>
    </row>
    <row r="594" spans="4:4" ht="17.649999999999999" x14ac:dyDescent="0.5">
      <c r="D594" s="3" t="s">
        <v>73</v>
      </c>
    </row>
    <row r="595" spans="4:4" ht="17.649999999999999" x14ac:dyDescent="0.5">
      <c r="D595" s="3" t="s">
        <v>64</v>
      </c>
    </row>
    <row r="596" spans="4:4" ht="17.649999999999999" x14ac:dyDescent="0.5">
      <c r="D596" s="3" t="s">
        <v>63</v>
      </c>
    </row>
    <row r="597" spans="4:4" ht="17.649999999999999" x14ac:dyDescent="0.5">
      <c r="D597" s="3" t="s">
        <v>118</v>
      </c>
    </row>
    <row r="598" spans="4:4" ht="17.649999999999999" x14ac:dyDescent="0.5">
      <c r="D598" s="3" t="s">
        <v>43</v>
      </c>
    </row>
    <row r="599" spans="4:4" ht="17.649999999999999" x14ac:dyDescent="0.5">
      <c r="D599" s="3" t="s">
        <v>41</v>
      </c>
    </row>
    <row r="600" spans="4:4" ht="17.649999999999999" x14ac:dyDescent="0.5">
      <c r="D600" s="3" t="s">
        <v>74</v>
      </c>
    </row>
    <row r="601" spans="4:4" ht="17.649999999999999" x14ac:dyDescent="0.5">
      <c r="D601" s="3" t="s">
        <v>73</v>
      </c>
    </row>
    <row r="602" spans="4:4" ht="17.649999999999999" x14ac:dyDescent="0.5">
      <c r="D602" s="3" t="s">
        <v>78</v>
      </c>
    </row>
    <row r="603" spans="4:4" ht="17.649999999999999" x14ac:dyDescent="0.5">
      <c r="D603" s="3" t="s">
        <v>47</v>
      </c>
    </row>
    <row r="604" spans="4:4" ht="17.649999999999999" x14ac:dyDescent="0.5">
      <c r="D604" s="3" t="s">
        <v>98</v>
      </c>
    </row>
    <row r="605" spans="4:4" ht="17.649999999999999" x14ac:dyDescent="0.5">
      <c r="D605" s="3" t="s">
        <v>94</v>
      </c>
    </row>
    <row r="606" spans="4:4" ht="17.649999999999999" x14ac:dyDescent="0.5">
      <c r="D606" s="3" t="s">
        <v>57</v>
      </c>
    </row>
    <row r="607" spans="4:4" ht="17.649999999999999" x14ac:dyDescent="0.5">
      <c r="D607" s="3" t="s">
        <v>121</v>
      </c>
    </row>
    <row r="608" spans="4:4" ht="17.649999999999999" x14ac:dyDescent="0.5">
      <c r="D608" s="3" t="s">
        <v>69</v>
      </c>
    </row>
    <row r="609" spans="4:4" ht="17.649999999999999" x14ac:dyDescent="0.5">
      <c r="D609" s="3" t="s">
        <v>65</v>
      </c>
    </row>
    <row r="610" spans="4:4" ht="17.649999999999999" x14ac:dyDescent="0.5">
      <c r="D610" s="3" t="s">
        <v>107</v>
      </c>
    </row>
    <row r="611" spans="4:4" ht="17.649999999999999" x14ac:dyDescent="0.5">
      <c r="D611" s="3" t="s">
        <v>51</v>
      </c>
    </row>
    <row r="612" spans="4:4" ht="17.649999999999999" x14ac:dyDescent="0.5">
      <c r="D612" s="3" t="s">
        <v>96</v>
      </c>
    </row>
    <row r="613" spans="4:4" ht="17.649999999999999" x14ac:dyDescent="0.5">
      <c r="D613" s="3" t="s">
        <v>54</v>
      </c>
    </row>
    <row r="614" spans="4:4" ht="17.649999999999999" x14ac:dyDescent="0.5">
      <c r="D614" s="3" t="s">
        <v>53</v>
      </c>
    </row>
    <row r="615" spans="4:4" ht="17.649999999999999" x14ac:dyDescent="0.5">
      <c r="D615" s="3" t="s">
        <v>47</v>
      </c>
    </row>
    <row r="616" spans="4:4" ht="17.649999999999999" x14ac:dyDescent="0.5">
      <c r="D616" s="3" t="s">
        <v>115</v>
      </c>
    </row>
    <row r="617" spans="4:4" ht="17.649999999999999" x14ac:dyDescent="0.5">
      <c r="D617" s="3" t="s">
        <v>112</v>
      </c>
    </row>
    <row r="618" spans="4:4" ht="17.649999999999999" x14ac:dyDescent="0.5">
      <c r="D618" s="3" t="s">
        <v>71</v>
      </c>
    </row>
    <row r="619" spans="4:4" ht="17.649999999999999" x14ac:dyDescent="0.5">
      <c r="D619" s="3" t="s">
        <v>98</v>
      </c>
    </row>
    <row r="620" spans="4:4" ht="17.649999999999999" x14ac:dyDescent="0.5">
      <c r="D620" s="3" t="s">
        <v>117</v>
      </c>
    </row>
    <row r="621" spans="4:4" ht="17.649999999999999" x14ac:dyDescent="0.5">
      <c r="D621" s="3" t="s">
        <v>48</v>
      </c>
    </row>
    <row r="622" spans="4:4" ht="17.649999999999999" x14ac:dyDescent="0.5">
      <c r="D622" s="3" t="s">
        <v>97</v>
      </c>
    </row>
    <row r="623" spans="4:4" ht="17.649999999999999" x14ac:dyDescent="0.5">
      <c r="D623" s="3" t="s">
        <v>55</v>
      </c>
    </row>
    <row r="624" spans="4:4" ht="17.649999999999999" x14ac:dyDescent="0.5">
      <c r="D624" s="3" t="s">
        <v>52</v>
      </c>
    </row>
    <row r="625" spans="4:4" ht="17.649999999999999" x14ac:dyDescent="0.5">
      <c r="D625" s="3" t="s">
        <v>75</v>
      </c>
    </row>
    <row r="626" spans="4:4" ht="17.649999999999999" x14ac:dyDescent="0.5">
      <c r="D626" s="3" t="s">
        <v>61</v>
      </c>
    </row>
    <row r="627" spans="4:4" ht="17.649999999999999" x14ac:dyDescent="0.5">
      <c r="D627" s="3" t="s">
        <v>77</v>
      </c>
    </row>
    <row r="628" spans="4:4" ht="17.649999999999999" x14ac:dyDescent="0.5">
      <c r="D628" s="3" t="s">
        <v>100</v>
      </c>
    </row>
    <row r="629" spans="4:4" ht="17.649999999999999" x14ac:dyDescent="0.5">
      <c r="D629" s="3" t="s">
        <v>85</v>
      </c>
    </row>
    <row r="630" spans="4:4" ht="17.649999999999999" x14ac:dyDescent="0.5">
      <c r="D630" s="3" t="s">
        <v>129</v>
      </c>
    </row>
    <row r="631" spans="4:4" ht="17.649999999999999" x14ac:dyDescent="0.5">
      <c r="D631" s="3" t="s">
        <v>44</v>
      </c>
    </row>
    <row r="632" spans="4:4" ht="17.649999999999999" x14ac:dyDescent="0.5">
      <c r="D632" s="3" t="s">
        <v>113</v>
      </c>
    </row>
    <row r="633" spans="4:4" ht="17.649999999999999" x14ac:dyDescent="0.5">
      <c r="D633" s="3" t="s">
        <v>129</v>
      </c>
    </row>
    <row r="634" spans="4:4" ht="17.649999999999999" x14ac:dyDescent="0.5">
      <c r="D634" s="3" t="s">
        <v>41</v>
      </c>
    </row>
    <row r="635" spans="4:4" ht="17.649999999999999" x14ac:dyDescent="0.5">
      <c r="D635" s="3" t="s">
        <v>65</v>
      </c>
    </row>
    <row r="636" spans="4:4" ht="17.649999999999999" x14ac:dyDescent="0.5">
      <c r="D636" s="3" t="s">
        <v>47</v>
      </c>
    </row>
    <row r="637" spans="4:4" ht="17.649999999999999" x14ac:dyDescent="0.5">
      <c r="D637" s="3" t="s">
        <v>127</v>
      </c>
    </row>
    <row r="638" spans="4:4" ht="17.649999999999999" x14ac:dyDescent="0.5">
      <c r="D638" s="3" t="s">
        <v>112</v>
      </c>
    </row>
    <row r="639" spans="4:4" ht="17.649999999999999" x14ac:dyDescent="0.5">
      <c r="D639" s="3" t="s">
        <v>81</v>
      </c>
    </row>
    <row r="640" spans="4:4" ht="17.649999999999999" x14ac:dyDescent="0.5">
      <c r="D640" s="3" t="s">
        <v>78</v>
      </c>
    </row>
    <row r="641" spans="4:4" ht="17.649999999999999" x14ac:dyDescent="0.5">
      <c r="D641" s="3" t="s">
        <v>56</v>
      </c>
    </row>
    <row r="642" spans="4:4" ht="17.649999999999999" x14ac:dyDescent="0.5">
      <c r="D642" s="3" t="s">
        <v>57</v>
      </c>
    </row>
    <row r="643" spans="4:4" ht="17.649999999999999" x14ac:dyDescent="0.5">
      <c r="D643" s="3" t="s">
        <v>67</v>
      </c>
    </row>
    <row r="644" spans="4:4" ht="17.649999999999999" x14ac:dyDescent="0.5">
      <c r="D644" s="3" t="s">
        <v>94</v>
      </c>
    </row>
    <row r="645" spans="4:4" ht="17.649999999999999" x14ac:dyDescent="0.5">
      <c r="D645" s="3" t="s">
        <v>45</v>
      </c>
    </row>
    <row r="646" spans="4:4" ht="17.649999999999999" x14ac:dyDescent="0.5">
      <c r="D646" s="3" t="s">
        <v>53</v>
      </c>
    </row>
    <row r="647" spans="4:4" ht="17.649999999999999" x14ac:dyDescent="0.5">
      <c r="D647" s="3" t="s">
        <v>99</v>
      </c>
    </row>
    <row r="648" spans="4:4" ht="17.649999999999999" x14ac:dyDescent="0.5">
      <c r="D648" s="3" t="s">
        <v>85</v>
      </c>
    </row>
    <row r="649" spans="4:4" ht="17.649999999999999" x14ac:dyDescent="0.5">
      <c r="D649" s="3" t="s">
        <v>68</v>
      </c>
    </row>
    <row r="650" spans="4:4" ht="17.649999999999999" x14ac:dyDescent="0.5">
      <c r="D650" s="3" t="s">
        <v>56</v>
      </c>
    </row>
    <row r="651" spans="4:4" ht="17.649999999999999" x14ac:dyDescent="0.5">
      <c r="D651" s="3" t="s">
        <v>67</v>
      </c>
    </row>
    <row r="652" spans="4:4" ht="17.649999999999999" x14ac:dyDescent="0.5">
      <c r="D652" s="3" t="s">
        <v>59</v>
      </c>
    </row>
    <row r="653" spans="4:4" ht="17.649999999999999" x14ac:dyDescent="0.5">
      <c r="D653" s="3" t="s">
        <v>76</v>
      </c>
    </row>
    <row r="654" spans="4:4" ht="17.649999999999999" x14ac:dyDescent="0.5">
      <c r="D654" s="3" t="s">
        <v>44</v>
      </c>
    </row>
    <row r="655" spans="4:4" ht="17.649999999999999" x14ac:dyDescent="0.5">
      <c r="D655" s="3" t="s">
        <v>42</v>
      </c>
    </row>
    <row r="656" spans="4:4" ht="17.649999999999999" x14ac:dyDescent="0.5">
      <c r="D656" s="3" t="s">
        <v>54</v>
      </c>
    </row>
    <row r="657" spans="4:4" ht="17.649999999999999" x14ac:dyDescent="0.5">
      <c r="D657" s="3" t="s">
        <v>81</v>
      </c>
    </row>
    <row r="658" spans="4:4" ht="17.649999999999999" x14ac:dyDescent="0.5">
      <c r="D658" s="3" t="s">
        <v>88</v>
      </c>
    </row>
    <row r="659" spans="4:4" ht="17.649999999999999" x14ac:dyDescent="0.5">
      <c r="D659" s="3" t="s">
        <v>109</v>
      </c>
    </row>
    <row r="660" spans="4:4" ht="17.649999999999999" x14ac:dyDescent="0.5">
      <c r="D660" s="3" t="s">
        <v>59</v>
      </c>
    </row>
    <row r="661" spans="4:4" ht="17.649999999999999" x14ac:dyDescent="0.5">
      <c r="D661" s="3" t="s">
        <v>92</v>
      </c>
    </row>
    <row r="662" spans="4:4" ht="17.649999999999999" x14ac:dyDescent="0.5">
      <c r="D662" s="3" t="s">
        <v>56</v>
      </c>
    </row>
    <row r="663" spans="4:4" ht="17.649999999999999" x14ac:dyDescent="0.5">
      <c r="D663" s="3" t="s">
        <v>53</v>
      </c>
    </row>
    <row r="664" spans="4:4" ht="17.649999999999999" x14ac:dyDescent="0.5">
      <c r="D664" s="3" t="s">
        <v>87</v>
      </c>
    </row>
    <row r="665" spans="4:4" ht="17.649999999999999" x14ac:dyDescent="0.5">
      <c r="D665" s="3" t="s">
        <v>72</v>
      </c>
    </row>
    <row r="666" spans="4:4" ht="17.649999999999999" x14ac:dyDescent="0.5">
      <c r="D666" s="3" t="s">
        <v>68</v>
      </c>
    </row>
    <row r="667" spans="4:4" ht="17.649999999999999" x14ac:dyDescent="0.5">
      <c r="D667" s="3" t="s">
        <v>59</v>
      </c>
    </row>
    <row r="668" spans="4:4" ht="17.649999999999999" x14ac:dyDescent="0.5">
      <c r="D668" s="3" t="s">
        <v>124</v>
      </c>
    </row>
    <row r="669" spans="4:4" ht="17.649999999999999" x14ac:dyDescent="0.5">
      <c r="D669" s="3" t="s">
        <v>46</v>
      </c>
    </row>
    <row r="670" spans="4:4" ht="17.649999999999999" x14ac:dyDescent="0.5">
      <c r="D670" s="3" t="s">
        <v>57</v>
      </c>
    </row>
    <row r="671" spans="4:4" ht="17.649999999999999" x14ac:dyDescent="0.5">
      <c r="D671" s="3" t="s">
        <v>75</v>
      </c>
    </row>
    <row r="672" spans="4:4" ht="17.649999999999999" x14ac:dyDescent="0.5">
      <c r="D672" s="3" t="s">
        <v>60</v>
      </c>
    </row>
    <row r="673" spans="4:4" ht="17.649999999999999" x14ac:dyDescent="0.5">
      <c r="D673" s="3" t="s">
        <v>91</v>
      </c>
    </row>
    <row r="674" spans="4:4" ht="17.649999999999999" x14ac:dyDescent="0.5">
      <c r="D674" s="3" t="s">
        <v>63</v>
      </c>
    </row>
    <row r="675" spans="4:4" ht="17.649999999999999" x14ac:dyDescent="0.5">
      <c r="D675" s="3" t="s">
        <v>90</v>
      </c>
    </row>
    <row r="676" spans="4:4" ht="17.649999999999999" x14ac:dyDescent="0.5">
      <c r="D676" s="3" t="s">
        <v>52</v>
      </c>
    </row>
    <row r="677" spans="4:4" ht="17.649999999999999" x14ac:dyDescent="0.5">
      <c r="D677" s="3" t="s">
        <v>100</v>
      </c>
    </row>
    <row r="678" spans="4:4" ht="17.649999999999999" x14ac:dyDescent="0.5">
      <c r="D678" s="3" t="s">
        <v>43</v>
      </c>
    </row>
    <row r="679" spans="4:4" ht="17.649999999999999" x14ac:dyDescent="0.5">
      <c r="D679" s="3" t="s">
        <v>117</v>
      </c>
    </row>
    <row r="680" spans="4:4" ht="17.649999999999999" x14ac:dyDescent="0.5">
      <c r="D680" s="3" t="s">
        <v>54</v>
      </c>
    </row>
    <row r="681" spans="4:4" ht="17.649999999999999" x14ac:dyDescent="0.5">
      <c r="D681" s="3" t="s">
        <v>121</v>
      </c>
    </row>
    <row r="682" spans="4:4" ht="17.649999999999999" x14ac:dyDescent="0.5">
      <c r="D682" s="3" t="s">
        <v>87</v>
      </c>
    </row>
    <row r="683" spans="4:4" ht="17.649999999999999" x14ac:dyDescent="0.5">
      <c r="D683" s="3" t="s">
        <v>51</v>
      </c>
    </row>
    <row r="684" spans="4:4" ht="17.649999999999999" x14ac:dyDescent="0.5">
      <c r="D684" s="3" t="s">
        <v>85</v>
      </c>
    </row>
    <row r="685" spans="4:4" ht="17.649999999999999" x14ac:dyDescent="0.5">
      <c r="D685" s="3" t="s">
        <v>69</v>
      </c>
    </row>
    <row r="686" spans="4:4" ht="17.649999999999999" x14ac:dyDescent="0.5">
      <c r="D686" s="3" t="s">
        <v>106</v>
      </c>
    </row>
    <row r="687" spans="4:4" ht="17.649999999999999" x14ac:dyDescent="0.5">
      <c r="D687" s="3" t="s">
        <v>117</v>
      </c>
    </row>
    <row r="688" spans="4:4" ht="17.649999999999999" x14ac:dyDescent="0.5">
      <c r="D688" s="3" t="s">
        <v>51</v>
      </c>
    </row>
    <row r="689" spans="4:4" ht="17.649999999999999" x14ac:dyDescent="0.5">
      <c r="D689" s="3" t="s">
        <v>101</v>
      </c>
    </row>
    <row r="690" spans="4:4" ht="17.649999999999999" x14ac:dyDescent="0.5">
      <c r="D690" s="3" t="s">
        <v>97</v>
      </c>
    </row>
    <row r="691" spans="4:4" ht="17.649999999999999" x14ac:dyDescent="0.5">
      <c r="D691" s="3" t="s">
        <v>75</v>
      </c>
    </row>
    <row r="692" spans="4:4" ht="17.649999999999999" x14ac:dyDescent="0.5">
      <c r="D692" s="3" t="s">
        <v>73</v>
      </c>
    </row>
    <row r="693" spans="4:4" ht="17.649999999999999" x14ac:dyDescent="0.5">
      <c r="D693" s="3" t="s">
        <v>51</v>
      </c>
    </row>
    <row r="694" spans="4:4" ht="17.649999999999999" x14ac:dyDescent="0.5">
      <c r="D694" s="3" t="s">
        <v>89</v>
      </c>
    </row>
    <row r="695" spans="4:4" ht="17.649999999999999" x14ac:dyDescent="0.5">
      <c r="D695" s="3" t="s">
        <v>64</v>
      </c>
    </row>
    <row r="696" spans="4:4" ht="17.649999999999999" x14ac:dyDescent="0.5">
      <c r="D696" s="3" t="s">
        <v>105</v>
      </c>
    </row>
    <row r="697" spans="4:4" ht="17.649999999999999" x14ac:dyDescent="0.5">
      <c r="D697" s="3" t="s">
        <v>82</v>
      </c>
    </row>
    <row r="698" spans="4:4" ht="17.649999999999999" x14ac:dyDescent="0.5">
      <c r="D698" s="3" t="s">
        <v>91</v>
      </c>
    </row>
    <row r="699" spans="4:4" ht="17.649999999999999" x14ac:dyDescent="0.5">
      <c r="D699" s="3" t="s">
        <v>61</v>
      </c>
    </row>
    <row r="700" spans="4:4" ht="17.649999999999999" x14ac:dyDescent="0.5">
      <c r="D700" s="3" t="s">
        <v>46</v>
      </c>
    </row>
    <row r="701" spans="4:4" ht="17.649999999999999" x14ac:dyDescent="0.5">
      <c r="D701" s="3" t="s">
        <v>125</v>
      </c>
    </row>
    <row r="702" spans="4:4" ht="17.649999999999999" x14ac:dyDescent="0.5">
      <c r="D702" s="3" t="s">
        <v>84</v>
      </c>
    </row>
    <row r="703" spans="4:4" ht="17.649999999999999" x14ac:dyDescent="0.5">
      <c r="D703" s="3" t="s">
        <v>101</v>
      </c>
    </row>
    <row r="704" spans="4:4" ht="17.649999999999999" x14ac:dyDescent="0.5">
      <c r="D704" s="3" t="s">
        <v>91</v>
      </c>
    </row>
    <row r="705" spans="4:4" ht="17.649999999999999" x14ac:dyDescent="0.5">
      <c r="D705" s="3" t="s">
        <v>128</v>
      </c>
    </row>
    <row r="706" spans="4:4" ht="17.649999999999999" x14ac:dyDescent="0.5">
      <c r="D706" s="3" t="s">
        <v>51</v>
      </c>
    </row>
    <row r="707" spans="4:4" ht="17.649999999999999" x14ac:dyDescent="0.5">
      <c r="D707" s="3" t="s">
        <v>74</v>
      </c>
    </row>
    <row r="708" spans="4:4" ht="17.649999999999999" x14ac:dyDescent="0.5">
      <c r="D708" s="3" t="s">
        <v>104</v>
      </c>
    </row>
    <row r="709" spans="4:4" ht="17.649999999999999" x14ac:dyDescent="0.5">
      <c r="D709" s="3" t="s">
        <v>52</v>
      </c>
    </row>
    <row r="710" spans="4:4" ht="17.649999999999999" x14ac:dyDescent="0.5">
      <c r="D710" s="3" t="s">
        <v>105</v>
      </c>
    </row>
    <row r="711" spans="4:4" ht="17.649999999999999" x14ac:dyDescent="0.5">
      <c r="D711" s="3" t="s">
        <v>46</v>
      </c>
    </row>
    <row r="712" spans="4:4" ht="17.649999999999999" x14ac:dyDescent="0.5">
      <c r="D712" s="3" t="s">
        <v>80</v>
      </c>
    </row>
    <row r="713" spans="4:4" ht="17.649999999999999" x14ac:dyDescent="0.5">
      <c r="D713" s="3" t="s">
        <v>100</v>
      </c>
    </row>
    <row r="714" spans="4:4" ht="17.649999999999999" x14ac:dyDescent="0.5">
      <c r="D714" s="3" t="s">
        <v>78</v>
      </c>
    </row>
    <row r="715" spans="4:4" ht="17.649999999999999" x14ac:dyDescent="0.5">
      <c r="D715" s="3" t="s">
        <v>43</v>
      </c>
    </row>
    <row r="716" spans="4:4" ht="17.649999999999999" x14ac:dyDescent="0.5">
      <c r="D716" s="3" t="s">
        <v>121</v>
      </c>
    </row>
    <row r="717" spans="4:4" ht="17.649999999999999" x14ac:dyDescent="0.5">
      <c r="D717" s="3" t="s">
        <v>80</v>
      </c>
    </row>
    <row r="718" spans="4:4" ht="17.649999999999999" x14ac:dyDescent="0.5">
      <c r="D718" s="3" t="s">
        <v>63</v>
      </c>
    </row>
    <row r="719" spans="4:4" ht="17.649999999999999" x14ac:dyDescent="0.5">
      <c r="D719" s="3" t="s">
        <v>69</v>
      </c>
    </row>
    <row r="720" spans="4:4" ht="17.649999999999999" x14ac:dyDescent="0.5">
      <c r="D720" s="3" t="s">
        <v>51</v>
      </c>
    </row>
    <row r="721" spans="4:4" ht="17.649999999999999" x14ac:dyDescent="0.5">
      <c r="D721" s="3" t="s">
        <v>49</v>
      </c>
    </row>
    <row r="722" spans="4:4" ht="17.649999999999999" x14ac:dyDescent="0.5">
      <c r="D722" s="3" t="s">
        <v>115</v>
      </c>
    </row>
    <row r="723" spans="4:4" ht="17.649999999999999" x14ac:dyDescent="0.5">
      <c r="D723" s="3" t="s">
        <v>136</v>
      </c>
    </row>
    <row r="724" spans="4:4" ht="17.649999999999999" x14ac:dyDescent="0.5">
      <c r="D724" s="3" t="s">
        <v>57</v>
      </c>
    </row>
    <row r="725" spans="4:4" ht="17.649999999999999" x14ac:dyDescent="0.5">
      <c r="D725" s="3" t="s">
        <v>46</v>
      </c>
    </row>
    <row r="726" spans="4:4" ht="17.649999999999999" x14ac:dyDescent="0.5">
      <c r="D726" s="3" t="s">
        <v>77</v>
      </c>
    </row>
    <row r="727" spans="4:4" ht="17.649999999999999" x14ac:dyDescent="0.5">
      <c r="D727" s="3" t="s">
        <v>53</v>
      </c>
    </row>
    <row r="728" spans="4:4" ht="17.649999999999999" x14ac:dyDescent="0.5">
      <c r="D728" s="3" t="s">
        <v>41</v>
      </c>
    </row>
    <row r="729" spans="4:4" ht="17.649999999999999" x14ac:dyDescent="0.5">
      <c r="D729" s="3" t="s">
        <v>131</v>
      </c>
    </row>
    <row r="730" spans="4:4" ht="17.649999999999999" x14ac:dyDescent="0.5">
      <c r="D730" s="3" t="s">
        <v>61</v>
      </c>
    </row>
    <row r="731" spans="4:4" ht="17.649999999999999" x14ac:dyDescent="0.5">
      <c r="D731" s="3" t="s">
        <v>84</v>
      </c>
    </row>
    <row r="732" spans="4:4" ht="17.649999999999999" x14ac:dyDescent="0.5">
      <c r="D732" s="3" t="s">
        <v>66</v>
      </c>
    </row>
    <row r="733" spans="4:4" ht="17.649999999999999" x14ac:dyDescent="0.5">
      <c r="D733" s="3" t="s">
        <v>115</v>
      </c>
    </row>
    <row r="734" spans="4:4" ht="17.649999999999999" x14ac:dyDescent="0.5">
      <c r="D734" s="3" t="s">
        <v>103</v>
      </c>
    </row>
    <row r="735" spans="4:4" ht="17.649999999999999" x14ac:dyDescent="0.5">
      <c r="D735" s="3" t="s">
        <v>48</v>
      </c>
    </row>
    <row r="736" spans="4:4" ht="17.649999999999999" x14ac:dyDescent="0.5">
      <c r="D736" s="3" t="s">
        <v>105</v>
      </c>
    </row>
    <row r="737" spans="4:4" ht="17.649999999999999" x14ac:dyDescent="0.5">
      <c r="D737" s="3" t="s">
        <v>91</v>
      </c>
    </row>
    <row r="738" spans="4:4" ht="17.649999999999999" x14ac:dyDescent="0.5">
      <c r="D738" s="3" t="s">
        <v>91</v>
      </c>
    </row>
    <row r="739" spans="4:4" ht="17.649999999999999" x14ac:dyDescent="0.5">
      <c r="D739" s="3" t="s">
        <v>132</v>
      </c>
    </row>
    <row r="740" spans="4:4" ht="17.649999999999999" x14ac:dyDescent="0.5">
      <c r="D740" s="3" t="s">
        <v>68</v>
      </c>
    </row>
    <row r="741" spans="4:4" ht="17.649999999999999" x14ac:dyDescent="0.5">
      <c r="D741" s="3" t="s">
        <v>127</v>
      </c>
    </row>
    <row r="742" spans="4:4" ht="17.649999999999999" x14ac:dyDescent="0.5">
      <c r="D742" s="3" t="s">
        <v>86</v>
      </c>
    </row>
    <row r="743" spans="4:4" ht="17.649999999999999" x14ac:dyDescent="0.5">
      <c r="D743" s="3" t="s">
        <v>84</v>
      </c>
    </row>
    <row r="744" spans="4:4" ht="17.649999999999999" x14ac:dyDescent="0.5">
      <c r="D744" s="3" t="s">
        <v>86</v>
      </c>
    </row>
    <row r="745" spans="4:4" ht="17.649999999999999" x14ac:dyDescent="0.5">
      <c r="D745" s="3" t="s">
        <v>117</v>
      </c>
    </row>
    <row r="746" spans="4:4" ht="17.649999999999999" x14ac:dyDescent="0.5">
      <c r="D746" s="3" t="s">
        <v>119</v>
      </c>
    </row>
    <row r="747" spans="4:4" ht="17.649999999999999" x14ac:dyDescent="0.5">
      <c r="D747" s="3" t="s">
        <v>87</v>
      </c>
    </row>
    <row r="748" spans="4:4" ht="17.649999999999999" x14ac:dyDescent="0.5">
      <c r="D748" s="3" t="s">
        <v>50</v>
      </c>
    </row>
    <row r="749" spans="4:4" ht="17.649999999999999" x14ac:dyDescent="0.5">
      <c r="D749" s="3" t="s">
        <v>64</v>
      </c>
    </row>
    <row r="750" spans="4:4" ht="17.649999999999999" x14ac:dyDescent="0.5">
      <c r="D750" s="3" t="s">
        <v>76</v>
      </c>
    </row>
    <row r="751" spans="4:4" ht="17.649999999999999" x14ac:dyDescent="0.5">
      <c r="D751" s="3" t="s">
        <v>66</v>
      </c>
    </row>
    <row r="752" spans="4:4" ht="17.649999999999999" x14ac:dyDescent="0.5">
      <c r="D752" s="3" t="s">
        <v>58</v>
      </c>
    </row>
    <row r="753" spans="4:4" ht="17.649999999999999" x14ac:dyDescent="0.5">
      <c r="D753" s="3" t="s">
        <v>132</v>
      </c>
    </row>
    <row r="754" spans="4:4" ht="17.649999999999999" x14ac:dyDescent="0.5">
      <c r="D754" s="3" t="s">
        <v>107</v>
      </c>
    </row>
    <row r="755" spans="4:4" ht="17.649999999999999" x14ac:dyDescent="0.5">
      <c r="D755" s="3" t="s">
        <v>91</v>
      </c>
    </row>
    <row r="756" spans="4:4" ht="17.649999999999999" x14ac:dyDescent="0.5">
      <c r="D756" s="3" t="s">
        <v>132</v>
      </c>
    </row>
    <row r="757" spans="4:4" ht="17.649999999999999" x14ac:dyDescent="0.5">
      <c r="D757" s="3" t="s">
        <v>65</v>
      </c>
    </row>
    <row r="758" spans="4:4" ht="17.649999999999999" x14ac:dyDescent="0.5">
      <c r="D758" s="3" t="s">
        <v>74</v>
      </c>
    </row>
    <row r="759" spans="4:4" ht="17.649999999999999" x14ac:dyDescent="0.5">
      <c r="D759" s="3" t="s">
        <v>48</v>
      </c>
    </row>
    <row r="760" spans="4:4" ht="17.649999999999999" x14ac:dyDescent="0.5">
      <c r="D760" s="3" t="s">
        <v>66</v>
      </c>
    </row>
    <row r="761" spans="4:4" ht="17.649999999999999" x14ac:dyDescent="0.5">
      <c r="D761" s="3" t="s">
        <v>107</v>
      </c>
    </row>
    <row r="762" spans="4:4" ht="17.649999999999999" x14ac:dyDescent="0.5">
      <c r="D762" s="3" t="s">
        <v>110</v>
      </c>
    </row>
    <row r="763" spans="4:4" ht="17.649999999999999" x14ac:dyDescent="0.5">
      <c r="D763" s="3" t="s">
        <v>64</v>
      </c>
    </row>
    <row r="764" spans="4:4" ht="17.649999999999999" x14ac:dyDescent="0.5">
      <c r="D764" s="3" t="s">
        <v>67</v>
      </c>
    </row>
    <row r="765" spans="4:4" ht="17.649999999999999" x14ac:dyDescent="0.5">
      <c r="D765" s="3" t="s">
        <v>41</v>
      </c>
    </row>
    <row r="766" spans="4:4" ht="17.649999999999999" x14ac:dyDescent="0.5">
      <c r="D766" s="3" t="s">
        <v>44</v>
      </c>
    </row>
    <row r="767" spans="4:4" ht="17.649999999999999" x14ac:dyDescent="0.5">
      <c r="D767" s="3" t="s">
        <v>93</v>
      </c>
    </row>
    <row r="768" spans="4:4" ht="17.649999999999999" x14ac:dyDescent="0.5">
      <c r="D768" s="3" t="s">
        <v>101</v>
      </c>
    </row>
    <row r="769" spans="4:4" ht="17.649999999999999" x14ac:dyDescent="0.5">
      <c r="D769" s="3" t="s">
        <v>83</v>
      </c>
    </row>
    <row r="770" spans="4:4" ht="17.649999999999999" x14ac:dyDescent="0.5">
      <c r="D770" s="3" t="s">
        <v>57</v>
      </c>
    </row>
    <row r="771" spans="4:4" ht="17.649999999999999" x14ac:dyDescent="0.5">
      <c r="D771" s="3" t="s">
        <v>133</v>
      </c>
    </row>
    <row r="772" spans="4:4" ht="17.649999999999999" x14ac:dyDescent="0.5">
      <c r="D772" s="3" t="s">
        <v>103</v>
      </c>
    </row>
    <row r="773" spans="4:4" ht="17.649999999999999" x14ac:dyDescent="0.5">
      <c r="D773" s="3" t="s">
        <v>67</v>
      </c>
    </row>
    <row r="774" spans="4:4" ht="17.649999999999999" x14ac:dyDescent="0.5">
      <c r="D774" s="3" t="s">
        <v>53</v>
      </c>
    </row>
    <row r="775" spans="4:4" ht="17.649999999999999" x14ac:dyDescent="0.5">
      <c r="D775" s="3" t="s">
        <v>98</v>
      </c>
    </row>
    <row r="776" spans="4:4" ht="17.649999999999999" x14ac:dyDescent="0.5">
      <c r="D776" s="3" t="s">
        <v>51</v>
      </c>
    </row>
    <row r="777" spans="4:4" ht="17.649999999999999" x14ac:dyDescent="0.5">
      <c r="D777" s="3" t="s">
        <v>119</v>
      </c>
    </row>
    <row r="778" spans="4:4" ht="17.649999999999999" x14ac:dyDescent="0.5">
      <c r="D778" s="3" t="s">
        <v>81</v>
      </c>
    </row>
    <row r="779" spans="4:4" ht="17.649999999999999" x14ac:dyDescent="0.5">
      <c r="D779" s="3" t="s">
        <v>51</v>
      </c>
    </row>
    <row r="780" spans="4:4" ht="17.649999999999999" x14ac:dyDescent="0.5">
      <c r="D780" s="3" t="s">
        <v>49</v>
      </c>
    </row>
    <row r="781" spans="4:4" ht="17.649999999999999" x14ac:dyDescent="0.5">
      <c r="D781" s="3" t="s">
        <v>72</v>
      </c>
    </row>
    <row r="782" spans="4:4" ht="17.649999999999999" x14ac:dyDescent="0.5">
      <c r="D782" s="3" t="s">
        <v>47</v>
      </c>
    </row>
    <row r="783" spans="4:4" ht="17.649999999999999" x14ac:dyDescent="0.5">
      <c r="D783" s="3" t="s">
        <v>48</v>
      </c>
    </row>
    <row r="784" spans="4:4" ht="17.649999999999999" x14ac:dyDescent="0.5">
      <c r="D784" s="3" t="s">
        <v>117</v>
      </c>
    </row>
    <row r="785" spans="4:4" ht="17.649999999999999" x14ac:dyDescent="0.5">
      <c r="D785" s="3" t="s">
        <v>103</v>
      </c>
    </row>
    <row r="786" spans="4:4" ht="17.649999999999999" x14ac:dyDescent="0.5">
      <c r="D786" s="3" t="s">
        <v>101</v>
      </c>
    </row>
    <row r="787" spans="4:4" ht="17.649999999999999" x14ac:dyDescent="0.5">
      <c r="D787" s="3" t="s">
        <v>80</v>
      </c>
    </row>
    <row r="788" spans="4:4" ht="17.649999999999999" x14ac:dyDescent="0.5">
      <c r="D788" s="3" t="s">
        <v>101</v>
      </c>
    </row>
    <row r="789" spans="4:4" ht="17.649999999999999" x14ac:dyDescent="0.5">
      <c r="D789" s="3" t="s">
        <v>61</v>
      </c>
    </row>
    <row r="790" spans="4:4" ht="17.649999999999999" x14ac:dyDescent="0.5">
      <c r="D790" s="3" t="s">
        <v>77</v>
      </c>
    </row>
    <row r="791" spans="4:4" ht="17.649999999999999" x14ac:dyDescent="0.5">
      <c r="D791" s="3" t="s">
        <v>105</v>
      </c>
    </row>
    <row r="792" spans="4:4" ht="17.649999999999999" x14ac:dyDescent="0.5">
      <c r="D792" s="3" t="s">
        <v>97</v>
      </c>
    </row>
    <row r="793" spans="4:4" ht="17.649999999999999" x14ac:dyDescent="0.5">
      <c r="D793" s="3" t="s">
        <v>102</v>
      </c>
    </row>
    <row r="794" spans="4:4" ht="17.649999999999999" x14ac:dyDescent="0.5">
      <c r="D794" s="3" t="s">
        <v>91</v>
      </c>
    </row>
    <row r="795" spans="4:4" ht="17.649999999999999" x14ac:dyDescent="0.5">
      <c r="D795" s="3" t="s">
        <v>68</v>
      </c>
    </row>
    <row r="796" spans="4:4" ht="17.649999999999999" x14ac:dyDescent="0.5">
      <c r="D796" s="3" t="s">
        <v>98</v>
      </c>
    </row>
    <row r="797" spans="4:4" ht="17.649999999999999" x14ac:dyDescent="0.5">
      <c r="D797" s="3" t="s">
        <v>113</v>
      </c>
    </row>
    <row r="798" spans="4:4" ht="17.649999999999999" x14ac:dyDescent="0.5">
      <c r="D798" s="3" t="s">
        <v>47</v>
      </c>
    </row>
    <row r="799" spans="4:4" ht="17.649999999999999" x14ac:dyDescent="0.5">
      <c r="D799" s="3" t="s">
        <v>115</v>
      </c>
    </row>
    <row r="800" spans="4:4" ht="17.649999999999999" x14ac:dyDescent="0.5">
      <c r="D800" s="3" t="s">
        <v>90</v>
      </c>
    </row>
    <row r="801" spans="4:4" ht="17.649999999999999" x14ac:dyDescent="0.5">
      <c r="D801" s="3" t="s">
        <v>112</v>
      </c>
    </row>
    <row r="802" spans="4:4" ht="17.649999999999999" x14ac:dyDescent="0.5">
      <c r="D802" s="3" t="s">
        <v>85</v>
      </c>
    </row>
    <row r="803" spans="4:4" ht="17.649999999999999" x14ac:dyDescent="0.5">
      <c r="D803" s="3" t="s">
        <v>83</v>
      </c>
    </row>
    <row r="804" spans="4:4" ht="17.649999999999999" x14ac:dyDescent="0.5">
      <c r="D804" s="3" t="s">
        <v>80</v>
      </c>
    </row>
    <row r="805" spans="4:4" ht="17.649999999999999" x14ac:dyDescent="0.5">
      <c r="D805" s="3" t="s">
        <v>53</v>
      </c>
    </row>
    <row r="806" spans="4:4" ht="17.649999999999999" x14ac:dyDescent="0.5">
      <c r="D806" s="3" t="s">
        <v>123</v>
      </c>
    </row>
    <row r="807" spans="4:4" ht="17.649999999999999" x14ac:dyDescent="0.5">
      <c r="D807" s="3" t="s">
        <v>132</v>
      </c>
    </row>
    <row r="808" spans="4:4" ht="17.649999999999999" x14ac:dyDescent="0.5">
      <c r="D808" s="3" t="s">
        <v>133</v>
      </c>
    </row>
    <row r="809" spans="4:4" ht="17.649999999999999" x14ac:dyDescent="0.5">
      <c r="D809" s="3" t="s">
        <v>75</v>
      </c>
    </row>
    <row r="810" spans="4:4" ht="17.649999999999999" x14ac:dyDescent="0.5">
      <c r="D810" s="3" t="s">
        <v>99</v>
      </c>
    </row>
    <row r="811" spans="4:4" ht="17.649999999999999" x14ac:dyDescent="0.5">
      <c r="D811" s="3" t="s">
        <v>130</v>
      </c>
    </row>
    <row r="812" spans="4:4" ht="17.649999999999999" x14ac:dyDescent="0.5">
      <c r="D812" s="3" t="s">
        <v>118</v>
      </c>
    </row>
    <row r="813" spans="4:4" ht="17.649999999999999" x14ac:dyDescent="0.5">
      <c r="D813" s="3" t="s">
        <v>78</v>
      </c>
    </row>
    <row r="814" spans="4:4" ht="17.649999999999999" x14ac:dyDescent="0.5">
      <c r="D814" s="3" t="s">
        <v>55</v>
      </c>
    </row>
    <row r="815" spans="4:4" ht="17.649999999999999" x14ac:dyDescent="0.5">
      <c r="D815" s="3" t="s">
        <v>123</v>
      </c>
    </row>
    <row r="816" spans="4:4" ht="17.649999999999999" x14ac:dyDescent="0.5">
      <c r="D816" s="3" t="s">
        <v>77</v>
      </c>
    </row>
    <row r="817" spans="4:4" ht="17.649999999999999" x14ac:dyDescent="0.5">
      <c r="D817" s="3" t="s">
        <v>53</v>
      </c>
    </row>
    <row r="818" spans="4:4" ht="17.649999999999999" x14ac:dyDescent="0.5">
      <c r="D818" s="3" t="s">
        <v>48</v>
      </c>
    </row>
    <row r="819" spans="4:4" ht="17.649999999999999" x14ac:dyDescent="0.5">
      <c r="D819" s="3" t="s">
        <v>80</v>
      </c>
    </row>
    <row r="820" spans="4:4" ht="17.649999999999999" x14ac:dyDescent="0.5">
      <c r="D820" s="3" t="s">
        <v>87</v>
      </c>
    </row>
    <row r="821" spans="4:4" ht="17.649999999999999" x14ac:dyDescent="0.5">
      <c r="D821" s="3" t="s">
        <v>114</v>
      </c>
    </row>
    <row r="822" spans="4:4" ht="17.649999999999999" x14ac:dyDescent="0.5">
      <c r="D822" s="3" t="s">
        <v>65</v>
      </c>
    </row>
    <row r="823" spans="4:4" ht="17.649999999999999" x14ac:dyDescent="0.5">
      <c r="D823" s="3" t="s">
        <v>69</v>
      </c>
    </row>
    <row r="824" spans="4:4" ht="17.649999999999999" x14ac:dyDescent="0.5">
      <c r="D824" s="3" t="s">
        <v>80</v>
      </c>
    </row>
    <row r="825" spans="4:4" ht="17.649999999999999" x14ac:dyDescent="0.5">
      <c r="D825" s="3" t="s">
        <v>53</v>
      </c>
    </row>
    <row r="826" spans="4:4" ht="17.649999999999999" x14ac:dyDescent="0.5">
      <c r="D826" s="3" t="s">
        <v>55</v>
      </c>
    </row>
    <row r="827" spans="4:4" ht="17.649999999999999" x14ac:dyDescent="0.5">
      <c r="D827" s="3" t="s">
        <v>64</v>
      </c>
    </row>
    <row r="828" spans="4:4" ht="17.649999999999999" x14ac:dyDescent="0.5">
      <c r="D828" s="3" t="s">
        <v>67</v>
      </c>
    </row>
    <row r="829" spans="4:4" ht="17.649999999999999" x14ac:dyDescent="0.5">
      <c r="D829" s="3" t="s">
        <v>78</v>
      </c>
    </row>
    <row r="830" spans="4:4" ht="17.649999999999999" x14ac:dyDescent="0.5">
      <c r="D830" s="3" t="s">
        <v>77</v>
      </c>
    </row>
    <row r="831" spans="4:4" ht="17.649999999999999" x14ac:dyDescent="0.5">
      <c r="D831" s="3" t="s">
        <v>54</v>
      </c>
    </row>
    <row r="832" spans="4:4" ht="17.649999999999999" x14ac:dyDescent="0.5">
      <c r="D832" s="3" t="s">
        <v>130</v>
      </c>
    </row>
    <row r="833" spans="4:4" ht="17.649999999999999" x14ac:dyDescent="0.5">
      <c r="D833" s="3" t="s">
        <v>80</v>
      </c>
    </row>
    <row r="834" spans="4:4" ht="17.649999999999999" x14ac:dyDescent="0.5">
      <c r="D834" s="3" t="s">
        <v>115</v>
      </c>
    </row>
    <row r="835" spans="4:4" ht="17.649999999999999" x14ac:dyDescent="0.5">
      <c r="D835" s="3" t="s">
        <v>98</v>
      </c>
    </row>
    <row r="836" spans="4:4" ht="17.649999999999999" x14ac:dyDescent="0.5">
      <c r="D836" s="3" t="s">
        <v>89</v>
      </c>
    </row>
    <row r="837" spans="4:4" ht="17.649999999999999" x14ac:dyDescent="0.5">
      <c r="D837" s="3" t="s">
        <v>50</v>
      </c>
    </row>
    <row r="838" spans="4:4" ht="17.649999999999999" x14ac:dyDescent="0.5">
      <c r="D838" s="3" t="s">
        <v>46</v>
      </c>
    </row>
    <row r="839" spans="4:4" ht="17.649999999999999" x14ac:dyDescent="0.5">
      <c r="D839" s="3" t="s">
        <v>79</v>
      </c>
    </row>
    <row r="840" spans="4:4" ht="17.649999999999999" x14ac:dyDescent="0.5">
      <c r="D840" s="3" t="s">
        <v>54</v>
      </c>
    </row>
    <row r="841" spans="4:4" ht="17.649999999999999" x14ac:dyDescent="0.5">
      <c r="D841" s="3" t="s">
        <v>101</v>
      </c>
    </row>
    <row r="842" spans="4:4" ht="17.649999999999999" x14ac:dyDescent="0.5">
      <c r="D842" s="3" t="s">
        <v>65</v>
      </c>
    </row>
    <row r="843" spans="4:4" ht="17.649999999999999" x14ac:dyDescent="0.5">
      <c r="D843" s="3" t="s">
        <v>92</v>
      </c>
    </row>
    <row r="844" spans="4:4" ht="17.649999999999999" x14ac:dyDescent="0.5">
      <c r="D844" s="3" t="s">
        <v>45</v>
      </c>
    </row>
    <row r="845" spans="4:4" ht="17.649999999999999" x14ac:dyDescent="0.5">
      <c r="D845" s="3" t="s">
        <v>61</v>
      </c>
    </row>
    <row r="846" spans="4:4" ht="17.649999999999999" x14ac:dyDescent="0.5">
      <c r="D846" s="3" t="s">
        <v>74</v>
      </c>
    </row>
    <row r="847" spans="4:4" ht="17.649999999999999" x14ac:dyDescent="0.5">
      <c r="D847" s="3" t="s">
        <v>119</v>
      </c>
    </row>
    <row r="848" spans="4:4" ht="17.649999999999999" x14ac:dyDescent="0.5">
      <c r="D848" s="3" t="s">
        <v>66</v>
      </c>
    </row>
    <row r="849" spans="4:4" ht="17.649999999999999" x14ac:dyDescent="0.5">
      <c r="D849" s="3" t="s">
        <v>65</v>
      </c>
    </row>
    <row r="850" spans="4:4" ht="17.649999999999999" x14ac:dyDescent="0.5">
      <c r="D850" s="3" t="s">
        <v>117</v>
      </c>
    </row>
    <row r="851" spans="4:4" ht="17.649999999999999" x14ac:dyDescent="0.5">
      <c r="D851" s="3" t="s">
        <v>112</v>
      </c>
    </row>
    <row r="852" spans="4:4" ht="17.649999999999999" x14ac:dyDescent="0.5">
      <c r="D852" s="3" t="s">
        <v>62</v>
      </c>
    </row>
    <row r="853" spans="4:4" ht="17.649999999999999" x14ac:dyDescent="0.5">
      <c r="D853" s="3" t="s">
        <v>129</v>
      </c>
    </row>
    <row r="854" spans="4:4" ht="17.649999999999999" x14ac:dyDescent="0.5">
      <c r="D854" s="3" t="s">
        <v>51</v>
      </c>
    </row>
    <row r="855" spans="4:4" ht="17.649999999999999" x14ac:dyDescent="0.5">
      <c r="D855" s="3" t="s">
        <v>136</v>
      </c>
    </row>
    <row r="856" spans="4:4" ht="17.649999999999999" x14ac:dyDescent="0.5">
      <c r="D856" s="3" t="s">
        <v>96</v>
      </c>
    </row>
    <row r="857" spans="4:4" ht="17.649999999999999" x14ac:dyDescent="0.5">
      <c r="D857" s="3" t="s">
        <v>77</v>
      </c>
    </row>
    <row r="858" spans="4:4" ht="17.649999999999999" x14ac:dyDescent="0.5">
      <c r="D858" s="3" t="s">
        <v>77</v>
      </c>
    </row>
    <row r="859" spans="4:4" ht="17.649999999999999" x14ac:dyDescent="0.5">
      <c r="D859" s="3" t="s">
        <v>115</v>
      </c>
    </row>
    <row r="860" spans="4:4" ht="17.649999999999999" x14ac:dyDescent="0.5">
      <c r="D860" s="3" t="s">
        <v>130</v>
      </c>
    </row>
    <row r="861" spans="4:4" ht="17.649999999999999" x14ac:dyDescent="0.5">
      <c r="D861" s="3" t="s">
        <v>91</v>
      </c>
    </row>
    <row r="862" spans="4:4" ht="17.649999999999999" x14ac:dyDescent="0.5">
      <c r="D862" s="3" t="s">
        <v>80</v>
      </c>
    </row>
    <row r="863" spans="4:4" ht="17.649999999999999" x14ac:dyDescent="0.5">
      <c r="D863" s="3" t="s">
        <v>115</v>
      </c>
    </row>
    <row r="864" spans="4:4" ht="17.649999999999999" x14ac:dyDescent="0.5">
      <c r="D864" s="3" t="s">
        <v>88</v>
      </c>
    </row>
    <row r="865" spans="4:4" ht="17.649999999999999" x14ac:dyDescent="0.5">
      <c r="D865" s="3" t="s">
        <v>57</v>
      </c>
    </row>
    <row r="866" spans="4:4" ht="17.649999999999999" x14ac:dyDescent="0.5">
      <c r="D866" s="3" t="s">
        <v>98</v>
      </c>
    </row>
    <row r="867" spans="4:4" ht="17.649999999999999" x14ac:dyDescent="0.5">
      <c r="D867" s="3" t="s">
        <v>41</v>
      </c>
    </row>
    <row r="868" spans="4:4" ht="17.649999999999999" x14ac:dyDescent="0.5">
      <c r="D868" s="3" t="s">
        <v>67</v>
      </c>
    </row>
    <row r="869" spans="4:4" ht="17.649999999999999" x14ac:dyDescent="0.5">
      <c r="D869" s="3" t="s">
        <v>57</v>
      </c>
    </row>
    <row r="870" spans="4:4" ht="17.649999999999999" x14ac:dyDescent="0.5">
      <c r="D870" s="3" t="s">
        <v>98</v>
      </c>
    </row>
    <row r="871" spans="4:4" ht="17.649999999999999" x14ac:dyDescent="0.5">
      <c r="D871" s="3" t="s">
        <v>103</v>
      </c>
    </row>
    <row r="872" spans="4:4" ht="17.649999999999999" x14ac:dyDescent="0.5">
      <c r="D872" s="3" t="s">
        <v>92</v>
      </c>
    </row>
    <row r="873" spans="4:4" ht="17.649999999999999" x14ac:dyDescent="0.5">
      <c r="D873" s="3" t="s">
        <v>53</v>
      </c>
    </row>
    <row r="874" spans="4:4" ht="17.649999999999999" x14ac:dyDescent="0.5">
      <c r="D874" s="3" t="s">
        <v>112</v>
      </c>
    </row>
    <row r="875" spans="4:4" ht="17.649999999999999" x14ac:dyDescent="0.5">
      <c r="D875" s="3" t="s">
        <v>87</v>
      </c>
    </row>
    <row r="876" spans="4:4" ht="17.649999999999999" x14ac:dyDescent="0.5">
      <c r="D876" s="3" t="s">
        <v>48</v>
      </c>
    </row>
    <row r="877" spans="4:4" ht="17.649999999999999" x14ac:dyDescent="0.5">
      <c r="D877" s="3" t="s">
        <v>97</v>
      </c>
    </row>
    <row r="878" spans="4:4" ht="17.649999999999999" x14ac:dyDescent="0.5">
      <c r="D878" s="3" t="s">
        <v>94</v>
      </c>
    </row>
    <row r="879" spans="4:4" ht="17.649999999999999" x14ac:dyDescent="0.5">
      <c r="D879" s="3" t="s">
        <v>54</v>
      </c>
    </row>
    <row r="880" spans="4:4" ht="17.649999999999999" x14ac:dyDescent="0.5">
      <c r="D880" s="3" t="s">
        <v>96</v>
      </c>
    </row>
    <row r="881" spans="4:4" ht="17.649999999999999" x14ac:dyDescent="0.5">
      <c r="D881" s="3" t="s">
        <v>111</v>
      </c>
    </row>
    <row r="882" spans="4:4" ht="17.649999999999999" x14ac:dyDescent="0.5">
      <c r="D882" s="3" t="s">
        <v>66</v>
      </c>
    </row>
    <row r="883" spans="4:4" ht="17.649999999999999" x14ac:dyDescent="0.5">
      <c r="D883" s="3" t="s">
        <v>67</v>
      </c>
    </row>
    <row r="884" spans="4:4" ht="17.649999999999999" x14ac:dyDescent="0.5">
      <c r="D884" s="3" t="s">
        <v>115</v>
      </c>
    </row>
    <row r="885" spans="4:4" ht="17.649999999999999" x14ac:dyDescent="0.5">
      <c r="D885" s="3" t="s">
        <v>43</v>
      </c>
    </row>
    <row r="886" spans="4:4" ht="17.649999999999999" x14ac:dyDescent="0.5">
      <c r="D886" s="3" t="s">
        <v>50</v>
      </c>
    </row>
    <row r="887" spans="4:4" ht="17.649999999999999" x14ac:dyDescent="0.5">
      <c r="D887" s="3" t="s">
        <v>64</v>
      </c>
    </row>
    <row r="888" spans="4:4" ht="17.649999999999999" x14ac:dyDescent="0.5">
      <c r="D888" s="3" t="s">
        <v>73</v>
      </c>
    </row>
    <row r="889" spans="4:4" ht="17.649999999999999" x14ac:dyDescent="0.5">
      <c r="D889" s="3" t="s">
        <v>89</v>
      </c>
    </row>
    <row r="890" spans="4:4" ht="17.649999999999999" x14ac:dyDescent="0.5">
      <c r="D890" s="3" t="s">
        <v>45</v>
      </c>
    </row>
    <row r="891" spans="4:4" ht="17.649999999999999" x14ac:dyDescent="0.5">
      <c r="D891" s="3" t="s">
        <v>83</v>
      </c>
    </row>
    <row r="892" spans="4:4" ht="17.649999999999999" x14ac:dyDescent="0.5">
      <c r="D892" s="3" t="s">
        <v>56</v>
      </c>
    </row>
    <row r="893" spans="4:4" ht="17.649999999999999" x14ac:dyDescent="0.5">
      <c r="D893" s="3" t="s">
        <v>73</v>
      </c>
    </row>
    <row r="894" spans="4:4" ht="17.649999999999999" x14ac:dyDescent="0.5">
      <c r="D894" s="3" t="s">
        <v>113</v>
      </c>
    </row>
    <row r="895" spans="4:4" ht="17.649999999999999" x14ac:dyDescent="0.5">
      <c r="D895" s="3" t="s">
        <v>62</v>
      </c>
    </row>
    <row r="896" spans="4:4" ht="17.649999999999999" x14ac:dyDescent="0.5">
      <c r="D896" s="3" t="s">
        <v>115</v>
      </c>
    </row>
    <row r="897" spans="4:4" ht="17.649999999999999" x14ac:dyDescent="0.5">
      <c r="D897" s="3" t="s">
        <v>85</v>
      </c>
    </row>
    <row r="898" spans="4:4" ht="17.649999999999999" x14ac:dyDescent="0.5">
      <c r="D898" s="3" t="s">
        <v>69</v>
      </c>
    </row>
    <row r="899" spans="4:4" ht="17.649999999999999" x14ac:dyDescent="0.5">
      <c r="D899" s="3" t="s">
        <v>100</v>
      </c>
    </row>
    <row r="900" spans="4:4" ht="17.649999999999999" x14ac:dyDescent="0.5">
      <c r="D900" s="3" t="s">
        <v>54</v>
      </c>
    </row>
    <row r="901" spans="4:4" ht="17.649999999999999" x14ac:dyDescent="0.5">
      <c r="D901" s="3" t="s">
        <v>61</v>
      </c>
    </row>
    <row r="902" spans="4:4" ht="17.649999999999999" x14ac:dyDescent="0.5">
      <c r="D902" s="3" t="s">
        <v>59</v>
      </c>
    </row>
    <row r="903" spans="4:4" ht="17.649999999999999" x14ac:dyDescent="0.5">
      <c r="D903" s="3" t="s">
        <v>121</v>
      </c>
    </row>
    <row r="904" spans="4:4" ht="17.649999999999999" x14ac:dyDescent="0.5">
      <c r="D904" s="3" t="s">
        <v>77</v>
      </c>
    </row>
    <row r="905" spans="4:4" ht="17.649999999999999" x14ac:dyDescent="0.5">
      <c r="D905" s="3" t="s">
        <v>78</v>
      </c>
    </row>
    <row r="906" spans="4:4" ht="17.649999999999999" x14ac:dyDescent="0.5">
      <c r="D906" s="3" t="s">
        <v>85</v>
      </c>
    </row>
    <row r="907" spans="4:4" ht="17.649999999999999" x14ac:dyDescent="0.5">
      <c r="D907" s="3" t="s">
        <v>56</v>
      </c>
    </row>
    <row r="908" spans="4:4" ht="17.649999999999999" x14ac:dyDescent="0.5">
      <c r="D908" s="3" t="s">
        <v>86</v>
      </c>
    </row>
    <row r="909" spans="4:4" ht="17.649999999999999" x14ac:dyDescent="0.5">
      <c r="D909" s="3" t="s">
        <v>49</v>
      </c>
    </row>
    <row r="910" spans="4:4" ht="17.649999999999999" x14ac:dyDescent="0.5">
      <c r="D910" s="3" t="s">
        <v>102</v>
      </c>
    </row>
    <row r="911" spans="4:4" ht="17.649999999999999" x14ac:dyDescent="0.5">
      <c r="D911" s="3" t="s">
        <v>46</v>
      </c>
    </row>
    <row r="912" spans="4:4" ht="17.649999999999999" x14ac:dyDescent="0.5">
      <c r="D912" s="3" t="s">
        <v>87</v>
      </c>
    </row>
    <row r="913" spans="4:4" ht="17.649999999999999" x14ac:dyDescent="0.5">
      <c r="D913" s="3" t="s">
        <v>96</v>
      </c>
    </row>
    <row r="914" spans="4:4" ht="17.649999999999999" x14ac:dyDescent="0.5">
      <c r="D914" s="3" t="s">
        <v>105</v>
      </c>
    </row>
    <row r="915" spans="4:4" ht="17.649999999999999" x14ac:dyDescent="0.5">
      <c r="D915" s="3" t="s">
        <v>56</v>
      </c>
    </row>
    <row r="916" spans="4:4" ht="17.649999999999999" x14ac:dyDescent="0.5">
      <c r="D916" s="3" t="s">
        <v>63</v>
      </c>
    </row>
    <row r="917" spans="4:4" ht="17.649999999999999" x14ac:dyDescent="0.5">
      <c r="D917" s="3" t="s">
        <v>94</v>
      </c>
    </row>
    <row r="918" spans="4:4" ht="17.649999999999999" x14ac:dyDescent="0.5">
      <c r="D918" s="3" t="s">
        <v>100</v>
      </c>
    </row>
    <row r="919" spans="4:4" ht="17.649999999999999" x14ac:dyDescent="0.5">
      <c r="D919" s="3" t="s">
        <v>80</v>
      </c>
    </row>
    <row r="920" spans="4:4" ht="17.649999999999999" x14ac:dyDescent="0.5">
      <c r="D920" s="3" t="s">
        <v>47</v>
      </c>
    </row>
    <row r="921" spans="4:4" ht="17.649999999999999" x14ac:dyDescent="0.5">
      <c r="D921" s="3" t="s">
        <v>57</v>
      </c>
    </row>
    <row r="922" spans="4:4" ht="17.649999999999999" x14ac:dyDescent="0.5">
      <c r="D922" s="3" t="s">
        <v>106</v>
      </c>
    </row>
    <row r="923" spans="4:4" ht="17.649999999999999" x14ac:dyDescent="0.5">
      <c r="D923" s="3" t="s">
        <v>63</v>
      </c>
    </row>
    <row r="924" spans="4:4" ht="17.649999999999999" x14ac:dyDescent="0.5">
      <c r="D924" s="3" t="s">
        <v>92</v>
      </c>
    </row>
    <row r="925" spans="4:4" ht="17.649999999999999" x14ac:dyDescent="0.5">
      <c r="D925" s="3" t="s">
        <v>123</v>
      </c>
    </row>
    <row r="926" spans="4:4" ht="17.649999999999999" x14ac:dyDescent="0.5">
      <c r="D926" s="3" t="s">
        <v>69</v>
      </c>
    </row>
    <row r="927" spans="4:4" ht="17.649999999999999" x14ac:dyDescent="0.5">
      <c r="D927" s="3" t="s">
        <v>88</v>
      </c>
    </row>
    <row r="928" spans="4:4" ht="17.649999999999999" x14ac:dyDescent="0.5">
      <c r="D928" s="3" t="s">
        <v>134</v>
      </c>
    </row>
    <row r="929" spans="4:4" ht="17.649999999999999" x14ac:dyDescent="0.5">
      <c r="D929" s="3" t="s">
        <v>56</v>
      </c>
    </row>
    <row r="930" spans="4:4" ht="17.649999999999999" x14ac:dyDescent="0.5">
      <c r="D930" s="3" t="s">
        <v>120</v>
      </c>
    </row>
    <row r="931" spans="4:4" ht="17.649999999999999" x14ac:dyDescent="0.5">
      <c r="D931" s="3" t="s">
        <v>63</v>
      </c>
    </row>
    <row r="932" spans="4:4" ht="17.649999999999999" x14ac:dyDescent="0.5">
      <c r="D932" s="3" t="s">
        <v>112</v>
      </c>
    </row>
    <row r="933" spans="4:4" ht="17.649999999999999" x14ac:dyDescent="0.5">
      <c r="D933" s="3" t="s">
        <v>77</v>
      </c>
    </row>
    <row r="934" spans="4:4" ht="17.649999999999999" x14ac:dyDescent="0.5">
      <c r="D934" s="3" t="s">
        <v>103</v>
      </c>
    </row>
    <row r="935" spans="4:4" ht="17.649999999999999" x14ac:dyDescent="0.5">
      <c r="D935" s="3" t="s">
        <v>108</v>
      </c>
    </row>
    <row r="936" spans="4:4" ht="17.649999999999999" x14ac:dyDescent="0.5">
      <c r="D936" s="3" t="s">
        <v>69</v>
      </c>
    </row>
    <row r="937" spans="4:4" ht="17.649999999999999" x14ac:dyDescent="0.5">
      <c r="D937" s="3" t="s">
        <v>101</v>
      </c>
    </row>
    <row r="938" spans="4:4" ht="17.649999999999999" x14ac:dyDescent="0.5">
      <c r="D938" s="3" t="s">
        <v>56</v>
      </c>
    </row>
    <row r="939" spans="4:4" ht="17.649999999999999" x14ac:dyDescent="0.5">
      <c r="D939" s="3" t="s">
        <v>61</v>
      </c>
    </row>
    <row r="940" spans="4:4" ht="17.649999999999999" x14ac:dyDescent="0.5">
      <c r="D940" s="3" t="s">
        <v>112</v>
      </c>
    </row>
    <row r="941" spans="4:4" ht="17.649999999999999" x14ac:dyDescent="0.5">
      <c r="D941" s="3" t="s">
        <v>64</v>
      </c>
    </row>
    <row r="942" spans="4:4" ht="17.649999999999999" x14ac:dyDescent="0.5">
      <c r="D942" s="3" t="s">
        <v>45</v>
      </c>
    </row>
    <row r="943" spans="4:4" ht="17.649999999999999" x14ac:dyDescent="0.5">
      <c r="D943" s="3" t="s">
        <v>103</v>
      </c>
    </row>
    <row r="944" spans="4:4" ht="17.649999999999999" x14ac:dyDescent="0.5">
      <c r="D944" s="3" t="s">
        <v>115</v>
      </c>
    </row>
    <row r="945" spans="4:4" ht="17.649999999999999" x14ac:dyDescent="0.5">
      <c r="D945" s="3" t="s">
        <v>73</v>
      </c>
    </row>
    <row r="946" spans="4:4" ht="17.649999999999999" x14ac:dyDescent="0.5">
      <c r="D946" s="3" t="s">
        <v>61</v>
      </c>
    </row>
    <row r="947" spans="4:4" ht="17.649999999999999" x14ac:dyDescent="0.5">
      <c r="D947" s="3" t="s">
        <v>69</v>
      </c>
    </row>
    <row r="948" spans="4:4" ht="17.649999999999999" x14ac:dyDescent="0.5">
      <c r="D948" s="3" t="s">
        <v>98</v>
      </c>
    </row>
    <row r="949" spans="4:4" ht="17.649999999999999" x14ac:dyDescent="0.5">
      <c r="D949" s="3" t="s">
        <v>53</v>
      </c>
    </row>
    <row r="950" spans="4:4" ht="17.649999999999999" x14ac:dyDescent="0.5">
      <c r="D950" s="3" t="s">
        <v>96</v>
      </c>
    </row>
    <row r="951" spans="4:4" ht="17.649999999999999" x14ac:dyDescent="0.5">
      <c r="D951" s="3" t="s">
        <v>66</v>
      </c>
    </row>
    <row r="952" spans="4:4" ht="17.649999999999999" x14ac:dyDescent="0.5">
      <c r="D952" s="3" t="s">
        <v>45</v>
      </c>
    </row>
    <row r="953" spans="4:4" ht="17.649999999999999" x14ac:dyDescent="0.5">
      <c r="D953" s="3" t="s">
        <v>90</v>
      </c>
    </row>
    <row r="954" spans="4:4" ht="17.649999999999999" x14ac:dyDescent="0.5">
      <c r="D954" s="3" t="s">
        <v>83</v>
      </c>
    </row>
    <row r="955" spans="4:4" ht="17.649999999999999" x14ac:dyDescent="0.5">
      <c r="D955" s="3" t="s">
        <v>56</v>
      </c>
    </row>
    <row r="956" spans="4:4" ht="17.649999999999999" x14ac:dyDescent="0.5">
      <c r="D956" s="3" t="s">
        <v>51</v>
      </c>
    </row>
    <row r="957" spans="4:4" ht="17.649999999999999" x14ac:dyDescent="0.5">
      <c r="D957" s="3" t="s">
        <v>47</v>
      </c>
    </row>
    <row r="958" spans="4:4" ht="17.649999999999999" x14ac:dyDescent="0.5">
      <c r="D958" s="3" t="s">
        <v>134</v>
      </c>
    </row>
    <row r="959" spans="4:4" ht="17.649999999999999" x14ac:dyDescent="0.5">
      <c r="D959" s="3" t="s">
        <v>75</v>
      </c>
    </row>
    <row r="960" spans="4:4" ht="17.649999999999999" x14ac:dyDescent="0.5">
      <c r="D960" s="3" t="s">
        <v>96</v>
      </c>
    </row>
    <row r="961" spans="4:4" ht="17.649999999999999" x14ac:dyDescent="0.5">
      <c r="D961" s="3" t="s">
        <v>52</v>
      </c>
    </row>
    <row r="962" spans="4:4" ht="17.649999999999999" x14ac:dyDescent="0.5">
      <c r="D962" s="3" t="s">
        <v>101</v>
      </c>
    </row>
    <row r="963" spans="4:4" ht="17.649999999999999" x14ac:dyDescent="0.5">
      <c r="D963" s="3" t="s">
        <v>47</v>
      </c>
    </row>
    <row r="964" spans="4:4" ht="17.649999999999999" x14ac:dyDescent="0.5">
      <c r="D964" s="3" t="s">
        <v>79</v>
      </c>
    </row>
    <row r="965" spans="4:4" ht="17.649999999999999" x14ac:dyDescent="0.5">
      <c r="D965" s="3" t="s">
        <v>88</v>
      </c>
    </row>
    <row r="966" spans="4:4" ht="17.649999999999999" x14ac:dyDescent="0.5">
      <c r="D966" s="3" t="s">
        <v>91</v>
      </c>
    </row>
    <row r="967" spans="4:4" ht="17.649999999999999" x14ac:dyDescent="0.5">
      <c r="D967" s="3" t="s">
        <v>80</v>
      </c>
    </row>
    <row r="968" spans="4:4" ht="17.649999999999999" x14ac:dyDescent="0.5">
      <c r="D968" s="3" t="s">
        <v>106</v>
      </c>
    </row>
    <row r="969" spans="4:4" ht="17.649999999999999" x14ac:dyDescent="0.5">
      <c r="D969" s="3" t="s">
        <v>51</v>
      </c>
    </row>
    <row r="970" spans="4:4" ht="17.649999999999999" x14ac:dyDescent="0.5">
      <c r="D970" s="3" t="s">
        <v>115</v>
      </c>
    </row>
    <row r="971" spans="4:4" ht="17.649999999999999" x14ac:dyDescent="0.5">
      <c r="D971" s="3" t="s">
        <v>131</v>
      </c>
    </row>
    <row r="972" spans="4:4" ht="17.649999999999999" x14ac:dyDescent="0.5">
      <c r="D972" s="3" t="s">
        <v>114</v>
      </c>
    </row>
    <row r="973" spans="4:4" ht="17.649999999999999" x14ac:dyDescent="0.5">
      <c r="D973" s="3" t="s">
        <v>125</v>
      </c>
    </row>
    <row r="974" spans="4:4" ht="17.649999999999999" x14ac:dyDescent="0.5">
      <c r="D974" s="3" t="s">
        <v>44</v>
      </c>
    </row>
    <row r="975" spans="4:4" ht="17.649999999999999" x14ac:dyDescent="0.5">
      <c r="D975" s="3" t="s">
        <v>78</v>
      </c>
    </row>
    <row r="976" spans="4:4" ht="17.649999999999999" x14ac:dyDescent="0.5">
      <c r="D976" s="3" t="s">
        <v>131</v>
      </c>
    </row>
    <row r="977" spans="4:4" ht="17.649999999999999" x14ac:dyDescent="0.5">
      <c r="D977" s="3" t="s">
        <v>41</v>
      </c>
    </row>
    <row r="978" spans="4:4" ht="17.649999999999999" x14ac:dyDescent="0.5">
      <c r="D978" s="3" t="s">
        <v>43</v>
      </c>
    </row>
    <row r="979" spans="4:4" ht="17.649999999999999" x14ac:dyDescent="0.5">
      <c r="D979" s="3" t="s">
        <v>127</v>
      </c>
    </row>
    <row r="980" spans="4:4" ht="17.649999999999999" x14ac:dyDescent="0.5">
      <c r="D980" s="3" t="s">
        <v>41</v>
      </c>
    </row>
    <row r="981" spans="4:4" ht="17.649999999999999" x14ac:dyDescent="0.5">
      <c r="D981" s="3" t="s">
        <v>54</v>
      </c>
    </row>
    <row r="982" spans="4:4" ht="17.649999999999999" x14ac:dyDescent="0.5">
      <c r="D982" s="3" t="s">
        <v>133</v>
      </c>
    </row>
    <row r="983" spans="4:4" ht="17.649999999999999" x14ac:dyDescent="0.5">
      <c r="D983" s="3" t="s">
        <v>130</v>
      </c>
    </row>
    <row r="984" spans="4:4" ht="17.649999999999999" x14ac:dyDescent="0.5">
      <c r="D984" s="3" t="s">
        <v>81</v>
      </c>
    </row>
    <row r="985" spans="4:4" ht="17.649999999999999" x14ac:dyDescent="0.5">
      <c r="D985" s="3" t="s">
        <v>113</v>
      </c>
    </row>
    <row r="986" spans="4:4" ht="17.649999999999999" x14ac:dyDescent="0.5">
      <c r="D986" s="3" t="s">
        <v>86</v>
      </c>
    </row>
    <row r="987" spans="4:4" ht="17.649999999999999" x14ac:dyDescent="0.5">
      <c r="D987" s="3" t="s">
        <v>125</v>
      </c>
    </row>
    <row r="988" spans="4:4" ht="17.649999999999999" x14ac:dyDescent="0.5">
      <c r="D988" s="3" t="s">
        <v>98</v>
      </c>
    </row>
    <row r="989" spans="4:4" ht="17.649999999999999" x14ac:dyDescent="0.5">
      <c r="D989" s="3" t="s">
        <v>72</v>
      </c>
    </row>
    <row r="990" spans="4:4" ht="17.649999999999999" x14ac:dyDescent="0.5">
      <c r="D990" s="3" t="s">
        <v>48</v>
      </c>
    </row>
    <row r="991" spans="4:4" ht="17.649999999999999" x14ac:dyDescent="0.5">
      <c r="D991" s="3" t="s">
        <v>133</v>
      </c>
    </row>
    <row r="992" spans="4:4" ht="17.649999999999999" x14ac:dyDescent="0.5">
      <c r="D992" s="3" t="s">
        <v>107</v>
      </c>
    </row>
    <row r="993" spans="4:4" ht="17.649999999999999" x14ac:dyDescent="0.5">
      <c r="D993" s="3" t="s">
        <v>46</v>
      </c>
    </row>
    <row r="994" spans="4:4" ht="17.649999999999999" x14ac:dyDescent="0.5">
      <c r="D994" s="3" t="s">
        <v>57</v>
      </c>
    </row>
    <row r="995" spans="4:4" ht="17.649999999999999" x14ac:dyDescent="0.5">
      <c r="D995" s="3" t="s">
        <v>67</v>
      </c>
    </row>
    <row r="996" spans="4:4" ht="17.649999999999999" x14ac:dyDescent="0.5">
      <c r="D996" s="3" t="s">
        <v>51</v>
      </c>
    </row>
    <row r="997" spans="4:4" ht="17.649999999999999" x14ac:dyDescent="0.5">
      <c r="D997" s="3" t="s">
        <v>63</v>
      </c>
    </row>
    <row r="998" spans="4:4" ht="17.649999999999999" x14ac:dyDescent="0.5">
      <c r="D998" s="3" t="s">
        <v>69</v>
      </c>
    </row>
    <row r="999" spans="4:4" ht="17.649999999999999" x14ac:dyDescent="0.5">
      <c r="D999" s="3" t="s">
        <v>129</v>
      </c>
    </row>
    <row r="1000" spans="4:4" ht="17.649999999999999" x14ac:dyDescent="0.5">
      <c r="D1000" s="3" t="s">
        <v>116</v>
      </c>
    </row>
    <row r="1001" spans="4:4" ht="17.649999999999999" x14ac:dyDescent="0.5">
      <c r="D1001" s="3" t="s">
        <v>91</v>
      </c>
    </row>
    <row r="1002" spans="4:4" ht="17.649999999999999" x14ac:dyDescent="0.5">
      <c r="D1002" s="3" t="s">
        <v>85</v>
      </c>
    </row>
    <row r="1003" spans="4:4" ht="17.649999999999999" x14ac:dyDescent="0.5">
      <c r="D1003" s="3" t="s">
        <v>107</v>
      </c>
    </row>
    <row r="1004" spans="4:4" ht="17.649999999999999" x14ac:dyDescent="0.5">
      <c r="D1004" s="3" t="s">
        <v>104</v>
      </c>
    </row>
    <row r="1005" spans="4:4" ht="17.649999999999999" x14ac:dyDescent="0.5">
      <c r="D1005" s="3" t="s">
        <v>78</v>
      </c>
    </row>
    <row r="1006" spans="4:4" ht="17.649999999999999" x14ac:dyDescent="0.5">
      <c r="D1006" s="3" t="s">
        <v>54</v>
      </c>
    </row>
    <row r="1007" spans="4:4" ht="17.649999999999999" x14ac:dyDescent="0.5">
      <c r="D1007" s="3" t="s">
        <v>46</v>
      </c>
    </row>
    <row r="1008" spans="4:4" ht="17.649999999999999" x14ac:dyDescent="0.5">
      <c r="D1008" s="3" t="s">
        <v>61</v>
      </c>
    </row>
    <row r="1009" spans="4:4" ht="17.649999999999999" x14ac:dyDescent="0.5">
      <c r="D1009" s="3" t="s">
        <v>48</v>
      </c>
    </row>
    <row r="1010" spans="4:4" ht="17.649999999999999" x14ac:dyDescent="0.5">
      <c r="D1010" s="3" t="s">
        <v>87</v>
      </c>
    </row>
    <row r="1011" spans="4:4" ht="17.649999999999999" x14ac:dyDescent="0.5">
      <c r="D1011" s="3" t="s">
        <v>126</v>
      </c>
    </row>
    <row r="1012" spans="4:4" ht="17.649999999999999" x14ac:dyDescent="0.5">
      <c r="D1012" s="3" t="s">
        <v>127</v>
      </c>
    </row>
    <row r="1013" spans="4:4" ht="17.649999999999999" x14ac:dyDescent="0.5">
      <c r="D1013" s="3" t="s">
        <v>109</v>
      </c>
    </row>
    <row r="1014" spans="4:4" ht="17.649999999999999" x14ac:dyDescent="0.5">
      <c r="D1014" s="3" t="s">
        <v>59</v>
      </c>
    </row>
    <row r="1015" spans="4:4" ht="17.649999999999999" x14ac:dyDescent="0.5">
      <c r="D1015" s="3" t="s">
        <v>90</v>
      </c>
    </row>
    <row r="1016" spans="4:4" ht="17.649999999999999" x14ac:dyDescent="0.5">
      <c r="D1016" s="3" t="s">
        <v>127</v>
      </c>
    </row>
    <row r="1017" spans="4:4" ht="17.649999999999999" x14ac:dyDescent="0.5">
      <c r="D1017" s="3" t="s">
        <v>84</v>
      </c>
    </row>
    <row r="1018" spans="4:4" ht="17.649999999999999" x14ac:dyDescent="0.5">
      <c r="D1018" s="3" t="s">
        <v>82</v>
      </c>
    </row>
    <row r="1019" spans="4:4" ht="17.649999999999999" x14ac:dyDescent="0.5">
      <c r="D1019" s="3" t="s">
        <v>110</v>
      </c>
    </row>
    <row r="1020" spans="4:4" ht="17.649999999999999" x14ac:dyDescent="0.5">
      <c r="D1020" s="3" t="s">
        <v>52</v>
      </c>
    </row>
    <row r="1021" spans="4:4" ht="17.649999999999999" x14ac:dyDescent="0.5">
      <c r="D1021" s="3" t="s">
        <v>50</v>
      </c>
    </row>
    <row r="1022" spans="4:4" ht="17.649999999999999" x14ac:dyDescent="0.5">
      <c r="D1022" s="3" t="s">
        <v>122</v>
      </c>
    </row>
    <row r="1023" spans="4:4" ht="17.649999999999999" x14ac:dyDescent="0.5">
      <c r="D1023" s="3" t="s">
        <v>81</v>
      </c>
    </row>
    <row r="1024" spans="4:4" ht="17.649999999999999" x14ac:dyDescent="0.5">
      <c r="D1024" s="3" t="s">
        <v>99</v>
      </c>
    </row>
    <row r="1025" spans="4:4" ht="17.649999999999999" x14ac:dyDescent="0.5">
      <c r="D1025" s="3" t="s">
        <v>83</v>
      </c>
    </row>
    <row r="1026" spans="4:4" ht="17.649999999999999" x14ac:dyDescent="0.5">
      <c r="D1026" s="3" t="s">
        <v>63</v>
      </c>
    </row>
    <row r="1027" spans="4:4" ht="17.649999999999999" x14ac:dyDescent="0.5">
      <c r="D1027" s="3" t="s">
        <v>75</v>
      </c>
    </row>
    <row r="1028" spans="4:4" ht="17.649999999999999" x14ac:dyDescent="0.5">
      <c r="D1028" s="3" t="s">
        <v>83</v>
      </c>
    </row>
    <row r="1029" spans="4:4" ht="17.649999999999999" x14ac:dyDescent="0.5">
      <c r="D1029" s="3" t="s">
        <v>81</v>
      </c>
    </row>
    <row r="1030" spans="4:4" ht="17.649999999999999" x14ac:dyDescent="0.5">
      <c r="D1030" s="3" t="s">
        <v>91</v>
      </c>
    </row>
    <row r="1031" spans="4:4" ht="17.649999999999999" x14ac:dyDescent="0.5">
      <c r="D1031" s="3" t="s">
        <v>115</v>
      </c>
    </row>
    <row r="1032" spans="4:4" ht="17.649999999999999" x14ac:dyDescent="0.5">
      <c r="D1032" s="3" t="s">
        <v>78</v>
      </c>
    </row>
    <row r="1033" spans="4:4" ht="17.649999999999999" x14ac:dyDescent="0.5">
      <c r="D1033" s="3" t="s">
        <v>118</v>
      </c>
    </row>
    <row r="1034" spans="4:4" ht="17.649999999999999" x14ac:dyDescent="0.5">
      <c r="D1034" s="3" t="s">
        <v>46</v>
      </c>
    </row>
    <row r="1035" spans="4:4" ht="17.649999999999999" x14ac:dyDescent="0.5">
      <c r="D1035" s="3" t="s">
        <v>77</v>
      </c>
    </row>
    <row r="1036" spans="4:4" ht="17.649999999999999" x14ac:dyDescent="0.5">
      <c r="D1036" s="3" t="s">
        <v>90</v>
      </c>
    </row>
    <row r="1037" spans="4:4" ht="17.649999999999999" x14ac:dyDescent="0.5">
      <c r="D1037" s="3" t="s">
        <v>81</v>
      </c>
    </row>
    <row r="1038" spans="4:4" ht="17.649999999999999" x14ac:dyDescent="0.5">
      <c r="D1038" s="3" t="s">
        <v>69</v>
      </c>
    </row>
    <row r="1039" spans="4:4" ht="17.649999999999999" x14ac:dyDescent="0.5">
      <c r="D1039" s="3" t="s">
        <v>73</v>
      </c>
    </row>
    <row r="1040" spans="4:4" ht="17.649999999999999" x14ac:dyDescent="0.5">
      <c r="D1040" s="3" t="s">
        <v>88</v>
      </c>
    </row>
    <row r="1041" spans="4:4" ht="17.649999999999999" x14ac:dyDescent="0.5">
      <c r="D1041" s="3" t="s">
        <v>105</v>
      </c>
    </row>
    <row r="1042" spans="4:4" ht="17.649999999999999" x14ac:dyDescent="0.5">
      <c r="D1042" s="3" t="s">
        <v>61</v>
      </c>
    </row>
    <row r="1043" spans="4:4" ht="17.649999999999999" x14ac:dyDescent="0.5">
      <c r="D1043" s="3" t="s">
        <v>56</v>
      </c>
    </row>
    <row r="1044" spans="4:4" ht="17.649999999999999" x14ac:dyDescent="0.5">
      <c r="D1044" s="3" t="s">
        <v>107</v>
      </c>
    </row>
    <row r="1045" spans="4:4" ht="17.649999999999999" x14ac:dyDescent="0.5">
      <c r="D1045" s="3" t="s">
        <v>49</v>
      </c>
    </row>
    <row r="1046" spans="4:4" ht="17.649999999999999" x14ac:dyDescent="0.5">
      <c r="D1046" s="3" t="s">
        <v>44</v>
      </c>
    </row>
    <row r="1047" spans="4:4" ht="17.649999999999999" x14ac:dyDescent="0.5">
      <c r="D1047" s="3" t="s">
        <v>46</v>
      </c>
    </row>
    <row r="1048" spans="4:4" ht="17.649999999999999" x14ac:dyDescent="0.5">
      <c r="D1048" s="3" t="s">
        <v>50</v>
      </c>
    </row>
    <row r="1049" spans="4:4" ht="17.649999999999999" x14ac:dyDescent="0.5">
      <c r="D1049" s="3" t="s">
        <v>57</v>
      </c>
    </row>
    <row r="1050" spans="4:4" ht="17.649999999999999" x14ac:dyDescent="0.5">
      <c r="D1050" s="3" t="s">
        <v>46</v>
      </c>
    </row>
    <row r="1051" spans="4:4" ht="17.649999999999999" x14ac:dyDescent="0.5">
      <c r="D1051" s="3" t="s">
        <v>90</v>
      </c>
    </row>
    <row r="1052" spans="4:4" ht="17.649999999999999" x14ac:dyDescent="0.5">
      <c r="D1052" s="3" t="s">
        <v>95</v>
      </c>
    </row>
    <row r="1053" spans="4:4" ht="17.649999999999999" x14ac:dyDescent="0.5">
      <c r="D1053" s="3" t="s">
        <v>45</v>
      </c>
    </row>
    <row r="1054" spans="4:4" ht="17.649999999999999" x14ac:dyDescent="0.5">
      <c r="D1054" s="3" t="s">
        <v>74</v>
      </c>
    </row>
    <row r="1055" spans="4:4" ht="17.649999999999999" x14ac:dyDescent="0.5">
      <c r="D1055" s="3" t="s">
        <v>112</v>
      </c>
    </row>
    <row r="1056" spans="4:4" ht="17.649999999999999" x14ac:dyDescent="0.5">
      <c r="D1056" s="3" t="s">
        <v>92</v>
      </c>
    </row>
    <row r="1057" spans="4:4" ht="17.649999999999999" x14ac:dyDescent="0.5">
      <c r="D1057" s="3" t="s">
        <v>124</v>
      </c>
    </row>
    <row r="1058" spans="4:4" ht="17.649999999999999" x14ac:dyDescent="0.5">
      <c r="D1058" s="3" t="s">
        <v>92</v>
      </c>
    </row>
    <row r="1059" spans="4:4" ht="17.649999999999999" x14ac:dyDescent="0.5">
      <c r="D1059" s="3" t="s">
        <v>123</v>
      </c>
    </row>
    <row r="1060" spans="4:4" ht="17.649999999999999" x14ac:dyDescent="0.5">
      <c r="D1060" s="3" t="s">
        <v>48</v>
      </c>
    </row>
    <row r="1061" spans="4:4" ht="17.649999999999999" x14ac:dyDescent="0.5">
      <c r="D1061" s="3" t="s">
        <v>83</v>
      </c>
    </row>
    <row r="1062" spans="4:4" ht="17.649999999999999" x14ac:dyDescent="0.5">
      <c r="D1062" s="3" t="s">
        <v>59</v>
      </c>
    </row>
    <row r="1063" spans="4:4" ht="17.649999999999999" x14ac:dyDescent="0.5">
      <c r="D1063" s="3" t="s">
        <v>61</v>
      </c>
    </row>
    <row r="1064" spans="4:4" ht="17.649999999999999" x14ac:dyDescent="0.5">
      <c r="D1064" s="3" t="s">
        <v>69</v>
      </c>
    </row>
    <row r="1065" spans="4:4" ht="17.649999999999999" x14ac:dyDescent="0.5">
      <c r="D1065" s="3" t="s">
        <v>93</v>
      </c>
    </row>
    <row r="1066" spans="4:4" ht="17.649999999999999" x14ac:dyDescent="0.5">
      <c r="D1066" s="3" t="s">
        <v>100</v>
      </c>
    </row>
    <row r="1067" spans="4:4" ht="17.649999999999999" x14ac:dyDescent="0.5">
      <c r="D1067" s="3" t="s">
        <v>56</v>
      </c>
    </row>
    <row r="1068" spans="4:4" ht="17.649999999999999" x14ac:dyDescent="0.5">
      <c r="D1068" s="3" t="s">
        <v>41</v>
      </c>
    </row>
    <row r="1069" spans="4:4" ht="17.649999999999999" x14ac:dyDescent="0.5">
      <c r="D1069" s="3" t="s">
        <v>71</v>
      </c>
    </row>
    <row r="1070" spans="4:4" ht="17.649999999999999" x14ac:dyDescent="0.5">
      <c r="D1070" s="3" t="s">
        <v>126</v>
      </c>
    </row>
    <row r="1071" spans="4:4" ht="17.649999999999999" x14ac:dyDescent="0.5">
      <c r="D1071" s="3" t="s">
        <v>114</v>
      </c>
    </row>
    <row r="1072" spans="4:4" ht="17.649999999999999" x14ac:dyDescent="0.5">
      <c r="D1072" s="3" t="s">
        <v>99</v>
      </c>
    </row>
    <row r="1073" spans="4:4" ht="17.649999999999999" x14ac:dyDescent="0.5">
      <c r="D1073" s="3" t="s">
        <v>135</v>
      </c>
    </row>
    <row r="1074" spans="4:4" ht="17.649999999999999" x14ac:dyDescent="0.5">
      <c r="D1074" s="3" t="s">
        <v>64</v>
      </c>
    </row>
    <row r="1075" spans="4:4" ht="17.649999999999999" x14ac:dyDescent="0.5">
      <c r="D1075" s="3" t="s">
        <v>110</v>
      </c>
    </row>
    <row r="1076" spans="4:4" ht="17.649999999999999" x14ac:dyDescent="0.5">
      <c r="D1076" s="3" t="s">
        <v>56</v>
      </c>
    </row>
    <row r="1077" spans="4:4" ht="17.649999999999999" x14ac:dyDescent="0.5">
      <c r="D1077" s="3" t="s">
        <v>65</v>
      </c>
    </row>
    <row r="1078" spans="4:4" ht="17.649999999999999" x14ac:dyDescent="0.5">
      <c r="D1078" s="3" t="s">
        <v>109</v>
      </c>
    </row>
    <row r="1079" spans="4:4" ht="17.649999999999999" x14ac:dyDescent="0.5">
      <c r="D1079" s="3" t="s">
        <v>96</v>
      </c>
    </row>
    <row r="1080" spans="4:4" ht="17.649999999999999" x14ac:dyDescent="0.5">
      <c r="D1080" s="3" t="s">
        <v>118</v>
      </c>
    </row>
    <row r="1081" spans="4:4" ht="17.649999999999999" x14ac:dyDescent="0.5">
      <c r="D1081" s="3" t="s">
        <v>98</v>
      </c>
    </row>
    <row r="1082" spans="4:4" ht="17.649999999999999" x14ac:dyDescent="0.5">
      <c r="D1082" s="3" t="s">
        <v>77</v>
      </c>
    </row>
    <row r="1083" spans="4:4" ht="17.649999999999999" x14ac:dyDescent="0.5">
      <c r="D1083" s="3" t="s">
        <v>100</v>
      </c>
    </row>
    <row r="1084" spans="4:4" ht="17.649999999999999" x14ac:dyDescent="0.5">
      <c r="D1084" s="3" t="s">
        <v>78</v>
      </c>
    </row>
    <row r="1085" spans="4:4" ht="17.649999999999999" x14ac:dyDescent="0.5">
      <c r="D1085" s="3" t="s">
        <v>59</v>
      </c>
    </row>
    <row r="1086" spans="4:4" ht="17.649999999999999" x14ac:dyDescent="0.5">
      <c r="D1086" s="3" t="s">
        <v>112</v>
      </c>
    </row>
    <row r="1087" spans="4:4" ht="17.649999999999999" x14ac:dyDescent="0.5">
      <c r="D1087" s="3" t="s">
        <v>103</v>
      </c>
    </row>
    <row r="1088" spans="4:4" ht="17.649999999999999" x14ac:dyDescent="0.5">
      <c r="D1088" s="3" t="s">
        <v>85</v>
      </c>
    </row>
    <row r="1089" spans="4:4" ht="17.649999999999999" x14ac:dyDescent="0.5">
      <c r="D1089" s="3" t="s">
        <v>48</v>
      </c>
    </row>
    <row r="1090" spans="4:4" ht="17.649999999999999" x14ac:dyDescent="0.5">
      <c r="D1090" s="3" t="s">
        <v>50</v>
      </c>
    </row>
    <row r="1091" spans="4:4" ht="17.649999999999999" x14ac:dyDescent="0.5">
      <c r="D1091" s="3" t="s">
        <v>64</v>
      </c>
    </row>
    <row r="1092" spans="4:4" ht="17.649999999999999" x14ac:dyDescent="0.5">
      <c r="D1092" s="3" t="s">
        <v>115</v>
      </c>
    </row>
    <row r="1093" spans="4:4" ht="17.649999999999999" x14ac:dyDescent="0.5">
      <c r="D1093" s="3" t="s">
        <v>57</v>
      </c>
    </row>
    <row r="1094" spans="4:4" ht="17.649999999999999" x14ac:dyDescent="0.5">
      <c r="D1094" s="3" t="s">
        <v>78</v>
      </c>
    </row>
    <row r="1095" spans="4:4" ht="17.649999999999999" x14ac:dyDescent="0.5">
      <c r="D1095" s="3" t="s">
        <v>85</v>
      </c>
    </row>
    <row r="1096" spans="4:4" ht="17.649999999999999" x14ac:dyDescent="0.5">
      <c r="D1096" s="3" t="s">
        <v>84</v>
      </c>
    </row>
    <row r="1097" spans="4:4" ht="17.649999999999999" x14ac:dyDescent="0.5">
      <c r="D1097" s="3" t="s">
        <v>41</v>
      </c>
    </row>
    <row r="1098" spans="4:4" ht="17.649999999999999" x14ac:dyDescent="0.5">
      <c r="D1098" s="3" t="s">
        <v>87</v>
      </c>
    </row>
    <row r="1099" spans="4:4" ht="17.649999999999999" x14ac:dyDescent="0.5">
      <c r="D1099" s="3" t="s">
        <v>110</v>
      </c>
    </row>
    <row r="1100" spans="4:4" ht="17.649999999999999" x14ac:dyDescent="0.5">
      <c r="D1100" s="3" t="s">
        <v>103</v>
      </c>
    </row>
    <row r="1101" spans="4:4" ht="17.649999999999999" x14ac:dyDescent="0.5">
      <c r="D1101" s="3" t="s">
        <v>82</v>
      </c>
    </row>
    <row r="1102" spans="4:4" ht="17.649999999999999" x14ac:dyDescent="0.5">
      <c r="D1102" s="3" t="s">
        <v>77</v>
      </c>
    </row>
    <row r="1103" spans="4:4" ht="17.649999999999999" x14ac:dyDescent="0.5">
      <c r="D1103" s="3" t="s">
        <v>81</v>
      </c>
    </row>
    <row r="1104" spans="4:4" ht="17.649999999999999" x14ac:dyDescent="0.5">
      <c r="D1104" s="3" t="s">
        <v>86</v>
      </c>
    </row>
    <row r="1105" spans="4:4" ht="17.649999999999999" x14ac:dyDescent="0.5">
      <c r="D1105" s="3" t="s">
        <v>64</v>
      </c>
    </row>
    <row r="1106" spans="4:4" ht="17.649999999999999" x14ac:dyDescent="0.5">
      <c r="D1106" s="3" t="s">
        <v>112</v>
      </c>
    </row>
    <row r="1107" spans="4:4" ht="17.649999999999999" x14ac:dyDescent="0.5">
      <c r="D1107" s="3" t="s">
        <v>103</v>
      </c>
    </row>
    <row r="1108" spans="4:4" ht="17.649999999999999" x14ac:dyDescent="0.5">
      <c r="D1108" s="3" t="s">
        <v>48</v>
      </c>
    </row>
    <row r="1109" spans="4:4" ht="17.649999999999999" x14ac:dyDescent="0.5">
      <c r="D1109" s="3" t="s">
        <v>130</v>
      </c>
    </row>
    <row r="1110" spans="4:4" ht="17.649999999999999" x14ac:dyDescent="0.5">
      <c r="D1110" s="3" t="s">
        <v>124</v>
      </c>
    </row>
    <row r="1111" spans="4:4" ht="17.649999999999999" x14ac:dyDescent="0.5">
      <c r="D1111" s="3" t="s">
        <v>65</v>
      </c>
    </row>
    <row r="1112" spans="4:4" ht="17.649999999999999" x14ac:dyDescent="0.5">
      <c r="D1112" s="3" t="s">
        <v>75</v>
      </c>
    </row>
    <row r="1113" spans="4:4" ht="17.649999999999999" x14ac:dyDescent="0.5">
      <c r="D1113" s="3" t="s">
        <v>54</v>
      </c>
    </row>
    <row r="1114" spans="4:4" ht="17.649999999999999" x14ac:dyDescent="0.5">
      <c r="D1114" s="3" t="s">
        <v>46</v>
      </c>
    </row>
    <row r="1115" spans="4:4" ht="17.649999999999999" x14ac:dyDescent="0.5">
      <c r="D1115" s="3" t="s">
        <v>49</v>
      </c>
    </row>
    <row r="1116" spans="4:4" ht="17.649999999999999" x14ac:dyDescent="0.5">
      <c r="D1116" s="3" t="s">
        <v>46</v>
      </c>
    </row>
    <row r="1117" spans="4:4" ht="17.649999999999999" x14ac:dyDescent="0.5">
      <c r="D1117" s="3" t="s">
        <v>91</v>
      </c>
    </row>
    <row r="1118" spans="4:4" ht="17.649999999999999" x14ac:dyDescent="0.5">
      <c r="D1118" s="3" t="s">
        <v>46</v>
      </c>
    </row>
    <row r="1119" spans="4:4" ht="17.649999999999999" x14ac:dyDescent="0.5">
      <c r="D1119" s="3" t="s">
        <v>115</v>
      </c>
    </row>
    <row r="1120" spans="4:4" ht="17.649999999999999" x14ac:dyDescent="0.5">
      <c r="D1120" s="3" t="s">
        <v>108</v>
      </c>
    </row>
    <row r="1121" spans="4:4" ht="17.649999999999999" x14ac:dyDescent="0.5">
      <c r="D1121" s="3" t="s">
        <v>105</v>
      </c>
    </row>
    <row r="1122" spans="4:4" ht="17.649999999999999" x14ac:dyDescent="0.5">
      <c r="D1122" s="3" t="s">
        <v>105</v>
      </c>
    </row>
    <row r="1123" spans="4:4" ht="17.649999999999999" x14ac:dyDescent="0.5">
      <c r="D1123" s="3" t="s">
        <v>73</v>
      </c>
    </row>
    <row r="1124" spans="4:4" ht="17.649999999999999" x14ac:dyDescent="0.5">
      <c r="D1124" s="3" t="s">
        <v>63</v>
      </c>
    </row>
    <row r="1125" spans="4:4" ht="17.649999999999999" x14ac:dyDescent="0.5">
      <c r="D1125" s="3" t="s">
        <v>67</v>
      </c>
    </row>
    <row r="1126" spans="4:4" ht="17.649999999999999" x14ac:dyDescent="0.5">
      <c r="D1126" s="3" t="s">
        <v>123</v>
      </c>
    </row>
    <row r="1127" spans="4:4" ht="17.649999999999999" x14ac:dyDescent="0.5">
      <c r="D1127" s="3" t="s">
        <v>87</v>
      </c>
    </row>
    <row r="1128" spans="4:4" ht="17.649999999999999" x14ac:dyDescent="0.5">
      <c r="D1128" s="3" t="s">
        <v>42</v>
      </c>
    </row>
    <row r="1129" spans="4:4" ht="17.649999999999999" x14ac:dyDescent="0.5">
      <c r="D1129" s="3" t="s">
        <v>102</v>
      </c>
    </row>
    <row r="1130" spans="4:4" ht="17.649999999999999" x14ac:dyDescent="0.5">
      <c r="D1130" s="3" t="s">
        <v>75</v>
      </c>
    </row>
    <row r="1131" spans="4:4" ht="17.649999999999999" x14ac:dyDescent="0.5">
      <c r="D1131" s="3" t="s">
        <v>65</v>
      </c>
    </row>
    <row r="1132" spans="4:4" ht="17.649999999999999" x14ac:dyDescent="0.5">
      <c r="D1132" s="3" t="s">
        <v>78</v>
      </c>
    </row>
    <row r="1133" spans="4:4" ht="17.649999999999999" x14ac:dyDescent="0.5">
      <c r="D1133" s="3" t="s">
        <v>99</v>
      </c>
    </row>
    <row r="1134" spans="4:4" ht="17.649999999999999" x14ac:dyDescent="0.5">
      <c r="D1134" s="3" t="s">
        <v>44</v>
      </c>
    </row>
    <row r="1135" spans="4:4" ht="17.649999999999999" x14ac:dyDescent="0.5">
      <c r="D1135" s="3" t="s">
        <v>77</v>
      </c>
    </row>
    <row r="1136" spans="4:4" ht="17.649999999999999" x14ac:dyDescent="0.5">
      <c r="D1136" s="3" t="s">
        <v>78</v>
      </c>
    </row>
    <row r="1137" spans="4:4" ht="17.649999999999999" x14ac:dyDescent="0.5">
      <c r="D1137" s="3" t="s">
        <v>103</v>
      </c>
    </row>
    <row r="1138" spans="4:4" ht="17.649999999999999" x14ac:dyDescent="0.5">
      <c r="D1138" s="3" t="s">
        <v>80</v>
      </c>
    </row>
    <row r="1139" spans="4:4" ht="17.649999999999999" x14ac:dyDescent="0.5">
      <c r="D1139" s="3" t="s">
        <v>83</v>
      </c>
    </row>
    <row r="1140" spans="4:4" ht="17.649999999999999" x14ac:dyDescent="0.5">
      <c r="D1140" s="3" t="s">
        <v>68</v>
      </c>
    </row>
    <row r="1141" spans="4:4" ht="17.649999999999999" x14ac:dyDescent="0.5">
      <c r="D1141" s="3" t="s">
        <v>124</v>
      </c>
    </row>
    <row r="1142" spans="4:4" ht="17.649999999999999" x14ac:dyDescent="0.5">
      <c r="D1142" s="3" t="s">
        <v>94</v>
      </c>
    </row>
    <row r="1143" spans="4:4" ht="17.649999999999999" x14ac:dyDescent="0.5">
      <c r="D1143" s="3" t="s">
        <v>64</v>
      </c>
    </row>
    <row r="1144" spans="4:4" ht="17.649999999999999" x14ac:dyDescent="0.5">
      <c r="D1144" s="3" t="s">
        <v>101</v>
      </c>
    </row>
    <row r="1145" spans="4:4" ht="17.649999999999999" x14ac:dyDescent="0.5">
      <c r="D1145" s="3" t="s">
        <v>49</v>
      </c>
    </row>
    <row r="1146" spans="4:4" ht="17.649999999999999" x14ac:dyDescent="0.5">
      <c r="D1146" s="3" t="s">
        <v>75</v>
      </c>
    </row>
    <row r="1147" spans="4:4" ht="17.649999999999999" x14ac:dyDescent="0.5">
      <c r="D1147" s="3" t="s">
        <v>86</v>
      </c>
    </row>
    <row r="1148" spans="4:4" ht="17.649999999999999" x14ac:dyDescent="0.5">
      <c r="D1148" s="3" t="s">
        <v>91</v>
      </c>
    </row>
    <row r="1149" spans="4:4" ht="17.649999999999999" x14ac:dyDescent="0.5">
      <c r="D1149" s="3" t="s">
        <v>84</v>
      </c>
    </row>
    <row r="1150" spans="4:4" ht="17.649999999999999" x14ac:dyDescent="0.5">
      <c r="D1150" s="3" t="s">
        <v>44</v>
      </c>
    </row>
    <row r="1151" spans="4:4" ht="17.649999999999999" x14ac:dyDescent="0.5">
      <c r="D1151" s="3" t="s">
        <v>56</v>
      </c>
    </row>
    <row r="1152" spans="4:4" ht="17.649999999999999" x14ac:dyDescent="0.5">
      <c r="D1152" s="3" t="s">
        <v>88</v>
      </c>
    </row>
    <row r="1153" spans="4:4" ht="17.649999999999999" x14ac:dyDescent="0.5">
      <c r="D1153" s="3" t="s">
        <v>134</v>
      </c>
    </row>
    <row r="1154" spans="4:4" ht="17.649999999999999" x14ac:dyDescent="0.5">
      <c r="D1154" s="3" t="s">
        <v>87</v>
      </c>
    </row>
    <row r="1155" spans="4:4" ht="17.649999999999999" x14ac:dyDescent="0.5">
      <c r="D1155" s="3" t="s">
        <v>82</v>
      </c>
    </row>
    <row r="1156" spans="4:4" ht="17.649999999999999" x14ac:dyDescent="0.5">
      <c r="D1156" s="3" t="s">
        <v>70</v>
      </c>
    </row>
    <row r="1157" spans="4:4" ht="17.649999999999999" x14ac:dyDescent="0.5">
      <c r="D1157" s="3" t="s">
        <v>105</v>
      </c>
    </row>
    <row r="1158" spans="4:4" ht="17.649999999999999" x14ac:dyDescent="0.5">
      <c r="D1158" s="3" t="s">
        <v>86</v>
      </c>
    </row>
    <row r="1159" spans="4:4" ht="17.649999999999999" x14ac:dyDescent="0.5">
      <c r="D1159" s="3" t="s">
        <v>67</v>
      </c>
    </row>
    <row r="1160" spans="4:4" ht="17.649999999999999" x14ac:dyDescent="0.5">
      <c r="D1160" s="3" t="s">
        <v>105</v>
      </c>
    </row>
    <row r="1161" spans="4:4" ht="17.649999999999999" x14ac:dyDescent="0.5">
      <c r="D1161" s="3" t="s">
        <v>61</v>
      </c>
    </row>
    <row r="1162" spans="4:4" ht="17.649999999999999" x14ac:dyDescent="0.5">
      <c r="D1162" s="3" t="s">
        <v>77</v>
      </c>
    </row>
    <row r="1163" spans="4:4" ht="17.649999999999999" x14ac:dyDescent="0.5">
      <c r="D1163" s="3" t="s">
        <v>68</v>
      </c>
    </row>
    <row r="1164" spans="4:4" ht="17.649999999999999" x14ac:dyDescent="0.5">
      <c r="D1164" s="3" t="s">
        <v>53</v>
      </c>
    </row>
    <row r="1165" spans="4:4" ht="17.649999999999999" x14ac:dyDescent="0.5">
      <c r="D1165" s="3" t="s">
        <v>98</v>
      </c>
    </row>
    <row r="1166" spans="4:4" ht="17.649999999999999" x14ac:dyDescent="0.5">
      <c r="D1166" s="3" t="s">
        <v>105</v>
      </c>
    </row>
    <row r="1167" spans="4:4" ht="17.649999999999999" x14ac:dyDescent="0.5">
      <c r="D1167" s="3" t="s">
        <v>50</v>
      </c>
    </row>
    <row r="1168" spans="4:4" ht="17.649999999999999" x14ac:dyDescent="0.5">
      <c r="D1168" s="3" t="s">
        <v>105</v>
      </c>
    </row>
    <row r="1169" spans="4:4" ht="17.649999999999999" x14ac:dyDescent="0.5">
      <c r="D1169" s="3" t="s">
        <v>84</v>
      </c>
    </row>
    <row r="1170" spans="4:4" ht="17.649999999999999" x14ac:dyDescent="0.5">
      <c r="D1170" s="3" t="s">
        <v>106</v>
      </c>
    </row>
    <row r="1171" spans="4:4" ht="17.649999999999999" x14ac:dyDescent="0.5">
      <c r="D1171" s="3" t="s">
        <v>73</v>
      </c>
    </row>
    <row r="1172" spans="4:4" ht="17.649999999999999" x14ac:dyDescent="0.5">
      <c r="D1172" s="3" t="s">
        <v>67</v>
      </c>
    </row>
    <row r="1173" spans="4:4" ht="17.649999999999999" x14ac:dyDescent="0.5">
      <c r="D1173" s="3" t="s">
        <v>107</v>
      </c>
    </row>
    <row r="1174" spans="4:4" ht="17.649999999999999" x14ac:dyDescent="0.5">
      <c r="D1174" s="3" t="s">
        <v>94</v>
      </c>
    </row>
    <row r="1175" spans="4:4" ht="17.649999999999999" x14ac:dyDescent="0.5">
      <c r="D1175" s="3" t="s">
        <v>49</v>
      </c>
    </row>
    <row r="1176" spans="4:4" ht="17.649999999999999" x14ac:dyDescent="0.5">
      <c r="D1176" s="3" t="s">
        <v>52</v>
      </c>
    </row>
    <row r="1177" spans="4:4" ht="17.649999999999999" x14ac:dyDescent="0.5">
      <c r="D1177" s="3" t="s">
        <v>96</v>
      </c>
    </row>
    <row r="1178" spans="4:4" ht="17.649999999999999" x14ac:dyDescent="0.5">
      <c r="D1178" s="3" t="s">
        <v>59</v>
      </c>
    </row>
    <row r="1179" spans="4:4" ht="17.649999999999999" x14ac:dyDescent="0.5">
      <c r="D1179" s="3" t="s">
        <v>43</v>
      </c>
    </row>
    <row r="1180" spans="4:4" ht="17.649999999999999" x14ac:dyDescent="0.5">
      <c r="D1180" s="3" t="s">
        <v>83</v>
      </c>
    </row>
    <row r="1181" spans="4:4" ht="17.649999999999999" x14ac:dyDescent="0.5">
      <c r="D1181" s="3" t="s">
        <v>82</v>
      </c>
    </row>
    <row r="1182" spans="4:4" ht="17.649999999999999" x14ac:dyDescent="0.5">
      <c r="D1182" s="3" t="s">
        <v>117</v>
      </c>
    </row>
    <row r="1183" spans="4:4" ht="17.649999999999999" x14ac:dyDescent="0.5">
      <c r="D1183" s="3" t="s">
        <v>131</v>
      </c>
    </row>
    <row r="1184" spans="4:4" ht="17.649999999999999" x14ac:dyDescent="0.5">
      <c r="D1184" s="3" t="s">
        <v>50</v>
      </c>
    </row>
    <row r="1185" spans="4:4" ht="17.649999999999999" x14ac:dyDescent="0.5">
      <c r="D1185" s="3" t="s">
        <v>52</v>
      </c>
    </row>
    <row r="1186" spans="4:4" ht="17.649999999999999" x14ac:dyDescent="0.5">
      <c r="D1186" s="3" t="s">
        <v>68</v>
      </c>
    </row>
    <row r="1187" spans="4:4" ht="17.649999999999999" x14ac:dyDescent="0.5">
      <c r="D1187" s="3" t="s">
        <v>80</v>
      </c>
    </row>
    <row r="1188" spans="4:4" ht="17.649999999999999" x14ac:dyDescent="0.5">
      <c r="D1188" s="3" t="s">
        <v>92</v>
      </c>
    </row>
    <row r="1189" spans="4:4" ht="17.649999999999999" x14ac:dyDescent="0.5">
      <c r="D1189" s="3" t="s">
        <v>74</v>
      </c>
    </row>
    <row r="1190" spans="4:4" ht="17.649999999999999" x14ac:dyDescent="0.5">
      <c r="D1190" s="3" t="s">
        <v>107</v>
      </c>
    </row>
    <row r="1191" spans="4:4" ht="17.649999999999999" x14ac:dyDescent="0.5">
      <c r="D1191" s="3" t="s">
        <v>54</v>
      </c>
    </row>
    <row r="1192" spans="4:4" ht="17.649999999999999" x14ac:dyDescent="0.5">
      <c r="D1192" s="3" t="s">
        <v>78</v>
      </c>
    </row>
    <row r="1193" spans="4:4" ht="17.649999999999999" x14ac:dyDescent="0.5">
      <c r="D1193" s="3" t="s">
        <v>72</v>
      </c>
    </row>
    <row r="1194" spans="4:4" ht="17.649999999999999" x14ac:dyDescent="0.5">
      <c r="D1194" s="3" t="s">
        <v>48</v>
      </c>
    </row>
    <row r="1195" spans="4:4" ht="17.649999999999999" x14ac:dyDescent="0.5">
      <c r="D1195" s="3" t="s">
        <v>66</v>
      </c>
    </row>
    <row r="1196" spans="4:4" ht="17.649999999999999" x14ac:dyDescent="0.5">
      <c r="D1196" s="3" t="s">
        <v>98</v>
      </c>
    </row>
    <row r="1197" spans="4:4" ht="17.649999999999999" x14ac:dyDescent="0.5">
      <c r="D1197" s="3" t="s">
        <v>43</v>
      </c>
    </row>
    <row r="1198" spans="4:4" ht="17.649999999999999" x14ac:dyDescent="0.5">
      <c r="D1198" s="3" t="s">
        <v>100</v>
      </c>
    </row>
    <row r="1199" spans="4:4" ht="17.649999999999999" x14ac:dyDescent="0.5">
      <c r="D1199" s="3" t="s">
        <v>81</v>
      </c>
    </row>
    <row r="1200" spans="4:4" ht="17.649999999999999" x14ac:dyDescent="0.5">
      <c r="D1200" s="3" t="s">
        <v>83</v>
      </c>
    </row>
    <row r="1201" spans="4:4" ht="17.649999999999999" x14ac:dyDescent="0.5">
      <c r="D1201" s="3" t="s">
        <v>41</v>
      </c>
    </row>
    <row r="1202" spans="4:4" ht="17.649999999999999" x14ac:dyDescent="0.5">
      <c r="D1202" s="3" t="s">
        <v>84</v>
      </c>
    </row>
    <row r="1203" spans="4:4" ht="17.649999999999999" x14ac:dyDescent="0.5">
      <c r="D1203" s="3" t="s">
        <v>44</v>
      </c>
    </row>
    <row r="1204" spans="4:4" ht="17.649999999999999" x14ac:dyDescent="0.5">
      <c r="D1204" s="3" t="s">
        <v>65</v>
      </c>
    </row>
    <row r="1205" spans="4:4" ht="17.649999999999999" x14ac:dyDescent="0.5">
      <c r="D1205" s="3" t="s">
        <v>47</v>
      </c>
    </row>
    <row r="1206" spans="4:4" ht="17.649999999999999" x14ac:dyDescent="0.5">
      <c r="D1206" s="3" t="s">
        <v>133</v>
      </c>
    </row>
    <row r="1207" spans="4:4" ht="17.649999999999999" x14ac:dyDescent="0.5">
      <c r="D1207" s="3" t="s">
        <v>92</v>
      </c>
    </row>
    <row r="1208" spans="4:4" ht="17.649999999999999" x14ac:dyDescent="0.5">
      <c r="D1208" s="3" t="s">
        <v>115</v>
      </c>
    </row>
    <row r="1209" spans="4:4" ht="17.649999999999999" x14ac:dyDescent="0.5">
      <c r="D1209" s="3" t="s">
        <v>74</v>
      </c>
    </row>
    <row r="1210" spans="4:4" ht="17.649999999999999" x14ac:dyDescent="0.5">
      <c r="D1210" s="3" t="s">
        <v>50</v>
      </c>
    </row>
    <row r="1211" spans="4:4" ht="17.649999999999999" x14ac:dyDescent="0.5">
      <c r="D1211" s="3" t="s">
        <v>107</v>
      </c>
    </row>
    <row r="1212" spans="4:4" ht="17.649999999999999" x14ac:dyDescent="0.5">
      <c r="D1212" s="3" t="s">
        <v>84</v>
      </c>
    </row>
    <row r="1213" spans="4:4" ht="17.649999999999999" x14ac:dyDescent="0.5">
      <c r="D1213" s="3" t="s">
        <v>91</v>
      </c>
    </row>
    <row r="1214" spans="4:4" ht="17.649999999999999" x14ac:dyDescent="0.5">
      <c r="D1214" s="3" t="s">
        <v>96</v>
      </c>
    </row>
    <row r="1215" spans="4:4" ht="17.649999999999999" x14ac:dyDescent="0.5">
      <c r="D1215" s="3" t="s">
        <v>46</v>
      </c>
    </row>
    <row r="1216" spans="4:4" ht="17.649999999999999" x14ac:dyDescent="0.5">
      <c r="D1216" s="3" t="s">
        <v>69</v>
      </c>
    </row>
    <row r="1217" spans="4:4" ht="17.649999999999999" x14ac:dyDescent="0.5">
      <c r="D1217" s="3" t="s">
        <v>96</v>
      </c>
    </row>
    <row r="1218" spans="4:4" ht="17.649999999999999" x14ac:dyDescent="0.5">
      <c r="D1218" s="3" t="s">
        <v>69</v>
      </c>
    </row>
    <row r="1219" spans="4:4" ht="17.649999999999999" x14ac:dyDescent="0.5">
      <c r="D1219" s="3" t="s">
        <v>63</v>
      </c>
    </row>
    <row r="1220" spans="4:4" ht="17.649999999999999" x14ac:dyDescent="0.5">
      <c r="D1220" s="3" t="s">
        <v>51</v>
      </c>
    </row>
    <row r="1221" spans="4:4" ht="17.649999999999999" x14ac:dyDescent="0.5">
      <c r="D1221" s="3" t="s">
        <v>64</v>
      </c>
    </row>
    <row r="1222" spans="4:4" ht="17.649999999999999" x14ac:dyDescent="0.5">
      <c r="D1222" s="3" t="s">
        <v>95</v>
      </c>
    </row>
    <row r="1223" spans="4:4" ht="17.649999999999999" x14ac:dyDescent="0.5">
      <c r="D1223" s="3" t="s">
        <v>106</v>
      </c>
    </row>
    <row r="1224" spans="4:4" ht="17.649999999999999" x14ac:dyDescent="0.5">
      <c r="D1224" s="3" t="s">
        <v>61</v>
      </c>
    </row>
    <row r="1225" spans="4:4" ht="17.649999999999999" x14ac:dyDescent="0.5">
      <c r="D1225" s="3" t="s">
        <v>68</v>
      </c>
    </row>
    <row r="1226" spans="4:4" ht="17.649999999999999" x14ac:dyDescent="0.5">
      <c r="D1226" s="3" t="s">
        <v>126</v>
      </c>
    </row>
    <row r="1227" spans="4:4" ht="17.649999999999999" x14ac:dyDescent="0.5">
      <c r="D1227" s="3" t="s">
        <v>61</v>
      </c>
    </row>
    <row r="1228" spans="4:4" ht="17.649999999999999" x14ac:dyDescent="0.5">
      <c r="D1228" s="3" t="s">
        <v>49</v>
      </c>
    </row>
    <row r="1229" spans="4:4" ht="17.649999999999999" x14ac:dyDescent="0.5">
      <c r="D1229" s="3" t="s">
        <v>69</v>
      </c>
    </row>
    <row r="1230" spans="4:4" ht="17.649999999999999" x14ac:dyDescent="0.5">
      <c r="D1230" s="3" t="s">
        <v>115</v>
      </c>
    </row>
    <row r="1231" spans="4:4" ht="17.649999999999999" x14ac:dyDescent="0.5">
      <c r="D1231" s="3" t="s">
        <v>53</v>
      </c>
    </row>
    <row r="1232" spans="4:4" ht="17.649999999999999" x14ac:dyDescent="0.5">
      <c r="D1232" s="3" t="s">
        <v>91</v>
      </c>
    </row>
    <row r="1233" spans="4:4" ht="17.649999999999999" x14ac:dyDescent="0.5">
      <c r="D1233" s="3" t="s">
        <v>117</v>
      </c>
    </row>
    <row r="1234" spans="4:4" ht="17.649999999999999" x14ac:dyDescent="0.5">
      <c r="D1234" s="3" t="s">
        <v>69</v>
      </c>
    </row>
    <row r="1235" spans="4:4" ht="17.649999999999999" x14ac:dyDescent="0.5">
      <c r="D1235" s="3" t="s">
        <v>45</v>
      </c>
    </row>
    <row r="1236" spans="4:4" ht="17.649999999999999" x14ac:dyDescent="0.5">
      <c r="D1236" s="3" t="s">
        <v>55</v>
      </c>
    </row>
    <row r="1237" spans="4:4" ht="17.649999999999999" x14ac:dyDescent="0.5">
      <c r="D1237" s="3" t="s">
        <v>93</v>
      </c>
    </row>
    <row r="1238" spans="4:4" ht="17.649999999999999" x14ac:dyDescent="0.5">
      <c r="D1238" s="3" t="s">
        <v>126</v>
      </c>
    </row>
    <row r="1239" spans="4:4" ht="17.649999999999999" x14ac:dyDescent="0.5">
      <c r="D1239" s="3" t="s">
        <v>60</v>
      </c>
    </row>
    <row r="1240" spans="4:4" ht="17.649999999999999" x14ac:dyDescent="0.5">
      <c r="D1240" s="3" t="s">
        <v>50</v>
      </c>
    </row>
    <row r="1241" spans="4:4" ht="17.649999999999999" x14ac:dyDescent="0.5">
      <c r="D1241" s="3" t="s">
        <v>98</v>
      </c>
    </row>
    <row r="1242" spans="4:4" ht="17.649999999999999" x14ac:dyDescent="0.5">
      <c r="D1242" s="3" t="s">
        <v>84</v>
      </c>
    </row>
    <row r="1243" spans="4:4" ht="17.649999999999999" x14ac:dyDescent="0.5">
      <c r="D1243" s="3" t="s">
        <v>83</v>
      </c>
    </row>
    <row r="1244" spans="4:4" ht="17.649999999999999" x14ac:dyDescent="0.5">
      <c r="D1244" s="3" t="s">
        <v>53</v>
      </c>
    </row>
    <row r="1245" spans="4:4" ht="17.649999999999999" x14ac:dyDescent="0.5">
      <c r="D1245" s="3" t="s">
        <v>59</v>
      </c>
    </row>
    <row r="1246" spans="4:4" ht="17.649999999999999" x14ac:dyDescent="0.5">
      <c r="D1246" s="3" t="s">
        <v>80</v>
      </c>
    </row>
    <row r="1247" spans="4:4" ht="17.649999999999999" x14ac:dyDescent="0.5">
      <c r="D1247" s="3" t="s">
        <v>101</v>
      </c>
    </row>
    <row r="1248" spans="4:4" ht="17.649999999999999" x14ac:dyDescent="0.5">
      <c r="D1248" s="3" t="s">
        <v>92</v>
      </c>
    </row>
    <row r="1249" spans="4:4" ht="17.649999999999999" x14ac:dyDescent="0.5">
      <c r="D1249" s="3" t="s">
        <v>84</v>
      </c>
    </row>
    <row r="1250" spans="4:4" ht="17.649999999999999" x14ac:dyDescent="0.5">
      <c r="D1250" s="3" t="s">
        <v>97</v>
      </c>
    </row>
    <row r="1251" spans="4:4" ht="17.649999999999999" x14ac:dyDescent="0.5">
      <c r="D1251" s="3" t="s">
        <v>113</v>
      </c>
    </row>
    <row r="1252" spans="4:4" ht="17.649999999999999" x14ac:dyDescent="0.5">
      <c r="D1252" s="3" t="s">
        <v>59</v>
      </c>
    </row>
    <row r="1253" spans="4:4" ht="17.649999999999999" x14ac:dyDescent="0.5">
      <c r="D1253" s="3" t="s">
        <v>94</v>
      </c>
    </row>
    <row r="1254" spans="4:4" ht="17.649999999999999" x14ac:dyDescent="0.5">
      <c r="D1254" s="3" t="s">
        <v>120</v>
      </c>
    </row>
    <row r="1255" spans="4:4" ht="17.649999999999999" x14ac:dyDescent="0.5">
      <c r="D1255" s="3" t="s">
        <v>78</v>
      </c>
    </row>
    <row r="1256" spans="4:4" ht="17.649999999999999" x14ac:dyDescent="0.5">
      <c r="D1256" s="3" t="s">
        <v>117</v>
      </c>
    </row>
    <row r="1257" spans="4:4" ht="17.649999999999999" x14ac:dyDescent="0.5">
      <c r="D1257" s="3" t="s">
        <v>125</v>
      </c>
    </row>
    <row r="1258" spans="4:4" ht="17.649999999999999" x14ac:dyDescent="0.5">
      <c r="D1258" s="3" t="s">
        <v>69</v>
      </c>
    </row>
    <row r="1259" spans="4:4" ht="17.649999999999999" x14ac:dyDescent="0.5">
      <c r="D1259" s="3" t="s">
        <v>88</v>
      </c>
    </row>
    <row r="1260" spans="4:4" ht="17.649999999999999" x14ac:dyDescent="0.5">
      <c r="D1260" s="3" t="s">
        <v>77</v>
      </c>
    </row>
    <row r="1261" spans="4:4" ht="17.649999999999999" x14ac:dyDescent="0.5">
      <c r="D1261" s="3" t="s">
        <v>92</v>
      </c>
    </row>
    <row r="1262" spans="4:4" ht="17.649999999999999" x14ac:dyDescent="0.5">
      <c r="D1262" s="3" t="s">
        <v>101</v>
      </c>
    </row>
    <row r="1263" spans="4:4" ht="17.649999999999999" x14ac:dyDescent="0.5">
      <c r="D1263" s="3" t="s">
        <v>52</v>
      </c>
    </row>
    <row r="1264" spans="4:4" ht="17.649999999999999" x14ac:dyDescent="0.5">
      <c r="D1264" s="3" t="s">
        <v>108</v>
      </c>
    </row>
    <row r="1265" spans="4:4" ht="17.649999999999999" x14ac:dyDescent="0.5">
      <c r="D1265" s="3" t="s">
        <v>51</v>
      </c>
    </row>
    <row r="1266" spans="4:4" ht="17.649999999999999" x14ac:dyDescent="0.5">
      <c r="D1266" s="3" t="s">
        <v>85</v>
      </c>
    </row>
    <row r="1267" spans="4:4" ht="17.649999999999999" x14ac:dyDescent="0.5">
      <c r="D1267" s="3" t="s">
        <v>43</v>
      </c>
    </row>
    <row r="1268" spans="4:4" ht="17.649999999999999" x14ac:dyDescent="0.5">
      <c r="D1268" s="3" t="s">
        <v>87</v>
      </c>
    </row>
    <row r="1269" spans="4:4" ht="17.649999999999999" x14ac:dyDescent="0.5">
      <c r="D1269" s="3" t="s">
        <v>121</v>
      </c>
    </row>
    <row r="1270" spans="4:4" ht="17.649999999999999" x14ac:dyDescent="0.5">
      <c r="D1270" s="3" t="s">
        <v>90</v>
      </c>
    </row>
    <row r="1271" spans="4:4" ht="17.649999999999999" x14ac:dyDescent="0.5">
      <c r="D1271" s="3" t="s">
        <v>84</v>
      </c>
    </row>
    <row r="1272" spans="4:4" ht="17.649999999999999" x14ac:dyDescent="0.5">
      <c r="D1272" s="3" t="s">
        <v>74</v>
      </c>
    </row>
    <row r="1273" spans="4:4" ht="17.649999999999999" x14ac:dyDescent="0.5">
      <c r="D1273" s="3" t="s">
        <v>101</v>
      </c>
    </row>
    <row r="1274" spans="4:4" ht="17.649999999999999" x14ac:dyDescent="0.5">
      <c r="D1274" s="3" t="s">
        <v>64</v>
      </c>
    </row>
    <row r="1275" spans="4:4" ht="17.649999999999999" x14ac:dyDescent="0.5">
      <c r="D1275" s="3" t="s">
        <v>67</v>
      </c>
    </row>
    <row r="1276" spans="4:4" ht="17.649999999999999" x14ac:dyDescent="0.5">
      <c r="D1276" s="3" t="s">
        <v>103</v>
      </c>
    </row>
    <row r="1277" spans="4:4" ht="17.649999999999999" x14ac:dyDescent="0.5">
      <c r="D1277" s="3" t="s">
        <v>77</v>
      </c>
    </row>
    <row r="1278" spans="4:4" ht="17.649999999999999" x14ac:dyDescent="0.5">
      <c r="D1278" s="3" t="s">
        <v>44</v>
      </c>
    </row>
    <row r="1279" spans="4:4" ht="17.649999999999999" x14ac:dyDescent="0.5">
      <c r="D1279" s="3" t="s">
        <v>73</v>
      </c>
    </row>
    <row r="1280" spans="4:4" ht="17.649999999999999" x14ac:dyDescent="0.5">
      <c r="D1280" s="3" t="s">
        <v>65</v>
      </c>
    </row>
    <row r="1281" spans="4:4" ht="17.649999999999999" x14ac:dyDescent="0.5">
      <c r="D1281" s="3" t="s">
        <v>75</v>
      </c>
    </row>
    <row r="1282" spans="4:4" ht="17.649999999999999" x14ac:dyDescent="0.5">
      <c r="D1282" s="3" t="s">
        <v>91</v>
      </c>
    </row>
    <row r="1283" spans="4:4" ht="17.649999999999999" x14ac:dyDescent="0.5">
      <c r="D1283" s="3" t="s">
        <v>59</v>
      </c>
    </row>
    <row r="1284" spans="4:4" ht="17.649999999999999" x14ac:dyDescent="0.5">
      <c r="D1284" s="3" t="s">
        <v>130</v>
      </c>
    </row>
    <row r="1285" spans="4:4" ht="17.649999999999999" x14ac:dyDescent="0.5">
      <c r="D1285" s="3" t="s">
        <v>63</v>
      </c>
    </row>
    <row r="1286" spans="4:4" ht="17.649999999999999" x14ac:dyDescent="0.5">
      <c r="D1286" s="3" t="s">
        <v>75</v>
      </c>
    </row>
    <row r="1287" spans="4:4" ht="17.649999999999999" x14ac:dyDescent="0.5">
      <c r="D1287" s="3" t="s">
        <v>49</v>
      </c>
    </row>
    <row r="1288" spans="4:4" ht="17.649999999999999" x14ac:dyDescent="0.5">
      <c r="D1288" s="3" t="s">
        <v>82</v>
      </c>
    </row>
    <row r="1289" spans="4:4" ht="17.649999999999999" x14ac:dyDescent="0.5">
      <c r="D1289" s="3" t="s">
        <v>61</v>
      </c>
    </row>
    <row r="1290" spans="4:4" ht="17.649999999999999" x14ac:dyDescent="0.5">
      <c r="D1290" s="3" t="s">
        <v>45</v>
      </c>
    </row>
    <row r="1291" spans="4:4" ht="17.649999999999999" x14ac:dyDescent="0.5">
      <c r="D1291" s="3" t="s">
        <v>76</v>
      </c>
    </row>
    <row r="1292" spans="4:4" ht="17.649999999999999" x14ac:dyDescent="0.5">
      <c r="D1292" s="3" t="s">
        <v>96</v>
      </c>
    </row>
    <row r="1293" spans="4:4" ht="17.649999999999999" x14ac:dyDescent="0.5">
      <c r="D1293" s="3" t="s">
        <v>66</v>
      </c>
    </row>
    <row r="1294" spans="4:4" ht="17.649999999999999" x14ac:dyDescent="0.5">
      <c r="D1294" s="3" t="s">
        <v>89</v>
      </c>
    </row>
    <row r="1295" spans="4:4" ht="17.649999999999999" x14ac:dyDescent="0.5">
      <c r="D1295" s="3" t="s">
        <v>135</v>
      </c>
    </row>
    <row r="1296" spans="4:4" ht="17.649999999999999" x14ac:dyDescent="0.5">
      <c r="D1296" s="3" t="s">
        <v>103</v>
      </c>
    </row>
    <row r="1297" spans="4:4" ht="17.649999999999999" x14ac:dyDescent="0.5">
      <c r="D1297" s="3" t="s">
        <v>61</v>
      </c>
    </row>
    <row r="1298" spans="4:4" ht="17.649999999999999" x14ac:dyDescent="0.5">
      <c r="D1298" s="3" t="s">
        <v>125</v>
      </c>
    </row>
    <row r="1299" spans="4:4" ht="17.649999999999999" x14ac:dyDescent="0.5">
      <c r="D1299" s="3" t="s">
        <v>54</v>
      </c>
    </row>
    <row r="1300" spans="4:4" ht="17.649999999999999" x14ac:dyDescent="0.5">
      <c r="D1300" s="3" t="s">
        <v>122</v>
      </c>
    </row>
    <row r="1301" spans="4:4" ht="17.649999999999999" x14ac:dyDescent="0.5">
      <c r="D1301" s="3" t="s">
        <v>86</v>
      </c>
    </row>
    <row r="1302" spans="4:4" ht="17.649999999999999" x14ac:dyDescent="0.5">
      <c r="D1302" s="3" t="s">
        <v>44</v>
      </c>
    </row>
    <row r="1303" spans="4:4" ht="17.649999999999999" x14ac:dyDescent="0.5">
      <c r="D1303" s="3" t="s">
        <v>47</v>
      </c>
    </row>
    <row r="1304" spans="4:4" ht="17.649999999999999" x14ac:dyDescent="0.5">
      <c r="D1304" s="3" t="s">
        <v>115</v>
      </c>
    </row>
    <row r="1305" spans="4:4" ht="17.649999999999999" x14ac:dyDescent="0.5">
      <c r="D1305" s="3" t="s">
        <v>59</v>
      </c>
    </row>
    <row r="1306" spans="4:4" ht="17.649999999999999" x14ac:dyDescent="0.5">
      <c r="D1306" s="3" t="s">
        <v>64</v>
      </c>
    </row>
    <row r="1307" spans="4:4" ht="17.649999999999999" x14ac:dyDescent="0.5">
      <c r="D1307" s="3" t="s">
        <v>52</v>
      </c>
    </row>
    <row r="1308" spans="4:4" ht="17.649999999999999" x14ac:dyDescent="0.5">
      <c r="D1308" s="3" t="s">
        <v>50</v>
      </c>
    </row>
    <row r="1309" spans="4:4" ht="17.649999999999999" x14ac:dyDescent="0.5">
      <c r="D1309" s="3" t="s">
        <v>108</v>
      </c>
    </row>
    <row r="1310" spans="4:4" ht="17.649999999999999" x14ac:dyDescent="0.5">
      <c r="D1310" s="3" t="s">
        <v>105</v>
      </c>
    </row>
    <row r="1311" spans="4:4" ht="17.649999999999999" x14ac:dyDescent="0.5">
      <c r="D1311" s="3" t="s">
        <v>113</v>
      </c>
    </row>
    <row r="1312" spans="4:4" ht="17.649999999999999" x14ac:dyDescent="0.5">
      <c r="D1312" s="3" t="s">
        <v>84</v>
      </c>
    </row>
    <row r="1313" spans="4:4" ht="17.649999999999999" x14ac:dyDescent="0.5">
      <c r="D1313" s="3" t="s">
        <v>65</v>
      </c>
    </row>
    <row r="1314" spans="4:4" ht="17.649999999999999" x14ac:dyDescent="0.5">
      <c r="D1314" s="3" t="s">
        <v>73</v>
      </c>
    </row>
    <row r="1315" spans="4:4" ht="17.649999999999999" x14ac:dyDescent="0.5">
      <c r="D1315" s="3" t="s">
        <v>105</v>
      </c>
    </row>
    <row r="1316" spans="4:4" ht="17.649999999999999" x14ac:dyDescent="0.5">
      <c r="D1316" s="3" t="s">
        <v>67</v>
      </c>
    </row>
    <row r="1317" spans="4:4" ht="17.649999999999999" x14ac:dyDescent="0.5">
      <c r="D1317" s="3" t="s">
        <v>107</v>
      </c>
    </row>
    <row r="1318" spans="4:4" ht="17.649999999999999" x14ac:dyDescent="0.5">
      <c r="D1318" s="3" t="s">
        <v>91</v>
      </c>
    </row>
    <row r="1319" spans="4:4" ht="17.649999999999999" x14ac:dyDescent="0.5">
      <c r="D1319" s="3" t="s">
        <v>92</v>
      </c>
    </row>
    <row r="1320" spans="4:4" ht="17.649999999999999" x14ac:dyDescent="0.5">
      <c r="D1320" s="3" t="s">
        <v>61</v>
      </c>
    </row>
    <row r="1321" spans="4:4" ht="17.649999999999999" x14ac:dyDescent="0.5">
      <c r="D1321" s="3" t="s">
        <v>75</v>
      </c>
    </row>
    <row r="1322" spans="4:4" ht="17.649999999999999" x14ac:dyDescent="0.5">
      <c r="D1322" s="3" t="s">
        <v>107</v>
      </c>
    </row>
    <row r="1323" spans="4:4" ht="17.649999999999999" x14ac:dyDescent="0.5">
      <c r="D1323" s="3" t="s">
        <v>50</v>
      </c>
    </row>
    <row r="1324" spans="4:4" ht="17.649999999999999" x14ac:dyDescent="0.5">
      <c r="D1324" s="3" t="s">
        <v>55</v>
      </c>
    </row>
    <row r="1325" spans="4:4" ht="17.649999999999999" x14ac:dyDescent="0.5">
      <c r="D1325" s="3" t="s">
        <v>59</v>
      </c>
    </row>
    <row r="1326" spans="4:4" ht="17.649999999999999" x14ac:dyDescent="0.5">
      <c r="D1326" s="3" t="s">
        <v>52</v>
      </c>
    </row>
    <row r="1327" spans="4:4" ht="17.649999999999999" x14ac:dyDescent="0.5">
      <c r="D1327" s="3" t="s">
        <v>46</v>
      </c>
    </row>
    <row r="1328" spans="4:4" ht="17.649999999999999" x14ac:dyDescent="0.5">
      <c r="D1328" s="3" t="s">
        <v>107</v>
      </c>
    </row>
    <row r="1329" spans="4:4" ht="17.649999999999999" x14ac:dyDescent="0.5">
      <c r="D1329" s="3" t="s">
        <v>101</v>
      </c>
    </row>
    <row r="1330" spans="4:4" ht="17.649999999999999" x14ac:dyDescent="0.5">
      <c r="D1330" s="3" t="s">
        <v>41</v>
      </c>
    </row>
    <row r="1331" spans="4:4" ht="17.649999999999999" x14ac:dyDescent="0.5">
      <c r="D1331" s="3" t="s">
        <v>43</v>
      </c>
    </row>
    <row r="1332" spans="4:4" ht="17.649999999999999" x14ac:dyDescent="0.5">
      <c r="D1332" s="3" t="s">
        <v>83</v>
      </c>
    </row>
    <row r="1333" spans="4:4" ht="17.649999999999999" x14ac:dyDescent="0.5">
      <c r="D1333" s="3" t="s">
        <v>85</v>
      </c>
    </row>
    <row r="1334" spans="4:4" ht="17.649999999999999" x14ac:dyDescent="0.5">
      <c r="D1334" s="3" t="s">
        <v>50</v>
      </c>
    </row>
    <row r="1335" spans="4:4" ht="17.649999999999999" x14ac:dyDescent="0.5">
      <c r="D1335" s="3" t="s">
        <v>75</v>
      </c>
    </row>
    <row r="1336" spans="4:4" ht="17.649999999999999" x14ac:dyDescent="0.5">
      <c r="D1336" s="3" t="s">
        <v>54</v>
      </c>
    </row>
    <row r="1337" spans="4:4" ht="17.649999999999999" x14ac:dyDescent="0.5">
      <c r="D1337" s="3" t="s">
        <v>87</v>
      </c>
    </row>
    <row r="1338" spans="4:4" ht="17.649999999999999" x14ac:dyDescent="0.5">
      <c r="D1338" s="3" t="s">
        <v>116</v>
      </c>
    </row>
    <row r="1339" spans="4:4" ht="17.649999999999999" x14ac:dyDescent="0.5">
      <c r="D1339" s="3" t="s">
        <v>83</v>
      </c>
    </row>
    <row r="1340" spans="4:4" ht="17.649999999999999" x14ac:dyDescent="0.5">
      <c r="D1340" s="3" t="s">
        <v>75</v>
      </c>
    </row>
    <row r="1341" spans="4:4" ht="17.649999999999999" x14ac:dyDescent="0.5">
      <c r="D1341" s="3" t="s">
        <v>78</v>
      </c>
    </row>
    <row r="1342" spans="4:4" ht="17.649999999999999" x14ac:dyDescent="0.5">
      <c r="D1342" s="3" t="s">
        <v>105</v>
      </c>
    </row>
    <row r="1343" spans="4:4" ht="17.649999999999999" x14ac:dyDescent="0.5">
      <c r="D1343" s="3" t="s">
        <v>96</v>
      </c>
    </row>
    <row r="1344" spans="4:4" ht="17.649999999999999" x14ac:dyDescent="0.5">
      <c r="D1344" s="3" t="s">
        <v>115</v>
      </c>
    </row>
    <row r="1345" spans="4:4" ht="17.649999999999999" x14ac:dyDescent="0.5">
      <c r="D1345" s="3" t="s">
        <v>50</v>
      </c>
    </row>
    <row r="1346" spans="4:4" ht="17.649999999999999" x14ac:dyDescent="0.5">
      <c r="D1346" s="3" t="s">
        <v>62</v>
      </c>
    </row>
    <row r="1347" spans="4:4" ht="17.649999999999999" x14ac:dyDescent="0.5">
      <c r="D1347" s="3" t="s">
        <v>52</v>
      </c>
    </row>
    <row r="1348" spans="4:4" ht="17.649999999999999" x14ac:dyDescent="0.5">
      <c r="D1348" s="3" t="s">
        <v>125</v>
      </c>
    </row>
    <row r="1349" spans="4:4" ht="17.649999999999999" x14ac:dyDescent="0.5">
      <c r="D1349" s="3" t="s">
        <v>132</v>
      </c>
    </row>
    <row r="1350" spans="4:4" ht="17.649999999999999" x14ac:dyDescent="0.5">
      <c r="D1350" s="3" t="s">
        <v>58</v>
      </c>
    </row>
    <row r="1351" spans="4:4" ht="17.649999999999999" x14ac:dyDescent="0.5">
      <c r="D1351" s="3" t="s">
        <v>59</v>
      </c>
    </row>
    <row r="1352" spans="4:4" ht="17.649999999999999" x14ac:dyDescent="0.5">
      <c r="D1352" s="3" t="s">
        <v>44</v>
      </c>
    </row>
    <row r="1353" spans="4:4" ht="17.649999999999999" x14ac:dyDescent="0.5">
      <c r="D1353" s="3" t="s">
        <v>107</v>
      </c>
    </row>
    <row r="1354" spans="4:4" ht="17.649999999999999" x14ac:dyDescent="0.5">
      <c r="D1354" s="3" t="s">
        <v>55</v>
      </c>
    </row>
    <row r="1355" spans="4:4" ht="17.649999999999999" x14ac:dyDescent="0.5">
      <c r="D1355" s="3" t="s">
        <v>57</v>
      </c>
    </row>
    <row r="1356" spans="4:4" ht="17.649999999999999" x14ac:dyDescent="0.5">
      <c r="D1356" s="3" t="s">
        <v>53</v>
      </c>
    </row>
    <row r="1357" spans="4:4" ht="17.649999999999999" x14ac:dyDescent="0.5">
      <c r="D1357" s="3" t="s">
        <v>49</v>
      </c>
    </row>
    <row r="1358" spans="4:4" ht="17.649999999999999" x14ac:dyDescent="0.5">
      <c r="D1358" s="3" t="s">
        <v>66</v>
      </c>
    </row>
    <row r="1359" spans="4:4" ht="17.649999999999999" x14ac:dyDescent="0.5">
      <c r="D1359" s="3" t="s">
        <v>82</v>
      </c>
    </row>
    <row r="1360" spans="4:4" ht="17.649999999999999" x14ac:dyDescent="0.5">
      <c r="D1360" s="3" t="s">
        <v>95</v>
      </c>
    </row>
    <row r="1361" spans="4:4" ht="17.649999999999999" x14ac:dyDescent="0.5">
      <c r="D1361" s="3" t="s">
        <v>103</v>
      </c>
    </row>
    <row r="1362" spans="4:4" ht="17.649999999999999" x14ac:dyDescent="0.5">
      <c r="D1362" s="3" t="s">
        <v>51</v>
      </c>
    </row>
    <row r="1363" spans="4:4" ht="17.649999999999999" x14ac:dyDescent="0.5">
      <c r="D1363" s="3" t="s">
        <v>94</v>
      </c>
    </row>
    <row r="1364" spans="4:4" ht="17.649999999999999" x14ac:dyDescent="0.5">
      <c r="D1364" s="3" t="s">
        <v>112</v>
      </c>
    </row>
    <row r="1365" spans="4:4" ht="17.649999999999999" x14ac:dyDescent="0.5">
      <c r="D1365" s="3" t="s">
        <v>105</v>
      </c>
    </row>
    <row r="1366" spans="4:4" ht="17.649999999999999" x14ac:dyDescent="0.5">
      <c r="D1366" s="3" t="s">
        <v>114</v>
      </c>
    </row>
    <row r="1367" spans="4:4" ht="17.649999999999999" x14ac:dyDescent="0.5">
      <c r="D1367" s="3" t="s">
        <v>67</v>
      </c>
    </row>
    <row r="1368" spans="4:4" ht="17.649999999999999" x14ac:dyDescent="0.5">
      <c r="D1368" s="3" t="s">
        <v>123</v>
      </c>
    </row>
    <row r="1369" spans="4:4" ht="17.649999999999999" x14ac:dyDescent="0.5">
      <c r="D1369" s="3" t="s">
        <v>53</v>
      </c>
    </row>
    <row r="1370" spans="4:4" ht="17.649999999999999" x14ac:dyDescent="0.5">
      <c r="D1370" s="3" t="s">
        <v>62</v>
      </c>
    </row>
    <row r="1371" spans="4:4" ht="17.649999999999999" x14ac:dyDescent="0.5">
      <c r="D1371" s="3" t="s">
        <v>84</v>
      </c>
    </row>
    <row r="1372" spans="4:4" ht="17.649999999999999" x14ac:dyDescent="0.5">
      <c r="D1372" s="3" t="s">
        <v>73</v>
      </c>
    </row>
    <row r="1373" spans="4:4" ht="17.649999999999999" x14ac:dyDescent="0.5">
      <c r="D1373" s="3" t="s">
        <v>50</v>
      </c>
    </row>
    <row r="1374" spans="4:4" ht="17.649999999999999" x14ac:dyDescent="0.5">
      <c r="D1374" s="3" t="s">
        <v>45</v>
      </c>
    </row>
    <row r="1375" spans="4:4" ht="17.649999999999999" x14ac:dyDescent="0.5">
      <c r="D1375" s="3" t="s">
        <v>79</v>
      </c>
    </row>
    <row r="1376" spans="4:4" ht="17.649999999999999" x14ac:dyDescent="0.5">
      <c r="D1376" s="3" t="s">
        <v>78</v>
      </c>
    </row>
    <row r="1377" spans="4:4" ht="17.649999999999999" x14ac:dyDescent="0.5">
      <c r="D1377" s="3" t="s">
        <v>98</v>
      </c>
    </row>
    <row r="1378" spans="4:4" ht="17.649999999999999" x14ac:dyDescent="0.5">
      <c r="D1378" s="3" t="s">
        <v>55</v>
      </c>
    </row>
    <row r="1379" spans="4:4" ht="17.649999999999999" x14ac:dyDescent="0.5">
      <c r="D1379" s="3" t="s">
        <v>56</v>
      </c>
    </row>
    <row r="1380" spans="4:4" ht="17.649999999999999" x14ac:dyDescent="0.5">
      <c r="D1380" s="3" t="s">
        <v>50</v>
      </c>
    </row>
    <row r="1381" spans="4:4" ht="17.649999999999999" x14ac:dyDescent="0.5">
      <c r="D1381" s="3" t="s">
        <v>120</v>
      </c>
    </row>
    <row r="1382" spans="4:4" ht="17.649999999999999" x14ac:dyDescent="0.5">
      <c r="D1382" s="3" t="s">
        <v>92</v>
      </c>
    </row>
    <row r="1383" spans="4:4" ht="17.649999999999999" x14ac:dyDescent="0.5">
      <c r="D1383" s="3" t="s">
        <v>69</v>
      </c>
    </row>
    <row r="1384" spans="4:4" ht="17.649999999999999" x14ac:dyDescent="0.5">
      <c r="D1384" s="3" t="s">
        <v>105</v>
      </c>
    </row>
    <row r="1385" spans="4:4" ht="17.649999999999999" x14ac:dyDescent="0.5">
      <c r="D1385" s="3" t="s">
        <v>112</v>
      </c>
    </row>
    <row r="1386" spans="4:4" ht="17.649999999999999" x14ac:dyDescent="0.5">
      <c r="D1386" s="3" t="s">
        <v>68</v>
      </c>
    </row>
    <row r="1387" spans="4:4" ht="17.649999999999999" x14ac:dyDescent="0.5">
      <c r="D1387" s="3" t="s">
        <v>64</v>
      </c>
    </row>
    <row r="1388" spans="4:4" ht="17.649999999999999" x14ac:dyDescent="0.5">
      <c r="D1388" s="3" t="s">
        <v>63</v>
      </c>
    </row>
    <row r="1389" spans="4:4" ht="17.649999999999999" x14ac:dyDescent="0.5">
      <c r="D1389" s="3" t="s">
        <v>105</v>
      </c>
    </row>
    <row r="1390" spans="4:4" ht="17.649999999999999" x14ac:dyDescent="0.5">
      <c r="D1390" s="3" t="s">
        <v>92</v>
      </c>
    </row>
    <row r="1391" spans="4:4" ht="17.649999999999999" x14ac:dyDescent="0.5">
      <c r="D1391" s="3" t="s">
        <v>44</v>
      </c>
    </row>
    <row r="1392" spans="4:4" ht="17.649999999999999" x14ac:dyDescent="0.5">
      <c r="D1392" s="3" t="s">
        <v>124</v>
      </c>
    </row>
    <row r="1393" spans="4:4" ht="17.649999999999999" x14ac:dyDescent="0.5">
      <c r="D1393" s="3" t="s">
        <v>105</v>
      </c>
    </row>
    <row r="1394" spans="4:4" ht="17.649999999999999" x14ac:dyDescent="0.5">
      <c r="D1394" s="3" t="s">
        <v>66</v>
      </c>
    </row>
    <row r="1395" spans="4:4" ht="17.649999999999999" x14ac:dyDescent="0.5">
      <c r="D1395" s="3" t="s">
        <v>43</v>
      </c>
    </row>
    <row r="1396" spans="4:4" ht="17.649999999999999" x14ac:dyDescent="0.5">
      <c r="D1396" s="3" t="s">
        <v>114</v>
      </c>
    </row>
    <row r="1397" spans="4:4" ht="17.649999999999999" x14ac:dyDescent="0.5">
      <c r="D1397" s="3" t="s">
        <v>83</v>
      </c>
    </row>
    <row r="1398" spans="4:4" ht="17.649999999999999" x14ac:dyDescent="0.5">
      <c r="D1398" s="3" t="s">
        <v>98</v>
      </c>
    </row>
    <row r="1399" spans="4:4" ht="17.649999999999999" x14ac:dyDescent="0.5">
      <c r="D1399" s="3" t="s">
        <v>43</v>
      </c>
    </row>
    <row r="1400" spans="4:4" ht="17.649999999999999" x14ac:dyDescent="0.5">
      <c r="D1400" s="3" t="s">
        <v>130</v>
      </c>
    </row>
    <row r="1401" spans="4:4" ht="17.649999999999999" x14ac:dyDescent="0.5">
      <c r="D1401" s="3" t="s">
        <v>117</v>
      </c>
    </row>
    <row r="1402" spans="4:4" ht="17.649999999999999" x14ac:dyDescent="0.5">
      <c r="D1402" s="3" t="s">
        <v>41</v>
      </c>
    </row>
    <row r="1403" spans="4:4" ht="17.649999999999999" x14ac:dyDescent="0.5">
      <c r="D1403" s="3" t="s">
        <v>118</v>
      </c>
    </row>
    <row r="1404" spans="4:4" ht="17.649999999999999" x14ac:dyDescent="0.5">
      <c r="D1404" s="3" t="s">
        <v>41</v>
      </c>
    </row>
    <row r="1405" spans="4:4" ht="17.649999999999999" x14ac:dyDescent="0.5">
      <c r="D1405" s="3" t="s">
        <v>96</v>
      </c>
    </row>
    <row r="1406" spans="4:4" ht="17.649999999999999" x14ac:dyDescent="0.5">
      <c r="D1406" s="3" t="s">
        <v>45</v>
      </c>
    </row>
    <row r="1407" spans="4:4" ht="17.649999999999999" x14ac:dyDescent="0.5">
      <c r="D1407" s="3" t="s">
        <v>125</v>
      </c>
    </row>
    <row r="1408" spans="4:4" ht="17.649999999999999" x14ac:dyDescent="0.5">
      <c r="D1408" s="3" t="s">
        <v>63</v>
      </c>
    </row>
    <row r="1409" spans="4:4" ht="17.649999999999999" x14ac:dyDescent="0.5">
      <c r="D1409" s="3" t="s">
        <v>81</v>
      </c>
    </row>
    <row r="1410" spans="4:4" ht="17.649999999999999" x14ac:dyDescent="0.5">
      <c r="D1410" s="3" t="s">
        <v>105</v>
      </c>
    </row>
    <row r="1411" spans="4:4" ht="17.649999999999999" x14ac:dyDescent="0.5">
      <c r="D1411" s="3" t="s">
        <v>102</v>
      </c>
    </row>
    <row r="1412" spans="4:4" ht="17.649999999999999" x14ac:dyDescent="0.5">
      <c r="D1412" s="3" t="s">
        <v>91</v>
      </c>
    </row>
    <row r="1413" spans="4:4" ht="17.649999999999999" x14ac:dyDescent="0.5">
      <c r="D1413" s="3" t="s">
        <v>63</v>
      </c>
    </row>
    <row r="1414" spans="4:4" ht="17.649999999999999" x14ac:dyDescent="0.5">
      <c r="D1414" s="3" t="s">
        <v>55</v>
      </c>
    </row>
    <row r="1415" spans="4:4" ht="17.649999999999999" x14ac:dyDescent="0.5">
      <c r="D1415" s="3" t="s">
        <v>98</v>
      </c>
    </row>
    <row r="1416" spans="4:4" ht="17.649999999999999" x14ac:dyDescent="0.5">
      <c r="D1416" s="3" t="s">
        <v>90</v>
      </c>
    </row>
    <row r="1417" spans="4:4" ht="17.649999999999999" x14ac:dyDescent="0.5">
      <c r="D1417" s="3" t="s">
        <v>101</v>
      </c>
    </row>
    <row r="1418" spans="4:4" ht="17.649999999999999" x14ac:dyDescent="0.5">
      <c r="D1418" s="3" t="s">
        <v>118</v>
      </c>
    </row>
    <row r="1419" spans="4:4" ht="17.649999999999999" x14ac:dyDescent="0.5">
      <c r="D1419" s="3" t="s">
        <v>62</v>
      </c>
    </row>
    <row r="1420" spans="4:4" ht="17.649999999999999" x14ac:dyDescent="0.5">
      <c r="D1420" s="3" t="s">
        <v>117</v>
      </c>
    </row>
    <row r="1421" spans="4:4" ht="17.649999999999999" x14ac:dyDescent="0.5">
      <c r="D1421" s="3" t="s">
        <v>68</v>
      </c>
    </row>
    <row r="1422" spans="4:4" ht="17.649999999999999" x14ac:dyDescent="0.5">
      <c r="D1422" s="3" t="s">
        <v>62</v>
      </c>
    </row>
    <row r="1423" spans="4:4" ht="17.649999999999999" x14ac:dyDescent="0.5">
      <c r="D1423" s="3" t="s">
        <v>127</v>
      </c>
    </row>
    <row r="1424" spans="4:4" ht="17.649999999999999" x14ac:dyDescent="0.5">
      <c r="D1424" s="3" t="s">
        <v>53</v>
      </c>
    </row>
    <row r="1425" spans="4:4" ht="17.649999999999999" x14ac:dyDescent="0.5">
      <c r="D1425" s="3" t="s">
        <v>101</v>
      </c>
    </row>
    <row r="1426" spans="4:4" ht="17.649999999999999" x14ac:dyDescent="0.5">
      <c r="D1426" s="3" t="s">
        <v>125</v>
      </c>
    </row>
    <row r="1427" spans="4:4" ht="17.649999999999999" x14ac:dyDescent="0.5">
      <c r="D1427" s="3" t="s">
        <v>69</v>
      </c>
    </row>
    <row r="1428" spans="4:4" ht="17.649999999999999" x14ac:dyDescent="0.5">
      <c r="D1428" s="3" t="s">
        <v>66</v>
      </c>
    </row>
    <row r="1429" spans="4:4" ht="17.649999999999999" x14ac:dyDescent="0.5">
      <c r="D1429" s="3" t="s">
        <v>92</v>
      </c>
    </row>
    <row r="1430" spans="4:4" ht="17.649999999999999" x14ac:dyDescent="0.5">
      <c r="D1430" s="3" t="s">
        <v>59</v>
      </c>
    </row>
    <row r="1431" spans="4:4" ht="17.649999999999999" x14ac:dyDescent="0.5">
      <c r="D1431" s="3" t="s">
        <v>104</v>
      </c>
    </row>
    <row r="1432" spans="4:4" ht="17.649999999999999" x14ac:dyDescent="0.5">
      <c r="D1432" s="3" t="s">
        <v>105</v>
      </c>
    </row>
    <row r="1433" spans="4:4" ht="17.649999999999999" x14ac:dyDescent="0.5">
      <c r="D1433" s="3" t="s">
        <v>78</v>
      </c>
    </row>
    <row r="1434" spans="4:4" ht="17.649999999999999" x14ac:dyDescent="0.5">
      <c r="D1434" s="3" t="s">
        <v>52</v>
      </c>
    </row>
    <row r="1435" spans="4:4" ht="17.649999999999999" x14ac:dyDescent="0.5">
      <c r="D1435" s="3" t="s">
        <v>73</v>
      </c>
    </row>
    <row r="1436" spans="4:4" ht="17.649999999999999" x14ac:dyDescent="0.5">
      <c r="D1436" s="3" t="s">
        <v>52</v>
      </c>
    </row>
    <row r="1437" spans="4:4" ht="17.649999999999999" x14ac:dyDescent="0.5">
      <c r="D1437" s="3" t="s">
        <v>46</v>
      </c>
    </row>
    <row r="1438" spans="4:4" ht="17.649999999999999" x14ac:dyDescent="0.5">
      <c r="D1438" s="3" t="s">
        <v>108</v>
      </c>
    </row>
    <row r="1439" spans="4:4" ht="17.649999999999999" x14ac:dyDescent="0.5">
      <c r="D1439" s="3" t="s">
        <v>81</v>
      </c>
    </row>
    <row r="1440" spans="4:4" ht="17.649999999999999" x14ac:dyDescent="0.5">
      <c r="D1440" s="3" t="s">
        <v>80</v>
      </c>
    </row>
    <row r="1441" spans="4:4" ht="17.649999999999999" x14ac:dyDescent="0.5">
      <c r="D1441" s="3" t="s">
        <v>96</v>
      </c>
    </row>
    <row r="1442" spans="4:4" ht="17.649999999999999" x14ac:dyDescent="0.5">
      <c r="D1442" s="3" t="s">
        <v>113</v>
      </c>
    </row>
    <row r="1443" spans="4:4" ht="17.649999999999999" x14ac:dyDescent="0.5">
      <c r="D1443" s="3" t="s">
        <v>56</v>
      </c>
    </row>
    <row r="1444" spans="4:4" ht="17.649999999999999" x14ac:dyDescent="0.5">
      <c r="D1444" s="3" t="s">
        <v>110</v>
      </c>
    </row>
    <row r="1445" spans="4:4" ht="17.649999999999999" x14ac:dyDescent="0.5">
      <c r="D1445" s="3" t="s">
        <v>41</v>
      </c>
    </row>
    <row r="1446" spans="4:4" ht="17.649999999999999" x14ac:dyDescent="0.5">
      <c r="D1446" s="3" t="s">
        <v>45</v>
      </c>
    </row>
    <row r="1447" spans="4:4" ht="17.649999999999999" x14ac:dyDescent="0.5">
      <c r="D1447" s="3" t="s">
        <v>66</v>
      </c>
    </row>
    <row r="1448" spans="4:4" ht="17.649999999999999" x14ac:dyDescent="0.5">
      <c r="D1448" s="3" t="s">
        <v>88</v>
      </c>
    </row>
    <row r="1449" spans="4:4" ht="17.649999999999999" x14ac:dyDescent="0.5">
      <c r="D1449" s="3" t="s">
        <v>98</v>
      </c>
    </row>
    <row r="1450" spans="4:4" ht="17.649999999999999" x14ac:dyDescent="0.5">
      <c r="D1450" s="3" t="s">
        <v>108</v>
      </c>
    </row>
    <row r="1451" spans="4:4" ht="17.649999999999999" x14ac:dyDescent="0.5">
      <c r="D1451" s="3" t="s">
        <v>64</v>
      </c>
    </row>
    <row r="1452" spans="4:4" ht="17.649999999999999" x14ac:dyDescent="0.5">
      <c r="D1452" s="3" t="s">
        <v>78</v>
      </c>
    </row>
    <row r="1453" spans="4:4" ht="17.649999999999999" x14ac:dyDescent="0.5">
      <c r="D1453" s="3" t="s">
        <v>49</v>
      </c>
    </row>
    <row r="1454" spans="4:4" ht="17.649999999999999" x14ac:dyDescent="0.5">
      <c r="D1454" s="3" t="s">
        <v>50</v>
      </c>
    </row>
    <row r="1455" spans="4:4" ht="17.649999999999999" x14ac:dyDescent="0.5">
      <c r="D1455" s="3" t="s">
        <v>118</v>
      </c>
    </row>
    <row r="1456" spans="4:4" ht="17.649999999999999" x14ac:dyDescent="0.5">
      <c r="D1456" s="3" t="s">
        <v>67</v>
      </c>
    </row>
    <row r="1457" spans="4:4" ht="17.649999999999999" x14ac:dyDescent="0.5">
      <c r="D1457" s="3" t="s">
        <v>115</v>
      </c>
    </row>
    <row r="1458" spans="4:4" ht="17.649999999999999" x14ac:dyDescent="0.5">
      <c r="D1458" s="3" t="s">
        <v>98</v>
      </c>
    </row>
    <row r="1459" spans="4:4" ht="17.649999999999999" x14ac:dyDescent="0.5">
      <c r="D1459" s="3" t="s">
        <v>92</v>
      </c>
    </row>
    <row r="1460" spans="4:4" ht="17.649999999999999" x14ac:dyDescent="0.5">
      <c r="D1460" s="3" t="s">
        <v>62</v>
      </c>
    </row>
    <row r="1461" spans="4:4" ht="17.649999999999999" x14ac:dyDescent="0.5">
      <c r="D1461" s="3" t="s">
        <v>54</v>
      </c>
    </row>
    <row r="1462" spans="4:4" ht="17.649999999999999" x14ac:dyDescent="0.5">
      <c r="D1462" s="3" t="s">
        <v>57</v>
      </c>
    </row>
    <row r="1463" spans="4:4" ht="17.649999999999999" x14ac:dyDescent="0.5">
      <c r="D1463" s="3" t="s">
        <v>76</v>
      </c>
    </row>
    <row r="1464" spans="4:4" ht="17.649999999999999" x14ac:dyDescent="0.5">
      <c r="D1464" s="3" t="s">
        <v>72</v>
      </c>
    </row>
    <row r="1465" spans="4:4" ht="17.649999999999999" x14ac:dyDescent="0.5">
      <c r="D1465" s="3" t="s">
        <v>136</v>
      </c>
    </row>
    <row r="1466" spans="4:4" ht="17.649999999999999" x14ac:dyDescent="0.5">
      <c r="D1466" s="3" t="s">
        <v>105</v>
      </c>
    </row>
    <row r="1467" spans="4:4" ht="17.649999999999999" x14ac:dyDescent="0.5">
      <c r="D1467" s="3" t="s">
        <v>75</v>
      </c>
    </row>
    <row r="1468" spans="4:4" ht="17.649999999999999" x14ac:dyDescent="0.5">
      <c r="D1468" s="3" t="s">
        <v>78</v>
      </c>
    </row>
    <row r="1469" spans="4:4" ht="17.649999999999999" x14ac:dyDescent="0.5">
      <c r="D1469" s="3" t="s">
        <v>92</v>
      </c>
    </row>
    <row r="1470" spans="4:4" ht="17.649999999999999" x14ac:dyDescent="0.5">
      <c r="D1470" s="3" t="s">
        <v>80</v>
      </c>
    </row>
    <row r="1471" spans="4:4" ht="17.649999999999999" x14ac:dyDescent="0.5">
      <c r="D1471" s="3" t="s">
        <v>86</v>
      </c>
    </row>
    <row r="1472" spans="4:4" ht="17.649999999999999" x14ac:dyDescent="0.5">
      <c r="D1472" s="3" t="s">
        <v>48</v>
      </c>
    </row>
    <row r="1473" spans="4:4" ht="17.649999999999999" x14ac:dyDescent="0.5">
      <c r="D1473" s="3" t="s">
        <v>80</v>
      </c>
    </row>
    <row r="1474" spans="4:4" ht="17.649999999999999" x14ac:dyDescent="0.5">
      <c r="D1474" s="3" t="s">
        <v>43</v>
      </c>
    </row>
    <row r="1475" spans="4:4" ht="17.649999999999999" x14ac:dyDescent="0.5">
      <c r="D1475" s="3" t="s">
        <v>48</v>
      </c>
    </row>
    <row r="1476" spans="4:4" ht="17.649999999999999" x14ac:dyDescent="0.5">
      <c r="D1476" s="3" t="s">
        <v>84</v>
      </c>
    </row>
    <row r="1477" spans="4:4" ht="17.649999999999999" x14ac:dyDescent="0.5">
      <c r="D1477" s="3" t="s">
        <v>135</v>
      </c>
    </row>
    <row r="1478" spans="4:4" ht="17.649999999999999" x14ac:dyDescent="0.5">
      <c r="D1478" s="3" t="s">
        <v>75</v>
      </c>
    </row>
    <row r="1479" spans="4:4" ht="17.649999999999999" x14ac:dyDescent="0.5">
      <c r="D1479" s="3" t="s">
        <v>69</v>
      </c>
    </row>
    <row r="1480" spans="4:4" ht="17.649999999999999" x14ac:dyDescent="0.5">
      <c r="D1480" s="3" t="s">
        <v>109</v>
      </c>
    </row>
    <row r="1481" spans="4:4" ht="17.649999999999999" x14ac:dyDescent="0.5">
      <c r="D1481" s="3" t="s">
        <v>112</v>
      </c>
    </row>
    <row r="1482" spans="4:4" ht="17.649999999999999" x14ac:dyDescent="0.5">
      <c r="D1482" s="3" t="s">
        <v>103</v>
      </c>
    </row>
    <row r="1483" spans="4:4" ht="17.649999999999999" x14ac:dyDescent="0.5">
      <c r="D1483" s="3" t="s">
        <v>108</v>
      </c>
    </row>
    <row r="1484" spans="4:4" ht="17.649999999999999" x14ac:dyDescent="0.5">
      <c r="D1484" s="3" t="s">
        <v>67</v>
      </c>
    </row>
    <row r="1485" spans="4:4" ht="17.649999999999999" x14ac:dyDescent="0.5">
      <c r="D1485" s="3" t="s">
        <v>64</v>
      </c>
    </row>
    <row r="1486" spans="4:4" ht="17.649999999999999" x14ac:dyDescent="0.5">
      <c r="D1486" s="3" t="s">
        <v>78</v>
      </c>
    </row>
    <row r="1487" spans="4:4" ht="17.649999999999999" x14ac:dyDescent="0.5">
      <c r="D1487" s="3" t="s">
        <v>64</v>
      </c>
    </row>
    <row r="1488" spans="4:4" ht="17.649999999999999" x14ac:dyDescent="0.5">
      <c r="D1488" s="3" t="s">
        <v>90</v>
      </c>
    </row>
    <row r="1489" spans="4:4" ht="17.649999999999999" x14ac:dyDescent="0.5">
      <c r="D1489" s="3" t="s">
        <v>101</v>
      </c>
    </row>
    <row r="1490" spans="4:4" ht="17.649999999999999" x14ac:dyDescent="0.5">
      <c r="D1490" s="3" t="s">
        <v>79</v>
      </c>
    </row>
    <row r="1491" spans="4:4" ht="17.649999999999999" x14ac:dyDescent="0.5">
      <c r="D1491" s="3" t="s">
        <v>91</v>
      </c>
    </row>
    <row r="1492" spans="4:4" ht="17.649999999999999" x14ac:dyDescent="0.5">
      <c r="D1492" s="3" t="s">
        <v>63</v>
      </c>
    </row>
    <row r="1493" spans="4:4" ht="17.649999999999999" x14ac:dyDescent="0.5">
      <c r="D1493" s="3" t="s">
        <v>52</v>
      </c>
    </row>
    <row r="1494" spans="4:4" ht="17.649999999999999" x14ac:dyDescent="0.5">
      <c r="D1494" s="3" t="s">
        <v>66</v>
      </c>
    </row>
    <row r="1495" spans="4:4" ht="17.649999999999999" x14ac:dyDescent="0.5">
      <c r="D1495" s="3" t="s">
        <v>112</v>
      </c>
    </row>
    <row r="1496" spans="4:4" ht="17.649999999999999" x14ac:dyDescent="0.5">
      <c r="D1496" s="3" t="s">
        <v>49</v>
      </c>
    </row>
    <row r="1497" spans="4:4" ht="17.649999999999999" x14ac:dyDescent="0.5">
      <c r="D1497" s="3" t="s">
        <v>72</v>
      </c>
    </row>
    <row r="1498" spans="4:4" ht="17.649999999999999" x14ac:dyDescent="0.5">
      <c r="D1498" s="3" t="s">
        <v>78</v>
      </c>
    </row>
    <row r="1499" spans="4:4" ht="17.649999999999999" x14ac:dyDescent="0.5">
      <c r="D1499" s="3" t="s">
        <v>85</v>
      </c>
    </row>
    <row r="1500" spans="4:4" ht="17.649999999999999" x14ac:dyDescent="0.5">
      <c r="D1500" s="3" t="s">
        <v>106</v>
      </c>
    </row>
    <row r="1501" spans="4:4" ht="17.649999999999999" x14ac:dyDescent="0.5">
      <c r="D1501" s="3" t="s">
        <v>85</v>
      </c>
    </row>
    <row r="1502" spans="4:4" ht="17.649999999999999" x14ac:dyDescent="0.5">
      <c r="D1502" s="3" t="s">
        <v>51</v>
      </c>
    </row>
    <row r="1503" spans="4:4" ht="17.649999999999999" x14ac:dyDescent="0.5">
      <c r="D1503" s="3" t="s">
        <v>49</v>
      </c>
    </row>
    <row r="1504" spans="4:4" ht="17.649999999999999" x14ac:dyDescent="0.5">
      <c r="D1504" s="3" t="s">
        <v>84</v>
      </c>
    </row>
    <row r="1505" spans="4:4" ht="17.649999999999999" x14ac:dyDescent="0.5">
      <c r="D1505" s="3" t="s">
        <v>94</v>
      </c>
    </row>
    <row r="1506" spans="4:4" ht="17.649999999999999" x14ac:dyDescent="0.5">
      <c r="D1506" s="3" t="s">
        <v>117</v>
      </c>
    </row>
    <row r="1507" spans="4:4" ht="17.649999999999999" x14ac:dyDescent="0.5">
      <c r="D1507" s="3" t="s">
        <v>77</v>
      </c>
    </row>
    <row r="1508" spans="4:4" ht="17.649999999999999" x14ac:dyDescent="0.5">
      <c r="D1508" s="3" t="s">
        <v>46</v>
      </c>
    </row>
    <row r="1509" spans="4:4" ht="17.649999999999999" x14ac:dyDescent="0.5">
      <c r="D1509" s="3" t="s">
        <v>120</v>
      </c>
    </row>
    <row r="1510" spans="4:4" ht="17.649999999999999" x14ac:dyDescent="0.5">
      <c r="D1510" s="3" t="s">
        <v>79</v>
      </c>
    </row>
    <row r="1511" spans="4:4" ht="17.649999999999999" x14ac:dyDescent="0.5">
      <c r="D1511" s="3" t="s">
        <v>110</v>
      </c>
    </row>
    <row r="1512" spans="4:4" ht="17.649999999999999" x14ac:dyDescent="0.5">
      <c r="D1512" s="3" t="s">
        <v>46</v>
      </c>
    </row>
    <row r="1513" spans="4:4" ht="17.649999999999999" x14ac:dyDescent="0.5">
      <c r="D1513" s="3" t="s">
        <v>74</v>
      </c>
    </row>
    <row r="1514" spans="4:4" ht="17.649999999999999" x14ac:dyDescent="0.5">
      <c r="D1514" s="3" t="s">
        <v>84</v>
      </c>
    </row>
    <row r="1515" spans="4:4" ht="17.649999999999999" x14ac:dyDescent="0.5">
      <c r="D1515" s="3" t="s">
        <v>134</v>
      </c>
    </row>
    <row r="1516" spans="4:4" ht="17.649999999999999" x14ac:dyDescent="0.5">
      <c r="D1516" s="3" t="s">
        <v>90</v>
      </c>
    </row>
    <row r="1517" spans="4:4" ht="17.649999999999999" x14ac:dyDescent="0.5">
      <c r="D1517" s="3" t="s">
        <v>66</v>
      </c>
    </row>
    <row r="1518" spans="4:4" ht="17.649999999999999" x14ac:dyDescent="0.5">
      <c r="D1518" s="3" t="s">
        <v>74</v>
      </c>
    </row>
    <row r="1519" spans="4:4" ht="17.649999999999999" x14ac:dyDescent="0.5">
      <c r="D1519" s="3" t="s">
        <v>57</v>
      </c>
    </row>
    <row r="1520" spans="4:4" ht="17.649999999999999" x14ac:dyDescent="0.5">
      <c r="D1520" s="3" t="s">
        <v>78</v>
      </c>
    </row>
    <row r="1521" spans="4:4" ht="17.649999999999999" x14ac:dyDescent="0.5">
      <c r="D1521" s="3" t="s">
        <v>94</v>
      </c>
    </row>
    <row r="1522" spans="4:4" ht="17.649999999999999" x14ac:dyDescent="0.5">
      <c r="D1522" s="3" t="s">
        <v>51</v>
      </c>
    </row>
    <row r="1523" spans="4:4" ht="17.649999999999999" x14ac:dyDescent="0.5">
      <c r="D1523" s="3" t="s">
        <v>115</v>
      </c>
    </row>
    <row r="1524" spans="4:4" ht="17.649999999999999" x14ac:dyDescent="0.5">
      <c r="D1524" s="3" t="s">
        <v>85</v>
      </c>
    </row>
    <row r="1525" spans="4:4" ht="17.649999999999999" x14ac:dyDescent="0.5">
      <c r="D1525" s="3" t="s">
        <v>41</v>
      </c>
    </row>
    <row r="1526" spans="4:4" ht="17.649999999999999" x14ac:dyDescent="0.5">
      <c r="D1526" s="3" t="s">
        <v>56</v>
      </c>
    </row>
    <row r="1527" spans="4:4" ht="17.649999999999999" x14ac:dyDescent="0.5">
      <c r="D1527" s="3" t="s">
        <v>84</v>
      </c>
    </row>
    <row r="1528" spans="4:4" ht="17.649999999999999" x14ac:dyDescent="0.5">
      <c r="D1528" s="3" t="s">
        <v>55</v>
      </c>
    </row>
    <row r="1529" spans="4:4" ht="17.649999999999999" x14ac:dyDescent="0.5">
      <c r="D1529" s="3" t="s">
        <v>87</v>
      </c>
    </row>
    <row r="1530" spans="4:4" ht="17.649999999999999" x14ac:dyDescent="0.5">
      <c r="D1530" s="3" t="s">
        <v>47</v>
      </c>
    </row>
    <row r="1531" spans="4:4" ht="17.649999999999999" x14ac:dyDescent="0.5">
      <c r="D1531" s="3" t="s">
        <v>55</v>
      </c>
    </row>
    <row r="1532" spans="4:4" ht="17.649999999999999" x14ac:dyDescent="0.5">
      <c r="D1532" s="3" t="s">
        <v>66</v>
      </c>
    </row>
    <row r="1533" spans="4:4" ht="17.649999999999999" x14ac:dyDescent="0.5">
      <c r="D1533" s="3" t="s">
        <v>78</v>
      </c>
    </row>
    <row r="1534" spans="4:4" ht="17.649999999999999" x14ac:dyDescent="0.5">
      <c r="D1534" s="3" t="s">
        <v>41</v>
      </c>
    </row>
    <row r="1535" spans="4:4" ht="17.649999999999999" x14ac:dyDescent="0.5">
      <c r="D1535" s="3" t="s">
        <v>52</v>
      </c>
    </row>
    <row r="1536" spans="4:4" ht="17.649999999999999" x14ac:dyDescent="0.5">
      <c r="D1536" s="3" t="s">
        <v>115</v>
      </c>
    </row>
    <row r="1537" spans="4:4" ht="17.649999999999999" x14ac:dyDescent="0.5">
      <c r="D1537" s="3" t="s">
        <v>111</v>
      </c>
    </row>
    <row r="1538" spans="4:4" ht="17.649999999999999" x14ac:dyDescent="0.5">
      <c r="D1538" s="3" t="s">
        <v>59</v>
      </c>
    </row>
    <row r="1539" spans="4:4" ht="17.649999999999999" x14ac:dyDescent="0.5">
      <c r="D1539" s="3" t="s">
        <v>67</v>
      </c>
    </row>
    <row r="1540" spans="4:4" ht="17.649999999999999" x14ac:dyDescent="0.5">
      <c r="D1540" s="3" t="s">
        <v>119</v>
      </c>
    </row>
    <row r="1541" spans="4:4" ht="17.649999999999999" x14ac:dyDescent="0.5">
      <c r="D1541" s="3" t="s">
        <v>117</v>
      </c>
    </row>
    <row r="1542" spans="4:4" ht="17.649999999999999" x14ac:dyDescent="0.5">
      <c r="D1542" s="3" t="s">
        <v>63</v>
      </c>
    </row>
    <row r="1543" spans="4:4" ht="17.649999999999999" x14ac:dyDescent="0.5">
      <c r="D1543" s="3" t="s">
        <v>83</v>
      </c>
    </row>
    <row r="1544" spans="4:4" ht="17.649999999999999" x14ac:dyDescent="0.5">
      <c r="D1544" s="3" t="s">
        <v>126</v>
      </c>
    </row>
    <row r="1545" spans="4:4" ht="17.649999999999999" x14ac:dyDescent="0.5">
      <c r="D1545" s="3" t="s">
        <v>98</v>
      </c>
    </row>
    <row r="1546" spans="4:4" ht="17.649999999999999" x14ac:dyDescent="0.5">
      <c r="D1546" s="3" t="s">
        <v>65</v>
      </c>
    </row>
    <row r="1547" spans="4:4" ht="17.649999999999999" x14ac:dyDescent="0.5">
      <c r="D1547" s="3" t="s">
        <v>80</v>
      </c>
    </row>
    <row r="1548" spans="4:4" ht="17.649999999999999" x14ac:dyDescent="0.5">
      <c r="D1548" s="3" t="s">
        <v>49</v>
      </c>
    </row>
    <row r="1549" spans="4:4" ht="17.649999999999999" x14ac:dyDescent="0.5">
      <c r="D1549" s="3" t="s">
        <v>65</v>
      </c>
    </row>
    <row r="1550" spans="4:4" ht="17.649999999999999" x14ac:dyDescent="0.5">
      <c r="D1550" s="3" t="s">
        <v>69</v>
      </c>
    </row>
    <row r="1551" spans="4:4" ht="17.649999999999999" x14ac:dyDescent="0.5">
      <c r="D1551" s="3" t="s">
        <v>63</v>
      </c>
    </row>
    <row r="1552" spans="4:4" ht="17.649999999999999" x14ac:dyDescent="0.5">
      <c r="D1552" s="3" t="s">
        <v>112</v>
      </c>
    </row>
    <row r="1553" spans="4:4" ht="17.649999999999999" x14ac:dyDescent="0.5">
      <c r="D1553" s="3" t="s">
        <v>47</v>
      </c>
    </row>
    <row r="1554" spans="4:4" ht="17.649999999999999" x14ac:dyDescent="0.5">
      <c r="D1554" s="3" t="s">
        <v>41</v>
      </c>
    </row>
    <row r="1555" spans="4:4" ht="17.649999999999999" x14ac:dyDescent="0.5">
      <c r="D1555" s="3" t="s">
        <v>66</v>
      </c>
    </row>
    <row r="1556" spans="4:4" ht="17.649999999999999" x14ac:dyDescent="0.5">
      <c r="D1556" s="3" t="s">
        <v>83</v>
      </c>
    </row>
    <row r="1557" spans="4:4" ht="17.649999999999999" x14ac:dyDescent="0.5">
      <c r="D1557" s="3" t="s">
        <v>49</v>
      </c>
    </row>
    <row r="1558" spans="4:4" ht="17.649999999999999" x14ac:dyDescent="0.5">
      <c r="D1558" s="3" t="s">
        <v>84</v>
      </c>
    </row>
    <row r="1559" spans="4:4" ht="17.649999999999999" x14ac:dyDescent="0.5">
      <c r="D1559" s="3" t="s">
        <v>67</v>
      </c>
    </row>
    <row r="1560" spans="4:4" ht="17.649999999999999" x14ac:dyDescent="0.5">
      <c r="D1560" s="3" t="s">
        <v>50</v>
      </c>
    </row>
    <row r="1561" spans="4:4" ht="17.649999999999999" x14ac:dyDescent="0.5">
      <c r="D1561" s="3" t="s">
        <v>112</v>
      </c>
    </row>
    <row r="1562" spans="4:4" ht="17.649999999999999" x14ac:dyDescent="0.5">
      <c r="D1562" s="3" t="s">
        <v>84</v>
      </c>
    </row>
    <row r="1563" spans="4:4" ht="17.649999999999999" x14ac:dyDescent="0.5">
      <c r="D1563" s="3" t="s">
        <v>129</v>
      </c>
    </row>
    <row r="1564" spans="4:4" ht="17.649999999999999" x14ac:dyDescent="0.5">
      <c r="D1564" s="3" t="s">
        <v>65</v>
      </c>
    </row>
    <row r="1565" spans="4:4" ht="17.649999999999999" x14ac:dyDescent="0.5">
      <c r="D1565" s="3" t="s">
        <v>64</v>
      </c>
    </row>
    <row r="1566" spans="4:4" ht="17.649999999999999" x14ac:dyDescent="0.5">
      <c r="D1566" s="3" t="s">
        <v>65</v>
      </c>
    </row>
    <row r="1567" spans="4:4" ht="17.649999999999999" x14ac:dyDescent="0.5">
      <c r="D1567" s="3" t="s">
        <v>50</v>
      </c>
    </row>
    <row r="1568" spans="4:4" ht="17.649999999999999" x14ac:dyDescent="0.5">
      <c r="D1568" s="3" t="s">
        <v>133</v>
      </c>
    </row>
    <row r="1569" spans="4:4" ht="17.649999999999999" x14ac:dyDescent="0.5">
      <c r="D1569" s="3" t="s">
        <v>51</v>
      </c>
    </row>
    <row r="1570" spans="4:4" ht="17.649999999999999" x14ac:dyDescent="0.5">
      <c r="D1570" s="3" t="s">
        <v>87</v>
      </c>
    </row>
    <row r="1571" spans="4:4" ht="17.649999999999999" x14ac:dyDescent="0.5">
      <c r="D1571" s="3" t="s">
        <v>92</v>
      </c>
    </row>
    <row r="1572" spans="4:4" ht="17.649999999999999" x14ac:dyDescent="0.5">
      <c r="D1572" s="3" t="s">
        <v>123</v>
      </c>
    </row>
    <row r="1573" spans="4:4" ht="17.649999999999999" x14ac:dyDescent="0.5">
      <c r="D1573" s="3" t="s">
        <v>98</v>
      </c>
    </row>
    <row r="1574" spans="4:4" ht="17.649999999999999" x14ac:dyDescent="0.5">
      <c r="D1574" s="3" t="s">
        <v>85</v>
      </c>
    </row>
    <row r="1575" spans="4:4" ht="17.649999999999999" x14ac:dyDescent="0.5">
      <c r="D1575" s="3" t="s">
        <v>73</v>
      </c>
    </row>
    <row r="1576" spans="4:4" ht="17.649999999999999" x14ac:dyDescent="0.5">
      <c r="D1576" s="3" t="s">
        <v>65</v>
      </c>
    </row>
    <row r="1577" spans="4:4" ht="17.649999999999999" x14ac:dyDescent="0.5">
      <c r="D1577" s="3" t="s">
        <v>103</v>
      </c>
    </row>
    <row r="1578" spans="4:4" ht="17.649999999999999" x14ac:dyDescent="0.5">
      <c r="D1578" s="3" t="s">
        <v>57</v>
      </c>
    </row>
    <row r="1579" spans="4:4" ht="17.649999999999999" x14ac:dyDescent="0.5">
      <c r="D1579" s="3" t="s">
        <v>60</v>
      </c>
    </row>
    <row r="1580" spans="4:4" ht="17.649999999999999" x14ac:dyDescent="0.5">
      <c r="D1580" s="3" t="s">
        <v>105</v>
      </c>
    </row>
    <row r="1581" spans="4:4" ht="17.649999999999999" x14ac:dyDescent="0.5">
      <c r="D1581" s="3" t="s">
        <v>102</v>
      </c>
    </row>
    <row r="1582" spans="4:4" ht="17.649999999999999" x14ac:dyDescent="0.5">
      <c r="D1582" s="3" t="s">
        <v>63</v>
      </c>
    </row>
    <row r="1583" spans="4:4" ht="17.649999999999999" x14ac:dyDescent="0.5">
      <c r="D1583" s="3" t="s">
        <v>69</v>
      </c>
    </row>
    <row r="1584" spans="4:4" ht="17.649999999999999" x14ac:dyDescent="0.5">
      <c r="D1584" s="3" t="s">
        <v>107</v>
      </c>
    </row>
    <row r="1585" spans="4:4" ht="17.649999999999999" x14ac:dyDescent="0.5">
      <c r="D1585" s="3" t="s">
        <v>67</v>
      </c>
    </row>
    <row r="1586" spans="4:4" ht="17.649999999999999" x14ac:dyDescent="0.5">
      <c r="D1586" s="3" t="s">
        <v>48</v>
      </c>
    </row>
    <row r="1587" spans="4:4" ht="17.649999999999999" x14ac:dyDescent="0.5">
      <c r="D1587" s="3" t="s">
        <v>98</v>
      </c>
    </row>
    <row r="1588" spans="4:4" ht="17.649999999999999" x14ac:dyDescent="0.5">
      <c r="D1588" s="3" t="s">
        <v>44</v>
      </c>
    </row>
    <row r="1589" spans="4:4" ht="17.649999999999999" x14ac:dyDescent="0.5">
      <c r="D1589" s="3" t="s">
        <v>78</v>
      </c>
    </row>
    <row r="1590" spans="4:4" ht="17.649999999999999" x14ac:dyDescent="0.5">
      <c r="D1590" s="3" t="s">
        <v>99</v>
      </c>
    </row>
    <row r="1591" spans="4:4" ht="17.649999999999999" x14ac:dyDescent="0.5">
      <c r="D1591" s="3" t="s">
        <v>85</v>
      </c>
    </row>
    <row r="1592" spans="4:4" ht="17.649999999999999" x14ac:dyDescent="0.5">
      <c r="D1592" s="3" t="s">
        <v>56</v>
      </c>
    </row>
    <row r="1593" spans="4:4" ht="17.649999999999999" x14ac:dyDescent="0.5">
      <c r="D1593" s="3" t="s">
        <v>134</v>
      </c>
    </row>
    <row r="1594" spans="4:4" ht="17.649999999999999" x14ac:dyDescent="0.5">
      <c r="D1594" s="3" t="s">
        <v>80</v>
      </c>
    </row>
    <row r="1595" spans="4:4" ht="17.649999999999999" x14ac:dyDescent="0.5">
      <c r="D1595" s="3" t="s">
        <v>90</v>
      </c>
    </row>
    <row r="1596" spans="4:4" ht="17.649999999999999" x14ac:dyDescent="0.5">
      <c r="D1596" s="3" t="s">
        <v>64</v>
      </c>
    </row>
    <row r="1597" spans="4:4" ht="17.649999999999999" x14ac:dyDescent="0.5">
      <c r="D1597" s="3" t="s">
        <v>112</v>
      </c>
    </row>
    <row r="1598" spans="4:4" ht="17.649999999999999" x14ac:dyDescent="0.5">
      <c r="D1598" s="3" t="s">
        <v>43</v>
      </c>
    </row>
    <row r="1599" spans="4:4" ht="17.649999999999999" x14ac:dyDescent="0.5">
      <c r="D1599" s="3" t="s">
        <v>47</v>
      </c>
    </row>
    <row r="1600" spans="4:4" ht="17.649999999999999" x14ac:dyDescent="0.5">
      <c r="D1600" s="3" t="s">
        <v>108</v>
      </c>
    </row>
    <row r="1601" spans="4:4" ht="17.649999999999999" x14ac:dyDescent="0.5">
      <c r="D1601" s="3" t="s">
        <v>68</v>
      </c>
    </row>
    <row r="1602" spans="4:4" ht="17.649999999999999" x14ac:dyDescent="0.5">
      <c r="D1602" s="3" t="s">
        <v>83</v>
      </c>
    </row>
    <row r="1603" spans="4:4" ht="17.649999999999999" x14ac:dyDescent="0.5">
      <c r="D1603" s="3" t="s">
        <v>124</v>
      </c>
    </row>
    <row r="1604" spans="4:4" ht="17.649999999999999" x14ac:dyDescent="0.5">
      <c r="D1604" s="3" t="s">
        <v>53</v>
      </c>
    </row>
    <row r="1605" spans="4:4" ht="17.649999999999999" x14ac:dyDescent="0.5">
      <c r="D1605" s="3" t="s">
        <v>125</v>
      </c>
    </row>
    <row r="1606" spans="4:4" ht="17.649999999999999" x14ac:dyDescent="0.5">
      <c r="D1606" s="3" t="s">
        <v>59</v>
      </c>
    </row>
    <row r="1607" spans="4:4" ht="17.649999999999999" x14ac:dyDescent="0.5">
      <c r="D1607" s="3" t="s">
        <v>96</v>
      </c>
    </row>
    <row r="1608" spans="4:4" ht="17.649999999999999" x14ac:dyDescent="0.5">
      <c r="D1608" s="3" t="s">
        <v>56</v>
      </c>
    </row>
    <row r="1609" spans="4:4" ht="17.649999999999999" x14ac:dyDescent="0.5">
      <c r="D1609" s="3" t="s">
        <v>73</v>
      </c>
    </row>
    <row r="1610" spans="4:4" ht="17.649999999999999" x14ac:dyDescent="0.5">
      <c r="D1610" s="3" t="s">
        <v>103</v>
      </c>
    </row>
    <row r="1611" spans="4:4" ht="17.649999999999999" x14ac:dyDescent="0.5">
      <c r="D1611" s="3" t="s">
        <v>46</v>
      </c>
    </row>
    <row r="1612" spans="4:4" ht="17.649999999999999" x14ac:dyDescent="0.5">
      <c r="D1612" s="3" t="s">
        <v>69</v>
      </c>
    </row>
    <row r="1613" spans="4:4" ht="17.649999999999999" x14ac:dyDescent="0.5">
      <c r="D1613" s="3" t="s">
        <v>83</v>
      </c>
    </row>
    <row r="1614" spans="4:4" ht="17.649999999999999" x14ac:dyDescent="0.5">
      <c r="D1614" s="3" t="s">
        <v>41</v>
      </c>
    </row>
    <row r="1615" spans="4:4" ht="17.649999999999999" x14ac:dyDescent="0.5">
      <c r="D1615" s="3" t="s">
        <v>97</v>
      </c>
    </row>
    <row r="1616" spans="4:4" ht="17.649999999999999" x14ac:dyDescent="0.5">
      <c r="D1616" s="3" t="s">
        <v>91</v>
      </c>
    </row>
    <row r="1617" spans="4:4" ht="17.649999999999999" x14ac:dyDescent="0.5">
      <c r="D1617" s="3" t="s">
        <v>83</v>
      </c>
    </row>
    <row r="1618" spans="4:4" ht="17.649999999999999" x14ac:dyDescent="0.5">
      <c r="D1618" s="3" t="s">
        <v>75</v>
      </c>
    </row>
    <row r="1619" spans="4:4" ht="17.649999999999999" x14ac:dyDescent="0.5">
      <c r="D1619" s="3" t="s">
        <v>65</v>
      </c>
    </row>
    <row r="1620" spans="4:4" ht="17.649999999999999" x14ac:dyDescent="0.5">
      <c r="D1620" s="3" t="s">
        <v>56</v>
      </c>
    </row>
    <row r="1621" spans="4:4" ht="17.649999999999999" x14ac:dyDescent="0.5">
      <c r="D1621" s="3" t="s">
        <v>59</v>
      </c>
    </row>
    <row r="1622" spans="4:4" ht="17.649999999999999" x14ac:dyDescent="0.5">
      <c r="D1622" s="3" t="s">
        <v>67</v>
      </c>
    </row>
    <row r="1623" spans="4:4" ht="17.649999999999999" x14ac:dyDescent="0.5">
      <c r="D1623" s="3" t="s">
        <v>58</v>
      </c>
    </row>
    <row r="1624" spans="4:4" ht="17.649999999999999" x14ac:dyDescent="0.5">
      <c r="D1624" s="3" t="s">
        <v>76</v>
      </c>
    </row>
    <row r="1625" spans="4:4" ht="17.649999999999999" x14ac:dyDescent="0.5">
      <c r="D1625" s="3" t="s">
        <v>105</v>
      </c>
    </row>
    <row r="1626" spans="4:4" ht="17.649999999999999" x14ac:dyDescent="0.5">
      <c r="D1626" s="3" t="s">
        <v>125</v>
      </c>
    </row>
    <row r="1627" spans="4:4" ht="17.649999999999999" x14ac:dyDescent="0.5">
      <c r="D1627" s="3" t="s">
        <v>67</v>
      </c>
    </row>
    <row r="1628" spans="4:4" ht="17.649999999999999" x14ac:dyDescent="0.5">
      <c r="D1628" s="3" t="s">
        <v>53</v>
      </c>
    </row>
    <row r="1629" spans="4:4" ht="17.649999999999999" x14ac:dyDescent="0.5">
      <c r="D1629" s="3" t="s">
        <v>136</v>
      </c>
    </row>
    <row r="1630" spans="4:4" ht="17.649999999999999" x14ac:dyDescent="0.5">
      <c r="D1630" s="3" t="s">
        <v>115</v>
      </c>
    </row>
    <row r="1631" spans="4:4" ht="17.649999999999999" x14ac:dyDescent="0.5">
      <c r="D1631" s="3" t="s">
        <v>96</v>
      </c>
    </row>
    <row r="1632" spans="4:4" ht="17.649999999999999" x14ac:dyDescent="0.5">
      <c r="D1632" s="3" t="s">
        <v>95</v>
      </c>
    </row>
    <row r="1633" spans="4:4" ht="17.649999999999999" x14ac:dyDescent="0.5">
      <c r="D1633" s="3" t="s">
        <v>119</v>
      </c>
    </row>
    <row r="1634" spans="4:4" ht="17.649999999999999" x14ac:dyDescent="0.5">
      <c r="D1634" s="3" t="s">
        <v>80</v>
      </c>
    </row>
    <row r="1635" spans="4:4" ht="17.649999999999999" x14ac:dyDescent="0.5">
      <c r="D1635" s="3" t="s">
        <v>44</v>
      </c>
    </row>
    <row r="1636" spans="4:4" ht="17.649999999999999" x14ac:dyDescent="0.5">
      <c r="D1636" s="3" t="s">
        <v>90</v>
      </c>
    </row>
    <row r="1637" spans="4:4" ht="17.649999999999999" x14ac:dyDescent="0.5">
      <c r="D1637" s="3" t="s">
        <v>42</v>
      </c>
    </row>
    <row r="1638" spans="4:4" ht="17.649999999999999" x14ac:dyDescent="0.5">
      <c r="D1638" s="3" t="s">
        <v>50</v>
      </c>
    </row>
    <row r="1639" spans="4:4" ht="17.649999999999999" x14ac:dyDescent="0.5">
      <c r="D1639" s="3" t="s">
        <v>94</v>
      </c>
    </row>
    <row r="1640" spans="4:4" ht="17.649999999999999" x14ac:dyDescent="0.5">
      <c r="D1640" s="3" t="s">
        <v>98</v>
      </c>
    </row>
    <row r="1641" spans="4:4" ht="17.649999999999999" x14ac:dyDescent="0.5">
      <c r="D1641" s="3" t="s">
        <v>69</v>
      </c>
    </row>
    <row r="1642" spans="4:4" ht="17.649999999999999" x14ac:dyDescent="0.5">
      <c r="D1642" s="3" t="s">
        <v>64</v>
      </c>
    </row>
    <row r="1643" spans="4:4" ht="17.649999999999999" x14ac:dyDescent="0.5">
      <c r="D1643" s="3" t="s">
        <v>53</v>
      </c>
    </row>
    <row r="1644" spans="4:4" ht="17.649999999999999" x14ac:dyDescent="0.5">
      <c r="D1644" s="3" t="s">
        <v>72</v>
      </c>
    </row>
    <row r="1645" spans="4:4" ht="17.649999999999999" x14ac:dyDescent="0.5">
      <c r="D1645" s="3" t="s">
        <v>122</v>
      </c>
    </row>
    <row r="1646" spans="4:4" ht="17.649999999999999" x14ac:dyDescent="0.5">
      <c r="D1646" s="3" t="s">
        <v>64</v>
      </c>
    </row>
    <row r="1647" spans="4:4" ht="17.649999999999999" x14ac:dyDescent="0.5">
      <c r="D1647" s="3" t="s">
        <v>66</v>
      </c>
    </row>
    <row r="1648" spans="4:4" ht="17.649999999999999" x14ac:dyDescent="0.5">
      <c r="D1648" s="3" t="s">
        <v>115</v>
      </c>
    </row>
    <row r="1649" spans="4:4" ht="17.649999999999999" x14ac:dyDescent="0.5">
      <c r="D1649" s="3" t="s">
        <v>89</v>
      </c>
    </row>
    <row r="1650" spans="4:4" ht="17.649999999999999" x14ac:dyDescent="0.5">
      <c r="D1650" s="3" t="s">
        <v>134</v>
      </c>
    </row>
    <row r="1651" spans="4:4" ht="17.649999999999999" x14ac:dyDescent="0.5">
      <c r="D1651" s="3" t="s">
        <v>74</v>
      </c>
    </row>
    <row r="1652" spans="4:4" ht="17.649999999999999" x14ac:dyDescent="0.5">
      <c r="D1652" s="3" t="s">
        <v>79</v>
      </c>
    </row>
    <row r="1653" spans="4:4" ht="17.649999999999999" x14ac:dyDescent="0.5">
      <c r="D1653" s="3" t="s">
        <v>46</v>
      </c>
    </row>
    <row r="1654" spans="4:4" ht="17.649999999999999" x14ac:dyDescent="0.5">
      <c r="D1654" s="3" t="s">
        <v>128</v>
      </c>
    </row>
    <row r="1655" spans="4:4" ht="17.649999999999999" x14ac:dyDescent="0.5">
      <c r="D1655" s="3" t="s">
        <v>68</v>
      </c>
    </row>
    <row r="1656" spans="4:4" ht="17.649999999999999" x14ac:dyDescent="0.5">
      <c r="D1656" s="3" t="s">
        <v>126</v>
      </c>
    </row>
    <row r="1657" spans="4:4" ht="17.649999999999999" x14ac:dyDescent="0.5">
      <c r="D1657" s="3" t="s">
        <v>81</v>
      </c>
    </row>
    <row r="1658" spans="4:4" ht="17.649999999999999" x14ac:dyDescent="0.5">
      <c r="D1658" s="3" t="s">
        <v>55</v>
      </c>
    </row>
    <row r="1659" spans="4:4" ht="17.649999999999999" x14ac:dyDescent="0.5">
      <c r="D1659" s="3" t="s">
        <v>75</v>
      </c>
    </row>
    <row r="1660" spans="4:4" ht="17.649999999999999" x14ac:dyDescent="0.5">
      <c r="D1660" s="3" t="s">
        <v>67</v>
      </c>
    </row>
    <row r="1661" spans="4:4" ht="17.649999999999999" x14ac:dyDescent="0.5">
      <c r="D1661" s="3" t="s">
        <v>91</v>
      </c>
    </row>
    <row r="1662" spans="4:4" ht="17.649999999999999" x14ac:dyDescent="0.5">
      <c r="D1662" s="3" t="s">
        <v>87</v>
      </c>
    </row>
    <row r="1663" spans="4:4" ht="17.649999999999999" x14ac:dyDescent="0.5">
      <c r="D1663" s="3" t="s">
        <v>58</v>
      </c>
    </row>
    <row r="1664" spans="4:4" ht="17.649999999999999" x14ac:dyDescent="0.5">
      <c r="D1664" s="3" t="s">
        <v>51</v>
      </c>
    </row>
    <row r="1665" spans="4:4" ht="17.649999999999999" x14ac:dyDescent="0.5">
      <c r="D1665" s="3" t="s">
        <v>62</v>
      </c>
    </row>
    <row r="1666" spans="4:4" ht="17.649999999999999" x14ac:dyDescent="0.5">
      <c r="D1666" s="3" t="s">
        <v>53</v>
      </c>
    </row>
    <row r="1667" spans="4:4" ht="17.649999999999999" x14ac:dyDescent="0.5">
      <c r="D1667" s="3" t="s">
        <v>98</v>
      </c>
    </row>
    <row r="1668" spans="4:4" ht="17.649999999999999" x14ac:dyDescent="0.5">
      <c r="D1668" s="3" t="s">
        <v>87</v>
      </c>
    </row>
    <row r="1669" spans="4:4" ht="17.649999999999999" x14ac:dyDescent="0.5">
      <c r="D1669" s="3" t="s">
        <v>63</v>
      </c>
    </row>
    <row r="1670" spans="4:4" ht="17.649999999999999" x14ac:dyDescent="0.5">
      <c r="D1670" s="3" t="s">
        <v>57</v>
      </c>
    </row>
    <row r="1671" spans="4:4" ht="17.649999999999999" x14ac:dyDescent="0.5">
      <c r="D1671" s="3" t="s">
        <v>46</v>
      </c>
    </row>
    <row r="1672" spans="4:4" ht="17.649999999999999" x14ac:dyDescent="0.5">
      <c r="D1672" s="3" t="s">
        <v>101</v>
      </c>
    </row>
    <row r="1673" spans="4:4" ht="17.649999999999999" x14ac:dyDescent="0.5">
      <c r="D1673" s="3" t="s">
        <v>83</v>
      </c>
    </row>
    <row r="1674" spans="4:4" ht="17.649999999999999" x14ac:dyDescent="0.5">
      <c r="D1674" s="3" t="s">
        <v>43</v>
      </c>
    </row>
    <row r="1675" spans="4:4" ht="17.649999999999999" x14ac:dyDescent="0.5">
      <c r="D1675" s="3" t="s">
        <v>63</v>
      </c>
    </row>
    <row r="1676" spans="4:4" ht="17.649999999999999" x14ac:dyDescent="0.5">
      <c r="D1676" s="3" t="s">
        <v>79</v>
      </c>
    </row>
    <row r="1677" spans="4:4" ht="17.649999999999999" x14ac:dyDescent="0.5">
      <c r="D1677" s="3" t="s">
        <v>126</v>
      </c>
    </row>
    <row r="1678" spans="4:4" ht="17.649999999999999" x14ac:dyDescent="0.5">
      <c r="D1678" s="3" t="s">
        <v>98</v>
      </c>
    </row>
    <row r="1679" spans="4:4" ht="17.649999999999999" x14ac:dyDescent="0.5">
      <c r="D1679" s="3" t="s">
        <v>55</v>
      </c>
    </row>
    <row r="1680" spans="4:4" ht="17.649999999999999" x14ac:dyDescent="0.5">
      <c r="D1680" s="3" t="s">
        <v>44</v>
      </c>
    </row>
    <row r="1681" spans="4:4" ht="17.649999999999999" x14ac:dyDescent="0.5">
      <c r="D1681" s="3" t="s">
        <v>80</v>
      </c>
    </row>
    <row r="1682" spans="4:4" ht="17.649999999999999" x14ac:dyDescent="0.5">
      <c r="D1682" s="3" t="s">
        <v>90</v>
      </c>
    </row>
    <row r="1683" spans="4:4" ht="17.649999999999999" x14ac:dyDescent="0.5">
      <c r="D1683" s="3" t="s">
        <v>78</v>
      </c>
    </row>
    <row r="1684" spans="4:4" ht="17.649999999999999" x14ac:dyDescent="0.5">
      <c r="D1684" s="3" t="s">
        <v>124</v>
      </c>
    </row>
    <row r="1685" spans="4:4" ht="17.649999999999999" x14ac:dyDescent="0.5">
      <c r="D1685" s="3" t="s">
        <v>52</v>
      </c>
    </row>
    <row r="1686" spans="4:4" ht="17.649999999999999" x14ac:dyDescent="0.5">
      <c r="D1686" s="3" t="s">
        <v>78</v>
      </c>
    </row>
    <row r="1687" spans="4:4" ht="17.649999999999999" x14ac:dyDescent="0.5">
      <c r="D1687" s="3" t="s">
        <v>48</v>
      </c>
    </row>
    <row r="1688" spans="4:4" ht="17.649999999999999" x14ac:dyDescent="0.5">
      <c r="D1688" s="3" t="s">
        <v>98</v>
      </c>
    </row>
    <row r="1689" spans="4:4" ht="17.649999999999999" x14ac:dyDescent="0.5">
      <c r="D1689" s="3" t="s">
        <v>68</v>
      </c>
    </row>
    <row r="1690" spans="4:4" ht="17.649999999999999" x14ac:dyDescent="0.5">
      <c r="D1690" s="3" t="s">
        <v>123</v>
      </c>
    </row>
    <row r="1691" spans="4:4" ht="17.649999999999999" x14ac:dyDescent="0.5">
      <c r="D1691" s="3" t="s">
        <v>103</v>
      </c>
    </row>
    <row r="1692" spans="4:4" ht="17.649999999999999" x14ac:dyDescent="0.5">
      <c r="D1692" s="3" t="s">
        <v>107</v>
      </c>
    </row>
    <row r="1693" spans="4:4" ht="17.649999999999999" x14ac:dyDescent="0.5">
      <c r="D1693" s="3" t="s">
        <v>87</v>
      </c>
    </row>
    <row r="1694" spans="4:4" ht="17.649999999999999" x14ac:dyDescent="0.5">
      <c r="D1694" s="3" t="s">
        <v>48</v>
      </c>
    </row>
    <row r="1695" spans="4:4" ht="17.649999999999999" x14ac:dyDescent="0.5">
      <c r="D1695" s="3" t="s">
        <v>76</v>
      </c>
    </row>
    <row r="1696" spans="4:4" ht="17.649999999999999" x14ac:dyDescent="0.5">
      <c r="D1696" s="3" t="s">
        <v>50</v>
      </c>
    </row>
    <row r="1697" spans="4:4" ht="17.649999999999999" x14ac:dyDescent="0.5">
      <c r="D1697" s="3" t="s">
        <v>120</v>
      </c>
    </row>
    <row r="1698" spans="4:4" ht="17.649999999999999" x14ac:dyDescent="0.5">
      <c r="D1698" s="3" t="s">
        <v>98</v>
      </c>
    </row>
    <row r="1699" spans="4:4" ht="17.649999999999999" x14ac:dyDescent="0.5">
      <c r="D1699" s="3" t="s">
        <v>90</v>
      </c>
    </row>
    <row r="1700" spans="4:4" ht="17.649999999999999" x14ac:dyDescent="0.5">
      <c r="D1700" s="3" t="s">
        <v>74</v>
      </c>
    </row>
    <row r="1701" spans="4:4" ht="17.649999999999999" x14ac:dyDescent="0.5">
      <c r="D1701" s="3" t="s">
        <v>51</v>
      </c>
    </row>
    <row r="1702" spans="4:4" ht="17.649999999999999" x14ac:dyDescent="0.5">
      <c r="D1702" s="3" t="s">
        <v>84</v>
      </c>
    </row>
    <row r="1703" spans="4:4" ht="17.649999999999999" x14ac:dyDescent="0.5">
      <c r="D1703" s="3" t="s">
        <v>73</v>
      </c>
    </row>
    <row r="1704" spans="4:4" ht="17.649999999999999" x14ac:dyDescent="0.5">
      <c r="D1704" s="3" t="s">
        <v>98</v>
      </c>
    </row>
    <row r="1705" spans="4:4" ht="17.649999999999999" x14ac:dyDescent="0.5">
      <c r="D1705" s="3" t="s">
        <v>61</v>
      </c>
    </row>
    <row r="1706" spans="4:4" ht="17.649999999999999" x14ac:dyDescent="0.5">
      <c r="D1706" s="3" t="s">
        <v>65</v>
      </c>
    </row>
    <row r="1707" spans="4:4" ht="17.649999999999999" x14ac:dyDescent="0.5">
      <c r="D1707" s="3" t="s">
        <v>69</v>
      </c>
    </row>
    <row r="1708" spans="4:4" ht="17.649999999999999" x14ac:dyDescent="0.5">
      <c r="D1708" s="3" t="s">
        <v>64</v>
      </c>
    </row>
    <row r="1709" spans="4:4" ht="17.649999999999999" x14ac:dyDescent="0.5">
      <c r="D1709" s="3" t="s">
        <v>46</v>
      </c>
    </row>
    <row r="1710" spans="4:4" ht="17.649999999999999" x14ac:dyDescent="0.5">
      <c r="D1710" s="3" t="s">
        <v>59</v>
      </c>
    </row>
    <row r="1711" spans="4:4" ht="17.649999999999999" x14ac:dyDescent="0.5">
      <c r="D1711" s="3" t="s">
        <v>94</v>
      </c>
    </row>
    <row r="1712" spans="4:4" ht="17.649999999999999" x14ac:dyDescent="0.5">
      <c r="D1712" s="3" t="s">
        <v>41</v>
      </c>
    </row>
    <row r="1713" spans="4:4" ht="17.649999999999999" x14ac:dyDescent="0.5">
      <c r="D1713" s="3" t="s">
        <v>126</v>
      </c>
    </row>
    <row r="1714" spans="4:4" ht="17.649999999999999" x14ac:dyDescent="0.5">
      <c r="D1714" s="3" t="s">
        <v>66</v>
      </c>
    </row>
    <row r="1715" spans="4:4" ht="17.649999999999999" x14ac:dyDescent="0.5">
      <c r="D1715" s="3" t="s">
        <v>112</v>
      </c>
    </row>
    <row r="1716" spans="4:4" ht="17.649999999999999" x14ac:dyDescent="0.5">
      <c r="D1716" s="3" t="s">
        <v>83</v>
      </c>
    </row>
    <row r="1717" spans="4:4" ht="17.649999999999999" x14ac:dyDescent="0.5">
      <c r="D1717" s="3" t="s">
        <v>103</v>
      </c>
    </row>
    <row r="1718" spans="4:4" ht="17.649999999999999" x14ac:dyDescent="0.5">
      <c r="D1718" s="3" t="s">
        <v>41</v>
      </c>
    </row>
    <row r="1719" spans="4:4" ht="17.649999999999999" x14ac:dyDescent="0.5">
      <c r="D1719" s="3" t="s">
        <v>54</v>
      </c>
    </row>
    <row r="1720" spans="4:4" ht="17.649999999999999" x14ac:dyDescent="0.5">
      <c r="D1720" s="3" t="s">
        <v>43</v>
      </c>
    </row>
    <row r="1721" spans="4:4" ht="17.649999999999999" x14ac:dyDescent="0.5">
      <c r="D1721" s="3" t="s">
        <v>44</v>
      </c>
    </row>
    <row r="1722" spans="4:4" ht="17.649999999999999" x14ac:dyDescent="0.5">
      <c r="D1722" s="3" t="s">
        <v>71</v>
      </c>
    </row>
    <row r="1723" spans="4:4" ht="17.649999999999999" x14ac:dyDescent="0.5">
      <c r="D1723" s="3" t="s">
        <v>75</v>
      </c>
    </row>
    <row r="1724" spans="4:4" ht="17.649999999999999" x14ac:dyDescent="0.5">
      <c r="D1724" s="3" t="s">
        <v>100</v>
      </c>
    </row>
    <row r="1725" spans="4:4" ht="17.649999999999999" x14ac:dyDescent="0.5">
      <c r="D1725" s="3" t="s">
        <v>53</v>
      </c>
    </row>
    <row r="1726" spans="4:4" ht="17.649999999999999" x14ac:dyDescent="0.5">
      <c r="D1726" s="3" t="s">
        <v>43</v>
      </c>
    </row>
    <row r="1727" spans="4:4" ht="17.649999999999999" x14ac:dyDescent="0.5">
      <c r="D1727" s="3" t="s">
        <v>41</v>
      </c>
    </row>
    <row r="1728" spans="4:4" ht="17.649999999999999" x14ac:dyDescent="0.5">
      <c r="D1728" s="3" t="s">
        <v>85</v>
      </c>
    </row>
    <row r="1729" spans="4:4" ht="17.649999999999999" x14ac:dyDescent="0.5">
      <c r="D1729" s="3" t="s">
        <v>48</v>
      </c>
    </row>
    <row r="1730" spans="4:4" ht="17.649999999999999" x14ac:dyDescent="0.5">
      <c r="D1730" s="3" t="s">
        <v>77</v>
      </c>
    </row>
    <row r="1731" spans="4:4" ht="17.649999999999999" x14ac:dyDescent="0.5">
      <c r="D1731" s="3" t="s">
        <v>56</v>
      </c>
    </row>
    <row r="1732" spans="4:4" ht="17.649999999999999" x14ac:dyDescent="0.5">
      <c r="D1732" s="3" t="s">
        <v>112</v>
      </c>
    </row>
    <row r="1733" spans="4:4" ht="17.649999999999999" x14ac:dyDescent="0.5">
      <c r="D1733" s="3" t="s">
        <v>85</v>
      </c>
    </row>
    <row r="1734" spans="4:4" ht="17.649999999999999" x14ac:dyDescent="0.5">
      <c r="D1734" s="3" t="s">
        <v>134</v>
      </c>
    </row>
    <row r="1735" spans="4:4" ht="17.649999999999999" x14ac:dyDescent="0.5">
      <c r="D1735" s="3" t="s">
        <v>115</v>
      </c>
    </row>
    <row r="1736" spans="4:4" ht="17.649999999999999" x14ac:dyDescent="0.5">
      <c r="D1736" s="3" t="s">
        <v>91</v>
      </c>
    </row>
    <row r="1737" spans="4:4" ht="17.649999999999999" x14ac:dyDescent="0.5">
      <c r="D1737" s="3" t="s">
        <v>68</v>
      </c>
    </row>
    <row r="1738" spans="4:4" ht="17.649999999999999" x14ac:dyDescent="0.5">
      <c r="D1738" s="3" t="s">
        <v>46</v>
      </c>
    </row>
    <row r="1739" spans="4:4" ht="17.649999999999999" x14ac:dyDescent="0.5">
      <c r="D1739" s="3" t="s">
        <v>51</v>
      </c>
    </row>
    <row r="1740" spans="4:4" ht="17.649999999999999" x14ac:dyDescent="0.5">
      <c r="D1740" s="3" t="s">
        <v>89</v>
      </c>
    </row>
    <row r="1741" spans="4:4" ht="17.649999999999999" x14ac:dyDescent="0.5">
      <c r="D1741" s="3" t="s">
        <v>91</v>
      </c>
    </row>
    <row r="1742" spans="4:4" ht="17.649999999999999" x14ac:dyDescent="0.5">
      <c r="D1742" s="3" t="s">
        <v>80</v>
      </c>
    </row>
    <row r="1743" spans="4:4" ht="17.649999999999999" x14ac:dyDescent="0.5">
      <c r="D1743" s="3" t="s">
        <v>73</v>
      </c>
    </row>
    <row r="1744" spans="4:4" ht="17.649999999999999" x14ac:dyDescent="0.5">
      <c r="D1744" s="3" t="s">
        <v>67</v>
      </c>
    </row>
    <row r="1745" spans="4:4" ht="17.649999999999999" x14ac:dyDescent="0.5">
      <c r="D1745" s="3" t="s">
        <v>105</v>
      </c>
    </row>
    <row r="1746" spans="4:4" ht="17.649999999999999" x14ac:dyDescent="0.5">
      <c r="D1746" s="3" t="s">
        <v>117</v>
      </c>
    </row>
    <row r="1747" spans="4:4" ht="17.649999999999999" x14ac:dyDescent="0.5">
      <c r="D1747" s="3" t="s">
        <v>87</v>
      </c>
    </row>
    <row r="1748" spans="4:4" ht="17.649999999999999" x14ac:dyDescent="0.5">
      <c r="D1748" s="3" t="s">
        <v>47</v>
      </c>
    </row>
    <row r="1749" spans="4:4" ht="17.649999999999999" x14ac:dyDescent="0.5">
      <c r="D1749" s="3" t="s">
        <v>101</v>
      </c>
    </row>
    <row r="1750" spans="4:4" ht="17.649999999999999" x14ac:dyDescent="0.5">
      <c r="D1750" s="3" t="s">
        <v>73</v>
      </c>
    </row>
    <row r="1751" spans="4:4" ht="17.649999999999999" x14ac:dyDescent="0.5">
      <c r="D1751" s="3" t="s">
        <v>42</v>
      </c>
    </row>
    <row r="1752" spans="4:4" ht="17.649999999999999" x14ac:dyDescent="0.5">
      <c r="D1752" s="3" t="s">
        <v>43</v>
      </c>
    </row>
    <row r="1753" spans="4:4" ht="17.649999999999999" x14ac:dyDescent="0.5">
      <c r="D1753" s="3" t="s">
        <v>114</v>
      </c>
    </row>
    <row r="1754" spans="4:4" ht="17.649999999999999" x14ac:dyDescent="0.5">
      <c r="D1754" s="3" t="s">
        <v>64</v>
      </c>
    </row>
    <row r="1755" spans="4:4" ht="17.649999999999999" x14ac:dyDescent="0.5">
      <c r="D1755" s="3" t="s">
        <v>101</v>
      </c>
    </row>
    <row r="1756" spans="4:4" ht="17.649999999999999" x14ac:dyDescent="0.5">
      <c r="D1756" s="3" t="s">
        <v>66</v>
      </c>
    </row>
    <row r="1757" spans="4:4" ht="17.649999999999999" x14ac:dyDescent="0.5">
      <c r="D1757" s="3" t="s">
        <v>107</v>
      </c>
    </row>
    <row r="1758" spans="4:4" ht="17.649999999999999" x14ac:dyDescent="0.5">
      <c r="D1758" s="3" t="s">
        <v>48</v>
      </c>
    </row>
    <row r="1759" spans="4:4" ht="17.649999999999999" x14ac:dyDescent="0.5">
      <c r="D1759" s="3" t="s">
        <v>51</v>
      </c>
    </row>
    <row r="1760" spans="4:4" ht="17.649999999999999" x14ac:dyDescent="0.5">
      <c r="D1760" s="3" t="s">
        <v>52</v>
      </c>
    </row>
    <row r="1761" spans="4:4" ht="17.649999999999999" x14ac:dyDescent="0.5">
      <c r="D1761" s="3" t="s">
        <v>116</v>
      </c>
    </row>
    <row r="1762" spans="4:4" ht="17.649999999999999" x14ac:dyDescent="0.5">
      <c r="D1762" s="3" t="s">
        <v>69</v>
      </c>
    </row>
    <row r="1763" spans="4:4" ht="17.649999999999999" x14ac:dyDescent="0.5">
      <c r="D1763" s="3" t="s">
        <v>41</v>
      </c>
    </row>
    <row r="1764" spans="4:4" ht="17.649999999999999" x14ac:dyDescent="0.5">
      <c r="D1764" s="3" t="s">
        <v>75</v>
      </c>
    </row>
    <row r="1765" spans="4:4" ht="17.649999999999999" x14ac:dyDescent="0.5">
      <c r="D1765" s="3" t="s">
        <v>55</v>
      </c>
    </row>
    <row r="1766" spans="4:4" ht="17.649999999999999" x14ac:dyDescent="0.5">
      <c r="D1766" s="3" t="s">
        <v>103</v>
      </c>
    </row>
    <row r="1767" spans="4:4" ht="17.649999999999999" x14ac:dyDescent="0.5">
      <c r="D1767" s="3" t="s">
        <v>109</v>
      </c>
    </row>
    <row r="1768" spans="4:4" ht="17.649999999999999" x14ac:dyDescent="0.5">
      <c r="D1768" s="3" t="s">
        <v>51</v>
      </c>
    </row>
    <row r="1769" spans="4:4" ht="17.649999999999999" x14ac:dyDescent="0.5">
      <c r="D1769" s="3" t="s">
        <v>85</v>
      </c>
    </row>
    <row r="1770" spans="4:4" ht="17.649999999999999" x14ac:dyDescent="0.5">
      <c r="D1770" s="3" t="s">
        <v>68</v>
      </c>
    </row>
    <row r="1771" spans="4:4" ht="17.649999999999999" x14ac:dyDescent="0.5">
      <c r="D1771" s="3" t="s">
        <v>133</v>
      </c>
    </row>
    <row r="1772" spans="4:4" ht="17.649999999999999" x14ac:dyDescent="0.5">
      <c r="D1772" s="3" t="s">
        <v>77</v>
      </c>
    </row>
    <row r="1773" spans="4:4" ht="17.649999999999999" x14ac:dyDescent="0.5">
      <c r="D1773" s="3" t="s">
        <v>41</v>
      </c>
    </row>
    <row r="1774" spans="4:4" ht="17.649999999999999" x14ac:dyDescent="0.5">
      <c r="D1774" s="3" t="s">
        <v>43</v>
      </c>
    </row>
    <row r="1775" spans="4:4" ht="17.649999999999999" x14ac:dyDescent="0.5">
      <c r="D1775" s="3" t="s">
        <v>44</v>
      </c>
    </row>
    <row r="1776" spans="4:4" ht="17.649999999999999" x14ac:dyDescent="0.5">
      <c r="D1776" s="3" t="s">
        <v>53</v>
      </c>
    </row>
    <row r="1777" spans="4:4" ht="17.649999999999999" x14ac:dyDescent="0.5">
      <c r="D1777" s="3" t="s">
        <v>85</v>
      </c>
    </row>
    <row r="1778" spans="4:4" ht="17.649999999999999" x14ac:dyDescent="0.5">
      <c r="D1778" s="3" t="s">
        <v>90</v>
      </c>
    </row>
    <row r="1779" spans="4:4" ht="17.649999999999999" x14ac:dyDescent="0.5">
      <c r="D1779" s="3" t="s">
        <v>43</v>
      </c>
    </row>
    <row r="1780" spans="4:4" ht="17.649999999999999" x14ac:dyDescent="0.5">
      <c r="D1780" s="3" t="s">
        <v>49</v>
      </c>
    </row>
    <row r="1781" spans="4:4" ht="17.649999999999999" x14ac:dyDescent="0.5">
      <c r="D1781" s="3" t="s">
        <v>51</v>
      </c>
    </row>
    <row r="1782" spans="4:4" ht="17.649999999999999" x14ac:dyDescent="0.5">
      <c r="D1782" s="3" t="s">
        <v>115</v>
      </c>
    </row>
    <row r="1783" spans="4:4" ht="17.649999999999999" x14ac:dyDescent="0.5">
      <c r="D1783" s="3" t="s">
        <v>66</v>
      </c>
    </row>
    <row r="1784" spans="4:4" ht="17.649999999999999" x14ac:dyDescent="0.5">
      <c r="D1784" s="3" t="s">
        <v>49</v>
      </c>
    </row>
    <row r="1785" spans="4:4" ht="17.649999999999999" x14ac:dyDescent="0.5">
      <c r="D1785" s="3" t="s">
        <v>56</v>
      </c>
    </row>
    <row r="1786" spans="4:4" ht="17.649999999999999" x14ac:dyDescent="0.5">
      <c r="D1786" s="3" t="s">
        <v>83</v>
      </c>
    </row>
    <row r="1787" spans="4:4" ht="17.649999999999999" x14ac:dyDescent="0.5">
      <c r="D1787" s="3" t="s">
        <v>114</v>
      </c>
    </row>
    <row r="1788" spans="4:4" ht="17.649999999999999" x14ac:dyDescent="0.5">
      <c r="D1788" s="3" t="s">
        <v>56</v>
      </c>
    </row>
    <row r="1789" spans="4:4" ht="17.649999999999999" x14ac:dyDescent="0.5">
      <c r="D1789" s="3" t="s">
        <v>51</v>
      </c>
    </row>
    <row r="1790" spans="4:4" ht="17.649999999999999" x14ac:dyDescent="0.5">
      <c r="D1790" s="3" t="s">
        <v>84</v>
      </c>
    </row>
    <row r="1791" spans="4:4" ht="17.649999999999999" x14ac:dyDescent="0.5">
      <c r="D1791" s="3" t="s">
        <v>66</v>
      </c>
    </row>
    <row r="1792" spans="4:4" ht="17.649999999999999" x14ac:dyDescent="0.5">
      <c r="D1792" s="3" t="s">
        <v>110</v>
      </c>
    </row>
    <row r="1793" spans="4:4" ht="17.649999999999999" x14ac:dyDescent="0.5">
      <c r="D1793" s="3" t="s">
        <v>112</v>
      </c>
    </row>
    <row r="1794" spans="4:4" ht="17.649999999999999" x14ac:dyDescent="0.5">
      <c r="D1794" s="3" t="s">
        <v>87</v>
      </c>
    </row>
    <row r="1795" spans="4:4" ht="17.649999999999999" x14ac:dyDescent="0.5">
      <c r="D1795" s="3" t="s">
        <v>92</v>
      </c>
    </row>
    <row r="1796" spans="4:4" ht="17.649999999999999" x14ac:dyDescent="0.5">
      <c r="D1796" s="3" t="s">
        <v>103</v>
      </c>
    </row>
    <row r="1797" spans="4:4" ht="17.649999999999999" x14ac:dyDescent="0.5">
      <c r="D1797" s="3" t="s">
        <v>46</v>
      </c>
    </row>
    <row r="1798" spans="4:4" ht="17.649999999999999" x14ac:dyDescent="0.5">
      <c r="D1798" s="3" t="s">
        <v>101</v>
      </c>
    </row>
    <row r="1799" spans="4:4" ht="17.649999999999999" x14ac:dyDescent="0.5">
      <c r="D1799" s="3" t="s">
        <v>55</v>
      </c>
    </row>
    <row r="1800" spans="4:4" ht="17.649999999999999" x14ac:dyDescent="0.5">
      <c r="D1800" s="3" t="s">
        <v>124</v>
      </c>
    </row>
    <row r="1801" spans="4:4" ht="17.649999999999999" x14ac:dyDescent="0.5">
      <c r="D1801" s="3" t="s">
        <v>78</v>
      </c>
    </row>
    <row r="1802" spans="4:4" ht="17.649999999999999" x14ac:dyDescent="0.5">
      <c r="D1802" s="3" t="s">
        <v>120</v>
      </c>
    </row>
    <row r="1803" spans="4:4" ht="17.649999999999999" x14ac:dyDescent="0.5">
      <c r="D1803" s="3" t="s">
        <v>136</v>
      </c>
    </row>
    <row r="1804" spans="4:4" ht="17.649999999999999" x14ac:dyDescent="0.5">
      <c r="D1804" s="3" t="s">
        <v>43</v>
      </c>
    </row>
    <row r="1805" spans="4:4" ht="17.649999999999999" x14ac:dyDescent="0.5">
      <c r="D1805" s="3" t="s">
        <v>50</v>
      </c>
    </row>
    <row r="1806" spans="4:4" ht="17.649999999999999" x14ac:dyDescent="0.5">
      <c r="D1806" s="3" t="s">
        <v>47</v>
      </c>
    </row>
    <row r="1807" spans="4:4" ht="17.649999999999999" x14ac:dyDescent="0.5">
      <c r="D1807" s="3" t="s">
        <v>107</v>
      </c>
    </row>
    <row r="1808" spans="4:4" ht="17.649999999999999" x14ac:dyDescent="0.5">
      <c r="D1808" s="3" t="s">
        <v>46</v>
      </c>
    </row>
    <row r="1809" spans="4:4" ht="17.649999999999999" x14ac:dyDescent="0.5">
      <c r="D1809" s="3" t="s">
        <v>106</v>
      </c>
    </row>
    <row r="1810" spans="4:4" ht="17.649999999999999" x14ac:dyDescent="0.5">
      <c r="D1810" s="3" t="s">
        <v>73</v>
      </c>
    </row>
    <row r="1811" spans="4:4" ht="17.649999999999999" x14ac:dyDescent="0.5">
      <c r="D1811" s="3" t="s">
        <v>69</v>
      </c>
    </row>
    <row r="1812" spans="4:4" ht="17.649999999999999" x14ac:dyDescent="0.5">
      <c r="D1812" s="3" t="s">
        <v>99</v>
      </c>
    </row>
    <row r="1813" spans="4:4" ht="17.649999999999999" x14ac:dyDescent="0.5">
      <c r="D1813" s="3" t="s">
        <v>51</v>
      </c>
    </row>
    <row r="1814" spans="4:4" ht="17.649999999999999" x14ac:dyDescent="0.5">
      <c r="D1814" s="3" t="s">
        <v>115</v>
      </c>
    </row>
    <row r="1815" spans="4:4" ht="17.649999999999999" x14ac:dyDescent="0.5">
      <c r="D1815" s="3" t="s">
        <v>112</v>
      </c>
    </row>
    <row r="1816" spans="4:4" ht="17.649999999999999" x14ac:dyDescent="0.5">
      <c r="D1816" s="3" t="s">
        <v>119</v>
      </c>
    </row>
    <row r="1817" spans="4:4" ht="17.649999999999999" x14ac:dyDescent="0.5">
      <c r="D1817" s="3" t="s">
        <v>85</v>
      </c>
    </row>
    <row r="1818" spans="4:4" ht="17.649999999999999" x14ac:dyDescent="0.5">
      <c r="D1818" s="3" t="s">
        <v>54</v>
      </c>
    </row>
    <row r="1819" spans="4:4" ht="17.649999999999999" x14ac:dyDescent="0.5">
      <c r="D1819" s="3" t="s">
        <v>53</v>
      </c>
    </row>
    <row r="1820" spans="4:4" ht="17.649999999999999" x14ac:dyDescent="0.5">
      <c r="D1820" s="3" t="s">
        <v>68</v>
      </c>
    </row>
    <row r="1821" spans="4:4" ht="17.649999999999999" x14ac:dyDescent="0.5">
      <c r="D1821" s="3" t="s">
        <v>97</v>
      </c>
    </row>
    <row r="1822" spans="4:4" ht="17.649999999999999" x14ac:dyDescent="0.5">
      <c r="D1822" s="3" t="s">
        <v>84</v>
      </c>
    </row>
    <row r="1823" spans="4:4" ht="17.649999999999999" x14ac:dyDescent="0.5">
      <c r="D1823" s="3" t="s">
        <v>110</v>
      </c>
    </row>
    <row r="1824" spans="4:4" ht="17.649999999999999" x14ac:dyDescent="0.5">
      <c r="D1824" s="3" t="s">
        <v>65</v>
      </c>
    </row>
    <row r="1825" spans="4:4" ht="17.649999999999999" x14ac:dyDescent="0.5">
      <c r="D1825" s="3" t="s">
        <v>64</v>
      </c>
    </row>
    <row r="1826" spans="4:4" ht="17.649999999999999" x14ac:dyDescent="0.5">
      <c r="D1826" s="3" t="s">
        <v>54</v>
      </c>
    </row>
    <row r="1827" spans="4:4" ht="17.649999999999999" x14ac:dyDescent="0.5">
      <c r="D1827" s="3" t="s">
        <v>41</v>
      </c>
    </row>
    <row r="1828" spans="4:4" ht="17.649999999999999" x14ac:dyDescent="0.5">
      <c r="D1828" s="3" t="s">
        <v>66</v>
      </c>
    </row>
    <row r="1829" spans="4:4" ht="17.649999999999999" x14ac:dyDescent="0.5">
      <c r="D1829" s="3" t="s">
        <v>52</v>
      </c>
    </row>
    <row r="1830" spans="4:4" ht="17.649999999999999" x14ac:dyDescent="0.5">
      <c r="D1830" s="3" t="s">
        <v>46</v>
      </c>
    </row>
    <row r="1831" spans="4:4" ht="17.649999999999999" x14ac:dyDescent="0.5">
      <c r="D1831" s="3" t="s">
        <v>59</v>
      </c>
    </row>
    <row r="1832" spans="4:4" ht="17.649999999999999" x14ac:dyDescent="0.5">
      <c r="D1832" s="3" t="s">
        <v>135</v>
      </c>
    </row>
    <row r="1833" spans="4:4" ht="17.649999999999999" x14ac:dyDescent="0.5">
      <c r="D1833" s="3" t="s">
        <v>117</v>
      </c>
    </row>
    <row r="1834" spans="4:4" ht="17.649999999999999" x14ac:dyDescent="0.5">
      <c r="D1834" s="3" t="s">
        <v>69</v>
      </c>
    </row>
    <row r="1835" spans="4:4" ht="17.649999999999999" x14ac:dyDescent="0.5">
      <c r="D1835" s="3" t="s">
        <v>110</v>
      </c>
    </row>
    <row r="1836" spans="4:4" ht="17.649999999999999" x14ac:dyDescent="0.5">
      <c r="D1836" s="3" t="s">
        <v>59</v>
      </c>
    </row>
    <row r="1837" spans="4:4" ht="17.649999999999999" x14ac:dyDescent="0.5">
      <c r="D1837" s="3" t="s">
        <v>83</v>
      </c>
    </row>
    <row r="1838" spans="4:4" ht="17.649999999999999" x14ac:dyDescent="0.5">
      <c r="D1838" s="3" t="s">
        <v>87</v>
      </c>
    </row>
    <row r="1839" spans="4:4" ht="17.649999999999999" x14ac:dyDescent="0.5">
      <c r="D1839" s="3" t="s">
        <v>44</v>
      </c>
    </row>
    <row r="1840" spans="4:4" ht="17.649999999999999" x14ac:dyDescent="0.5">
      <c r="D1840" s="3" t="s">
        <v>56</v>
      </c>
    </row>
    <row r="1841" spans="4:4" ht="17.649999999999999" x14ac:dyDescent="0.5">
      <c r="D1841" s="3" t="s">
        <v>115</v>
      </c>
    </row>
    <row r="1842" spans="4:4" ht="17.649999999999999" x14ac:dyDescent="0.5">
      <c r="D1842" s="3" t="s">
        <v>75</v>
      </c>
    </row>
    <row r="1843" spans="4:4" ht="17.649999999999999" x14ac:dyDescent="0.5">
      <c r="D1843" s="3" t="s">
        <v>41</v>
      </c>
    </row>
    <row r="1844" spans="4:4" ht="17.649999999999999" x14ac:dyDescent="0.5">
      <c r="D1844" s="3" t="s">
        <v>128</v>
      </c>
    </row>
    <row r="1845" spans="4:4" ht="17.649999999999999" x14ac:dyDescent="0.5">
      <c r="D1845" s="3" t="s">
        <v>64</v>
      </c>
    </row>
    <row r="1846" spans="4:4" ht="17.649999999999999" x14ac:dyDescent="0.5">
      <c r="D1846" s="3" t="s">
        <v>59</v>
      </c>
    </row>
    <row r="1847" spans="4:4" ht="17.649999999999999" x14ac:dyDescent="0.5">
      <c r="D1847" s="3" t="s">
        <v>132</v>
      </c>
    </row>
    <row r="1848" spans="4:4" ht="17.649999999999999" x14ac:dyDescent="0.5">
      <c r="D1848" s="3" t="s">
        <v>46</v>
      </c>
    </row>
    <row r="1849" spans="4:4" ht="17.649999999999999" x14ac:dyDescent="0.5">
      <c r="D1849" s="3" t="s">
        <v>66</v>
      </c>
    </row>
    <row r="1850" spans="4:4" ht="17.649999999999999" x14ac:dyDescent="0.5">
      <c r="D1850" s="3" t="s">
        <v>55</v>
      </c>
    </row>
    <row r="1851" spans="4:4" ht="17.649999999999999" x14ac:dyDescent="0.5">
      <c r="D1851" s="3" t="s">
        <v>70</v>
      </c>
    </row>
    <row r="1852" spans="4:4" ht="17.649999999999999" x14ac:dyDescent="0.5">
      <c r="D1852" s="3" t="s">
        <v>112</v>
      </c>
    </row>
    <row r="1853" spans="4:4" ht="17.649999999999999" x14ac:dyDescent="0.5">
      <c r="D1853" s="3" t="s">
        <v>85</v>
      </c>
    </row>
    <row r="1854" spans="4:4" ht="17.649999999999999" x14ac:dyDescent="0.5">
      <c r="D1854" s="3" t="s">
        <v>56</v>
      </c>
    </row>
    <row r="1855" spans="4:4" ht="17.649999999999999" x14ac:dyDescent="0.5">
      <c r="D1855" s="3" t="s">
        <v>110</v>
      </c>
    </row>
    <row r="1856" spans="4:4" ht="17.649999999999999" x14ac:dyDescent="0.5">
      <c r="D1856" s="3" t="s">
        <v>105</v>
      </c>
    </row>
    <row r="1857" spans="4:4" ht="17.649999999999999" x14ac:dyDescent="0.5">
      <c r="D1857" s="3" t="s">
        <v>92</v>
      </c>
    </row>
    <row r="1858" spans="4:4" ht="17.649999999999999" x14ac:dyDescent="0.5">
      <c r="D1858" s="3" t="s">
        <v>105</v>
      </c>
    </row>
    <row r="1859" spans="4:4" ht="17.649999999999999" x14ac:dyDescent="0.5">
      <c r="D1859" s="3" t="s">
        <v>108</v>
      </c>
    </row>
    <row r="1860" spans="4:4" ht="17.649999999999999" x14ac:dyDescent="0.5">
      <c r="D1860" s="3" t="s">
        <v>94</v>
      </c>
    </row>
    <row r="1861" spans="4:4" ht="17.649999999999999" x14ac:dyDescent="0.5">
      <c r="D1861" s="3" t="s">
        <v>49</v>
      </c>
    </row>
    <row r="1862" spans="4:4" ht="17.649999999999999" x14ac:dyDescent="0.5">
      <c r="D1862" s="3" t="s">
        <v>69</v>
      </c>
    </row>
    <row r="1863" spans="4:4" ht="17.649999999999999" x14ac:dyDescent="0.5">
      <c r="D1863" s="3" t="s">
        <v>77</v>
      </c>
    </row>
    <row r="1864" spans="4:4" ht="17.649999999999999" x14ac:dyDescent="0.5">
      <c r="D1864" s="3" t="s">
        <v>90</v>
      </c>
    </row>
    <row r="1865" spans="4:4" ht="17.649999999999999" x14ac:dyDescent="0.5">
      <c r="D1865" s="3" t="s">
        <v>52</v>
      </c>
    </row>
    <row r="1866" spans="4:4" ht="17.649999999999999" x14ac:dyDescent="0.5">
      <c r="D1866" s="3" t="s">
        <v>116</v>
      </c>
    </row>
    <row r="1867" spans="4:4" ht="17.649999999999999" x14ac:dyDescent="0.5">
      <c r="D1867" s="3" t="s">
        <v>104</v>
      </c>
    </row>
    <row r="1868" spans="4:4" ht="17.649999999999999" x14ac:dyDescent="0.5">
      <c r="D1868" s="3" t="s">
        <v>49</v>
      </c>
    </row>
    <row r="1869" spans="4:4" ht="17.649999999999999" x14ac:dyDescent="0.5">
      <c r="D1869" s="3" t="s">
        <v>73</v>
      </c>
    </row>
    <row r="1870" spans="4:4" ht="17.649999999999999" x14ac:dyDescent="0.5">
      <c r="D1870" s="3" t="s">
        <v>50</v>
      </c>
    </row>
    <row r="1871" spans="4:4" ht="17.649999999999999" x14ac:dyDescent="0.5">
      <c r="D1871" s="3" t="s">
        <v>81</v>
      </c>
    </row>
    <row r="1872" spans="4:4" ht="17.649999999999999" x14ac:dyDescent="0.5">
      <c r="D1872" s="3" t="s">
        <v>115</v>
      </c>
    </row>
    <row r="1873" spans="4:4" ht="17.649999999999999" x14ac:dyDescent="0.5">
      <c r="D1873" s="3" t="s">
        <v>89</v>
      </c>
    </row>
    <row r="1874" spans="4:4" ht="17.649999999999999" x14ac:dyDescent="0.5">
      <c r="D1874" s="3" t="s">
        <v>64</v>
      </c>
    </row>
    <row r="1875" spans="4:4" ht="17.649999999999999" x14ac:dyDescent="0.5">
      <c r="D1875" s="3" t="s">
        <v>53</v>
      </c>
    </row>
    <row r="1876" spans="4:4" ht="17.649999999999999" x14ac:dyDescent="0.5">
      <c r="D1876" s="3" t="s">
        <v>101</v>
      </c>
    </row>
    <row r="1877" spans="4:4" ht="17.649999999999999" x14ac:dyDescent="0.5">
      <c r="D1877" s="3" t="s">
        <v>61</v>
      </c>
    </row>
    <row r="1878" spans="4:4" ht="17.649999999999999" x14ac:dyDescent="0.5">
      <c r="D1878" s="3" t="s">
        <v>89</v>
      </c>
    </row>
    <row r="1879" spans="4:4" ht="17.649999999999999" x14ac:dyDescent="0.5">
      <c r="D1879" s="3" t="s">
        <v>64</v>
      </c>
    </row>
    <row r="1880" spans="4:4" ht="17.649999999999999" x14ac:dyDescent="0.5">
      <c r="D1880" s="3" t="s">
        <v>70</v>
      </c>
    </row>
    <row r="1881" spans="4:4" ht="17.649999999999999" x14ac:dyDescent="0.5">
      <c r="D1881" s="3" t="s">
        <v>58</v>
      </c>
    </row>
    <row r="1882" spans="4:4" ht="17.649999999999999" x14ac:dyDescent="0.5">
      <c r="D1882" s="3" t="s">
        <v>77</v>
      </c>
    </row>
    <row r="1883" spans="4:4" ht="17.649999999999999" x14ac:dyDescent="0.5">
      <c r="D1883" s="3" t="s">
        <v>48</v>
      </c>
    </row>
    <row r="1884" spans="4:4" ht="17.649999999999999" x14ac:dyDescent="0.5">
      <c r="D1884" s="3" t="s">
        <v>75</v>
      </c>
    </row>
    <row r="1885" spans="4:4" ht="17.649999999999999" x14ac:dyDescent="0.5">
      <c r="D1885" s="3" t="s">
        <v>88</v>
      </c>
    </row>
    <row r="1886" spans="4:4" ht="17.649999999999999" x14ac:dyDescent="0.5">
      <c r="D1886" s="3" t="s">
        <v>47</v>
      </c>
    </row>
    <row r="1887" spans="4:4" ht="17.649999999999999" x14ac:dyDescent="0.5">
      <c r="D1887" s="3" t="s">
        <v>68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80</v>
      </c>
    </row>
    <row r="1890" spans="4:4" ht="17.649999999999999" x14ac:dyDescent="0.5">
      <c r="D1890" s="3" t="s">
        <v>63</v>
      </c>
    </row>
    <row r="1891" spans="4:4" ht="17.649999999999999" x14ac:dyDescent="0.5">
      <c r="D1891" s="3" t="s">
        <v>78</v>
      </c>
    </row>
    <row r="1892" spans="4:4" ht="17.649999999999999" x14ac:dyDescent="0.5">
      <c r="D1892" s="3" t="s">
        <v>97</v>
      </c>
    </row>
    <row r="1893" spans="4:4" ht="17.649999999999999" x14ac:dyDescent="0.5">
      <c r="D1893" s="3" t="s">
        <v>77</v>
      </c>
    </row>
    <row r="1894" spans="4:4" ht="17.649999999999999" x14ac:dyDescent="0.5">
      <c r="D1894" s="3" t="s">
        <v>59</v>
      </c>
    </row>
    <row r="1895" spans="4:4" ht="17.649999999999999" x14ac:dyDescent="0.5">
      <c r="D1895" s="3" t="s">
        <v>117</v>
      </c>
    </row>
    <row r="1896" spans="4:4" ht="17.649999999999999" x14ac:dyDescent="0.5">
      <c r="D1896" s="3" t="s">
        <v>78</v>
      </c>
    </row>
    <row r="1897" spans="4:4" ht="17.649999999999999" x14ac:dyDescent="0.5">
      <c r="D1897" s="3" t="s">
        <v>43</v>
      </c>
    </row>
    <row r="1898" spans="4:4" ht="17.649999999999999" x14ac:dyDescent="0.5">
      <c r="D1898" s="3" t="s">
        <v>103</v>
      </c>
    </row>
    <row r="1899" spans="4:4" ht="17.649999999999999" x14ac:dyDescent="0.5">
      <c r="D1899" s="3" t="s">
        <v>77</v>
      </c>
    </row>
    <row r="1900" spans="4:4" ht="17.649999999999999" x14ac:dyDescent="0.5">
      <c r="D1900" s="3" t="s">
        <v>76</v>
      </c>
    </row>
    <row r="1901" spans="4:4" ht="17.649999999999999" x14ac:dyDescent="0.5">
      <c r="D1901" s="3" t="s">
        <v>58</v>
      </c>
    </row>
    <row r="1902" spans="4:4" ht="17.649999999999999" x14ac:dyDescent="0.5">
      <c r="D1902" s="3" t="s">
        <v>75</v>
      </c>
    </row>
    <row r="1903" spans="4:4" ht="17.649999999999999" x14ac:dyDescent="0.5">
      <c r="D1903" s="3" t="s">
        <v>92</v>
      </c>
    </row>
    <row r="1904" spans="4:4" ht="17.649999999999999" x14ac:dyDescent="0.5">
      <c r="D1904" s="3" t="s">
        <v>55</v>
      </c>
    </row>
    <row r="1905" spans="4:4" ht="17.649999999999999" x14ac:dyDescent="0.5">
      <c r="D1905" s="3" t="s">
        <v>97</v>
      </c>
    </row>
    <row r="1906" spans="4:4" ht="17.649999999999999" x14ac:dyDescent="0.5">
      <c r="D1906" s="3" t="s">
        <v>101</v>
      </c>
    </row>
    <row r="1907" spans="4:4" ht="17.649999999999999" x14ac:dyDescent="0.5">
      <c r="D1907" s="3" t="s">
        <v>79</v>
      </c>
    </row>
    <row r="1908" spans="4:4" ht="17.649999999999999" x14ac:dyDescent="0.5">
      <c r="D1908" s="3" t="s">
        <v>75</v>
      </c>
    </row>
    <row r="1909" spans="4:4" ht="17.649999999999999" x14ac:dyDescent="0.5">
      <c r="D1909" s="3" t="s">
        <v>115</v>
      </c>
    </row>
    <row r="1910" spans="4:4" ht="17.649999999999999" x14ac:dyDescent="0.5">
      <c r="D1910" s="3" t="s">
        <v>90</v>
      </c>
    </row>
    <row r="1911" spans="4:4" ht="17.649999999999999" x14ac:dyDescent="0.5">
      <c r="D1911" s="3" t="s">
        <v>91</v>
      </c>
    </row>
    <row r="1912" spans="4:4" ht="17.649999999999999" x14ac:dyDescent="0.5">
      <c r="D1912" s="3" t="s">
        <v>73</v>
      </c>
    </row>
    <row r="1913" spans="4:4" ht="17.649999999999999" x14ac:dyDescent="0.5">
      <c r="D1913" s="3" t="s">
        <v>118</v>
      </c>
    </row>
    <row r="1914" spans="4:4" ht="17.649999999999999" x14ac:dyDescent="0.5">
      <c r="D1914" s="3" t="s">
        <v>105</v>
      </c>
    </row>
    <row r="1915" spans="4:4" ht="17.649999999999999" x14ac:dyDescent="0.5">
      <c r="D1915" s="3" t="s">
        <v>78</v>
      </c>
    </row>
    <row r="1916" spans="4:4" ht="17.649999999999999" x14ac:dyDescent="0.5">
      <c r="D1916" s="3" t="s">
        <v>81</v>
      </c>
    </row>
    <row r="1917" spans="4:4" ht="17.649999999999999" x14ac:dyDescent="0.5">
      <c r="D1917" s="3" t="s">
        <v>114</v>
      </c>
    </row>
    <row r="1918" spans="4:4" ht="17.649999999999999" x14ac:dyDescent="0.5">
      <c r="D1918" s="3" t="s">
        <v>84</v>
      </c>
    </row>
    <row r="1919" spans="4:4" ht="17.649999999999999" x14ac:dyDescent="0.5">
      <c r="D1919" s="3" t="s">
        <v>98</v>
      </c>
    </row>
    <row r="1920" spans="4:4" ht="17.649999999999999" x14ac:dyDescent="0.5">
      <c r="D1920" s="3" t="s">
        <v>53</v>
      </c>
    </row>
    <row r="1921" spans="4:4" ht="17.649999999999999" x14ac:dyDescent="0.5">
      <c r="D1921" s="3" t="s">
        <v>78</v>
      </c>
    </row>
    <row r="1922" spans="4:4" ht="17.649999999999999" x14ac:dyDescent="0.5">
      <c r="D1922" s="3" t="s">
        <v>74</v>
      </c>
    </row>
    <row r="1923" spans="4:4" ht="17.649999999999999" x14ac:dyDescent="0.5">
      <c r="D1923" s="3" t="s">
        <v>100</v>
      </c>
    </row>
    <row r="1924" spans="4:4" ht="17.649999999999999" x14ac:dyDescent="0.5">
      <c r="D1924" s="3" t="s">
        <v>106</v>
      </c>
    </row>
    <row r="1925" spans="4:4" ht="17.649999999999999" x14ac:dyDescent="0.5">
      <c r="D1925" s="3" t="s">
        <v>80</v>
      </c>
    </row>
    <row r="1926" spans="4:4" ht="17.649999999999999" x14ac:dyDescent="0.5">
      <c r="D1926" s="3" t="s">
        <v>68</v>
      </c>
    </row>
    <row r="1927" spans="4:4" ht="17.649999999999999" x14ac:dyDescent="0.5">
      <c r="D1927" s="3" t="s">
        <v>75</v>
      </c>
    </row>
    <row r="1928" spans="4:4" ht="17.649999999999999" x14ac:dyDescent="0.5">
      <c r="D1928" s="3" t="s">
        <v>56</v>
      </c>
    </row>
    <row r="1929" spans="4:4" ht="17.649999999999999" x14ac:dyDescent="0.5">
      <c r="D1929" s="3" t="s">
        <v>112</v>
      </c>
    </row>
    <row r="1930" spans="4:4" ht="17.649999999999999" x14ac:dyDescent="0.5">
      <c r="D1930" s="3" t="s">
        <v>52</v>
      </c>
    </row>
    <row r="1931" spans="4:4" ht="17.649999999999999" x14ac:dyDescent="0.5">
      <c r="D1931" s="3" t="s">
        <v>67</v>
      </c>
    </row>
    <row r="1932" spans="4:4" ht="17.649999999999999" x14ac:dyDescent="0.5">
      <c r="D1932" s="3" t="s">
        <v>87</v>
      </c>
    </row>
    <row r="1933" spans="4:4" ht="17.649999999999999" x14ac:dyDescent="0.5">
      <c r="D1933" s="3" t="s">
        <v>67</v>
      </c>
    </row>
    <row r="1934" spans="4:4" ht="17.649999999999999" x14ac:dyDescent="0.5">
      <c r="D1934" s="3" t="s">
        <v>111</v>
      </c>
    </row>
    <row r="1935" spans="4:4" ht="17.649999999999999" x14ac:dyDescent="0.5">
      <c r="D1935" s="3" t="s">
        <v>47</v>
      </c>
    </row>
    <row r="1936" spans="4:4" ht="17.649999999999999" x14ac:dyDescent="0.5">
      <c r="D1936" s="3" t="s">
        <v>117</v>
      </c>
    </row>
    <row r="1937" spans="4:4" ht="17.649999999999999" x14ac:dyDescent="0.5">
      <c r="D1937" s="3" t="s">
        <v>108</v>
      </c>
    </row>
    <row r="1938" spans="4:4" ht="17.649999999999999" x14ac:dyDescent="0.5">
      <c r="D1938" s="3" t="s">
        <v>129</v>
      </c>
    </row>
    <row r="1939" spans="4:4" ht="17.649999999999999" x14ac:dyDescent="0.5">
      <c r="D1939" s="3" t="s">
        <v>66</v>
      </c>
    </row>
    <row r="1940" spans="4:4" ht="17.649999999999999" x14ac:dyDescent="0.5">
      <c r="D1940" s="3" t="s">
        <v>53</v>
      </c>
    </row>
    <row r="1941" spans="4:4" ht="17.649999999999999" x14ac:dyDescent="0.5">
      <c r="D1941" s="3" t="s">
        <v>44</v>
      </c>
    </row>
    <row r="1942" spans="4:4" ht="17.649999999999999" x14ac:dyDescent="0.5">
      <c r="D1942" s="3" t="s">
        <v>129</v>
      </c>
    </row>
    <row r="1943" spans="4:4" ht="17.649999999999999" x14ac:dyDescent="0.5">
      <c r="D1943" s="3" t="s">
        <v>77</v>
      </c>
    </row>
    <row r="1944" spans="4:4" ht="17.649999999999999" x14ac:dyDescent="0.5">
      <c r="D1944" s="3" t="s">
        <v>122</v>
      </c>
    </row>
    <row r="1945" spans="4:4" ht="17.649999999999999" x14ac:dyDescent="0.5">
      <c r="D1945" s="3" t="s">
        <v>58</v>
      </c>
    </row>
    <row r="1946" spans="4:4" ht="17.649999999999999" x14ac:dyDescent="0.5">
      <c r="D1946" s="3" t="s">
        <v>50</v>
      </c>
    </row>
    <row r="1947" spans="4:4" ht="17.649999999999999" x14ac:dyDescent="0.5">
      <c r="D1947" s="3" t="s">
        <v>52</v>
      </c>
    </row>
    <row r="1948" spans="4:4" ht="17.649999999999999" x14ac:dyDescent="0.5">
      <c r="D1948" s="3" t="s">
        <v>67</v>
      </c>
    </row>
    <row r="1949" spans="4:4" ht="17.649999999999999" x14ac:dyDescent="0.5">
      <c r="D1949" s="3" t="s">
        <v>85</v>
      </c>
    </row>
    <row r="1950" spans="4:4" ht="17.649999999999999" x14ac:dyDescent="0.5">
      <c r="D1950" s="3" t="s">
        <v>58</v>
      </c>
    </row>
    <row r="1951" spans="4:4" ht="17.649999999999999" x14ac:dyDescent="0.5">
      <c r="D1951" s="3" t="s">
        <v>49</v>
      </c>
    </row>
    <row r="1952" spans="4:4" ht="17.649999999999999" x14ac:dyDescent="0.5">
      <c r="D1952" s="3" t="s">
        <v>66</v>
      </c>
    </row>
    <row r="1953" spans="4:4" ht="17.649999999999999" x14ac:dyDescent="0.5">
      <c r="D1953" s="3" t="s">
        <v>58</v>
      </c>
    </row>
    <row r="1954" spans="4:4" ht="17.649999999999999" x14ac:dyDescent="0.5">
      <c r="D1954" s="3" t="s">
        <v>67</v>
      </c>
    </row>
    <row r="1955" spans="4:4" ht="17.649999999999999" x14ac:dyDescent="0.5">
      <c r="D1955" s="3" t="s">
        <v>52</v>
      </c>
    </row>
    <row r="1956" spans="4:4" ht="17.649999999999999" x14ac:dyDescent="0.5">
      <c r="D1956" s="3" t="s">
        <v>101</v>
      </c>
    </row>
    <row r="1957" spans="4:4" ht="17.649999999999999" x14ac:dyDescent="0.5">
      <c r="D1957" s="3" t="s">
        <v>77</v>
      </c>
    </row>
    <row r="1958" spans="4:4" ht="17.649999999999999" x14ac:dyDescent="0.5">
      <c r="D1958" s="3" t="s">
        <v>85</v>
      </c>
    </row>
    <row r="1959" spans="4:4" ht="17.649999999999999" x14ac:dyDescent="0.5">
      <c r="D1959" s="3" t="s">
        <v>105</v>
      </c>
    </row>
    <row r="1960" spans="4:4" ht="17.649999999999999" x14ac:dyDescent="0.5">
      <c r="D1960" s="3" t="s">
        <v>44</v>
      </c>
    </row>
    <row r="1961" spans="4:4" ht="17.649999999999999" x14ac:dyDescent="0.5">
      <c r="D1961" s="3" t="s">
        <v>41</v>
      </c>
    </row>
    <row r="1962" spans="4:4" ht="17.649999999999999" x14ac:dyDescent="0.5">
      <c r="D1962" s="3" t="s">
        <v>91</v>
      </c>
    </row>
    <row r="1963" spans="4:4" ht="17.649999999999999" x14ac:dyDescent="0.5">
      <c r="D1963" s="3" t="s">
        <v>63</v>
      </c>
    </row>
    <row r="1964" spans="4:4" ht="17.649999999999999" x14ac:dyDescent="0.5">
      <c r="D1964" s="3" t="s">
        <v>101</v>
      </c>
    </row>
    <row r="1965" spans="4:4" ht="17.649999999999999" x14ac:dyDescent="0.5">
      <c r="D1965" s="3" t="s">
        <v>65</v>
      </c>
    </row>
    <row r="1966" spans="4:4" ht="17.649999999999999" x14ac:dyDescent="0.5">
      <c r="D1966" s="3" t="s">
        <v>64</v>
      </c>
    </row>
    <row r="1967" spans="4:4" ht="17.649999999999999" x14ac:dyDescent="0.5">
      <c r="D1967" s="3" t="s">
        <v>90</v>
      </c>
    </row>
    <row r="1968" spans="4:4" ht="17.649999999999999" x14ac:dyDescent="0.5">
      <c r="D1968" s="3" t="s">
        <v>77</v>
      </c>
    </row>
    <row r="1969" spans="4:4" ht="17.649999999999999" x14ac:dyDescent="0.5">
      <c r="D1969" s="3" t="s">
        <v>75</v>
      </c>
    </row>
    <row r="1970" spans="4:4" ht="17.649999999999999" x14ac:dyDescent="0.5">
      <c r="D1970" s="3" t="s">
        <v>51</v>
      </c>
    </row>
    <row r="1971" spans="4:4" ht="17.649999999999999" x14ac:dyDescent="0.5">
      <c r="D1971" s="3" t="s">
        <v>79</v>
      </c>
    </row>
    <row r="1972" spans="4:4" ht="17.649999999999999" x14ac:dyDescent="0.5">
      <c r="D1972" s="3" t="s">
        <v>92</v>
      </c>
    </row>
    <row r="1973" spans="4:4" ht="17.649999999999999" x14ac:dyDescent="0.5">
      <c r="D1973" s="3" t="s">
        <v>50</v>
      </c>
    </row>
    <row r="1974" spans="4:4" ht="17.649999999999999" x14ac:dyDescent="0.5">
      <c r="D1974" s="3" t="s">
        <v>71</v>
      </c>
    </row>
    <row r="1975" spans="4:4" ht="17.649999999999999" x14ac:dyDescent="0.5">
      <c r="D1975" s="3" t="s">
        <v>95</v>
      </c>
    </row>
    <row r="1976" spans="4:4" ht="17.649999999999999" x14ac:dyDescent="0.5">
      <c r="D1976" s="3" t="s">
        <v>107</v>
      </c>
    </row>
    <row r="1977" spans="4:4" ht="17.649999999999999" x14ac:dyDescent="0.5">
      <c r="D1977" s="3" t="s">
        <v>53</v>
      </c>
    </row>
    <row r="1978" spans="4:4" ht="17.649999999999999" x14ac:dyDescent="0.5">
      <c r="D1978" s="3" t="s">
        <v>91</v>
      </c>
    </row>
    <row r="1979" spans="4:4" ht="17.649999999999999" x14ac:dyDescent="0.5">
      <c r="D1979" s="3" t="s">
        <v>79</v>
      </c>
    </row>
    <row r="1980" spans="4:4" ht="17.649999999999999" x14ac:dyDescent="0.5">
      <c r="D1980" s="3" t="s">
        <v>96</v>
      </c>
    </row>
    <row r="1981" spans="4:4" ht="17.649999999999999" x14ac:dyDescent="0.5">
      <c r="D1981" s="3" t="s">
        <v>54</v>
      </c>
    </row>
    <row r="1982" spans="4:4" ht="17.649999999999999" x14ac:dyDescent="0.5">
      <c r="D1982" s="3" t="s">
        <v>82</v>
      </c>
    </row>
    <row r="1983" spans="4:4" ht="17.649999999999999" x14ac:dyDescent="0.5">
      <c r="D1983" s="3" t="s">
        <v>122</v>
      </c>
    </row>
    <row r="1984" spans="4:4" ht="17.649999999999999" x14ac:dyDescent="0.5">
      <c r="D1984" s="3" t="s">
        <v>77</v>
      </c>
    </row>
    <row r="1985" spans="4:4" ht="17.649999999999999" x14ac:dyDescent="0.5">
      <c r="D1985" s="3" t="s">
        <v>52</v>
      </c>
    </row>
    <row r="1986" spans="4:4" ht="17.649999999999999" x14ac:dyDescent="0.5">
      <c r="D1986" s="3" t="s">
        <v>108</v>
      </c>
    </row>
    <row r="1987" spans="4:4" ht="17.649999999999999" x14ac:dyDescent="0.5">
      <c r="D1987" s="3" t="s">
        <v>88</v>
      </c>
    </row>
    <row r="1988" spans="4:4" ht="17.649999999999999" x14ac:dyDescent="0.5">
      <c r="D1988" s="3" t="s">
        <v>57</v>
      </c>
    </row>
    <row r="1989" spans="4:4" ht="17.649999999999999" x14ac:dyDescent="0.5">
      <c r="D1989" s="3" t="s">
        <v>92</v>
      </c>
    </row>
    <row r="1990" spans="4:4" ht="17.649999999999999" x14ac:dyDescent="0.5">
      <c r="D1990" s="3" t="s">
        <v>80</v>
      </c>
    </row>
    <row r="1991" spans="4:4" ht="17.649999999999999" x14ac:dyDescent="0.5">
      <c r="D1991" s="3" t="s">
        <v>67</v>
      </c>
    </row>
    <row r="1992" spans="4:4" ht="17.649999999999999" x14ac:dyDescent="0.5">
      <c r="D1992" s="3" t="s">
        <v>47</v>
      </c>
    </row>
    <row r="1993" spans="4:4" ht="17.649999999999999" x14ac:dyDescent="0.5">
      <c r="D1993" s="3" t="s">
        <v>73</v>
      </c>
    </row>
    <row r="1994" spans="4:4" ht="17.649999999999999" x14ac:dyDescent="0.5">
      <c r="D1994" s="3" t="s">
        <v>46</v>
      </c>
    </row>
    <row r="1995" spans="4:4" ht="17.649999999999999" x14ac:dyDescent="0.5">
      <c r="D1995" s="3" t="s">
        <v>47</v>
      </c>
    </row>
    <row r="1996" spans="4:4" ht="17.649999999999999" x14ac:dyDescent="0.5">
      <c r="D1996" s="3" t="s">
        <v>79</v>
      </c>
    </row>
    <row r="1997" spans="4:4" ht="17.649999999999999" x14ac:dyDescent="0.5">
      <c r="D1997" s="3" t="s">
        <v>44</v>
      </c>
    </row>
    <row r="1998" spans="4:4" ht="17.649999999999999" x14ac:dyDescent="0.5">
      <c r="D1998" s="3" t="s">
        <v>115</v>
      </c>
    </row>
    <row r="1999" spans="4:4" ht="17.649999999999999" x14ac:dyDescent="0.5">
      <c r="D1999" s="3" t="s">
        <v>91</v>
      </c>
    </row>
    <row r="2000" spans="4:4" ht="17.649999999999999" x14ac:dyDescent="0.5">
      <c r="D2000" s="3" t="s">
        <v>80</v>
      </c>
    </row>
    <row r="2001" spans="4:4" ht="17.649999999999999" x14ac:dyDescent="0.5">
      <c r="D2001" s="3" t="s">
        <v>61</v>
      </c>
    </row>
    <row r="2002" spans="4:4" ht="17.649999999999999" x14ac:dyDescent="0.5">
      <c r="D2002" s="3" t="s">
        <v>68</v>
      </c>
    </row>
    <row r="2003" spans="4:4" ht="17.649999999999999" x14ac:dyDescent="0.5">
      <c r="D2003" s="3" t="s">
        <v>69</v>
      </c>
    </row>
    <row r="2004" spans="4:4" ht="17.649999999999999" x14ac:dyDescent="0.5">
      <c r="D2004" s="3" t="s">
        <v>105</v>
      </c>
    </row>
    <row r="2005" spans="4:4" ht="17.649999999999999" x14ac:dyDescent="0.5">
      <c r="D2005" s="3" t="s">
        <v>96</v>
      </c>
    </row>
    <row r="2006" spans="4:4" ht="17.649999999999999" x14ac:dyDescent="0.5">
      <c r="D2006" s="3" t="s">
        <v>66</v>
      </c>
    </row>
    <row r="2007" spans="4:4" ht="17.649999999999999" x14ac:dyDescent="0.5">
      <c r="D2007" s="3" t="s">
        <v>52</v>
      </c>
    </row>
    <row r="2008" spans="4:4" ht="17.649999999999999" x14ac:dyDescent="0.5">
      <c r="D2008" s="3" t="s">
        <v>135</v>
      </c>
    </row>
    <row r="2009" spans="4:4" ht="17.649999999999999" x14ac:dyDescent="0.5">
      <c r="D2009" s="3" t="s">
        <v>63</v>
      </c>
    </row>
    <row r="2010" spans="4:4" ht="17.649999999999999" x14ac:dyDescent="0.5">
      <c r="D2010" s="3" t="s">
        <v>43</v>
      </c>
    </row>
    <row r="2011" spans="4:4" ht="17.649999999999999" x14ac:dyDescent="0.5">
      <c r="D2011" s="3" t="s">
        <v>117</v>
      </c>
    </row>
    <row r="2012" spans="4:4" ht="17.649999999999999" x14ac:dyDescent="0.5">
      <c r="D2012" s="3" t="s">
        <v>69</v>
      </c>
    </row>
    <row r="2013" spans="4:4" ht="17.649999999999999" x14ac:dyDescent="0.5">
      <c r="D2013" s="3" t="s">
        <v>134</v>
      </c>
    </row>
    <row r="2014" spans="4:4" ht="17.649999999999999" x14ac:dyDescent="0.5">
      <c r="D2014" s="3" t="s">
        <v>83</v>
      </c>
    </row>
    <row r="2015" spans="4:4" ht="17.649999999999999" x14ac:dyDescent="0.5">
      <c r="D2015" s="3" t="s">
        <v>103</v>
      </c>
    </row>
    <row r="2016" spans="4:4" ht="17.649999999999999" x14ac:dyDescent="0.5">
      <c r="D2016" s="3" t="s">
        <v>48</v>
      </c>
    </row>
    <row r="2017" spans="4:4" ht="17.649999999999999" x14ac:dyDescent="0.5">
      <c r="D2017" s="3" t="s">
        <v>47</v>
      </c>
    </row>
    <row r="2018" spans="4:4" ht="17.649999999999999" x14ac:dyDescent="0.5">
      <c r="D2018" s="3" t="s">
        <v>66</v>
      </c>
    </row>
    <row r="2019" spans="4:4" ht="17.649999999999999" x14ac:dyDescent="0.5">
      <c r="D2019" s="3" t="s">
        <v>57</v>
      </c>
    </row>
    <row r="2020" spans="4:4" ht="17.649999999999999" x14ac:dyDescent="0.5">
      <c r="D2020" s="3" t="s">
        <v>134</v>
      </c>
    </row>
    <row r="2021" spans="4:4" ht="17.649999999999999" x14ac:dyDescent="0.5">
      <c r="D2021" s="3" t="s">
        <v>41</v>
      </c>
    </row>
    <row r="2022" spans="4:4" ht="17.649999999999999" x14ac:dyDescent="0.5">
      <c r="D2022" s="3" t="s">
        <v>98</v>
      </c>
    </row>
    <row r="2023" spans="4:4" ht="17.649999999999999" x14ac:dyDescent="0.5">
      <c r="D2023" s="3" t="s">
        <v>109</v>
      </c>
    </row>
    <row r="2024" spans="4:4" ht="17.649999999999999" x14ac:dyDescent="0.5">
      <c r="D2024" s="3" t="s">
        <v>135</v>
      </c>
    </row>
    <row r="2025" spans="4:4" ht="17.649999999999999" x14ac:dyDescent="0.5">
      <c r="D2025" s="3" t="s">
        <v>53</v>
      </c>
    </row>
    <row r="2026" spans="4:4" ht="17.649999999999999" x14ac:dyDescent="0.5">
      <c r="D2026" s="3" t="s">
        <v>79</v>
      </c>
    </row>
    <row r="2027" spans="4:4" ht="17.649999999999999" x14ac:dyDescent="0.5">
      <c r="D2027" s="3" t="s">
        <v>125</v>
      </c>
    </row>
    <row r="2028" spans="4:4" ht="17.649999999999999" x14ac:dyDescent="0.5">
      <c r="D2028" s="3" t="s">
        <v>47</v>
      </c>
    </row>
    <row r="2029" spans="4:4" ht="17.649999999999999" x14ac:dyDescent="0.5">
      <c r="D2029" s="3" t="s">
        <v>82</v>
      </c>
    </row>
    <row r="2030" spans="4:4" ht="17.649999999999999" x14ac:dyDescent="0.5">
      <c r="D2030" s="3" t="s">
        <v>111</v>
      </c>
    </row>
    <row r="2031" spans="4:4" ht="17.649999999999999" x14ac:dyDescent="0.5">
      <c r="D2031" s="3" t="s">
        <v>65</v>
      </c>
    </row>
    <row r="2032" spans="4:4" ht="17.649999999999999" x14ac:dyDescent="0.5">
      <c r="D2032" s="3" t="s">
        <v>115</v>
      </c>
    </row>
    <row r="2033" spans="4:4" ht="17.649999999999999" x14ac:dyDescent="0.5">
      <c r="D2033" s="3" t="s">
        <v>99</v>
      </c>
    </row>
    <row r="2034" spans="4:4" ht="17.649999999999999" x14ac:dyDescent="0.5">
      <c r="D2034" s="3" t="s">
        <v>94</v>
      </c>
    </row>
    <row r="2035" spans="4:4" ht="17.649999999999999" x14ac:dyDescent="0.5">
      <c r="D2035" s="3" t="s">
        <v>91</v>
      </c>
    </row>
    <row r="2036" spans="4:4" ht="17.649999999999999" x14ac:dyDescent="0.5">
      <c r="D2036" s="3" t="s">
        <v>80</v>
      </c>
    </row>
    <row r="2037" spans="4:4" ht="17.649999999999999" x14ac:dyDescent="0.5">
      <c r="D2037" s="3" t="s">
        <v>121</v>
      </c>
    </row>
    <row r="2038" spans="4:4" ht="17.649999999999999" x14ac:dyDescent="0.5">
      <c r="D2038" s="3" t="s">
        <v>96</v>
      </c>
    </row>
    <row r="2039" spans="4:4" ht="17.649999999999999" x14ac:dyDescent="0.5">
      <c r="D2039" s="3" t="s">
        <v>43</v>
      </c>
    </row>
    <row r="2040" spans="4:4" ht="17.649999999999999" x14ac:dyDescent="0.5">
      <c r="D2040" s="3" t="s">
        <v>65</v>
      </c>
    </row>
    <row r="2041" spans="4:4" ht="17.649999999999999" x14ac:dyDescent="0.5">
      <c r="D2041" s="3" t="s">
        <v>80</v>
      </c>
    </row>
    <row r="2042" spans="4:4" ht="17.649999999999999" x14ac:dyDescent="0.5">
      <c r="D2042" s="3" t="s">
        <v>96</v>
      </c>
    </row>
    <row r="2043" spans="4:4" ht="17.649999999999999" x14ac:dyDescent="0.5">
      <c r="D2043" s="3" t="s">
        <v>69</v>
      </c>
    </row>
    <row r="2044" spans="4:4" ht="17.649999999999999" x14ac:dyDescent="0.5">
      <c r="D2044" s="3" t="s">
        <v>75</v>
      </c>
    </row>
    <row r="2045" spans="4:4" ht="17.649999999999999" x14ac:dyDescent="0.5">
      <c r="D2045" s="3" t="s">
        <v>112</v>
      </c>
    </row>
    <row r="2046" spans="4:4" ht="17.649999999999999" x14ac:dyDescent="0.5">
      <c r="D2046" s="3" t="s">
        <v>65</v>
      </c>
    </row>
    <row r="2047" spans="4:4" ht="17.649999999999999" x14ac:dyDescent="0.5">
      <c r="D2047" s="3" t="s">
        <v>83</v>
      </c>
    </row>
    <row r="2048" spans="4:4" ht="17.649999999999999" x14ac:dyDescent="0.5">
      <c r="D2048" s="3" t="s">
        <v>84</v>
      </c>
    </row>
    <row r="2049" spans="4:4" ht="17.649999999999999" x14ac:dyDescent="0.5">
      <c r="D2049" s="3" t="s">
        <v>92</v>
      </c>
    </row>
    <row r="2050" spans="4:4" ht="17.649999999999999" x14ac:dyDescent="0.5">
      <c r="D2050" s="3" t="s">
        <v>81</v>
      </c>
    </row>
    <row r="2051" spans="4:4" ht="17.649999999999999" x14ac:dyDescent="0.5">
      <c r="D2051" s="3" t="s">
        <v>87</v>
      </c>
    </row>
    <row r="2052" spans="4:4" ht="17.649999999999999" x14ac:dyDescent="0.5">
      <c r="D2052" s="3" t="s">
        <v>133</v>
      </c>
    </row>
    <row r="2053" spans="4:4" ht="17.649999999999999" x14ac:dyDescent="0.5">
      <c r="D2053" s="3" t="s">
        <v>109</v>
      </c>
    </row>
    <row r="2054" spans="4:4" ht="17.649999999999999" x14ac:dyDescent="0.5">
      <c r="D2054" s="3" t="s">
        <v>78</v>
      </c>
    </row>
    <row r="2055" spans="4:4" ht="17.649999999999999" x14ac:dyDescent="0.5">
      <c r="D2055" s="3" t="s">
        <v>74</v>
      </c>
    </row>
    <row r="2056" spans="4:4" ht="17.649999999999999" x14ac:dyDescent="0.5">
      <c r="D2056" s="3" t="s">
        <v>80</v>
      </c>
    </row>
    <row r="2057" spans="4:4" ht="17.649999999999999" x14ac:dyDescent="0.5">
      <c r="D2057" s="3" t="s">
        <v>73</v>
      </c>
    </row>
    <row r="2058" spans="4:4" ht="17.649999999999999" x14ac:dyDescent="0.5">
      <c r="D2058" s="3" t="s">
        <v>105</v>
      </c>
    </row>
    <row r="2059" spans="4:4" ht="17.649999999999999" x14ac:dyDescent="0.5">
      <c r="D2059" s="3" t="s">
        <v>112</v>
      </c>
    </row>
    <row r="2060" spans="4:4" ht="17.649999999999999" x14ac:dyDescent="0.5">
      <c r="D2060" s="3" t="s">
        <v>89</v>
      </c>
    </row>
    <row r="2061" spans="4:4" ht="17.649999999999999" x14ac:dyDescent="0.5">
      <c r="D2061" s="3" t="s">
        <v>132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D1:P2173"/>
  <sheetViews>
    <sheetView topLeftCell="A2145" workbookViewId="0">
      <selection activeCell="D62" sqref="D62:D2173"/>
    </sheetView>
  </sheetViews>
  <sheetFormatPr baseColWidth="10" defaultRowHeight="15.75" x14ac:dyDescent="0.5"/>
  <sheetData>
    <row r="1" spans="4:10" ht="25.15" x14ac:dyDescent="0.7">
      <c r="D1" s="1" t="s">
        <v>165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467</v>
      </c>
      <c r="E13" s="2">
        <v>500</v>
      </c>
      <c r="F13" s="2">
        <v>299</v>
      </c>
      <c r="G13" s="2">
        <v>334</v>
      </c>
      <c r="H13" s="2">
        <v>334</v>
      </c>
      <c r="I13" s="2">
        <v>469</v>
      </c>
      <c r="J13" s="2">
        <v>498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967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469</v>
      </c>
      <c r="E23" s="2">
        <v>500</v>
      </c>
      <c r="F23" s="2">
        <v>301</v>
      </c>
      <c r="G23" s="2">
        <v>334</v>
      </c>
      <c r="H23" s="2">
        <v>334</v>
      </c>
      <c r="I23" s="2">
        <v>469</v>
      </c>
      <c r="J23" s="2">
        <v>500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969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54</v>
      </c>
      <c r="F31" s="2">
        <v>28</v>
      </c>
      <c r="G31" s="2">
        <v>32</v>
      </c>
      <c r="H31" s="2">
        <v>44</v>
      </c>
      <c r="I31" s="2">
        <v>37</v>
      </c>
      <c r="J31" s="2">
        <v>40</v>
      </c>
      <c r="K31" s="2">
        <v>36</v>
      </c>
      <c r="L31" s="2">
        <v>38</v>
      </c>
      <c r="M31" s="2">
        <v>41</v>
      </c>
      <c r="N31" s="2">
        <v>52</v>
      </c>
      <c r="O31" s="2">
        <v>41</v>
      </c>
      <c r="P31" s="2">
        <v>45</v>
      </c>
    </row>
    <row r="32" spans="4:16" x14ac:dyDescent="0.5">
      <c r="D32" s="2">
        <v>2</v>
      </c>
      <c r="E32" s="2">
        <v>48</v>
      </c>
      <c r="F32" s="2">
        <v>31</v>
      </c>
      <c r="G32" s="2">
        <v>32</v>
      </c>
      <c r="H32" s="2">
        <v>42</v>
      </c>
      <c r="I32" s="2">
        <v>31</v>
      </c>
      <c r="J32" s="2">
        <v>48</v>
      </c>
      <c r="K32" s="2">
        <v>32</v>
      </c>
      <c r="L32" s="2">
        <v>32</v>
      </c>
      <c r="M32" s="2">
        <v>41</v>
      </c>
      <c r="N32" s="2">
        <v>50</v>
      </c>
      <c r="O32" s="2">
        <v>44</v>
      </c>
      <c r="P32" s="2">
        <v>48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0</v>
      </c>
      <c r="F37" s="2">
        <v>55</v>
      </c>
      <c r="G37" s="2">
        <v>52</v>
      </c>
      <c r="H37" s="2">
        <v>39</v>
      </c>
      <c r="I37" s="2">
        <v>47</v>
      </c>
      <c r="J37" s="2">
        <v>43</v>
      </c>
      <c r="K37" s="2">
        <v>47</v>
      </c>
      <c r="L37" s="2">
        <v>45</v>
      </c>
      <c r="M37" s="2">
        <v>43</v>
      </c>
      <c r="N37" s="2">
        <v>31</v>
      </c>
      <c r="O37" s="2">
        <v>42</v>
      </c>
      <c r="P37" s="2">
        <v>39</v>
      </c>
    </row>
    <row r="38" spans="4:16" x14ac:dyDescent="0.5">
      <c r="D38" s="2">
        <v>2</v>
      </c>
      <c r="E38" s="2">
        <v>0</v>
      </c>
      <c r="F38" s="2">
        <v>52</v>
      </c>
      <c r="G38" s="2">
        <v>52</v>
      </c>
      <c r="H38" s="2">
        <v>41</v>
      </c>
      <c r="I38" s="2">
        <v>53</v>
      </c>
      <c r="J38" s="2">
        <v>35</v>
      </c>
      <c r="K38" s="2">
        <v>51</v>
      </c>
      <c r="L38" s="2">
        <v>51</v>
      </c>
      <c r="M38" s="2">
        <v>43</v>
      </c>
      <c r="N38" s="2">
        <v>33</v>
      </c>
      <c r="O38" s="2">
        <v>39</v>
      </c>
      <c r="P38" s="2">
        <v>36</v>
      </c>
    </row>
    <row r="39" spans="4:16" ht="17.649999999999999" x14ac:dyDescent="0.5">
      <c r="D39" s="3" t="s">
        <v>137</v>
      </c>
      <c r="E39">
        <f t="shared" ref="E39:P39" si="0">E31-E37</f>
        <v>54</v>
      </c>
      <c r="F39">
        <f t="shared" si="0"/>
        <v>-27</v>
      </c>
      <c r="G39">
        <f t="shared" si="0"/>
        <v>-20</v>
      </c>
      <c r="H39">
        <f t="shared" si="0"/>
        <v>5</v>
      </c>
      <c r="I39">
        <f t="shared" si="0"/>
        <v>-10</v>
      </c>
      <c r="J39">
        <f t="shared" si="0"/>
        <v>-3</v>
      </c>
      <c r="K39">
        <f t="shared" si="0"/>
        <v>-11</v>
      </c>
      <c r="L39">
        <f t="shared" si="0"/>
        <v>-7</v>
      </c>
      <c r="M39">
        <f t="shared" si="0"/>
        <v>-2</v>
      </c>
      <c r="N39">
        <f t="shared" si="0"/>
        <v>21</v>
      </c>
      <c r="O39">
        <f t="shared" si="0"/>
        <v>-1</v>
      </c>
      <c r="P39">
        <f t="shared" si="0"/>
        <v>6</v>
      </c>
    </row>
    <row r="40" spans="4:16" ht="17.649999999999999" x14ac:dyDescent="0.5">
      <c r="D40" s="3" t="s">
        <v>138</v>
      </c>
      <c r="E40">
        <f t="shared" ref="E40:P40" si="1">E32-E38</f>
        <v>48</v>
      </c>
      <c r="F40">
        <f t="shared" si="1"/>
        <v>-21</v>
      </c>
      <c r="G40">
        <f t="shared" si="1"/>
        <v>-20</v>
      </c>
      <c r="H40">
        <f t="shared" si="1"/>
        <v>1</v>
      </c>
      <c r="I40">
        <f t="shared" si="1"/>
        <v>-22</v>
      </c>
      <c r="J40">
        <f t="shared" si="1"/>
        <v>13</v>
      </c>
      <c r="K40">
        <f t="shared" si="1"/>
        <v>-19</v>
      </c>
      <c r="L40">
        <f t="shared" si="1"/>
        <v>-19</v>
      </c>
      <c r="M40">
        <f t="shared" si="1"/>
        <v>-2</v>
      </c>
      <c r="N40">
        <f t="shared" si="1"/>
        <v>17</v>
      </c>
      <c r="O40">
        <f t="shared" si="1"/>
        <v>5</v>
      </c>
      <c r="P40">
        <f t="shared" si="1"/>
        <v>12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102</v>
      </c>
      <c r="F44" s="2">
        <v>59</v>
      </c>
      <c r="G44" s="2">
        <v>64</v>
      </c>
      <c r="H44" s="2">
        <v>86</v>
      </c>
      <c r="I44" s="2">
        <v>68</v>
      </c>
      <c r="J44" s="2">
        <v>88</v>
      </c>
      <c r="K44" s="2">
        <v>68</v>
      </c>
      <c r="L44" s="2">
        <v>70</v>
      </c>
      <c r="M44" s="2">
        <v>82</v>
      </c>
      <c r="N44" s="2">
        <v>102</v>
      </c>
      <c r="O44" s="2">
        <v>85</v>
      </c>
      <c r="P44" s="2">
        <v>93</v>
      </c>
    </row>
    <row r="45" spans="4:16" x14ac:dyDescent="0.5">
      <c r="D45" s="2" t="s">
        <v>28</v>
      </c>
      <c r="E45" s="2">
        <v>0</v>
      </c>
      <c r="F45" s="2">
        <v>107</v>
      </c>
      <c r="G45" s="2">
        <v>104</v>
      </c>
      <c r="H45" s="2">
        <v>80</v>
      </c>
      <c r="I45" s="2">
        <v>100</v>
      </c>
      <c r="J45" s="2">
        <v>78</v>
      </c>
      <c r="K45" s="2">
        <v>98</v>
      </c>
      <c r="L45" s="2">
        <v>96</v>
      </c>
      <c r="M45" s="2">
        <v>86</v>
      </c>
      <c r="N45" s="2">
        <v>64</v>
      </c>
      <c r="O45" s="2">
        <v>81</v>
      </c>
      <c r="P45" s="2">
        <v>75</v>
      </c>
    </row>
    <row r="46" spans="4:16" x14ac:dyDescent="0.5">
      <c r="D46" s="2" t="s">
        <v>30</v>
      </c>
      <c r="E46" s="2">
        <v>102</v>
      </c>
      <c r="F46" s="2">
        <v>-48</v>
      </c>
      <c r="G46" s="2">
        <v>-40</v>
      </c>
      <c r="H46" s="2">
        <v>6</v>
      </c>
      <c r="I46" s="2">
        <v>-32</v>
      </c>
      <c r="J46" s="2">
        <v>10</v>
      </c>
      <c r="K46" s="2">
        <v>-30</v>
      </c>
      <c r="L46" s="2">
        <v>-26</v>
      </c>
      <c r="M46" s="2">
        <v>-4</v>
      </c>
      <c r="N46" s="2">
        <v>38</v>
      </c>
      <c r="O46" s="2">
        <v>4</v>
      </c>
      <c r="P46" s="2">
        <v>18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467</v>
      </c>
      <c r="F51" s="2">
        <v>500</v>
      </c>
      <c r="G51" s="2">
        <v>299</v>
      </c>
      <c r="H51" s="2">
        <v>334</v>
      </c>
      <c r="I51" s="2">
        <v>334</v>
      </c>
      <c r="J51" s="2">
        <v>469</v>
      </c>
      <c r="K51" s="2">
        <v>498</v>
      </c>
    </row>
    <row r="52" spans="4:11" x14ac:dyDescent="0.5">
      <c r="D52" s="2" t="s">
        <v>28</v>
      </c>
      <c r="E52" s="2">
        <v>469</v>
      </c>
      <c r="F52" s="2">
        <v>500</v>
      </c>
      <c r="G52" s="2">
        <v>301</v>
      </c>
      <c r="H52" s="2">
        <v>334</v>
      </c>
      <c r="I52" s="2">
        <v>334</v>
      </c>
      <c r="J52" s="2">
        <v>469</v>
      </c>
      <c r="K52" s="2">
        <v>500</v>
      </c>
    </row>
    <row r="53" spans="4:11" x14ac:dyDescent="0.5">
      <c r="D53" s="2" t="s">
        <v>30</v>
      </c>
      <c r="E53" s="2">
        <v>-2</v>
      </c>
      <c r="F53" s="2">
        <v>0</v>
      </c>
      <c r="G53" s="2">
        <v>-2</v>
      </c>
      <c r="H53" s="2">
        <v>0</v>
      </c>
      <c r="I53" s="2">
        <v>0</v>
      </c>
      <c r="J53" s="2">
        <v>0</v>
      </c>
      <c r="K53" s="2">
        <v>-2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3</v>
      </c>
      <c r="F56" s="2">
        <v>120</v>
      </c>
      <c r="G56" s="2">
        <v>515</v>
      </c>
      <c r="H56" s="2">
        <v>767</v>
      </c>
      <c r="I56" s="2">
        <v>449</v>
      </c>
      <c r="J56" s="2">
        <v>81</v>
      </c>
      <c r="K56" s="2">
        <v>1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168</v>
      </c>
    </row>
    <row r="61" spans="4:11" ht="17.649999999999999" x14ac:dyDescent="0.5">
      <c r="D61" s="3" t="s">
        <v>169</v>
      </c>
    </row>
    <row r="62" spans="4:11" ht="17.649999999999999" x14ac:dyDescent="0.5">
      <c r="D62" s="3" t="s">
        <v>83</v>
      </c>
    </row>
    <row r="63" spans="4:11" ht="17.649999999999999" x14ac:dyDescent="0.5">
      <c r="D63" s="3" t="s">
        <v>66</v>
      </c>
    </row>
    <row r="64" spans="4:11" ht="17.649999999999999" x14ac:dyDescent="0.5">
      <c r="D64" s="3" t="s">
        <v>83</v>
      </c>
    </row>
    <row r="65" spans="4:4" ht="17.649999999999999" x14ac:dyDescent="0.5">
      <c r="D65" s="3" t="s">
        <v>98</v>
      </c>
    </row>
    <row r="66" spans="4:4" ht="17.649999999999999" x14ac:dyDescent="0.5">
      <c r="D66" s="3" t="s">
        <v>88</v>
      </c>
    </row>
    <row r="67" spans="4:4" ht="17.649999999999999" x14ac:dyDescent="0.5">
      <c r="D67" s="3" t="s">
        <v>116</v>
      </c>
    </row>
    <row r="68" spans="4:4" ht="17.649999999999999" x14ac:dyDescent="0.5">
      <c r="D68" s="3" t="s">
        <v>63</v>
      </c>
    </row>
    <row r="69" spans="4:4" ht="17.649999999999999" x14ac:dyDescent="0.5">
      <c r="D69" s="3" t="s">
        <v>68</v>
      </c>
    </row>
    <row r="70" spans="4:4" ht="17.649999999999999" x14ac:dyDescent="0.5">
      <c r="D70" s="3" t="s">
        <v>71</v>
      </c>
    </row>
    <row r="71" spans="4:4" ht="17.649999999999999" x14ac:dyDescent="0.5">
      <c r="D71" s="3" t="s">
        <v>118</v>
      </c>
    </row>
    <row r="72" spans="4:4" ht="17.649999999999999" x14ac:dyDescent="0.5">
      <c r="D72" s="3" t="s">
        <v>101</v>
      </c>
    </row>
    <row r="73" spans="4:4" ht="17.649999999999999" x14ac:dyDescent="0.5">
      <c r="D73" s="3" t="s">
        <v>117</v>
      </c>
    </row>
    <row r="74" spans="4:4" ht="17.649999999999999" x14ac:dyDescent="0.5">
      <c r="D74" s="3" t="s">
        <v>118</v>
      </c>
    </row>
    <row r="75" spans="4:4" ht="17.649999999999999" x14ac:dyDescent="0.5">
      <c r="D75" s="3" t="s">
        <v>91</v>
      </c>
    </row>
    <row r="76" spans="4:4" ht="17.649999999999999" x14ac:dyDescent="0.5">
      <c r="D76" s="3" t="s">
        <v>80</v>
      </c>
    </row>
    <row r="77" spans="4:4" ht="17.649999999999999" x14ac:dyDescent="0.5">
      <c r="D77" s="3" t="s">
        <v>44</v>
      </c>
    </row>
    <row r="78" spans="4:4" ht="17.649999999999999" x14ac:dyDescent="0.5">
      <c r="D78" s="3" t="s">
        <v>90</v>
      </c>
    </row>
    <row r="79" spans="4:4" ht="17.649999999999999" x14ac:dyDescent="0.5">
      <c r="D79" s="3" t="s">
        <v>63</v>
      </c>
    </row>
    <row r="80" spans="4:4" ht="17.649999999999999" x14ac:dyDescent="0.5">
      <c r="D80" s="3" t="s">
        <v>120</v>
      </c>
    </row>
    <row r="81" spans="4:4" ht="17.649999999999999" x14ac:dyDescent="0.5">
      <c r="D81" s="3" t="s">
        <v>115</v>
      </c>
    </row>
    <row r="82" spans="4:4" ht="17.649999999999999" x14ac:dyDescent="0.5">
      <c r="D82" s="3" t="s">
        <v>105</v>
      </c>
    </row>
    <row r="83" spans="4:4" ht="17.649999999999999" x14ac:dyDescent="0.5">
      <c r="D83" s="3" t="s">
        <v>64</v>
      </c>
    </row>
    <row r="84" spans="4:4" ht="17.649999999999999" x14ac:dyDescent="0.5">
      <c r="D84" s="3" t="s">
        <v>132</v>
      </c>
    </row>
    <row r="85" spans="4:4" ht="17.649999999999999" x14ac:dyDescent="0.5">
      <c r="D85" s="3" t="s">
        <v>47</v>
      </c>
    </row>
    <row r="86" spans="4:4" ht="17.649999999999999" x14ac:dyDescent="0.5">
      <c r="D86" s="3" t="s">
        <v>170</v>
      </c>
    </row>
    <row r="87" spans="4:4" ht="17.649999999999999" x14ac:dyDescent="0.5">
      <c r="D87" s="3" t="s">
        <v>112</v>
      </c>
    </row>
    <row r="88" spans="4:4" ht="17.649999999999999" x14ac:dyDescent="0.5">
      <c r="D88" s="3" t="s">
        <v>74</v>
      </c>
    </row>
    <row r="89" spans="4:4" ht="17.649999999999999" x14ac:dyDescent="0.5">
      <c r="D89" s="3" t="s">
        <v>85</v>
      </c>
    </row>
    <row r="90" spans="4:4" ht="17.649999999999999" x14ac:dyDescent="0.5">
      <c r="D90" s="3" t="s">
        <v>115</v>
      </c>
    </row>
    <row r="91" spans="4:4" ht="17.649999999999999" x14ac:dyDescent="0.5">
      <c r="D91" s="3" t="s">
        <v>171</v>
      </c>
    </row>
    <row r="92" spans="4:4" ht="17.649999999999999" x14ac:dyDescent="0.5">
      <c r="D92" s="3" t="s">
        <v>50</v>
      </c>
    </row>
    <row r="93" spans="4:4" ht="17.649999999999999" x14ac:dyDescent="0.5">
      <c r="D93" s="3" t="s">
        <v>52</v>
      </c>
    </row>
    <row r="94" spans="4:4" ht="17.649999999999999" x14ac:dyDescent="0.5">
      <c r="D94" s="3" t="s">
        <v>74</v>
      </c>
    </row>
    <row r="95" spans="4:4" ht="17.649999999999999" x14ac:dyDescent="0.5">
      <c r="D95" s="3" t="s">
        <v>83</v>
      </c>
    </row>
    <row r="96" spans="4:4" ht="17.649999999999999" x14ac:dyDescent="0.5">
      <c r="D96" s="3" t="s">
        <v>90</v>
      </c>
    </row>
    <row r="97" spans="4:4" ht="17.649999999999999" x14ac:dyDescent="0.5">
      <c r="D97" s="3" t="s">
        <v>69</v>
      </c>
    </row>
    <row r="98" spans="4:4" ht="17.649999999999999" x14ac:dyDescent="0.5">
      <c r="D98" s="3" t="s">
        <v>115</v>
      </c>
    </row>
    <row r="99" spans="4:4" ht="17.649999999999999" x14ac:dyDescent="0.5">
      <c r="D99" s="3" t="s">
        <v>107</v>
      </c>
    </row>
    <row r="100" spans="4:4" ht="17.649999999999999" x14ac:dyDescent="0.5">
      <c r="D100" s="3" t="s">
        <v>69</v>
      </c>
    </row>
    <row r="101" spans="4:4" ht="17.649999999999999" x14ac:dyDescent="0.5">
      <c r="D101" s="3" t="s">
        <v>83</v>
      </c>
    </row>
    <row r="102" spans="4:4" ht="17.649999999999999" x14ac:dyDescent="0.5">
      <c r="D102" s="3" t="s">
        <v>172</v>
      </c>
    </row>
    <row r="103" spans="4:4" ht="17.649999999999999" x14ac:dyDescent="0.5">
      <c r="D103" s="3" t="s">
        <v>91</v>
      </c>
    </row>
    <row r="104" spans="4:4" ht="17.649999999999999" x14ac:dyDescent="0.5">
      <c r="D104" s="3" t="s">
        <v>41</v>
      </c>
    </row>
    <row r="105" spans="4:4" ht="17.649999999999999" x14ac:dyDescent="0.5">
      <c r="D105" s="3" t="s">
        <v>114</v>
      </c>
    </row>
    <row r="106" spans="4:4" ht="17.649999999999999" x14ac:dyDescent="0.5">
      <c r="D106" s="3" t="s">
        <v>173</v>
      </c>
    </row>
    <row r="107" spans="4:4" ht="17.649999999999999" x14ac:dyDescent="0.5">
      <c r="D107" s="3" t="s">
        <v>56</v>
      </c>
    </row>
    <row r="108" spans="4:4" ht="17.649999999999999" x14ac:dyDescent="0.5">
      <c r="D108" s="3" t="s">
        <v>101</v>
      </c>
    </row>
    <row r="109" spans="4:4" ht="17.649999999999999" x14ac:dyDescent="0.5">
      <c r="D109" s="3" t="s">
        <v>96</v>
      </c>
    </row>
    <row r="110" spans="4:4" ht="17.649999999999999" x14ac:dyDescent="0.5">
      <c r="D110" s="3" t="s">
        <v>42</v>
      </c>
    </row>
    <row r="111" spans="4:4" ht="17.649999999999999" x14ac:dyDescent="0.5">
      <c r="D111" s="3" t="s">
        <v>107</v>
      </c>
    </row>
    <row r="112" spans="4:4" ht="17.649999999999999" x14ac:dyDescent="0.5">
      <c r="D112" s="3" t="s">
        <v>47</v>
      </c>
    </row>
    <row r="113" spans="4:4" ht="17.649999999999999" x14ac:dyDescent="0.5">
      <c r="D113" s="3" t="s">
        <v>68</v>
      </c>
    </row>
    <row r="114" spans="4:4" ht="17.649999999999999" x14ac:dyDescent="0.5">
      <c r="D114" s="3" t="s">
        <v>73</v>
      </c>
    </row>
    <row r="115" spans="4:4" ht="17.649999999999999" x14ac:dyDescent="0.5">
      <c r="D115" s="3" t="s">
        <v>50</v>
      </c>
    </row>
    <row r="116" spans="4:4" ht="17.649999999999999" x14ac:dyDescent="0.5">
      <c r="D116" s="3" t="s">
        <v>52</v>
      </c>
    </row>
    <row r="117" spans="4:4" ht="17.649999999999999" x14ac:dyDescent="0.5">
      <c r="D117" s="3" t="s">
        <v>61</v>
      </c>
    </row>
    <row r="118" spans="4:4" ht="17.649999999999999" x14ac:dyDescent="0.5">
      <c r="D118" s="3" t="s">
        <v>174</v>
      </c>
    </row>
    <row r="119" spans="4:4" ht="17.649999999999999" x14ac:dyDescent="0.5">
      <c r="D119" s="3" t="s">
        <v>103</v>
      </c>
    </row>
    <row r="120" spans="4:4" ht="17.649999999999999" x14ac:dyDescent="0.5">
      <c r="D120" s="3" t="s">
        <v>112</v>
      </c>
    </row>
    <row r="121" spans="4:4" ht="17.649999999999999" x14ac:dyDescent="0.5">
      <c r="D121" s="3" t="s">
        <v>96</v>
      </c>
    </row>
    <row r="122" spans="4:4" ht="17.649999999999999" x14ac:dyDescent="0.5">
      <c r="D122" s="3" t="s">
        <v>75</v>
      </c>
    </row>
    <row r="123" spans="4:4" ht="17.649999999999999" x14ac:dyDescent="0.5">
      <c r="D123" s="3" t="s">
        <v>175</v>
      </c>
    </row>
    <row r="124" spans="4:4" ht="17.649999999999999" x14ac:dyDescent="0.5">
      <c r="D124" s="3" t="s">
        <v>56</v>
      </c>
    </row>
    <row r="125" spans="4:4" ht="17.649999999999999" x14ac:dyDescent="0.5">
      <c r="D125" s="3" t="s">
        <v>134</v>
      </c>
    </row>
    <row r="126" spans="4:4" ht="17.649999999999999" x14ac:dyDescent="0.5">
      <c r="D126" s="3" t="s">
        <v>83</v>
      </c>
    </row>
    <row r="127" spans="4:4" ht="17.649999999999999" x14ac:dyDescent="0.5">
      <c r="D127" s="3" t="s">
        <v>126</v>
      </c>
    </row>
    <row r="128" spans="4:4" ht="17.649999999999999" x14ac:dyDescent="0.5">
      <c r="D128" s="3" t="s">
        <v>57</v>
      </c>
    </row>
    <row r="129" spans="4:4" ht="17.649999999999999" x14ac:dyDescent="0.5">
      <c r="D129" s="3" t="s">
        <v>90</v>
      </c>
    </row>
    <row r="130" spans="4:4" ht="17.649999999999999" x14ac:dyDescent="0.5">
      <c r="D130" s="3" t="s">
        <v>105</v>
      </c>
    </row>
    <row r="131" spans="4:4" ht="17.649999999999999" x14ac:dyDescent="0.5">
      <c r="D131" s="3" t="s">
        <v>49</v>
      </c>
    </row>
    <row r="132" spans="4:4" ht="17.649999999999999" x14ac:dyDescent="0.5">
      <c r="D132" s="3" t="s">
        <v>67</v>
      </c>
    </row>
    <row r="133" spans="4:4" ht="17.649999999999999" x14ac:dyDescent="0.5">
      <c r="D133" s="3" t="s">
        <v>71</v>
      </c>
    </row>
    <row r="134" spans="4:4" ht="17.649999999999999" x14ac:dyDescent="0.5">
      <c r="D134" s="3" t="s">
        <v>51</v>
      </c>
    </row>
    <row r="135" spans="4:4" ht="17.649999999999999" x14ac:dyDescent="0.5">
      <c r="D135" s="3" t="s">
        <v>56</v>
      </c>
    </row>
    <row r="136" spans="4:4" ht="17.649999999999999" x14ac:dyDescent="0.5">
      <c r="D136" s="3" t="s">
        <v>98</v>
      </c>
    </row>
    <row r="137" spans="4:4" ht="17.649999999999999" x14ac:dyDescent="0.5">
      <c r="D137" s="3" t="s">
        <v>113</v>
      </c>
    </row>
    <row r="138" spans="4:4" ht="17.649999999999999" x14ac:dyDescent="0.5">
      <c r="D138" s="3" t="s">
        <v>53</v>
      </c>
    </row>
    <row r="139" spans="4:4" ht="17.649999999999999" x14ac:dyDescent="0.5">
      <c r="D139" s="3" t="s">
        <v>73</v>
      </c>
    </row>
    <row r="140" spans="4:4" ht="17.649999999999999" x14ac:dyDescent="0.5">
      <c r="D140" s="3" t="s">
        <v>74</v>
      </c>
    </row>
    <row r="141" spans="4:4" ht="17.649999999999999" x14ac:dyDescent="0.5">
      <c r="D141" s="3" t="s">
        <v>59</v>
      </c>
    </row>
    <row r="142" spans="4:4" ht="17.649999999999999" x14ac:dyDescent="0.5">
      <c r="D142" s="3" t="s">
        <v>135</v>
      </c>
    </row>
    <row r="143" spans="4:4" ht="17.649999999999999" x14ac:dyDescent="0.5">
      <c r="D143" s="3" t="s">
        <v>65</v>
      </c>
    </row>
    <row r="144" spans="4:4" ht="17.649999999999999" x14ac:dyDescent="0.5">
      <c r="D144" s="3" t="s">
        <v>75</v>
      </c>
    </row>
    <row r="145" spans="4:4" ht="17.649999999999999" x14ac:dyDescent="0.5">
      <c r="D145" s="3" t="s">
        <v>44</v>
      </c>
    </row>
    <row r="146" spans="4:4" ht="17.649999999999999" x14ac:dyDescent="0.5">
      <c r="D146" s="3" t="s">
        <v>103</v>
      </c>
    </row>
    <row r="147" spans="4:4" ht="17.649999999999999" x14ac:dyDescent="0.5">
      <c r="D147" s="3" t="s">
        <v>101</v>
      </c>
    </row>
    <row r="148" spans="4:4" ht="17.649999999999999" x14ac:dyDescent="0.5">
      <c r="D148" s="3" t="s">
        <v>74</v>
      </c>
    </row>
    <row r="149" spans="4:4" ht="17.649999999999999" x14ac:dyDescent="0.5">
      <c r="D149" s="3" t="s">
        <v>90</v>
      </c>
    </row>
    <row r="150" spans="4:4" ht="17.649999999999999" x14ac:dyDescent="0.5">
      <c r="D150" s="3" t="s">
        <v>44</v>
      </c>
    </row>
    <row r="151" spans="4:4" ht="17.649999999999999" x14ac:dyDescent="0.5">
      <c r="D151" s="3" t="s">
        <v>103</v>
      </c>
    </row>
    <row r="152" spans="4:4" ht="17.649999999999999" x14ac:dyDescent="0.5">
      <c r="D152" s="3" t="s">
        <v>176</v>
      </c>
    </row>
    <row r="153" spans="4:4" ht="17.649999999999999" x14ac:dyDescent="0.5">
      <c r="D153" s="3" t="s">
        <v>48</v>
      </c>
    </row>
    <row r="154" spans="4:4" ht="17.649999999999999" x14ac:dyDescent="0.5">
      <c r="D154" s="3" t="s">
        <v>79</v>
      </c>
    </row>
    <row r="155" spans="4:4" ht="17.649999999999999" x14ac:dyDescent="0.5">
      <c r="D155" s="3" t="s">
        <v>91</v>
      </c>
    </row>
    <row r="156" spans="4:4" ht="17.649999999999999" x14ac:dyDescent="0.5">
      <c r="D156" s="3" t="s">
        <v>48</v>
      </c>
    </row>
    <row r="157" spans="4:4" ht="17.649999999999999" x14ac:dyDescent="0.5">
      <c r="D157" s="3" t="s">
        <v>177</v>
      </c>
    </row>
    <row r="158" spans="4:4" ht="17.649999999999999" x14ac:dyDescent="0.5">
      <c r="D158" s="3" t="s">
        <v>178</v>
      </c>
    </row>
    <row r="159" spans="4:4" ht="17.649999999999999" x14ac:dyDescent="0.5">
      <c r="D159" s="3" t="s">
        <v>96</v>
      </c>
    </row>
    <row r="160" spans="4:4" ht="17.649999999999999" x14ac:dyDescent="0.5">
      <c r="D160" s="3" t="s">
        <v>93</v>
      </c>
    </row>
    <row r="161" spans="4:4" ht="17.649999999999999" x14ac:dyDescent="0.5">
      <c r="D161" s="3" t="s">
        <v>96</v>
      </c>
    </row>
    <row r="162" spans="4:4" ht="17.649999999999999" x14ac:dyDescent="0.5">
      <c r="D162" s="3" t="s">
        <v>179</v>
      </c>
    </row>
    <row r="163" spans="4:4" ht="17.649999999999999" x14ac:dyDescent="0.5">
      <c r="D163" s="3" t="s">
        <v>89</v>
      </c>
    </row>
    <row r="164" spans="4:4" ht="17.649999999999999" x14ac:dyDescent="0.5">
      <c r="D164" s="3" t="s">
        <v>85</v>
      </c>
    </row>
    <row r="165" spans="4:4" ht="17.649999999999999" x14ac:dyDescent="0.5">
      <c r="D165" s="3" t="s">
        <v>75</v>
      </c>
    </row>
    <row r="166" spans="4:4" ht="17.649999999999999" x14ac:dyDescent="0.5">
      <c r="D166" s="3" t="s">
        <v>104</v>
      </c>
    </row>
    <row r="167" spans="4:4" ht="17.649999999999999" x14ac:dyDescent="0.5">
      <c r="D167" s="3" t="s">
        <v>180</v>
      </c>
    </row>
    <row r="168" spans="4:4" ht="17.649999999999999" x14ac:dyDescent="0.5">
      <c r="D168" s="3" t="s">
        <v>90</v>
      </c>
    </row>
    <row r="169" spans="4:4" ht="17.649999999999999" x14ac:dyDescent="0.5">
      <c r="D169" s="3" t="s">
        <v>181</v>
      </c>
    </row>
    <row r="170" spans="4:4" ht="17.649999999999999" x14ac:dyDescent="0.5">
      <c r="D170" s="3" t="s">
        <v>182</v>
      </c>
    </row>
    <row r="171" spans="4:4" ht="17.649999999999999" x14ac:dyDescent="0.5">
      <c r="D171" s="3" t="s">
        <v>91</v>
      </c>
    </row>
    <row r="172" spans="4:4" ht="17.649999999999999" x14ac:dyDescent="0.5">
      <c r="D172" s="3" t="s">
        <v>83</v>
      </c>
    </row>
    <row r="173" spans="4:4" ht="17.649999999999999" x14ac:dyDescent="0.5">
      <c r="D173" s="3" t="s">
        <v>54</v>
      </c>
    </row>
    <row r="174" spans="4:4" ht="17.649999999999999" x14ac:dyDescent="0.5">
      <c r="D174" s="3" t="s">
        <v>183</v>
      </c>
    </row>
    <row r="175" spans="4:4" ht="17.649999999999999" x14ac:dyDescent="0.5">
      <c r="D175" s="3" t="s">
        <v>184</v>
      </c>
    </row>
    <row r="176" spans="4:4" ht="17.649999999999999" x14ac:dyDescent="0.5">
      <c r="D176" s="3" t="s">
        <v>185</v>
      </c>
    </row>
    <row r="177" spans="4:4" ht="17.649999999999999" x14ac:dyDescent="0.5">
      <c r="D177" s="3" t="s">
        <v>76</v>
      </c>
    </row>
    <row r="178" spans="4:4" ht="17.649999999999999" x14ac:dyDescent="0.5">
      <c r="D178" s="3" t="s">
        <v>46</v>
      </c>
    </row>
    <row r="179" spans="4:4" ht="17.649999999999999" x14ac:dyDescent="0.5">
      <c r="D179" s="3" t="s">
        <v>50</v>
      </c>
    </row>
    <row r="180" spans="4:4" ht="17.649999999999999" x14ac:dyDescent="0.5">
      <c r="D180" s="3" t="s">
        <v>186</v>
      </c>
    </row>
    <row r="181" spans="4:4" ht="17.649999999999999" x14ac:dyDescent="0.5">
      <c r="D181" s="3" t="s">
        <v>67</v>
      </c>
    </row>
    <row r="182" spans="4:4" ht="17.649999999999999" x14ac:dyDescent="0.5">
      <c r="D182" s="3" t="s">
        <v>187</v>
      </c>
    </row>
    <row r="183" spans="4:4" ht="17.649999999999999" x14ac:dyDescent="0.5">
      <c r="D183" s="3" t="s">
        <v>188</v>
      </c>
    </row>
    <row r="184" spans="4:4" ht="17.649999999999999" x14ac:dyDescent="0.5">
      <c r="D184" s="3" t="s">
        <v>105</v>
      </c>
    </row>
    <row r="185" spans="4:4" ht="17.649999999999999" x14ac:dyDescent="0.5">
      <c r="D185" s="3" t="s">
        <v>61</v>
      </c>
    </row>
    <row r="186" spans="4:4" ht="17.649999999999999" x14ac:dyDescent="0.5">
      <c r="D186" s="3" t="s">
        <v>189</v>
      </c>
    </row>
    <row r="187" spans="4:4" ht="17.649999999999999" x14ac:dyDescent="0.5">
      <c r="D187" s="3" t="s">
        <v>66</v>
      </c>
    </row>
    <row r="188" spans="4:4" ht="17.649999999999999" x14ac:dyDescent="0.5">
      <c r="D188" s="3" t="s">
        <v>49</v>
      </c>
    </row>
    <row r="189" spans="4:4" ht="17.649999999999999" x14ac:dyDescent="0.5">
      <c r="D189" s="3" t="s">
        <v>108</v>
      </c>
    </row>
    <row r="190" spans="4:4" ht="17.649999999999999" x14ac:dyDescent="0.5">
      <c r="D190" s="3" t="s">
        <v>51</v>
      </c>
    </row>
    <row r="191" spans="4:4" ht="17.649999999999999" x14ac:dyDescent="0.5">
      <c r="D191" s="3" t="s">
        <v>66</v>
      </c>
    </row>
    <row r="192" spans="4:4" ht="17.649999999999999" x14ac:dyDescent="0.5">
      <c r="D192" s="3" t="s">
        <v>63</v>
      </c>
    </row>
    <row r="193" spans="4:4" ht="17.649999999999999" x14ac:dyDescent="0.5">
      <c r="D193" s="3" t="s">
        <v>87</v>
      </c>
    </row>
    <row r="194" spans="4:4" ht="17.649999999999999" x14ac:dyDescent="0.5">
      <c r="D194" s="3" t="s">
        <v>101</v>
      </c>
    </row>
    <row r="195" spans="4:4" ht="17.649999999999999" x14ac:dyDescent="0.5">
      <c r="D195" s="3" t="s">
        <v>117</v>
      </c>
    </row>
    <row r="196" spans="4:4" ht="17.649999999999999" x14ac:dyDescent="0.5">
      <c r="D196" s="3" t="s">
        <v>61</v>
      </c>
    </row>
    <row r="197" spans="4:4" ht="17.649999999999999" x14ac:dyDescent="0.5">
      <c r="D197" s="3" t="s">
        <v>190</v>
      </c>
    </row>
    <row r="198" spans="4:4" ht="17.649999999999999" x14ac:dyDescent="0.5">
      <c r="D198" s="3" t="s">
        <v>133</v>
      </c>
    </row>
    <row r="199" spans="4:4" ht="17.649999999999999" x14ac:dyDescent="0.5">
      <c r="D199" s="3" t="s">
        <v>75</v>
      </c>
    </row>
    <row r="200" spans="4:4" ht="17.649999999999999" x14ac:dyDescent="0.5">
      <c r="D200" s="3" t="s">
        <v>41</v>
      </c>
    </row>
    <row r="201" spans="4:4" ht="17.649999999999999" x14ac:dyDescent="0.5">
      <c r="D201" s="3" t="s">
        <v>91</v>
      </c>
    </row>
    <row r="202" spans="4:4" ht="17.649999999999999" x14ac:dyDescent="0.5">
      <c r="D202" s="3" t="s">
        <v>191</v>
      </c>
    </row>
    <row r="203" spans="4:4" ht="17.649999999999999" x14ac:dyDescent="0.5">
      <c r="D203" s="3" t="s">
        <v>45</v>
      </c>
    </row>
    <row r="204" spans="4:4" ht="17.649999999999999" x14ac:dyDescent="0.5">
      <c r="D204" s="3" t="s">
        <v>73</v>
      </c>
    </row>
    <row r="205" spans="4:4" ht="17.649999999999999" x14ac:dyDescent="0.5">
      <c r="D205" s="3" t="s">
        <v>101</v>
      </c>
    </row>
    <row r="206" spans="4:4" ht="17.649999999999999" x14ac:dyDescent="0.5">
      <c r="D206" s="3" t="s">
        <v>192</v>
      </c>
    </row>
    <row r="207" spans="4:4" ht="17.649999999999999" x14ac:dyDescent="0.5">
      <c r="D207" s="3" t="s">
        <v>66</v>
      </c>
    </row>
    <row r="208" spans="4:4" ht="17.649999999999999" x14ac:dyDescent="0.5">
      <c r="D208" s="3" t="s">
        <v>55</v>
      </c>
    </row>
    <row r="209" spans="4:4" ht="17.649999999999999" x14ac:dyDescent="0.5">
      <c r="D209" s="3" t="s">
        <v>66</v>
      </c>
    </row>
    <row r="210" spans="4:4" ht="17.649999999999999" x14ac:dyDescent="0.5">
      <c r="D210" s="3" t="s">
        <v>90</v>
      </c>
    </row>
    <row r="211" spans="4:4" ht="17.649999999999999" x14ac:dyDescent="0.5">
      <c r="D211" s="3" t="s">
        <v>193</v>
      </c>
    </row>
    <row r="212" spans="4:4" ht="17.649999999999999" x14ac:dyDescent="0.5">
      <c r="D212" s="3" t="s">
        <v>103</v>
      </c>
    </row>
    <row r="213" spans="4:4" ht="17.649999999999999" x14ac:dyDescent="0.5">
      <c r="D213" s="3" t="s">
        <v>44</v>
      </c>
    </row>
    <row r="214" spans="4:4" ht="17.649999999999999" x14ac:dyDescent="0.5">
      <c r="D214" s="3" t="s">
        <v>194</v>
      </c>
    </row>
    <row r="215" spans="4:4" ht="17.649999999999999" x14ac:dyDescent="0.5">
      <c r="D215" s="3" t="s">
        <v>77</v>
      </c>
    </row>
    <row r="216" spans="4:4" ht="17.649999999999999" x14ac:dyDescent="0.5">
      <c r="D216" s="3" t="s">
        <v>59</v>
      </c>
    </row>
    <row r="217" spans="4:4" ht="17.649999999999999" x14ac:dyDescent="0.5">
      <c r="D217" s="3" t="s">
        <v>55</v>
      </c>
    </row>
    <row r="218" spans="4:4" ht="17.649999999999999" x14ac:dyDescent="0.5">
      <c r="D218" s="3" t="s">
        <v>65</v>
      </c>
    </row>
    <row r="219" spans="4:4" ht="17.649999999999999" x14ac:dyDescent="0.5">
      <c r="D219" s="3" t="s">
        <v>195</v>
      </c>
    </row>
    <row r="220" spans="4:4" ht="17.649999999999999" x14ac:dyDescent="0.5">
      <c r="D220" s="3" t="s">
        <v>69</v>
      </c>
    </row>
    <row r="221" spans="4:4" ht="17.649999999999999" x14ac:dyDescent="0.5">
      <c r="D221" s="3" t="s">
        <v>98</v>
      </c>
    </row>
    <row r="222" spans="4:4" ht="17.649999999999999" x14ac:dyDescent="0.5">
      <c r="D222" s="3" t="s">
        <v>51</v>
      </c>
    </row>
    <row r="223" spans="4:4" ht="17.649999999999999" x14ac:dyDescent="0.5">
      <c r="D223" s="3" t="s">
        <v>56</v>
      </c>
    </row>
    <row r="224" spans="4:4" ht="17.649999999999999" x14ac:dyDescent="0.5">
      <c r="D224" s="3" t="s">
        <v>67</v>
      </c>
    </row>
    <row r="225" spans="4:4" ht="17.649999999999999" x14ac:dyDescent="0.5">
      <c r="D225" s="3" t="s">
        <v>103</v>
      </c>
    </row>
    <row r="226" spans="4:4" ht="17.649999999999999" x14ac:dyDescent="0.5">
      <c r="D226" s="3" t="s">
        <v>196</v>
      </c>
    </row>
    <row r="227" spans="4:4" ht="17.649999999999999" x14ac:dyDescent="0.5">
      <c r="D227" s="3" t="s">
        <v>82</v>
      </c>
    </row>
    <row r="228" spans="4:4" ht="17.649999999999999" x14ac:dyDescent="0.5">
      <c r="D228" s="3" t="s">
        <v>197</v>
      </c>
    </row>
    <row r="229" spans="4:4" ht="17.649999999999999" x14ac:dyDescent="0.5">
      <c r="D229" s="3" t="s">
        <v>41</v>
      </c>
    </row>
    <row r="230" spans="4:4" ht="17.649999999999999" x14ac:dyDescent="0.5">
      <c r="D230" s="3" t="s">
        <v>198</v>
      </c>
    </row>
    <row r="231" spans="4:4" ht="17.649999999999999" x14ac:dyDescent="0.5">
      <c r="D231" s="3" t="s">
        <v>199</v>
      </c>
    </row>
    <row r="232" spans="4:4" ht="17.649999999999999" x14ac:dyDescent="0.5">
      <c r="D232" s="3" t="s">
        <v>59</v>
      </c>
    </row>
    <row r="233" spans="4:4" ht="17.649999999999999" x14ac:dyDescent="0.5">
      <c r="D233" s="3" t="s">
        <v>200</v>
      </c>
    </row>
    <row r="234" spans="4:4" ht="17.649999999999999" x14ac:dyDescent="0.5">
      <c r="D234" s="3" t="s">
        <v>50</v>
      </c>
    </row>
    <row r="235" spans="4:4" ht="17.649999999999999" x14ac:dyDescent="0.5">
      <c r="D235" s="3" t="s">
        <v>201</v>
      </c>
    </row>
    <row r="236" spans="4:4" ht="17.649999999999999" x14ac:dyDescent="0.5">
      <c r="D236" s="3" t="s">
        <v>202</v>
      </c>
    </row>
    <row r="237" spans="4:4" ht="17.649999999999999" x14ac:dyDescent="0.5">
      <c r="D237" s="3" t="s">
        <v>83</v>
      </c>
    </row>
    <row r="238" spans="4:4" ht="17.649999999999999" x14ac:dyDescent="0.5">
      <c r="D238" s="3" t="s">
        <v>203</v>
      </c>
    </row>
    <row r="239" spans="4:4" ht="17.649999999999999" x14ac:dyDescent="0.5">
      <c r="D239" s="3" t="s">
        <v>96</v>
      </c>
    </row>
    <row r="240" spans="4:4" ht="17.649999999999999" x14ac:dyDescent="0.5">
      <c r="D240" s="3" t="s">
        <v>133</v>
      </c>
    </row>
    <row r="241" spans="4:4" ht="17.649999999999999" x14ac:dyDescent="0.5">
      <c r="D241" s="3" t="s">
        <v>59</v>
      </c>
    </row>
    <row r="242" spans="4:4" ht="17.649999999999999" x14ac:dyDescent="0.5">
      <c r="D242" s="3" t="s">
        <v>80</v>
      </c>
    </row>
    <row r="243" spans="4:4" ht="17.649999999999999" x14ac:dyDescent="0.5">
      <c r="D243" s="3" t="s">
        <v>55</v>
      </c>
    </row>
    <row r="244" spans="4:4" ht="17.649999999999999" x14ac:dyDescent="0.5">
      <c r="D244" s="3" t="s">
        <v>43</v>
      </c>
    </row>
    <row r="245" spans="4:4" ht="17.649999999999999" x14ac:dyDescent="0.5">
      <c r="D245" s="3" t="s">
        <v>116</v>
      </c>
    </row>
    <row r="246" spans="4:4" ht="17.649999999999999" x14ac:dyDescent="0.5">
      <c r="D246" s="3" t="s">
        <v>112</v>
      </c>
    </row>
    <row r="247" spans="4:4" ht="17.649999999999999" x14ac:dyDescent="0.5">
      <c r="D247" s="3" t="s">
        <v>59</v>
      </c>
    </row>
    <row r="248" spans="4:4" ht="17.649999999999999" x14ac:dyDescent="0.5">
      <c r="D248" s="3" t="s">
        <v>97</v>
      </c>
    </row>
    <row r="249" spans="4:4" ht="17.649999999999999" x14ac:dyDescent="0.5">
      <c r="D249" s="3" t="s">
        <v>51</v>
      </c>
    </row>
    <row r="250" spans="4:4" ht="17.649999999999999" x14ac:dyDescent="0.5">
      <c r="D250" s="3" t="s">
        <v>65</v>
      </c>
    </row>
    <row r="251" spans="4:4" ht="17.649999999999999" x14ac:dyDescent="0.5">
      <c r="D251" s="3" t="s">
        <v>133</v>
      </c>
    </row>
    <row r="252" spans="4:4" ht="17.649999999999999" x14ac:dyDescent="0.5">
      <c r="D252" s="3" t="s">
        <v>46</v>
      </c>
    </row>
    <row r="253" spans="4:4" ht="17.649999999999999" x14ac:dyDescent="0.5">
      <c r="D253" s="3" t="s">
        <v>59</v>
      </c>
    </row>
    <row r="254" spans="4:4" ht="17.649999999999999" x14ac:dyDescent="0.5">
      <c r="D254" s="3" t="s">
        <v>64</v>
      </c>
    </row>
    <row r="255" spans="4:4" ht="17.649999999999999" x14ac:dyDescent="0.5">
      <c r="D255" s="3" t="s">
        <v>102</v>
      </c>
    </row>
    <row r="256" spans="4:4" ht="17.649999999999999" x14ac:dyDescent="0.5">
      <c r="D256" s="3" t="s">
        <v>65</v>
      </c>
    </row>
    <row r="257" spans="4:4" ht="17.649999999999999" x14ac:dyDescent="0.5">
      <c r="D257" s="3" t="s">
        <v>75</v>
      </c>
    </row>
    <row r="258" spans="4:4" ht="17.649999999999999" x14ac:dyDescent="0.5">
      <c r="D258" s="3" t="s">
        <v>80</v>
      </c>
    </row>
    <row r="259" spans="4:4" ht="17.649999999999999" x14ac:dyDescent="0.5">
      <c r="D259" s="3" t="s">
        <v>61</v>
      </c>
    </row>
    <row r="260" spans="4:4" ht="17.649999999999999" x14ac:dyDescent="0.5">
      <c r="D260" s="3" t="s">
        <v>68</v>
      </c>
    </row>
    <row r="261" spans="4:4" ht="17.649999999999999" x14ac:dyDescent="0.5">
      <c r="D261" s="3" t="s">
        <v>59</v>
      </c>
    </row>
    <row r="262" spans="4:4" ht="17.649999999999999" x14ac:dyDescent="0.5">
      <c r="D262" s="3" t="s">
        <v>90</v>
      </c>
    </row>
    <row r="263" spans="4:4" ht="17.649999999999999" x14ac:dyDescent="0.5">
      <c r="D263" s="3" t="s">
        <v>112</v>
      </c>
    </row>
    <row r="264" spans="4:4" ht="17.649999999999999" x14ac:dyDescent="0.5">
      <c r="D264" s="3" t="s">
        <v>71</v>
      </c>
    </row>
    <row r="265" spans="4:4" ht="17.649999999999999" x14ac:dyDescent="0.5">
      <c r="D265" s="3" t="s">
        <v>52</v>
      </c>
    </row>
    <row r="266" spans="4:4" ht="17.649999999999999" x14ac:dyDescent="0.5">
      <c r="D266" s="3" t="s">
        <v>54</v>
      </c>
    </row>
    <row r="267" spans="4:4" ht="17.649999999999999" x14ac:dyDescent="0.5">
      <c r="D267" s="3" t="s">
        <v>46</v>
      </c>
    </row>
    <row r="268" spans="4:4" ht="17.649999999999999" x14ac:dyDescent="0.5">
      <c r="D268" s="3" t="s">
        <v>43</v>
      </c>
    </row>
    <row r="269" spans="4:4" ht="17.649999999999999" x14ac:dyDescent="0.5">
      <c r="D269" s="3" t="s">
        <v>100</v>
      </c>
    </row>
    <row r="270" spans="4:4" ht="17.649999999999999" x14ac:dyDescent="0.5">
      <c r="D270" s="3" t="s">
        <v>121</v>
      </c>
    </row>
    <row r="271" spans="4:4" ht="17.649999999999999" x14ac:dyDescent="0.5">
      <c r="D271" s="3" t="s">
        <v>91</v>
      </c>
    </row>
    <row r="272" spans="4:4" ht="17.649999999999999" x14ac:dyDescent="0.5">
      <c r="D272" s="3" t="s">
        <v>115</v>
      </c>
    </row>
    <row r="273" spans="4:4" ht="17.649999999999999" x14ac:dyDescent="0.5">
      <c r="D273" s="3" t="s">
        <v>204</v>
      </c>
    </row>
    <row r="274" spans="4:4" ht="17.649999999999999" x14ac:dyDescent="0.5">
      <c r="D274" s="3" t="s">
        <v>74</v>
      </c>
    </row>
    <row r="275" spans="4:4" ht="17.649999999999999" x14ac:dyDescent="0.5">
      <c r="D275" s="3" t="s">
        <v>205</v>
      </c>
    </row>
    <row r="276" spans="4:4" ht="17.649999999999999" x14ac:dyDescent="0.5">
      <c r="D276" s="3" t="s">
        <v>61</v>
      </c>
    </row>
    <row r="277" spans="4:4" ht="17.649999999999999" x14ac:dyDescent="0.5">
      <c r="D277" s="3" t="s">
        <v>76</v>
      </c>
    </row>
    <row r="278" spans="4:4" ht="17.649999999999999" x14ac:dyDescent="0.5">
      <c r="D278" s="3" t="s">
        <v>59</v>
      </c>
    </row>
    <row r="279" spans="4:4" ht="17.649999999999999" x14ac:dyDescent="0.5">
      <c r="D279" s="3" t="s">
        <v>73</v>
      </c>
    </row>
    <row r="280" spans="4:4" ht="17.649999999999999" x14ac:dyDescent="0.5">
      <c r="D280" s="3" t="s">
        <v>206</v>
      </c>
    </row>
    <row r="281" spans="4:4" ht="17.649999999999999" x14ac:dyDescent="0.5">
      <c r="D281" s="3" t="s">
        <v>207</v>
      </c>
    </row>
    <row r="282" spans="4:4" ht="17.649999999999999" x14ac:dyDescent="0.5">
      <c r="D282" s="3" t="s">
        <v>67</v>
      </c>
    </row>
    <row r="283" spans="4:4" ht="17.649999999999999" x14ac:dyDescent="0.5">
      <c r="D283" s="3" t="s">
        <v>53</v>
      </c>
    </row>
    <row r="284" spans="4:4" ht="17.649999999999999" x14ac:dyDescent="0.5">
      <c r="D284" s="3" t="s">
        <v>208</v>
      </c>
    </row>
    <row r="285" spans="4:4" ht="17.649999999999999" x14ac:dyDescent="0.5">
      <c r="D285" s="3" t="s">
        <v>97</v>
      </c>
    </row>
    <row r="286" spans="4:4" ht="17.649999999999999" x14ac:dyDescent="0.5">
      <c r="D286" s="3" t="s">
        <v>85</v>
      </c>
    </row>
    <row r="287" spans="4:4" ht="17.649999999999999" x14ac:dyDescent="0.5">
      <c r="D287" s="3" t="s">
        <v>61</v>
      </c>
    </row>
    <row r="288" spans="4:4" ht="17.649999999999999" x14ac:dyDescent="0.5">
      <c r="D288" s="3" t="s">
        <v>41</v>
      </c>
    </row>
    <row r="289" spans="4:4" ht="17.649999999999999" x14ac:dyDescent="0.5">
      <c r="D289" s="3" t="s">
        <v>56</v>
      </c>
    </row>
    <row r="290" spans="4:4" ht="17.649999999999999" x14ac:dyDescent="0.5">
      <c r="D290" s="3" t="s">
        <v>120</v>
      </c>
    </row>
    <row r="291" spans="4:4" ht="17.649999999999999" x14ac:dyDescent="0.5">
      <c r="D291" s="3" t="s">
        <v>45</v>
      </c>
    </row>
    <row r="292" spans="4:4" ht="17.649999999999999" x14ac:dyDescent="0.5">
      <c r="D292" s="3" t="s">
        <v>53</v>
      </c>
    </row>
    <row r="293" spans="4:4" ht="17.649999999999999" x14ac:dyDescent="0.5">
      <c r="D293" s="3" t="s">
        <v>209</v>
      </c>
    </row>
    <row r="294" spans="4:4" ht="17.649999999999999" x14ac:dyDescent="0.5">
      <c r="D294" s="3" t="s">
        <v>122</v>
      </c>
    </row>
    <row r="295" spans="4:4" ht="17.649999999999999" x14ac:dyDescent="0.5">
      <c r="D295" s="3" t="s">
        <v>210</v>
      </c>
    </row>
    <row r="296" spans="4:4" ht="17.649999999999999" x14ac:dyDescent="0.5">
      <c r="D296" s="3" t="s">
        <v>54</v>
      </c>
    </row>
    <row r="297" spans="4:4" ht="17.649999999999999" x14ac:dyDescent="0.5">
      <c r="D297" s="3" t="s">
        <v>53</v>
      </c>
    </row>
    <row r="298" spans="4:4" ht="17.649999999999999" x14ac:dyDescent="0.5">
      <c r="D298" s="3" t="s">
        <v>90</v>
      </c>
    </row>
    <row r="299" spans="4:4" ht="17.649999999999999" x14ac:dyDescent="0.5">
      <c r="D299" s="3" t="s">
        <v>90</v>
      </c>
    </row>
    <row r="300" spans="4:4" ht="17.649999999999999" x14ac:dyDescent="0.5">
      <c r="D300" s="3" t="s">
        <v>93</v>
      </c>
    </row>
    <row r="301" spans="4:4" ht="17.649999999999999" x14ac:dyDescent="0.5">
      <c r="D301" s="3" t="s">
        <v>115</v>
      </c>
    </row>
    <row r="302" spans="4:4" ht="17.649999999999999" x14ac:dyDescent="0.5">
      <c r="D302" s="3" t="s">
        <v>129</v>
      </c>
    </row>
    <row r="303" spans="4:4" ht="17.649999999999999" x14ac:dyDescent="0.5">
      <c r="D303" s="3" t="s">
        <v>49</v>
      </c>
    </row>
    <row r="304" spans="4:4" ht="17.649999999999999" x14ac:dyDescent="0.5">
      <c r="D304" s="3" t="s">
        <v>211</v>
      </c>
    </row>
    <row r="305" spans="4:4" ht="17.649999999999999" x14ac:dyDescent="0.5">
      <c r="D305" s="3" t="s">
        <v>65</v>
      </c>
    </row>
    <row r="306" spans="4:4" ht="17.649999999999999" x14ac:dyDescent="0.5">
      <c r="D306" s="3" t="s">
        <v>212</v>
      </c>
    </row>
    <row r="307" spans="4:4" ht="17.649999999999999" x14ac:dyDescent="0.5">
      <c r="D307" s="3" t="s">
        <v>64</v>
      </c>
    </row>
    <row r="308" spans="4:4" ht="17.649999999999999" x14ac:dyDescent="0.5">
      <c r="D308" s="3" t="s">
        <v>98</v>
      </c>
    </row>
    <row r="309" spans="4:4" ht="17.649999999999999" x14ac:dyDescent="0.5">
      <c r="D309" s="3" t="s">
        <v>73</v>
      </c>
    </row>
    <row r="310" spans="4:4" ht="17.649999999999999" x14ac:dyDescent="0.5">
      <c r="D310" s="3" t="s">
        <v>130</v>
      </c>
    </row>
    <row r="311" spans="4:4" ht="17.649999999999999" x14ac:dyDescent="0.5">
      <c r="D311" s="3" t="s">
        <v>65</v>
      </c>
    </row>
    <row r="312" spans="4:4" ht="17.649999999999999" x14ac:dyDescent="0.5">
      <c r="D312" s="3" t="s">
        <v>59</v>
      </c>
    </row>
    <row r="313" spans="4:4" ht="17.649999999999999" x14ac:dyDescent="0.5">
      <c r="D313" s="3" t="s">
        <v>63</v>
      </c>
    </row>
    <row r="314" spans="4:4" ht="17.649999999999999" x14ac:dyDescent="0.5">
      <c r="D314" s="3" t="s">
        <v>43</v>
      </c>
    </row>
    <row r="315" spans="4:4" ht="17.649999999999999" x14ac:dyDescent="0.5">
      <c r="D315" s="3" t="s">
        <v>56</v>
      </c>
    </row>
    <row r="316" spans="4:4" ht="17.649999999999999" x14ac:dyDescent="0.5">
      <c r="D316" s="3" t="s">
        <v>114</v>
      </c>
    </row>
    <row r="317" spans="4:4" ht="17.649999999999999" x14ac:dyDescent="0.5">
      <c r="D317" s="3" t="s">
        <v>108</v>
      </c>
    </row>
    <row r="318" spans="4:4" ht="17.649999999999999" x14ac:dyDescent="0.5">
      <c r="D318" s="3" t="s">
        <v>98</v>
      </c>
    </row>
    <row r="319" spans="4:4" ht="17.649999999999999" x14ac:dyDescent="0.5">
      <c r="D319" s="3" t="s">
        <v>105</v>
      </c>
    </row>
    <row r="320" spans="4:4" ht="17.649999999999999" x14ac:dyDescent="0.5">
      <c r="D320" s="3" t="s">
        <v>60</v>
      </c>
    </row>
    <row r="321" spans="4:4" ht="17.649999999999999" x14ac:dyDescent="0.5">
      <c r="D321" s="3" t="s">
        <v>213</v>
      </c>
    </row>
    <row r="322" spans="4:4" ht="17.649999999999999" x14ac:dyDescent="0.5">
      <c r="D322" s="3" t="s">
        <v>43</v>
      </c>
    </row>
    <row r="323" spans="4:4" ht="17.649999999999999" x14ac:dyDescent="0.5">
      <c r="D323" s="3" t="s">
        <v>65</v>
      </c>
    </row>
    <row r="324" spans="4:4" ht="17.649999999999999" x14ac:dyDescent="0.5">
      <c r="D324" s="3" t="s">
        <v>134</v>
      </c>
    </row>
    <row r="325" spans="4:4" ht="17.649999999999999" x14ac:dyDescent="0.5">
      <c r="D325" s="3" t="s">
        <v>76</v>
      </c>
    </row>
    <row r="326" spans="4:4" ht="17.649999999999999" x14ac:dyDescent="0.5">
      <c r="D326" s="3" t="s">
        <v>66</v>
      </c>
    </row>
    <row r="327" spans="4:4" ht="17.649999999999999" x14ac:dyDescent="0.5">
      <c r="D327" s="3" t="s">
        <v>41</v>
      </c>
    </row>
    <row r="328" spans="4:4" ht="17.649999999999999" x14ac:dyDescent="0.5">
      <c r="D328" s="3" t="s">
        <v>127</v>
      </c>
    </row>
    <row r="329" spans="4:4" ht="17.649999999999999" x14ac:dyDescent="0.5">
      <c r="D329" s="3" t="s">
        <v>51</v>
      </c>
    </row>
    <row r="330" spans="4:4" ht="17.649999999999999" x14ac:dyDescent="0.5">
      <c r="D330" s="3" t="s">
        <v>75</v>
      </c>
    </row>
    <row r="331" spans="4:4" ht="17.649999999999999" x14ac:dyDescent="0.5">
      <c r="D331" s="3" t="s">
        <v>117</v>
      </c>
    </row>
    <row r="332" spans="4:4" ht="17.649999999999999" x14ac:dyDescent="0.5">
      <c r="D332" s="3" t="s">
        <v>214</v>
      </c>
    </row>
    <row r="333" spans="4:4" ht="17.649999999999999" x14ac:dyDescent="0.5">
      <c r="D333" s="3" t="s">
        <v>68</v>
      </c>
    </row>
    <row r="334" spans="4:4" ht="17.649999999999999" x14ac:dyDescent="0.5">
      <c r="D334" s="3" t="s">
        <v>70</v>
      </c>
    </row>
    <row r="335" spans="4:4" ht="17.649999999999999" x14ac:dyDescent="0.5">
      <c r="D335" s="3" t="s">
        <v>67</v>
      </c>
    </row>
    <row r="336" spans="4:4" ht="17.649999999999999" x14ac:dyDescent="0.5">
      <c r="D336" s="3" t="s">
        <v>53</v>
      </c>
    </row>
    <row r="337" spans="4:4" ht="17.649999999999999" x14ac:dyDescent="0.5">
      <c r="D337" s="3" t="s">
        <v>119</v>
      </c>
    </row>
    <row r="338" spans="4:4" ht="17.649999999999999" x14ac:dyDescent="0.5">
      <c r="D338" s="3" t="s">
        <v>54</v>
      </c>
    </row>
    <row r="339" spans="4:4" ht="17.649999999999999" x14ac:dyDescent="0.5">
      <c r="D339" s="3" t="s">
        <v>48</v>
      </c>
    </row>
    <row r="340" spans="4:4" ht="17.649999999999999" x14ac:dyDescent="0.5">
      <c r="D340" s="3" t="s">
        <v>98</v>
      </c>
    </row>
    <row r="341" spans="4:4" ht="17.649999999999999" x14ac:dyDescent="0.5">
      <c r="D341" s="3" t="s">
        <v>48</v>
      </c>
    </row>
    <row r="342" spans="4:4" ht="17.649999999999999" x14ac:dyDescent="0.5">
      <c r="D342" s="3" t="s">
        <v>69</v>
      </c>
    </row>
    <row r="343" spans="4:4" ht="17.649999999999999" x14ac:dyDescent="0.5">
      <c r="D343" s="3" t="s">
        <v>96</v>
      </c>
    </row>
    <row r="344" spans="4:4" ht="17.649999999999999" x14ac:dyDescent="0.5">
      <c r="D344" s="3" t="s">
        <v>93</v>
      </c>
    </row>
    <row r="345" spans="4:4" ht="17.649999999999999" x14ac:dyDescent="0.5">
      <c r="D345" s="3" t="s">
        <v>115</v>
      </c>
    </row>
    <row r="346" spans="4:4" ht="17.649999999999999" x14ac:dyDescent="0.5">
      <c r="D346" s="3" t="s">
        <v>57</v>
      </c>
    </row>
    <row r="347" spans="4:4" ht="17.649999999999999" x14ac:dyDescent="0.5">
      <c r="D347" s="3" t="s">
        <v>75</v>
      </c>
    </row>
    <row r="348" spans="4:4" ht="17.649999999999999" x14ac:dyDescent="0.5">
      <c r="D348" s="3" t="s">
        <v>53</v>
      </c>
    </row>
    <row r="349" spans="4:4" ht="17.649999999999999" x14ac:dyDescent="0.5">
      <c r="D349" s="3" t="s">
        <v>90</v>
      </c>
    </row>
    <row r="350" spans="4:4" ht="17.649999999999999" x14ac:dyDescent="0.5">
      <c r="D350" s="3" t="s">
        <v>215</v>
      </c>
    </row>
    <row r="351" spans="4:4" ht="17.649999999999999" x14ac:dyDescent="0.5">
      <c r="D351" s="3" t="s">
        <v>51</v>
      </c>
    </row>
    <row r="352" spans="4:4" ht="17.649999999999999" x14ac:dyDescent="0.5">
      <c r="D352" s="3" t="s">
        <v>74</v>
      </c>
    </row>
    <row r="353" spans="4:4" ht="17.649999999999999" x14ac:dyDescent="0.5">
      <c r="D353" s="3" t="s">
        <v>216</v>
      </c>
    </row>
    <row r="354" spans="4:4" ht="17.649999999999999" x14ac:dyDescent="0.5">
      <c r="D354" s="3" t="s">
        <v>53</v>
      </c>
    </row>
    <row r="355" spans="4:4" ht="17.649999999999999" x14ac:dyDescent="0.5">
      <c r="D355" s="3" t="s">
        <v>217</v>
      </c>
    </row>
    <row r="356" spans="4:4" ht="17.649999999999999" x14ac:dyDescent="0.5">
      <c r="D356" s="3" t="s">
        <v>41</v>
      </c>
    </row>
    <row r="357" spans="4:4" ht="17.649999999999999" x14ac:dyDescent="0.5">
      <c r="D357" s="3" t="s">
        <v>218</v>
      </c>
    </row>
    <row r="358" spans="4:4" ht="17.649999999999999" x14ac:dyDescent="0.5">
      <c r="D358" s="3" t="s">
        <v>219</v>
      </c>
    </row>
    <row r="359" spans="4:4" ht="17.649999999999999" x14ac:dyDescent="0.5">
      <c r="D359" s="3" t="s">
        <v>98</v>
      </c>
    </row>
    <row r="360" spans="4:4" ht="17.649999999999999" x14ac:dyDescent="0.5">
      <c r="D360" s="3" t="s">
        <v>220</v>
      </c>
    </row>
    <row r="361" spans="4:4" ht="17.649999999999999" x14ac:dyDescent="0.5">
      <c r="D361" s="3" t="s">
        <v>221</v>
      </c>
    </row>
    <row r="362" spans="4:4" ht="17.649999999999999" x14ac:dyDescent="0.5">
      <c r="D362" s="3" t="s">
        <v>103</v>
      </c>
    </row>
    <row r="363" spans="4:4" ht="17.649999999999999" x14ac:dyDescent="0.5">
      <c r="D363" s="3" t="s">
        <v>44</v>
      </c>
    </row>
    <row r="364" spans="4:4" ht="17.649999999999999" x14ac:dyDescent="0.5">
      <c r="D364" s="3" t="s">
        <v>130</v>
      </c>
    </row>
    <row r="365" spans="4:4" ht="17.649999999999999" x14ac:dyDescent="0.5">
      <c r="D365" s="3" t="s">
        <v>222</v>
      </c>
    </row>
    <row r="366" spans="4:4" ht="17.649999999999999" x14ac:dyDescent="0.5">
      <c r="D366" s="3" t="s">
        <v>66</v>
      </c>
    </row>
    <row r="367" spans="4:4" ht="17.649999999999999" x14ac:dyDescent="0.5">
      <c r="D367" s="3" t="s">
        <v>59</v>
      </c>
    </row>
    <row r="368" spans="4:4" ht="17.649999999999999" x14ac:dyDescent="0.5">
      <c r="D368" s="3" t="s">
        <v>223</v>
      </c>
    </row>
    <row r="369" spans="4:4" ht="17.649999999999999" x14ac:dyDescent="0.5">
      <c r="D369" s="3" t="s">
        <v>90</v>
      </c>
    </row>
    <row r="370" spans="4:4" ht="17.649999999999999" x14ac:dyDescent="0.5">
      <c r="D370" s="3" t="s">
        <v>91</v>
      </c>
    </row>
    <row r="371" spans="4:4" ht="17.649999999999999" x14ac:dyDescent="0.5">
      <c r="D371" s="3" t="s">
        <v>105</v>
      </c>
    </row>
    <row r="372" spans="4:4" ht="17.649999999999999" x14ac:dyDescent="0.5">
      <c r="D372" s="3" t="s">
        <v>106</v>
      </c>
    </row>
    <row r="373" spans="4:4" ht="17.649999999999999" x14ac:dyDescent="0.5">
      <c r="D373" s="3" t="s">
        <v>224</v>
      </c>
    </row>
    <row r="374" spans="4:4" ht="17.649999999999999" x14ac:dyDescent="0.5">
      <c r="D374" s="3" t="s">
        <v>108</v>
      </c>
    </row>
    <row r="375" spans="4:4" ht="17.649999999999999" x14ac:dyDescent="0.5">
      <c r="D375" s="3" t="s">
        <v>136</v>
      </c>
    </row>
    <row r="376" spans="4:4" ht="17.649999999999999" x14ac:dyDescent="0.5">
      <c r="D376" s="3" t="s">
        <v>72</v>
      </c>
    </row>
    <row r="377" spans="4:4" ht="17.649999999999999" x14ac:dyDescent="0.5">
      <c r="D377" s="3" t="s">
        <v>96</v>
      </c>
    </row>
    <row r="378" spans="4:4" ht="17.649999999999999" x14ac:dyDescent="0.5">
      <c r="D378" s="3" t="s">
        <v>133</v>
      </c>
    </row>
    <row r="379" spans="4:4" ht="17.649999999999999" x14ac:dyDescent="0.5">
      <c r="D379" s="3" t="s">
        <v>67</v>
      </c>
    </row>
    <row r="380" spans="4:4" ht="17.649999999999999" x14ac:dyDescent="0.5">
      <c r="D380" s="3" t="s">
        <v>44</v>
      </c>
    </row>
    <row r="381" spans="4:4" ht="17.649999999999999" x14ac:dyDescent="0.5">
      <c r="D381" s="3" t="s">
        <v>93</v>
      </c>
    </row>
    <row r="382" spans="4:4" ht="17.649999999999999" x14ac:dyDescent="0.5">
      <c r="D382" s="3" t="s">
        <v>91</v>
      </c>
    </row>
    <row r="383" spans="4:4" ht="17.649999999999999" x14ac:dyDescent="0.5">
      <c r="D383" s="3" t="s">
        <v>48</v>
      </c>
    </row>
    <row r="384" spans="4:4" ht="17.649999999999999" x14ac:dyDescent="0.5">
      <c r="D384" s="3" t="s">
        <v>77</v>
      </c>
    </row>
    <row r="385" spans="4:4" ht="17.649999999999999" x14ac:dyDescent="0.5">
      <c r="D385" s="3" t="s">
        <v>69</v>
      </c>
    </row>
    <row r="386" spans="4:4" ht="17.649999999999999" x14ac:dyDescent="0.5">
      <c r="D386" s="3" t="s">
        <v>46</v>
      </c>
    </row>
    <row r="387" spans="4:4" ht="17.649999999999999" x14ac:dyDescent="0.5">
      <c r="D387" s="3" t="s">
        <v>73</v>
      </c>
    </row>
    <row r="388" spans="4:4" ht="17.649999999999999" x14ac:dyDescent="0.5">
      <c r="D388" s="3" t="s">
        <v>48</v>
      </c>
    </row>
    <row r="389" spans="4:4" ht="17.649999999999999" x14ac:dyDescent="0.5">
      <c r="D389" s="3" t="s">
        <v>131</v>
      </c>
    </row>
    <row r="390" spans="4:4" ht="17.649999999999999" x14ac:dyDescent="0.5">
      <c r="D390" s="3" t="s">
        <v>49</v>
      </c>
    </row>
    <row r="391" spans="4:4" ht="17.649999999999999" x14ac:dyDescent="0.5">
      <c r="D391" s="3" t="s">
        <v>101</v>
      </c>
    </row>
    <row r="392" spans="4:4" ht="17.649999999999999" x14ac:dyDescent="0.5">
      <c r="D392" s="3" t="s">
        <v>117</v>
      </c>
    </row>
    <row r="393" spans="4:4" ht="17.649999999999999" x14ac:dyDescent="0.5">
      <c r="D393" s="3" t="s">
        <v>74</v>
      </c>
    </row>
    <row r="394" spans="4:4" ht="17.649999999999999" x14ac:dyDescent="0.5">
      <c r="D394" s="3" t="s">
        <v>225</v>
      </c>
    </row>
    <row r="395" spans="4:4" ht="17.649999999999999" x14ac:dyDescent="0.5">
      <c r="D395" s="3" t="s">
        <v>59</v>
      </c>
    </row>
    <row r="396" spans="4:4" ht="17.649999999999999" x14ac:dyDescent="0.5">
      <c r="D396" s="3" t="s">
        <v>94</v>
      </c>
    </row>
    <row r="397" spans="4:4" ht="17.649999999999999" x14ac:dyDescent="0.5">
      <c r="D397" s="3" t="s">
        <v>64</v>
      </c>
    </row>
    <row r="398" spans="4:4" ht="17.649999999999999" x14ac:dyDescent="0.5">
      <c r="D398" s="3" t="s">
        <v>91</v>
      </c>
    </row>
    <row r="399" spans="4:4" ht="17.649999999999999" x14ac:dyDescent="0.5">
      <c r="D399" s="3" t="s">
        <v>226</v>
      </c>
    </row>
    <row r="400" spans="4:4" ht="17.649999999999999" x14ac:dyDescent="0.5">
      <c r="D400" s="3" t="s">
        <v>227</v>
      </c>
    </row>
    <row r="401" spans="4:4" ht="17.649999999999999" x14ac:dyDescent="0.5">
      <c r="D401" s="3" t="s">
        <v>117</v>
      </c>
    </row>
    <row r="402" spans="4:4" ht="17.649999999999999" x14ac:dyDescent="0.5">
      <c r="D402" s="3" t="s">
        <v>61</v>
      </c>
    </row>
    <row r="403" spans="4:4" ht="17.649999999999999" x14ac:dyDescent="0.5">
      <c r="D403" s="3" t="s">
        <v>119</v>
      </c>
    </row>
    <row r="404" spans="4:4" ht="17.649999999999999" x14ac:dyDescent="0.5">
      <c r="D404" s="3" t="s">
        <v>228</v>
      </c>
    </row>
    <row r="405" spans="4:4" ht="17.649999999999999" x14ac:dyDescent="0.5">
      <c r="D405" s="3" t="s">
        <v>58</v>
      </c>
    </row>
    <row r="406" spans="4:4" ht="17.649999999999999" x14ac:dyDescent="0.5">
      <c r="D406" s="3" t="s">
        <v>45</v>
      </c>
    </row>
    <row r="407" spans="4:4" ht="17.649999999999999" x14ac:dyDescent="0.5">
      <c r="D407" s="3" t="s">
        <v>112</v>
      </c>
    </row>
    <row r="408" spans="4:4" ht="17.649999999999999" x14ac:dyDescent="0.5">
      <c r="D408" s="3" t="s">
        <v>43</v>
      </c>
    </row>
    <row r="409" spans="4:4" ht="17.649999999999999" x14ac:dyDescent="0.5">
      <c r="D409" s="3" t="s">
        <v>82</v>
      </c>
    </row>
    <row r="410" spans="4:4" ht="17.649999999999999" x14ac:dyDescent="0.5">
      <c r="D410" s="3" t="s">
        <v>229</v>
      </c>
    </row>
    <row r="411" spans="4:4" ht="17.649999999999999" x14ac:dyDescent="0.5">
      <c r="D411" s="3" t="s">
        <v>53</v>
      </c>
    </row>
    <row r="412" spans="4:4" ht="17.649999999999999" x14ac:dyDescent="0.5">
      <c r="D412" s="3" t="s">
        <v>111</v>
      </c>
    </row>
    <row r="413" spans="4:4" ht="17.649999999999999" x14ac:dyDescent="0.5">
      <c r="D413" s="3" t="s">
        <v>115</v>
      </c>
    </row>
    <row r="414" spans="4:4" ht="17.649999999999999" x14ac:dyDescent="0.5">
      <c r="D414" s="3" t="s">
        <v>45</v>
      </c>
    </row>
    <row r="415" spans="4:4" ht="17.649999999999999" x14ac:dyDescent="0.5">
      <c r="D415" s="3" t="s">
        <v>56</v>
      </c>
    </row>
    <row r="416" spans="4:4" ht="17.649999999999999" x14ac:dyDescent="0.5">
      <c r="D416" s="3" t="s">
        <v>130</v>
      </c>
    </row>
    <row r="417" spans="4:4" ht="17.649999999999999" x14ac:dyDescent="0.5">
      <c r="D417" s="3" t="s">
        <v>47</v>
      </c>
    </row>
    <row r="418" spans="4:4" ht="17.649999999999999" x14ac:dyDescent="0.5">
      <c r="D418" s="3" t="s">
        <v>44</v>
      </c>
    </row>
    <row r="419" spans="4:4" ht="17.649999999999999" x14ac:dyDescent="0.5">
      <c r="D419" s="3" t="s">
        <v>73</v>
      </c>
    </row>
    <row r="420" spans="4:4" ht="17.649999999999999" x14ac:dyDescent="0.5">
      <c r="D420" s="3" t="s">
        <v>95</v>
      </c>
    </row>
    <row r="421" spans="4:4" ht="17.649999999999999" x14ac:dyDescent="0.5">
      <c r="D421" s="3" t="s">
        <v>54</v>
      </c>
    </row>
    <row r="422" spans="4:4" ht="17.649999999999999" x14ac:dyDescent="0.5">
      <c r="D422" s="3" t="s">
        <v>117</v>
      </c>
    </row>
    <row r="423" spans="4:4" ht="17.649999999999999" x14ac:dyDescent="0.5">
      <c r="D423" s="3" t="s">
        <v>96</v>
      </c>
    </row>
    <row r="424" spans="4:4" ht="17.649999999999999" x14ac:dyDescent="0.5">
      <c r="D424" s="3" t="s">
        <v>129</v>
      </c>
    </row>
    <row r="425" spans="4:4" ht="17.649999999999999" x14ac:dyDescent="0.5">
      <c r="D425" s="3" t="s">
        <v>90</v>
      </c>
    </row>
    <row r="426" spans="4:4" ht="17.649999999999999" x14ac:dyDescent="0.5">
      <c r="D426" s="3" t="s">
        <v>230</v>
      </c>
    </row>
    <row r="427" spans="4:4" ht="17.649999999999999" x14ac:dyDescent="0.5">
      <c r="D427" s="3" t="s">
        <v>103</v>
      </c>
    </row>
    <row r="428" spans="4:4" ht="17.649999999999999" x14ac:dyDescent="0.5">
      <c r="D428" s="3" t="s">
        <v>91</v>
      </c>
    </row>
    <row r="429" spans="4:4" ht="17.649999999999999" x14ac:dyDescent="0.5">
      <c r="D429" s="3" t="s">
        <v>73</v>
      </c>
    </row>
    <row r="430" spans="4:4" ht="17.649999999999999" x14ac:dyDescent="0.5">
      <c r="D430" s="3" t="s">
        <v>83</v>
      </c>
    </row>
    <row r="431" spans="4:4" ht="17.649999999999999" x14ac:dyDescent="0.5">
      <c r="D431" s="3" t="s">
        <v>231</v>
      </c>
    </row>
    <row r="432" spans="4:4" ht="17.649999999999999" x14ac:dyDescent="0.5">
      <c r="D432" s="3" t="s">
        <v>89</v>
      </c>
    </row>
    <row r="433" spans="4:4" ht="17.649999999999999" x14ac:dyDescent="0.5">
      <c r="D433" s="3" t="s">
        <v>115</v>
      </c>
    </row>
    <row r="434" spans="4:4" ht="17.649999999999999" x14ac:dyDescent="0.5">
      <c r="D434" s="3" t="s">
        <v>85</v>
      </c>
    </row>
    <row r="435" spans="4:4" ht="17.649999999999999" x14ac:dyDescent="0.5">
      <c r="D435" s="3" t="s">
        <v>77</v>
      </c>
    </row>
    <row r="436" spans="4:4" ht="17.649999999999999" x14ac:dyDescent="0.5">
      <c r="D436" s="3" t="s">
        <v>114</v>
      </c>
    </row>
    <row r="437" spans="4:4" ht="17.649999999999999" x14ac:dyDescent="0.5">
      <c r="D437" s="3" t="s">
        <v>46</v>
      </c>
    </row>
    <row r="438" spans="4:4" ht="17.649999999999999" x14ac:dyDescent="0.5">
      <c r="D438" s="3" t="s">
        <v>95</v>
      </c>
    </row>
    <row r="439" spans="4:4" ht="17.649999999999999" x14ac:dyDescent="0.5">
      <c r="D439" s="3" t="s">
        <v>51</v>
      </c>
    </row>
    <row r="440" spans="4:4" ht="17.649999999999999" x14ac:dyDescent="0.5">
      <c r="D440" s="3" t="s">
        <v>105</v>
      </c>
    </row>
    <row r="441" spans="4:4" ht="17.649999999999999" x14ac:dyDescent="0.5">
      <c r="D441" s="3" t="s">
        <v>64</v>
      </c>
    </row>
    <row r="442" spans="4:4" ht="17.649999999999999" x14ac:dyDescent="0.5">
      <c r="D442" s="3" t="s">
        <v>63</v>
      </c>
    </row>
    <row r="443" spans="4:4" ht="17.649999999999999" x14ac:dyDescent="0.5">
      <c r="D443" s="3" t="s">
        <v>74</v>
      </c>
    </row>
    <row r="444" spans="4:4" ht="17.649999999999999" x14ac:dyDescent="0.5">
      <c r="D444" s="3" t="s">
        <v>65</v>
      </c>
    </row>
    <row r="445" spans="4:4" ht="17.649999999999999" x14ac:dyDescent="0.5">
      <c r="D445" s="3" t="s">
        <v>49</v>
      </c>
    </row>
    <row r="446" spans="4:4" ht="17.649999999999999" x14ac:dyDescent="0.5">
      <c r="D446" s="3" t="s">
        <v>73</v>
      </c>
    </row>
    <row r="447" spans="4:4" ht="17.649999999999999" x14ac:dyDescent="0.5">
      <c r="D447" s="3" t="s">
        <v>232</v>
      </c>
    </row>
    <row r="448" spans="4:4" ht="17.649999999999999" x14ac:dyDescent="0.5">
      <c r="D448" s="3" t="s">
        <v>46</v>
      </c>
    </row>
    <row r="449" spans="4:4" ht="17.649999999999999" x14ac:dyDescent="0.5">
      <c r="D449" s="3" t="s">
        <v>50</v>
      </c>
    </row>
    <row r="450" spans="4:4" ht="17.649999999999999" x14ac:dyDescent="0.5">
      <c r="D450" s="3" t="s">
        <v>233</v>
      </c>
    </row>
    <row r="451" spans="4:4" ht="17.649999999999999" x14ac:dyDescent="0.5">
      <c r="D451" s="3" t="s">
        <v>48</v>
      </c>
    </row>
    <row r="452" spans="4:4" ht="17.649999999999999" x14ac:dyDescent="0.5">
      <c r="D452" s="3" t="s">
        <v>45</v>
      </c>
    </row>
    <row r="453" spans="4:4" ht="17.649999999999999" x14ac:dyDescent="0.5">
      <c r="D453" s="3" t="s">
        <v>234</v>
      </c>
    </row>
    <row r="454" spans="4:4" ht="17.649999999999999" x14ac:dyDescent="0.5">
      <c r="D454" s="3" t="s">
        <v>90</v>
      </c>
    </row>
    <row r="455" spans="4:4" ht="17.649999999999999" x14ac:dyDescent="0.5">
      <c r="D455" s="3" t="s">
        <v>99</v>
      </c>
    </row>
    <row r="456" spans="4:4" ht="17.649999999999999" x14ac:dyDescent="0.5">
      <c r="D456" s="3" t="s">
        <v>235</v>
      </c>
    </row>
    <row r="457" spans="4:4" ht="17.649999999999999" x14ac:dyDescent="0.5">
      <c r="D457" s="3" t="s">
        <v>236</v>
      </c>
    </row>
    <row r="458" spans="4:4" ht="17.649999999999999" x14ac:dyDescent="0.5">
      <c r="D458" s="3" t="s">
        <v>65</v>
      </c>
    </row>
    <row r="459" spans="4:4" ht="17.649999999999999" x14ac:dyDescent="0.5">
      <c r="D459" s="3" t="s">
        <v>43</v>
      </c>
    </row>
    <row r="460" spans="4:4" ht="17.649999999999999" x14ac:dyDescent="0.5">
      <c r="D460" s="3" t="s">
        <v>102</v>
      </c>
    </row>
    <row r="461" spans="4:4" ht="17.649999999999999" x14ac:dyDescent="0.5">
      <c r="D461" s="3" t="s">
        <v>237</v>
      </c>
    </row>
    <row r="462" spans="4:4" ht="17.649999999999999" x14ac:dyDescent="0.5">
      <c r="D462" s="3" t="s">
        <v>55</v>
      </c>
    </row>
    <row r="463" spans="4:4" ht="17.649999999999999" x14ac:dyDescent="0.5">
      <c r="D463" s="3" t="s">
        <v>136</v>
      </c>
    </row>
    <row r="464" spans="4:4" ht="17.649999999999999" x14ac:dyDescent="0.5">
      <c r="D464" s="3" t="s">
        <v>80</v>
      </c>
    </row>
    <row r="465" spans="4:4" ht="17.649999999999999" x14ac:dyDescent="0.5">
      <c r="D465" s="3" t="s">
        <v>64</v>
      </c>
    </row>
    <row r="466" spans="4:4" ht="17.649999999999999" x14ac:dyDescent="0.5">
      <c r="D466" s="3" t="s">
        <v>47</v>
      </c>
    </row>
    <row r="467" spans="4:4" ht="17.649999999999999" x14ac:dyDescent="0.5">
      <c r="D467" s="3" t="s">
        <v>60</v>
      </c>
    </row>
    <row r="468" spans="4:4" ht="17.649999999999999" x14ac:dyDescent="0.5">
      <c r="D468" s="3" t="s">
        <v>63</v>
      </c>
    </row>
    <row r="469" spans="4:4" ht="17.649999999999999" x14ac:dyDescent="0.5">
      <c r="D469" s="3" t="s">
        <v>88</v>
      </c>
    </row>
    <row r="470" spans="4:4" ht="17.649999999999999" x14ac:dyDescent="0.5">
      <c r="D470" s="3" t="s">
        <v>238</v>
      </c>
    </row>
    <row r="471" spans="4:4" ht="17.649999999999999" x14ac:dyDescent="0.5">
      <c r="D471" s="3" t="s">
        <v>239</v>
      </c>
    </row>
    <row r="472" spans="4:4" ht="17.649999999999999" x14ac:dyDescent="0.5">
      <c r="D472" s="3" t="s">
        <v>134</v>
      </c>
    </row>
    <row r="473" spans="4:4" ht="17.649999999999999" x14ac:dyDescent="0.5">
      <c r="D473" s="3" t="s">
        <v>75</v>
      </c>
    </row>
    <row r="474" spans="4:4" ht="17.649999999999999" x14ac:dyDescent="0.5">
      <c r="D474" s="3" t="s">
        <v>48</v>
      </c>
    </row>
    <row r="475" spans="4:4" ht="17.649999999999999" x14ac:dyDescent="0.5">
      <c r="D475" s="3" t="s">
        <v>42</v>
      </c>
    </row>
    <row r="476" spans="4:4" ht="17.649999999999999" x14ac:dyDescent="0.5">
      <c r="D476" s="3" t="s">
        <v>48</v>
      </c>
    </row>
    <row r="477" spans="4:4" ht="17.649999999999999" x14ac:dyDescent="0.5">
      <c r="D477" s="3" t="s">
        <v>75</v>
      </c>
    </row>
    <row r="478" spans="4:4" ht="17.649999999999999" x14ac:dyDescent="0.5">
      <c r="D478" s="3" t="s">
        <v>56</v>
      </c>
    </row>
    <row r="479" spans="4:4" ht="17.649999999999999" x14ac:dyDescent="0.5">
      <c r="D479" s="3" t="s">
        <v>46</v>
      </c>
    </row>
    <row r="480" spans="4:4" ht="17.649999999999999" x14ac:dyDescent="0.5">
      <c r="D480" s="3" t="s">
        <v>60</v>
      </c>
    </row>
    <row r="481" spans="4:4" ht="17.649999999999999" x14ac:dyDescent="0.5">
      <c r="D481" s="3" t="s">
        <v>65</v>
      </c>
    </row>
    <row r="482" spans="4:4" ht="17.649999999999999" x14ac:dyDescent="0.5">
      <c r="D482" s="3" t="s">
        <v>47</v>
      </c>
    </row>
    <row r="483" spans="4:4" ht="17.649999999999999" x14ac:dyDescent="0.5">
      <c r="D483" s="3" t="s">
        <v>73</v>
      </c>
    </row>
    <row r="484" spans="4:4" ht="17.649999999999999" x14ac:dyDescent="0.5">
      <c r="D484" s="3" t="s">
        <v>79</v>
      </c>
    </row>
    <row r="485" spans="4:4" ht="17.649999999999999" x14ac:dyDescent="0.5">
      <c r="D485" s="3" t="s">
        <v>55</v>
      </c>
    </row>
    <row r="486" spans="4:4" ht="17.649999999999999" x14ac:dyDescent="0.5">
      <c r="D486" s="3" t="s">
        <v>56</v>
      </c>
    </row>
    <row r="487" spans="4:4" ht="17.649999999999999" x14ac:dyDescent="0.5">
      <c r="D487" s="3" t="s">
        <v>103</v>
      </c>
    </row>
    <row r="488" spans="4:4" ht="17.649999999999999" x14ac:dyDescent="0.5">
      <c r="D488" s="3" t="s">
        <v>53</v>
      </c>
    </row>
    <row r="489" spans="4:4" ht="17.649999999999999" x14ac:dyDescent="0.5">
      <c r="D489" s="3" t="s">
        <v>134</v>
      </c>
    </row>
    <row r="490" spans="4:4" ht="17.649999999999999" x14ac:dyDescent="0.5">
      <c r="D490" s="3" t="s">
        <v>51</v>
      </c>
    </row>
    <row r="491" spans="4:4" ht="17.649999999999999" x14ac:dyDescent="0.5">
      <c r="D491" s="3" t="s">
        <v>43</v>
      </c>
    </row>
    <row r="492" spans="4:4" ht="17.649999999999999" x14ac:dyDescent="0.5">
      <c r="D492" s="3" t="s">
        <v>133</v>
      </c>
    </row>
    <row r="493" spans="4:4" ht="17.649999999999999" x14ac:dyDescent="0.5">
      <c r="D493" s="3" t="s">
        <v>240</v>
      </c>
    </row>
    <row r="494" spans="4:4" ht="17.649999999999999" x14ac:dyDescent="0.5">
      <c r="D494" s="3" t="s">
        <v>115</v>
      </c>
    </row>
    <row r="495" spans="4:4" ht="17.649999999999999" x14ac:dyDescent="0.5">
      <c r="D495" s="3" t="s">
        <v>42</v>
      </c>
    </row>
    <row r="496" spans="4:4" ht="17.649999999999999" x14ac:dyDescent="0.5">
      <c r="D496" s="3" t="s">
        <v>49</v>
      </c>
    </row>
    <row r="497" spans="4:4" ht="17.649999999999999" x14ac:dyDescent="0.5">
      <c r="D497" s="3" t="s">
        <v>46</v>
      </c>
    </row>
    <row r="498" spans="4:4" ht="17.649999999999999" x14ac:dyDescent="0.5">
      <c r="D498" s="3" t="s">
        <v>91</v>
      </c>
    </row>
    <row r="499" spans="4:4" ht="17.649999999999999" x14ac:dyDescent="0.5">
      <c r="D499" s="3" t="s">
        <v>72</v>
      </c>
    </row>
    <row r="500" spans="4:4" ht="17.649999999999999" x14ac:dyDescent="0.5">
      <c r="D500" s="3" t="s">
        <v>60</v>
      </c>
    </row>
    <row r="501" spans="4:4" ht="17.649999999999999" x14ac:dyDescent="0.5">
      <c r="D501" s="3" t="s">
        <v>47</v>
      </c>
    </row>
    <row r="502" spans="4:4" ht="17.649999999999999" x14ac:dyDescent="0.5">
      <c r="D502" s="3" t="s">
        <v>108</v>
      </c>
    </row>
    <row r="503" spans="4:4" ht="17.649999999999999" x14ac:dyDescent="0.5">
      <c r="D503" s="3" t="s">
        <v>64</v>
      </c>
    </row>
    <row r="504" spans="4:4" ht="17.649999999999999" x14ac:dyDescent="0.5">
      <c r="D504" s="3" t="s">
        <v>46</v>
      </c>
    </row>
    <row r="505" spans="4:4" ht="17.649999999999999" x14ac:dyDescent="0.5">
      <c r="D505" s="3" t="s">
        <v>83</v>
      </c>
    </row>
    <row r="506" spans="4:4" ht="17.649999999999999" x14ac:dyDescent="0.5">
      <c r="D506" s="3" t="s">
        <v>49</v>
      </c>
    </row>
    <row r="507" spans="4:4" ht="17.649999999999999" x14ac:dyDescent="0.5">
      <c r="D507" s="3" t="s">
        <v>57</v>
      </c>
    </row>
    <row r="508" spans="4:4" ht="17.649999999999999" x14ac:dyDescent="0.5">
      <c r="D508" s="3" t="s">
        <v>73</v>
      </c>
    </row>
    <row r="509" spans="4:4" ht="17.649999999999999" x14ac:dyDescent="0.5">
      <c r="D509" s="3" t="s">
        <v>56</v>
      </c>
    </row>
    <row r="510" spans="4:4" ht="17.649999999999999" x14ac:dyDescent="0.5">
      <c r="D510" s="3" t="s">
        <v>112</v>
      </c>
    </row>
    <row r="511" spans="4:4" ht="17.649999999999999" x14ac:dyDescent="0.5">
      <c r="D511" s="3" t="s">
        <v>131</v>
      </c>
    </row>
    <row r="512" spans="4:4" ht="17.649999999999999" x14ac:dyDescent="0.5">
      <c r="D512" s="3" t="s">
        <v>51</v>
      </c>
    </row>
    <row r="513" spans="4:4" ht="17.649999999999999" x14ac:dyDescent="0.5">
      <c r="D513" s="3" t="s">
        <v>98</v>
      </c>
    </row>
    <row r="514" spans="4:4" ht="17.649999999999999" x14ac:dyDescent="0.5">
      <c r="D514" s="3" t="s">
        <v>132</v>
      </c>
    </row>
    <row r="515" spans="4:4" ht="17.649999999999999" x14ac:dyDescent="0.5">
      <c r="D515" s="3" t="s">
        <v>93</v>
      </c>
    </row>
    <row r="516" spans="4:4" ht="17.649999999999999" x14ac:dyDescent="0.5">
      <c r="D516" s="3" t="s">
        <v>82</v>
      </c>
    </row>
    <row r="517" spans="4:4" ht="17.649999999999999" x14ac:dyDescent="0.5">
      <c r="D517" s="3" t="s">
        <v>51</v>
      </c>
    </row>
    <row r="518" spans="4:4" ht="17.649999999999999" x14ac:dyDescent="0.5">
      <c r="D518" s="3" t="s">
        <v>74</v>
      </c>
    </row>
    <row r="519" spans="4:4" ht="17.649999999999999" x14ac:dyDescent="0.5">
      <c r="D519" s="3" t="s">
        <v>59</v>
      </c>
    </row>
    <row r="520" spans="4:4" ht="17.649999999999999" x14ac:dyDescent="0.5">
      <c r="D520" s="3" t="s">
        <v>113</v>
      </c>
    </row>
    <row r="521" spans="4:4" ht="17.649999999999999" x14ac:dyDescent="0.5">
      <c r="D521" s="3" t="s">
        <v>94</v>
      </c>
    </row>
    <row r="522" spans="4:4" ht="17.649999999999999" x14ac:dyDescent="0.5">
      <c r="D522" s="3" t="s">
        <v>57</v>
      </c>
    </row>
    <row r="523" spans="4:4" ht="17.649999999999999" x14ac:dyDescent="0.5">
      <c r="D523" s="3" t="s">
        <v>241</v>
      </c>
    </row>
    <row r="524" spans="4:4" ht="17.649999999999999" x14ac:dyDescent="0.5">
      <c r="D524" s="3" t="s">
        <v>51</v>
      </c>
    </row>
    <row r="525" spans="4:4" ht="17.649999999999999" x14ac:dyDescent="0.5">
      <c r="D525" s="3" t="s">
        <v>63</v>
      </c>
    </row>
    <row r="526" spans="4:4" ht="17.649999999999999" x14ac:dyDescent="0.5">
      <c r="D526" s="3" t="s">
        <v>242</v>
      </c>
    </row>
    <row r="527" spans="4:4" ht="17.649999999999999" x14ac:dyDescent="0.5">
      <c r="D527" s="3" t="s">
        <v>94</v>
      </c>
    </row>
    <row r="528" spans="4:4" ht="17.649999999999999" x14ac:dyDescent="0.5">
      <c r="D528" s="3" t="s">
        <v>124</v>
      </c>
    </row>
    <row r="529" spans="4:4" ht="17.649999999999999" x14ac:dyDescent="0.5">
      <c r="D529" s="3" t="s">
        <v>61</v>
      </c>
    </row>
    <row r="530" spans="4:4" ht="17.649999999999999" x14ac:dyDescent="0.5">
      <c r="D530" s="3" t="s">
        <v>119</v>
      </c>
    </row>
    <row r="531" spans="4:4" ht="17.649999999999999" x14ac:dyDescent="0.5">
      <c r="D531" s="3" t="s">
        <v>69</v>
      </c>
    </row>
    <row r="532" spans="4:4" ht="17.649999999999999" x14ac:dyDescent="0.5">
      <c r="D532" s="3" t="s">
        <v>55</v>
      </c>
    </row>
    <row r="533" spans="4:4" ht="17.649999999999999" x14ac:dyDescent="0.5">
      <c r="D533" s="3" t="s">
        <v>77</v>
      </c>
    </row>
    <row r="534" spans="4:4" ht="17.649999999999999" x14ac:dyDescent="0.5">
      <c r="D534" s="3" t="s">
        <v>112</v>
      </c>
    </row>
    <row r="535" spans="4:4" ht="17.649999999999999" x14ac:dyDescent="0.5">
      <c r="D535" s="3" t="s">
        <v>91</v>
      </c>
    </row>
    <row r="536" spans="4:4" ht="17.649999999999999" x14ac:dyDescent="0.5">
      <c r="D536" s="3" t="s">
        <v>103</v>
      </c>
    </row>
    <row r="537" spans="4:4" ht="17.649999999999999" x14ac:dyDescent="0.5">
      <c r="D537" s="3" t="s">
        <v>106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112</v>
      </c>
    </row>
    <row r="540" spans="4:4" ht="17.649999999999999" x14ac:dyDescent="0.5">
      <c r="D540" s="3" t="s">
        <v>46</v>
      </c>
    </row>
    <row r="541" spans="4:4" ht="17.649999999999999" x14ac:dyDescent="0.5">
      <c r="D541" s="3" t="s">
        <v>243</v>
      </c>
    </row>
    <row r="542" spans="4:4" ht="17.649999999999999" x14ac:dyDescent="0.5">
      <c r="D542" s="3" t="s">
        <v>62</v>
      </c>
    </row>
    <row r="543" spans="4:4" ht="17.649999999999999" x14ac:dyDescent="0.5">
      <c r="D543" s="3" t="s">
        <v>72</v>
      </c>
    </row>
    <row r="544" spans="4:4" ht="17.649999999999999" x14ac:dyDescent="0.5">
      <c r="D544" s="3" t="s">
        <v>63</v>
      </c>
    </row>
    <row r="545" spans="4:4" ht="17.649999999999999" x14ac:dyDescent="0.5">
      <c r="D545" s="3" t="s">
        <v>99</v>
      </c>
    </row>
    <row r="546" spans="4:4" ht="17.649999999999999" x14ac:dyDescent="0.5">
      <c r="D546" s="3" t="s">
        <v>70</v>
      </c>
    </row>
    <row r="547" spans="4:4" ht="17.649999999999999" x14ac:dyDescent="0.5">
      <c r="D547" s="3" t="s">
        <v>44</v>
      </c>
    </row>
    <row r="548" spans="4:4" ht="17.649999999999999" x14ac:dyDescent="0.5">
      <c r="D548" s="3" t="s">
        <v>67</v>
      </c>
    </row>
    <row r="549" spans="4:4" ht="17.649999999999999" x14ac:dyDescent="0.5">
      <c r="D549" s="3" t="s">
        <v>62</v>
      </c>
    </row>
    <row r="550" spans="4:4" ht="17.649999999999999" x14ac:dyDescent="0.5">
      <c r="D550" s="3" t="s">
        <v>73</v>
      </c>
    </row>
    <row r="551" spans="4:4" ht="17.649999999999999" x14ac:dyDescent="0.5">
      <c r="D551" s="3" t="s">
        <v>244</v>
      </c>
    </row>
    <row r="552" spans="4:4" ht="17.649999999999999" x14ac:dyDescent="0.5">
      <c r="D552" s="3" t="s">
        <v>45</v>
      </c>
    </row>
    <row r="553" spans="4:4" ht="17.649999999999999" x14ac:dyDescent="0.5">
      <c r="D553" s="3" t="s">
        <v>61</v>
      </c>
    </row>
    <row r="554" spans="4:4" ht="17.649999999999999" x14ac:dyDescent="0.5">
      <c r="D554" s="3" t="s">
        <v>101</v>
      </c>
    </row>
    <row r="555" spans="4:4" ht="17.649999999999999" x14ac:dyDescent="0.5">
      <c r="D555" s="3" t="s">
        <v>51</v>
      </c>
    </row>
    <row r="556" spans="4:4" ht="17.649999999999999" x14ac:dyDescent="0.5">
      <c r="D556" s="3" t="s">
        <v>245</v>
      </c>
    </row>
    <row r="557" spans="4:4" ht="17.649999999999999" x14ac:dyDescent="0.5">
      <c r="D557" s="3" t="s">
        <v>63</v>
      </c>
    </row>
    <row r="558" spans="4:4" ht="17.649999999999999" x14ac:dyDescent="0.5">
      <c r="D558" s="3" t="s">
        <v>65</v>
      </c>
    </row>
    <row r="559" spans="4:4" ht="17.649999999999999" x14ac:dyDescent="0.5">
      <c r="D559" s="3" t="s">
        <v>246</v>
      </c>
    </row>
    <row r="560" spans="4:4" ht="17.649999999999999" x14ac:dyDescent="0.5">
      <c r="D560" s="3" t="s">
        <v>120</v>
      </c>
    </row>
    <row r="561" spans="4:4" ht="17.649999999999999" x14ac:dyDescent="0.5">
      <c r="D561" s="3" t="s">
        <v>111</v>
      </c>
    </row>
    <row r="562" spans="4:4" ht="17.649999999999999" x14ac:dyDescent="0.5">
      <c r="D562" s="3" t="s">
        <v>94</v>
      </c>
    </row>
    <row r="563" spans="4:4" ht="17.649999999999999" x14ac:dyDescent="0.5">
      <c r="D563" s="3" t="s">
        <v>118</v>
      </c>
    </row>
    <row r="564" spans="4:4" ht="17.649999999999999" x14ac:dyDescent="0.5">
      <c r="D564" s="3" t="s">
        <v>52</v>
      </c>
    </row>
    <row r="565" spans="4:4" ht="17.649999999999999" x14ac:dyDescent="0.5">
      <c r="D565" s="3" t="s">
        <v>90</v>
      </c>
    </row>
    <row r="566" spans="4:4" ht="17.649999999999999" x14ac:dyDescent="0.5">
      <c r="D566" s="3" t="s">
        <v>54</v>
      </c>
    </row>
    <row r="567" spans="4:4" ht="17.649999999999999" x14ac:dyDescent="0.5">
      <c r="D567" s="3" t="s">
        <v>75</v>
      </c>
    </row>
    <row r="568" spans="4:4" ht="17.649999999999999" x14ac:dyDescent="0.5">
      <c r="D568" s="3" t="s">
        <v>55</v>
      </c>
    </row>
    <row r="569" spans="4:4" ht="17.649999999999999" x14ac:dyDescent="0.5">
      <c r="D569" s="3" t="s">
        <v>70</v>
      </c>
    </row>
    <row r="570" spans="4:4" ht="17.649999999999999" x14ac:dyDescent="0.5">
      <c r="D570" s="3" t="s">
        <v>101</v>
      </c>
    </row>
    <row r="571" spans="4:4" ht="17.649999999999999" x14ac:dyDescent="0.5">
      <c r="D571" s="3" t="s">
        <v>103</v>
      </c>
    </row>
    <row r="572" spans="4:4" ht="17.649999999999999" x14ac:dyDescent="0.5">
      <c r="D572" s="3" t="s">
        <v>96</v>
      </c>
    </row>
    <row r="573" spans="4:4" ht="17.649999999999999" x14ac:dyDescent="0.5">
      <c r="D573" s="3" t="s">
        <v>53</v>
      </c>
    </row>
    <row r="574" spans="4:4" ht="17.649999999999999" x14ac:dyDescent="0.5">
      <c r="D574" s="3" t="s">
        <v>91</v>
      </c>
    </row>
    <row r="575" spans="4:4" ht="17.649999999999999" x14ac:dyDescent="0.5">
      <c r="D575" s="3" t="s">
        <v>87</v>
      </c>
    </row>
    <row r="576" spans="4:4" ht="17.649999999999999" x14ac:dyDescent="0.5">
      <c r="D576" s="3" t="s">
        <v>247</v>
      </c>
    </row>
    <row r="577" spans="4:4" ht="17.649999999999999" x14ac:dyDescent="0.5">
      <c r="D577" s="3" t="s">
        <v>41</v>
      </c>
    </row>
    <row r="578" spans="4:4" ht="17.649999999999999" x14ac:dyDescent="0.5">
      <c r="D578" s="3" t="s">
        <v>248</v>
      </c>
    </row>
    <row r="579" spans="4:4" ht="17.649999999999999" x14ac:dyDescent="0.5">
      <c r="D579" s="3" t="s">
        <v>103</v>
      </c>
    </row>
    <row r="580" spans="4:4" ht="17.649999999999999" x14ac:dyDescent="0.5">
      <c r="D580" s="3" t="s">
        <v>104</v>
      </c>
    </row>
    <row r="581" spans="4:4" ht="17.649999999999999" x14ac:dyDescent="0.5">
      <c r="D581" s="3" t="s">
        <v>59</v>
      </c>
    </row>
    <row r="582" spans="4:4" ht="17.649999999999999" x14ac:dyDescent="0.5">
      <c r="D582" s="3" t="s">
        <v>249</v>
      </c>
    </row>
    <row r="583" spans="4:4" ht="17.649999999999999" x14ac:dyDescent="0.5">
      <c r="D583" s="3" t="s">
        <v>250</v>
      </c>
    </row>
    <row r="584" spans="4:4" ht="17.649999999999999" x14ac:dyDescent="0.5">
      <c r="D584" s="3" t="s">
        <v>65</v>
      </c>
    </row>
    <row r="585" spans="4:4" ht="17.649999999999999" x14ac:dyDescent="0.5">
      <c r="D585" s="3" t="s">
        <v>116</v>
      </c>
    </row>
    <row r="586" spans="4:4" ht="17.649999999999999" x14ac:dyDescent="0.5">
      <c r="D586" s="3" t="s">
        <v>117</v>
      </c>
    </row>
    <row r="587" spans="4:4" ht="17.649999999999999" x14ac:dyDescent="0.5">
      <c r="D587" s="3" t="s">
        <v>111</v>
      </c>
    </row>
    <row r="588" spans="4:4" ht="17.649999999999999" x14ac:dyDescent="0.5">
      <c r="D588" s="3" t="s">
        <v>107</v>
      </c>
    </row>
    <row r="589" spans="4:4" ht="17.649999999999999" x14ac:dyDescent="0.5">
      <c r="D589" s="3" t="s">
        <v>43</v>
      </c>
    </row>
    <row r="590" spans="4:4" ht="17.649999999999999" x14ac:dyDescent="0.5">
      <c r="D590" s="3" t="s">
        <v>63</v>
      </c>
    </row>
    <row r="591" spans="4:4" ht="17.649999999999999" x14ac:dyDescent="0.5">
      <c r="D591" s="3" t="s">
        <v>47</v>
      </c>
    </row>
    <row r="592" spans="4:4" ht="17.649999999999999" x14ac:dyDescent="0.5">
      <c r="D592" s="3" t="s">
        <v>114</v>
      </c>
    </row>
    <row r="593" spans="4:4" ht="17.649999999999999" x14ac:dyDescent="0.5">
      <c r="D593" s="3" t="s">
        <v>61</v>
      </c>
    </row>
    <row r="594" spans="4:4" ht="17.649999999999999" x14ac:dyDescent="0.5">
      <c r="D594" s="3" t="s">
        <v>41</v>
      </c>
    </row>
    <row r="595" spans="4:4" ht="17.649999999999999" x14ac:dyDescent="0.5">
      <c r="D595" s="3" t="s">
        <v>103</v>
      </c>
    </row>
    <row r="596" spans="4:4" ht="17.649999999999999" x14ac:dyDescent="0.5">
      <c r="D596" s="3" t="s">
        <v>124</v>
      </c>
    </row>
    <row r="597" spans="4:4" ht="17.649999999999999" x14ac:dyDescent="0.5">
      <c r="D597" s="3" t="s">
        <v>251</v>
      </c>
    </row>
    <row r="598" spans="4:4" ht="17.649999999999999" x14ac:dyDescent="0.5">
      <c r="D598" s="3" t="s">
        <v>127</v>
      </c>
    </row>
    <row r="599" spans="4:4" ht="17.649999999999999" x14ac:dyDescent="0.5">
      <c r="D599" s="3" t="s">
        <v>46</v>
      </c>
    </row>
    <row r="600" spans="4:4" ht="17.649999999999999" x14ac:dyDescent="0.5">
      <c r="D600" s="3" t="s">
        <v>252</v>
      </c>
    </row>
    <row r="601" spans="4:4" ht="17.649999999999999" x14ac:dyDescent="0.5">
      <c r="D601" s="3" t="s">
        <v>77</v>
      </c>
    </row>
    <row r="602" spans="4:4" ht="17.649999999999999" x14ac:dyDescent="0.5">
      <c r="D602" s="3" t="s">
        <v>121</v>
      </c>
    </row>
    <row r="603" spans="4:4" ht="17.649999999999999" x14ac:dyDescent="0.5">
      <c r="D603" s="3" t="s">
        <v>253</v>
      </c>
    </row>
    <row r="604" spans="4:4" ht="17.649999999999999" x14ac:dyDescent="0.5">
      <c r="D604" s="3" t="s">
        <v>106</v>
      </c>
    </row>
    <row r="605" spans="4:4" ht="17.649999999999999" x14ac:dyDescent="0.5">
      <c r="D605" s="3" t="s">
        <v>254</v>
      </c>
    </row>
    <row r="606" spans="4:4" ht="17.649999999999999" x14ac:dyDescent="0.5">
      <c r="D606" s="3" t="s">
        <v>48</v>
      </c>
    </row>
    <row r="607" spans="4:4" ht="17.649999999999999" x14ac:dyDescent="0.5">
      <c r="D607" s="3" t="s">
        <v>95</v>
      </c>
    </row>
    <row r="608" spans="4:4" ht="17.649999999999999" x14ac:dyDescent="0.5">
      <c r="D608" s="3" t="s">
        <v>49</v>
      </c>
    </row>
    <row r="609" spans="4:4" ht="17.649999999999999" x14ac:dyDescent="0.5">
      <c r="D609" s="3" t="s">
        <v>73</v>
      </c>
    </row>
    <row r="610" spans="4:4" ht="17.649999999999999" x14ac:dyDescent="0.5">
      <c r="D610" s="3" t="s">
        <v>94</v>
      </c>
    </row>
    <row r="611" spans="4:4" ht="17.649999999999999" x14ac:dyDescent="0.5">
      <c r="D611" s="3" t="s">
        <v>133</v>
      </c>
    </row>
    <row r="612" spans="4:4" ht="17.649999999999999" x14ac:dyDescent="0.5">
      <c r="D612" s="3" t="s">
        <v>44</v>
      </c>
    </row>
    <row r="613" spans="4:4" ht="17.649999999999999" x14ac:dyDescent="0.5">
      <c r="D613" s="3" t="s">
        <v>66</v>
      </c>
    </row>
    <row r="614" spans="4:4" ht="17.649999999999999" x14ac:dyDescent="0.5">
      <c r="D614" s="3" t="s">
        <v>120</v>
      </c>
    </row>
    <row r="615" spans="4:4" ht="17.649999999999999" x14ac:dyDescent="0.5">
      <c r="D615" s="3" t="s">
        <v>103</v>
      </c>
    </row>
    <row r="616" spans="4:4" ht="17.649999999999999" x14ac:dyDescent="0.5">
      <c r="D616" s="3" t="s">
        <v>87</v>
      </c>
    </row>
    <row r="617" spans="4:4" ht="17.649999999999999" x14ac:dyDescent="0.5">
      <c r="D617" s="3" t="s">
        <v>83</v>
      </c>
    </row>
    <row r="618" spans="4:4" ht="17.649999999999999" x14ac:dyDescent="0.5">
      <c r="D618" s="3" t="s">
        <v>61</v>
      </c>
    </row>
    <row r="619" spans="4:4" ht="17.649999999999999" x14ac:dyDescent="0.5">
      <c r="D619" s="3" t="s">
        <v>46</v>
      </c>
    </row>
    <row r="620" spans="4:4" ht="17.649999999999999" x14ac:dyDescent="0.5">
      <c r="D620" s="3" t="s">
        <v>77</v>
      </c>
    </row>
    <row r="621" spans="4:4" ht="17.649999999999999" x14ac:dyDescent="0.5">
      <c r="D621" s="3" t="s">
        <v>59</v>
      </c>
    </row>
    <row r="622" spans="4:4" ht="17.649999999999999" x14ac:dyDescent="0.5">
      <c r="D622" s="3" t="s">
        <v>102</v>
      </c>
    </row>
    <row r="623" spans="4:4" ht="17.649999999999999" x14ac:dyDescent="0.5">
      <c r="D623" s="3" t="s">
        <v>48</v>
      </c>
    </row>
    <row r="624" spans="4:4" ht="17.649999999999999" x14ac:dyDescent="0.5">
      <c r="D624" s="3" t="s">
        <v>255</v>
      </c>
    </row>
    <row r="625" spans="4:4" ht="17.649999999999999" x14ac:dyDescent="0.5">
      <c r="D625" s="3" t="s">
        <v>66</v>
      </c>
    </row>
    <row r="626" spans="4:4" ht="17.649999999999999" x14ac:dyDescent="0.5">
      <c r="D626" s="3" t="s">
        <v>53</v>
      </c>
    </row>
    <row r="627" spans="4:4" ht="17.649999999999999" x14ac:dyDescent="0.5">
      <c r="D627" s="3" t="s">
        <v>256</v>
      </c>
    </row>
    <row r="628" spans="4:4" ht="17.649999999999999" x14ac:dyDescent="0.5">
      <c r="D628" s="3" t="s">
        <v>74</v>
      </c>
    </row>
    <row r="629" spans="4:4" ht="17.649999999999999" x14ac:dyDescent="0.5">
      <c r="D629" s="3" t="s">
        <v>112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68</v>
      </c>
    </row>
    <row r="632" spans="4:4" ht="17.649999999999999" x14ac:dyDescent="0.5">
      <c r="D632" s="3" t="s">
        <v>111</v>
      </c>
    </row>
    <row r="633" spans="4:4" ht="17.649999999999999" x14ac:dyDescent="0.5">
      <c r="D633" s="3" t="s">
        <v>49</v>
      </c>
    </row>
    <row r="634" spans="4:4" ht="17.649999999999999" x14ac:dyDescent="0.5">
      <c r="D634" s="3" t="s">
        <v>103</v>
      </c>
    </row>
    <row r="635" spans="4:4" ht="17.649999999999999" x14ac:dyDescent="0.5">
      <c r="D635" s="3" t="s">
        <v>112</v>
      </c>
    </row>
    <row r="636" spans="4:4" ht="17.649999999999999" x14ac:dyDescent="0.5">
      <c r="D636" s="3" t="s">
        <v>68</v>
      </c>
    </row>
    <row r="637" spans="4:4" ht="17.649999999999999" x14ac:dyDescent="0.5">
      <c r="D637" s="3" t="s">
        <v>94</v>
      </c>
    </row>
    <row r="638" spans="4:4" ht="17.649999999999999" x14ac:dyDescent="0.5">
      <c r="D638" s="3" t="s">
        <v>54</v>
      </c>
    </row>
    <row r="639" spans="4:4" ht="17.649999999999999" x14ac:dyDescent="0.5">
      <c r="D639" s="3" t="s">
        <v>133</v>
      </c>
    </row>
    <row r="640" spans="4:4" ht="17.649999999999999" x14ac:dyDescent="0.5">
      <c r="D640" s="3" t="s">
        <v>94</v>
      </c>
    </row>
    <row r="641" spans="4:4" ht="17.649999999999999" x14ac:dyDescent="0.5">
      <c r="D641" s="3" t="s">
        <v>95</v>
      </c>
    </row>
    <row r="642" spans="4:4" ht="17.649999999999999" x14ac:dyDescent="0.5">
      <c r="D642" s="3" t="s">
        <v>56</v>
      </c>
    </row>
    <row r="643" spans="4:4" ht="17.649999999999999" x14ac:dyDescent="0.5">
      <c r="D643" s="3" t="s">
        <v>48</v>
      </c>
    </row>
    <row r="644" spans="4:4" ht="17.649999999999999" x14ac:dyDescent="0.5">
      <c r="D644" s="3" t="s">
        <v>61</v>
      </c>
    </row>
    <row r="645" spans="4:4" ht="17.649999999999999" x14ac:dyDescent="0.5">
      <c r="D645" s="3" t="s">
        <v>49</v>
      </c>
    </row>
    <row r="646" spans="4:4" ht="17.649999999999999" x14ac:dyDescent="0.5">
      <c r="D646" s="3" t="s">
        <v>87</v>
      </c>
    </row>
    <row r="647" spans="4:4" ht="17.649999999999999" x14ac:dyDescent="0.5">
      <c r="D647" s="3" t="s">
        <v>47</v>
      </c>
    </row>
    <row r="648" spans="4:4" ht="17.649999999999999" x14ac:dyDescent="0.5">
      <c r="D648" s="3" t="s">
        <v>135</v>
      </c>
    </row>
    <row r="649" spans="4:4" ht="17.649999999999999" x14ac:dyDescent="0.5">
      <c r="D649" s="3" t="s">
        <v>82</v>
      </c>
    </row>
    <row r="650" spans="4:4" ht="17.649999999999999" x14ac:dyDescent="0.5">
      <c r="D650" s="3" t="s">
        <v>257</v>
      </c>
    </row>
    <row r="651" spans="4:4" ht="17.649999999999999" x14ac:dyDescent="0.5">
      <c r="D651" s="3" t="s">
        <v>117</v>
      </c>
    </row>
    <row r="652" spans="4:4" ht="17.649999999999999" x14ac:dyDescent="0.5">
      <c r="D652" s="3" t="s">
        <v>75</v>
      </c>
    </row>
    <row r="653" spans="4:4" ht="17.649999999999999" x14ac:dyDescent="0.5">
      <c r="D653" s="3" t="s">
        <v>129</v>
      </c>
    </row>
    <row r="654" spans="4:4" ht="17.649999999999999" x14ac:dyDescent="0.5">
      <c r="D654" s="3" t="s">
        <v>94</v>
      </c>
    </row>
    <row r="655" spans="4:4" ht="17.649999999999999" x14ac:dyDescent="0.5">
      <c r="D655" s="3" t="s">
        <v>258</v>
      </c>
    </row>
    <row r="656" spans="4:4" ht="17.649999999999999" x14ac:dyDescent="0.5">
      <c r="D656" s="3" t="s">
        <v>60</v>
      </c>
    </row>
    <row r="657" spans="4:4" ht="17.649999999999999" x14ac:dyDescent="0.5">
      <c r="D657" s="3" t="s">
        <v>91</v>
      </c>
    </row>
    <row r="658" spans="4:4" ht="17.649999999999999" x14ac:dyDescent="0.5">
      <c r="D658" s="3" t="s">
        <v>68</v>
      </c>
    </row>
    <row r="659" spans="4:4" ht="17.649999999999999" x14ac:dyDescent="0.5">
      <c r="D659" s="3" t="s">
        <v>59</v>
      </c>
    </row>
    <row r="660" spans="4:4" ht="17.649999999999999" x14ac:dyDescent="0.5">
      <c r="D660" s="3" t="s">
        <v>53</v>
      </c>
    </row>
    <row r="661" spans="4:4" ht="17.649999999999999" x14ac:dyDescent="0.5">
      <c r="D661" s="3" t="s">
        <v>96</v>
      </c>
    </row>
    <row r="662" spans="4:4" ht="17.649999999999999" x14ac:dyDescent="0.5">
      <c r="D662" s="3" t="s">
        <v>107</v>
      </c>
    </row>
    <row r="663" spans="4:4" ht="17.649999999999999" x14ac:dyDescent="0.5">
      <c r="D663" s="3" t="s">
        <v>98</v>
      </c>
    </row>
    <row r="664" spans="4:4" ht="17.649999999999999" x14ac:dyDescent="0.5">
      <c r="D664" s="3" t="s">
        <v>67</v>
      </c>
    </row>
    <row r="665" spans="4:4" ht="17.649999999999999" x14ac:dyDescent="0.5">
      <c r="D665" s="3" t="s">
        <v>172</v>
      </c>
    </row>
    <row r="666" spans="4:4" ht="17.649999999999999" x14ac:dyDescent="0.5">
      <c r="D666" s="3" t="s">
        <v>90</v>
      </c>
    </row>
    <row r="667" spans="4:4" ht="17.649999999999999" x14ac:dyDescent="0.5">
      <c r="D667" s="3" t="s">
        <v>173</v>
      </c>
    </row>
    <row r="668" spans="4:4" ht="17.649999999999999" x14ac:dyDescent="0.5">
      <c r="D668" s="3" t="s">
        <v>55</v>
      </c>
    </row>
    <row r="669" spans="4:4" ht="17.649999999999999" x14ac:dyDescent="0.5">
      <c r="D669" s="3" t="s">
        <v>99</v>
      </c>
    </row>
    <row r="670" spans="4:4" ht="17.649999999999999" x14ac:dyDescent="0.5">
      <c r="D670" s="3" t="s">
        <v>47</v>
      </c>
    </row>
    <row r="671" spans="4:4" ht="17.649999999999999" x14ac:dyDescent="0.5">
      <c r="D671" s="3" t="s">
        <v>75</v>
      </c>
    </row>
    <row r="672" spans="4:4" ht="17.649999999999999" x14ac:dyDescent="0.5">
      <c r="D672" s="3" t="s">
        <v>73</v>
      </c>
    </row>
    <row r="673" spans="4:4" ht="17.649999999999999" x14ac:dyDescent="0.5">
      <c r="D673" s="3" t="s">
        <v>53</v>
      </c>
    </row>
    <row r="674" spans="4:4" ht="17.649999999999999" x14ac:dyDescent="0.5">
      <c r="D674" s="3" t="s">
        <v>66</v>
      </c>
    </row>
    <row r="675" spans="4:4" ht="17.649999999999999" x14ac:dyDescent="0.5">
      <c r="D675" s="3" t="s">
        <v>54</v>
      </c>
    </row>
    <row r="676" spans="4:4" ht="17.649999999999999" x14ac:dyDescent="0.5">
      <c r="D676" s="3" t="s">
        <v>94</v>
      </c>
    </row>
    <row r="677" spans="4:4" ht="17.649999999999999" x14ac:dyDescent="0.5">
      <c r="D677" s="3" t="s">
        <v>58</v>
      </c>
    </row>
    <row r="678" spans="4:4" ht="17.649999999999999" x14ac:dyDescent="0.5">
      <c r="D678" s="3" t="s">
        <v>95</v>
      </c>
    </row>
    <row r="679" spans="4:4" ht="17.649999999999999" x14ac:dyDescent="0.5">
      <c r="D679" s="3" t="s">
        <v>54</v>
      </c>
    </row>
    <row r="680" spans="4:4" ht="17.649999999999999" x14ac:dyDescent="0.5">
      <c r="D680" s="3" t="s">
        <v>184</v>
      </c>
    </row>
    <row r="681" spans="4:4" ht="17.649999999999999" x14ac:dyDescent="0.5">
      <c r="D681" s="3" t="s">
        <v>113</v>
      </c>
    </row>
    <row r="682" spans="4:4" ht="17.649999999999999" x14ac:dyDescent="0.5">
      <c r="D682" s="3" t="s">
        <v>259</v>
      </c>
    </row>
    <row r="683" spans="4:4" ht="17.649999999999999" x14ac:dyDescent="0.5">
      <c r="D683" s="3" t="s">
        <v>109</v>
      </c>
    </row>
    <row r="684" spans="4:4" ht="17.649999999999999" x14ac:dyDescent="0.5">
      <c r="D684" s="3" t="s">
        <v>44</v>
      </c>
    </row>
    <row r="685" spans="4:4" ht="17.649999999999999" x14ac:dyDescent="0.5">
      <c r="D685" s="3" t="s">
        <v>83</v>
      </c>
    </row>
    <row r="686" spans="4:4" ht="17.649999999999999" x14ac:dyDescent="0.5">
      <c r="D686" s="3" t="s">
        <v>103</v>
      </c>
    </row>
    <row r="687" spans="4:4" ht="17.649999999999999" x14ac:dyDescent="0.5">
      <c r="D687" s="3" t="s">
        <v>260</v>
      </c>
    </row>
    <row r="688" spans="4:4" ht="17.649999999999999" x14ac:dyDescent="0.5">
      <c r="D688" s="3" t="s">
        <v>65</v>
      </c>
    </row>
    <row r="689" spans="4:4" ht="17.649999999999999" x14ac:dyDescent="0.5">
      <c r="D689" s="3" t="s">
        <v>192</v>
      </c>
    </row>
    <row r="690" spans="4:4" ht="17.649999999999999" x14ac:dyDescent="0.5">
      <c r="D690" s="3" t="s">
        <v>107</v>
      </c>
    </row>
    <row r="691" spans="4:4" ht="17.649999999999999" x14ac:dyDescent="0.5">
      <c r="D691" s="3" t="s">
        <v>61</v>
      </c>
    </row>
    <row r="692" spans="4:4" ht="17.649999999999999" x14ac:dyDescent="0.5">
      <c r="D692" s="3" t="s">
        <v>49</v>
      </c>
    </row>
    <row r="693" spans="4:4" ht="17.649999999999999" x14ac:dyDescent="0.5">
      <c r="D693" s="3" t="s">
        <v>188</v>
      </c>
    </row>
    <row r="694" spans="4:4" ht="17.649999999999999" x14ac:dyDescent="0.5">
      <c r="D694" s="3" t="s">
        <v>193</v>
      </c>
    </row>
    <row r="695" spans="4:4" ht="17.649999999999999" x14ac:dyDescent="0.5">
      <c r="D695" s="3" t="s">
        <v>52</v>
      </c>
    </row>
    <row r="696" spans="4:4" ht="17.649999999999999" x14ac:dyDescent="0.5">
      <c r="D696" s="3" t="s">
        <v>77</v>
      </c>
    </row>
    <row r="697" spans="4:4" ht="17.649999999999999" x14ac:dyDescent="0.5">
      <c r="D697" s="3" t="s">
        <v>82</v>
      </c>
    </row>
    <row r="698" spans="4:4" ht="17.649999999999999" x14ac:dyDescent="0.5">
      <c r="D698" s="3" t="s">
        <v>48</v>
      </c>
    </row>
    <row r="699" spans="4:4" ht="17.649999999999999" x14ac:dyDescent="0.5">
      <c r="D699" s="3" t="s">
        <v>117</v>
      </c>
    </row>
    <row r="700" spans="4:4" ht="17.649999999999999" x14ac:dyDescent="0.5">
      <c r="D700" s="3" t="s">
        <v>41</v>
      </c>
    </row>
    <row r="701" spans="4:4" ht="17.649999999999999" x14ac:dyDescent="0.5">
      <c r="D701" s="3" t="s">
        <v>126</v>
      </c>
    </row>
    <row r="702" spans="4:4" ht="17.649999999999999" x14ac:dyDescent="0.5">
      <c r="D702" s="3" t="s">
        <v>49</v>
      </c>
    </row>
    <row r="703" spans="4:4" ht="17.649999999999999" x14ac:dyDescent="0.5">
      <c r="D703" s="3" t="s">
        <v>52</v>
      </c>
    </row>
    <row r="704" spans="4:4" ht="17.649999999999999" x14ac:dyDescent="0.5">
      <c r="D704" s="3" t="s">
        <v>46</v>
      </c>
    </row>
    <row r="705" spans="4:4" ht="17.649999999999999" x14ac:dyDescent="0.5">
      <c r="D705" s="3" t="s">
        <v>54</v>
      </c>
    </row>
    <row r="706" spans="4:4" ht="17.649999999999999" x14ac:dyDescent="0.5">
      <c r="D706" s="3" t="s">
        <v>51</v>
      </c>
    </row>
    <row r="707" spans="4:4" ht="17.649999999999999" x14ac:dyDescent="0.5">
      <c r="D707" s="3" t="s">
        <v>74</v>
      </c>
    </row>
    <row r="708" spans="4:4" ht="17.649999999999999" x14ac:dyDescent="0.5">
      <c r="D708" s="3" t="s">
        <v>65</v>
      </c>
    </row>
    <row r="709" spans="4:4" ht="17.649999999999999" x14ac:dyDescent="0.5">
      <c r="D709" s="3" t="s">
        <v>53</v>
      </c>
    </row>
    <row r="710" spans="4:4" ht="17.649999999999999" x14ac:dyDescent="0.5">
      <c r="D710" s="3" t="s">
        <v>112</v>
      </c>
    </row>
    <row r="711" spans="4:4" ht="17.649999999999999" x14ac:dyDescent="0.5">
      <c r="D711" s="3" t="s">
        <v>54</v>
      </c>
    </row>
    <row r="712" spans="4:4" ht="17.649999999999999" x14ac:dyDescent="0.5">
      <c r="D712" s="3" t="s">
        <v>71</v>
      </c>
    </row>
    <row r="713" spans="4:4" ht="17.649999999999999" x14ac:dyDescent="0.5">
      <c r="D713" s="3" t="s">
        <v>261</v>
      </c>
    </row>
    <row r="714" spans="4:4" ht="17.649999999999999" x14ac:dyDescent="0.5">
      <c r="D714" s="3" t="s">
        <v>63</v>
      </c>
    </row>
    <row r="715" spans="4:4" ht="17.649999999999999" x14ac:dyDescent="0.5">
      <c r="D715" s="3" t="s">
        <v>55</v>
      </c>
    </row>
    <row r="716" spans="4:4" ht="17.649999999999999" x14ac:dyDescent="0.5">
      <c r="D716" s="3" t="s">
        <v>262</v>
      </c>
    </row>
    <row r="717" spans="4:4" ht="17.649999999999999" x14ac:dyDescent="0.5">
      <c r="D717" s="3" t="s">
        <v>197</v>
      </c>
    </row>
    <row r="718" spans="4:4" ht="17.649999999999999" x14ac:dyDescent="0.5">
      <c r="D718" s="3" t="s">
        <v>85</v>
      </c>
    </row>
    <row r="719" spans="4:4" ht="17.649999999999999" x14ac:dyDescent="0.5">
      <c r="D719" s="3" t="s">
        <v>85</v>
      </c>
    </row>
    <row r="720" spans="4:4" ht="17.649999999999999" x14ac:dyDescent="0.5">
      <c r="D720" s="3" t="s">
        <v>115</v>
      </c>
    </row>
    <row r="721" spans="4:4" ht="17.649999999999999" x14ac:dyDescent="0.5">
      <c r="D721" s="3" t="s">
        <v>263</v>
      </c>
    </row>
    <row r="722" spans="4:4" ht="17.649999999999999" x14ac:dyDescent="0.5">
      <c r="D722" s="3" t="s">
        <v>91</v>
      </c>
    </row>
    <row r="723" spans="4:4" ht="17.649999999999999" x14ac:dyDescent="0.5">
      <c r="D723" s="3" t="s">
        <v>201</v>
      </c>
    </row>
    <row r="724" spans="4:4" ht="17.649999999999999" x14ac:dyDescent="0.5">
      <c r="D724" s="3" t="s">
        <v>115</v>
      </c>
    </row>
    <row r="725" spans="4:4" ht="17.649999999999999" x14ac:dyDescent="0.5">
      <c r="D725" s="3" t="s">
        <v>134</v>
      </c>
    </row>
    <row r="726" spans="4:4" ht="17.649999999999999" x14ac:dyDescent="0.5">
      <c r="D726" s="3" t="s">
        <v>264</v>
      </c>
    </row>
    <row r="727" spans="4:4" ht="17.649999999999999" x14ac:dyDescent="0.5">
      <c r="D727" s="3" t="s">
        <v>118</v>
      </c>
    </row>
    <row r="728" spans="4:4" ht="17.649999999999999" x14ac:dyDescent="0.5">
      <c r="D728" s="3" t="s">
        <v>74</v>
      </c>
    </row>
    <row r="729" spans="4:4" ht="17.649999999999999" x14ac:dyDescent="0.5">
      <c r="D729" s="3" t="s">
        <v>115</v>
      </c>
    </row>
    <row r="730" spans="4:4" ht="17.649999999999999" x14ac:dyDescent="0.5">
      <c r="D730" s="3" t="s">
        <v>69</v>
      </c>
    </row>
    <row r="731" spans="4:4" ht="17.649999999999999" x14ac:dyDescent="0.5">
      <c r="D731" s="3" t="s">
        <v>51</v>
      </c>
    </row>
    <row r="732" spans="4:4" ht="17.649999999999999" x14ac:dyDescent="0.5">
      <c r="D732" s="3" t="s">
        <v>85</v>
      </c>
    </row>
    <row r="733" spans="4:4" ht="17.649999999999999" x14ac:dyDescent="0.5">
      <c r="D733" s="3" t="s">
        <v>51</v>
      </c>
    </row>
    <row r="734" spans="4:4" ht="17.649999999999999" x14ac:dyDescent="0.5">
      <c r="D734" s="3" t="s">
        <v>117</v>
      </c>
    </row>
    <row r="735" spans="4:4" ht="17.649999999999999" x14ac:dyDescent="0.5">
      <c r="D735" s="3" t="s">
        <v>74</v>
      </c>
    </row>
    <row r="736" spans="4:4" ht="17.649999999999999" x14ac:dyDescent="0.5">
      <c r="D736" s="3" t="s">
        <v>98</v>
      </c>
    </row>
    <row r="737" spans="4:4" ht="17.649999999999999" x14ac:dyDescent="0.5">
      <c r="D737" s="3" t="s">
        <v>200</v>
      </c>
    </row>
    <row r="738" spans="4:4" ht="17.649999999999999" x14ac:dyDescent="0.5">
      <c r="D738" s="3" t="s">
        <v>130</v>
      </c>
    </row>
    <row r="739" spans="4:4" ht="17.649999999999999" x14ac:dyDescent="0.5">
      <c r="D739" s="3" t="s">
        <v>57</v>
      </c>
    </row>
    <row r="740" spans="4:4" ht="17.649999999999999" x14ac:dyDescent="0.5">
      <c r="D740" s="3" t="s">
        <v>170</v>
      </c>
    </row>
    <row r="741" spans="4:4" ht="17.649999999999999" x14ac:dyDescent="0.5">
      <c r="D741" s="3" t="s">
        <v>91</v>
      </c>
    </row>
    <row r="742" spans="4:4" ht="17.649999999999999" x14ac:dyDescent="0.5">
      <c r="D742" s="3" t="s">
        <v>65</v>
      </c>
    </row>
    <row r="743" spans="4:4" ht="17.649999999999999" x14ac:dyDescent="0.5">
      <c r="D743" s="3" t="s">
        <v>203</v>
      </c>
    </row>
    <row r="744" spans="4:4" ht="17.649999999999999" x14ac:dyDescent="0.5">
      <c r="D744" s="3" t="s">
        <v>57</v>
      </c>
    </row>
    <row r="745" spans="4:4" ht="17.649999999999999" x14ac:dyDescent="0.5">
      <c r="D745" s="3" t="s">
        <v>171</v>
      </c>
    </row>
    <row r="746" spans="4:4" ht="17.649999999999999" x14ac:dyDescent="0.5">
      <c r="D746" s="3" t="s">
        <v>86</v>
      </c>
    </row>
    <row r="747" spans="4:4" ht="17.649999999999999" x14ac:dyDescent="0.5">
      <c r="D747" s="3" t="s">
        <v>94</v>
      </c>
    </row>
    <row r="748" spans="4:4" ht="17.649999999999999" x14ac:dyDescent="0.5">
      <c r="D748" s="3" t="s">
        <v>100</v>
      </c>
    </row>
    <row r="749" spans="4:4" ht="17.649999999999999" x14ac:dyDescent="0.5">
      <c r="D749" s="3" t="s">
        <v>73</v>
      </c>
    </row>
    <row r="750" spans="4:4" ht="17.649999999999999" x14ac:dyDescent="0.5">
      <c r="D750" s="3" t="s">
        <v>59</v>
      </c>
    </row>
    <row r="751" spans="4:4" ht="17.649999999999999" x14ac:dyDescent="0.5">
      <c r="D751" s="3" t="s">
        <v>126</v>
      </c>
    </row>
    <row r="752" spans="4:4" ht="17.649999999999999" x14ac:dyDescent="0.5">
      <c r="D752" s="3" t="s">
        <v>77</v>
      </c>
    </row>
    <row r="753" spans="4:4" ht="17.649999999999999" x14ac:dyDescent="0.5">
      <c r="D753" s="3" t="s">
        <v>46</v>
      </c>
    </row>
    <row r="754" spans="4:4" ht="17.649999999999999" x14ac:dyDescent="0.5">
      <c r="D754" s="3" t="s">
        <v>75</v>
      </c>
    </row>
    <row r="755" spans="4:4" ht="17.649999999999999" x14ac:dyDescent="0.5">
      <c r="D755" s="3" t="s">
        <v>90</v>
      </c>
    </row>
    <row r="756" spans="4:4" ht="17.649999999999999" x14ac:dyDescent="0.5">
      <c r="D756" s="3" t="s">
        <v>96</v>
      </c>
    </row>
    <row r="757" spans="4:4" ht="17.649999999999999" x14ac:dyDescent="0.5">
      <c r="D757" s="3" t="s">
        <v>74</v>
      </c>
    </row>
    <row r="758" spans="4:4" ht="17.649999999999999" x14ac:dyDescent="0.5">
      <c r="D758" s="3" t="s">
        <v>49</v>
      </c>
    </row>
    <row r="759" spans="4:4" ht="17.649999999999999" x14ac:dyDescent="0.5">
      <c r="D759" s="3" t="s">
        <v>265</v>
      </c>
    </row>
    <row r="760" spans="4:4" ht="17.649999999999999" x14ac:dyDescent="0.5">
      <c r="D760" s="3" t="s">
        <v>63</v>
      </c>
    </row>
    <row r="761" spans="4:4" ht="17.649999999999999" x14ac:dyDescent="0.5">
      <c r="D761" s="3" t="s">
        <v>101</v>
      </c>
    </row>
    <row r="762" spans="4:4" ht="17.649999999999999" x14ac:dyDescent="0.5">
      <c r="D762" s="3" t="s">
        <v>175</v>
      </c>
    </row>
    <row r="763" spans="4:4" ht="17.649999999999999" x14ac:dyDescent="0.5">
      <c r="D763" s="3" t="s">
        <v>132</v>
      </c>
    </row>
    <row r="764" spans="4:4" ht="17.649999999999999" x14ac:dyDescent="0.5">
      <c r="D764" s="3" t="s">
        <v>67</v>
      </c>
    </row>
    <row r="765" spans="4:4" ht="17.649999999999999" x14ac:dyDescent="0.5">
      <c r="D765" s="3" t="s">
        <v>97</v>
      </c>
    </row>
    <row r="766" spans="4:4" ht="17.649999999999999" x14ac:dyDescent="0.5">
      <c r="D766" s="3" t="s">
        <v>107</v>
      </c>
    </row>
    <row r="767" spans="4:4" ht="17.649999999999999" x14ac:dyDescent="0.5">
      <c r="D767" s="3" t="s">
        <v>49</v>
      </c>
    </row>
    <row r="768" spans="4:4" ht="17.649999999999999" x14ac:dyDescent="0.5">
      <c r="D768" s="3" t="s">
        <v>44</v>
      </c>
    </row>
    <row r="769" spans="4:4" ht="17.649999999999999" x14ac:dyDescent="0.5">
      <c r="D769" s="3" t="s">
        <v>41</v>
      </c>
    </row>
    <row r="770" spans="4:4" ht="17.649999999999999" x14ac:dyDescent="0.5">
      <c r="D770" s="3" t="s">
        <v>89</v>
      </c>
    </row>
    <row r="771" spans="4:4" ht="17.649999999999999" x14ac:dyDescent="0.5">
      <c r="D771" s="3" t="s">
        <v>49</v>
      </c>
    </row>
    <row r="772" spans="4:4" ht="17.649999999999999" x14ac:dyDescent="0.5">
      <c r="D772" s="3" t="s">
        <v>130</v>
      </c>
    </row>
    <row r="773" spans="4:4" ht="17.649999999999999" x14ac:dyDescent="0.5">
      <c r="D773" s="3" t="s">
        <v>44</v>
      </c>
    </row>
    <row r="774" spans="4:4" ht="17.649999999999999" x14ac:dyDescent="0.5">
      <c r="D774" s="3" t="s">
        <v>70</v>
      </c>
    </row>
    <row r="775" spans="4:4" ht="17.649999999999999" x14ac:dyDescent="0.5">
      <c r="D775" s="3" t="s">
        <v>101</v>
      </c>
    </row>
    <row r="776" spans="4:4" ht="17.649999999999999" x14ac:dyDescent="0.5">
      <c r="D776" s="3" t="s">
        <v>105</v>
      </c>
    </row>
    <row r="777" spans="4:4" ht="17.649999999999999" x14ac:dyDescent="0.5">
      <c r="D777" s="3" t="s">
        <v>75</v>
      </c>
    </row>
    <row r="778" spans="4:4" ht="17.649999999999999" x14ac:dyDescent="0.5">
      <c r="D778" s="3" t="s">
        <v>53</v>
      </c>
    </row>
    <row r="779" spans="4:4" ht="17.649999999999999" x14ac:dyDescent="0.5">
      <c r="D779" s="3" t="s">
        <v>112</v>
      </c>
    </row>
    <row r="780" spans="4:4" ht="17.649999999999999" x14ac:dyDescent="0.5">
      <c r="D780" s="3" t="s">
        <v>48</v>
      </c>
    </row>
    <row r="781" spans="4:4" ht="17.649999999999999" x14ac:dyDescent="0.5">
      <c r="D781" s="3" t="s">
        <v>107</v>
      </c>
    </row>
    <row r="782" spans="4:4" ht="17.649999999999999" x14ac:dyDescent="0.5">
      <c r="D782" s="3" t="s">
        <v>87</v>
      </c>
    </row>
    <row r="783" spans="4:4" ht="17.649999999999999" x14ac:dyDescent="0.5">
      <c r="D783" s="3" t="s">
        <v>103</v>
      </c>
    </row>
    <row r="784" spans="4:4" ht="17.649999999999999" x14ac:dyDescent="0.5">
      <c r="D784" s="3" t="s">
        <v>109</v>
      </c>
    </row>
    <row r="785" spans="4:4" ht="17.649999999999999" x14ac:dyDescent="0.5">
      <c r="D785" s="3" t="s">
        <v>266</v>
      </c>
    </row>
    <row r="786" spans="4:4" ht="17.649999999999999" x14ac:dyDescent="0.5">
      <c r="D786" s="3" t="s">
        <v>49</v>
      </c>
    </row>
    <row r="787" spans="4:4" ht="17.649999999999999" x14ac:dyDescent="0.5">
      <c r="D787" s="3" t="s">
        <v>91</v>
      </c>
    </row>
    <row r="788" spans="4:4" ht="17.649999999999999" x14ac:dyDescent="0.5">
      <c r="D788" s="3" t="s">
        <v>73</v>
      </c>
    </row>
    <row r="789" spans="4:4" ht="17.649999999999999" x14ac:dyDescent="0.5">
      <c r="D789" s="3" t="s">
        <v>109</v>
      </c>
    </row>
    <row r="790" spans="4:4" ht="17.649999999999999" x14ac:dyDescent="0.5">
      <c r="D790" s="3" t="s">
        <v>41</v>
      </c>
    </row>
    <row r="791" spans="4:4" ht="17.649999999999999" x14ac:dyDescent="0.5">
      <c r="D791" s="3" t="s">
        <v>61</v>
      </c>
    </row>
    <row r="792" spans="4:4" ht="17.649999999999999" x14ac:dyDescent="0.5">
      <c r="D792" s="3" t="s">
        <v>62</v>
      </c>
    </row>
    <row r="793" spans="4:4" ht="17.649999999999999" x14ac:dyDescent="0.5">
      <c r="D793" s="3" t="s">
        <v>66</v>
      </c>
    </row>
    <row r="794" spans="4:4" ht="17.649999999999999" x14ac:dyDescent="0.5">
      <c r="D794" s="3" t="s">
        <v>61</v>
      </c>
    </row>
    <row r="795" spans="4:4" ht="17.649999999999999" x14ac:dyDescent="0.5">
      <c r="D795" s="3" t="s">
        <v>72</v>
      </c>
    </row>
    <row r="796" spans="4:4" ht="17.649999999999999" x14ac:dyDescent="0.5">
      <c r="D796" s="3" t="s">
        <v>89</v>
      </c>
    </row>
    <row r="797" spans="4:4" ht="17.649999999999999" x14ac:dyDescent="0.5">
      <c r="D797" s="3" t="s">
        <v>57</v>
      </c>
    </row>
    <row r="798" spans="4:4" ht="17.649999999999999" x14ac:dyDescent="0.5">
      <c r="D798" s="3" t="s">
        <v>104</v>
      </c>
    </row>
    <row r="799" spans="4:4" ht="17.649999999999999" x14ac:dyDescent="0.5">
      <c r="D799" s="3" t="s">
        <v>107</v>
      </c>
    </row>
    <row r="800" spans="4:4" ht="17.649999999999999" x14ac:dyDescent="0.5">
      <c r="D800" s="3" t="s">
        <v>91</v>
      </c>
    </row>
    <row r="801" spans="4:4" ht="17.649999999999999" x14ac:dyDescent="0.5">
      <c r="D801" s="3" t="s">
        <v>121</v>
      </c>
    </row>
    <row r="802" spans="4:4" ht="17.649999999999999" x14ac:dyDescent="0.5">
      <c r="D802" s="3" t="s">
        <v>67</v>
      </c>
    </row>
    <row r="803" spans="4:4" ht="17.649999999999999" x14ac:dyDescent="0.5">
      <c r="D803" s="3" t="s">
        <v>103</v>
      </c>
    </row>
    <row r="804" spans="4:4" ht="17.649999999999999" x14ac:dyDescent="0.5">
      <c r="D804" s="3" t="s">
        <v>116</v>
      </c>
    </row>
    <row r="805" spans="4:4" ht="17.649999999999999" x14ac:dyDescent="0.5">
      <c r="D805" s="3" t="s">
        <v>44</v>
      </c>
    </row>
    <row r="806" spans="4:4" ht="17.649999999999999" x14ac:dyDescent="0.5">
      <c r="D806" s="3" t="s">
        <v>136</v>
      </c>
    </row>
    <row r="807" spans="4:4" ht="17.649999999999999" x14ac:dyDescent="0.5">
      <c r="D807" s="3" t="s">
        <v>98</v>
      </c>
    </row>
    <row r="808" spans="4:4" ht="17.649999999999999" x14ac:dyDescent="0.5">
      <c r="D808" s="3" t="s">
        <v>96</v>
      </c>
    </row>
    <row r="809" spans="4:4" ht="17.649999999999999" x14ac:dyDescent="0.5">
      <c r="D809" s="3" t="s">
        <v>46</v>
      </c>
    </row>
    <row r="810" spans="4:4" ht="17.649999999999999" x14ac:dyDescent="0.5">
      <c r="D810" s="3" t="s">
        <v>107</v>
      </c>
    </row>
    <row r="811" spans="4:4" ht="17.649999999999999" x14ac:dyDescent="0.5">
      <c r="D811" s="3" t="s">
        <v>118</v>
      </c>
    </row>
    <row r="812" spans="4:4" ht="17.649999999999999" x14ac:dyDescent="0.5">
      <c r="D812" s="3" t="s">
        <v>46</v>
      </c>
    </row>
    <row r="813" spans="4:4" ht="17.649999999999999" x14ac:dyDescent="0.5">
      <c r="D813" s="3" t="s">
        <v>87</v>
      </c>
    </row>
    <row r="814" spans="4:4" ht="17.649999999999999" x14ac:dyDescent="0.5">
      <c r="D814" s="3" t="s">
        <v>69</v>
      </c>
    </row>
    <row r="815" spans="4:4" ht="17.649999999999999" x14ac:dyDescent="0.5">
      <c r="D815" s="3" t="s">
        <v>130</v>
      </c>
    </row>
    <row r="816" spans="4:4" ht="17.649999999999999" x14ac:dyDescent="0.5">
      <c r="D816" s="3" t="s">
        <v>49</v>
      </c>
    </row>
    <row r="817" spans="4:4" ht="17.649999999999999" x14ac:dyDescent="0.5">
      <c r="D817" s="3" t="s">
        <v>112</v>
      </c>
    </row>
    <row r="818" spans="4:4" ht="17.649999999999999" x14ac:dyDescent="0.5">
      <c r="D818" s="3" t="s">
        <v>122</v>
      </c>
    </row>
    <row r="819" spans="4:4" ht="17.649999999999999" x14ac:dyDescent="0.5">
      <c r="D819" s="3" t="s">
        <v>66</v>
      </c>
    </row>
    <row r="820" spans="4:4" ht="17.649999999999999" x14ac:dyDescent="0.5">
      <c r="D820" s="3" t="s">
        <v>47</v>
      </c>
    </row>
    <row r="821" spans="4:4" ht="17.649999999999999" x14ac:dyDescent="0.5">
      <c r="D821" s="3" t="s">
        <v>68</v>
      </c>
    </row>
    <row r="822" spans="4:4" ht="17.649999999999999" x14ac:dyDescent="0.5">
      <c r="D822" s="3" t="s">
        <v>41</v>
      </c>
    </row>
    <row r="823" spans="4:4" ht="17.649999999999999" x14ac:dyDescent="0.5">
      <c r="D823" s="3" t="s">
        <v>96</v>
      </c>
    </row>
    <row r="824" spans="4:4" ht="17.649999999999999" x14ac:dyDescent="0.5">
      <c r="D824" s="3" t="s">
        <v>47</v>
      </c>
    </row>
    <row r="825" spans="4:4" ht="17.649999999999999" x14ac:dyDescent="0.5">
      <c r="D825" s="3" t="s">
        <v>114</v>
      </c>
    </row>
    <row r="826" spans="4:4" ht="17.649999999999999" x14ac:dyDescent="0.5">
      <c r="D826" s="3" t="s">
        <v>63</v>
      </c>
    </row>
    <row r="827" spans="4:4" ht="17.649999999999999" x14ac:dyDescent="0.5">
      <c r="D827" s="3" t="s">
        <v>131</v>
      </c>
    </row>
    <row r="828" spans="4:4" ht="17.649999999999999" x14ac:dyDescent="0.5">
      <c r="D828" s="3" t="s">
        <v>80</v>
      </c>
    </row>
    <row r="829" spans="4:4" ht="17.649999999999999" x14ac:dyDescent="0.5">
      <c r="D829" s="3" t="s">
        <v>44</v>
      </c>
    </row>
    <row r="830" spans="4:4" ht="17.649999999999999" x14ac:dyDescent="0.5">
      <c r="D830" s="3" t="s">
        <v>74</v>
      </c>
    </row>
    <row r="831" spans="4:4" ht="17.649999999999999" x14ac:dyDescent="0.5">
      <c r="D831" s="3" t="s">
        <v>69</v>
      </c>
    </row>
    <row r="832" spans="4:4" ht="17.649999999999999" x14ac:dyDescent="0.5">
      <c r="D832" s="3" t="s">
        <v>48</v>
      </c>
    </row>
    <row r="833" spans="4:4" ht="17.649999999999999" x14ac:dyDescent="0.5">
      <c r="D833" s="3" t="s">
        <v>80</v>
      </c>
    </row>
    <row r="834" spans="4:4" ht="17.649999999999999" x14ac:dyDescent="0.5">
      <c r="D834" s="3" t="s">
        <v>102</v>
      </c>
    </row>
    <row r="835" spans="4:4" ht="17.649999999999999" x14ac:dyDescent="0.5">
      <c r="D835" s="3" t="s">
        <v>74</v>
      </c>
    </row>
    <row r="836" spans="4:4" ht="17.649999999999999" x14ac:dyDescent="0.5">
      <c r="D836" s="3" t="s">
        <v>112</v>
      </c>
    </row>
    <row r="837" spans="4:4" ht="17.649999999999999" x14ac:dyDescent="0.5">
      <c r="D837" s="3" t="s">
        <v>90</v>
      </c>
    </row>
    <row r="838" spans="4:4" ht="17.649999999999999" x14ac:dyDescent="0.5">
      <c r="D838" s="3" t="s">
        <v>204</v>
      </c>
    </row>
    <row r="839" spans="4:4" ht="17.649999999999999" x14ac:dyDescent="0.5">
      <c r="D839" s="3" t="s">
        <v>51</v>
      </c>
    </row>
    <row r="840" spans="4:4" ht="17.649999999999999" x14ac:dyDescent="0.5">
      <c r="D840" s="3" t="s">
        <v>47</v>
      </c>
    </row>
    <row r="841" spans="4:4" ht="17.649999999999999" x14ac:dyDescent="0.5">
      <c r="D841" s="3" t="s">
        <v>69</v>
      </c>
    </row>
    <row r="842" spans="4:4" ht="17.649999999999999" x14ac:dyDescent="0.5">
      <c r="D842" s="3" t="s">
        <v>267</v>
      </c>
    </row>
    <row r="843" spans="4:4" ht="17.649999999999999" x14ac:dyDescent="0.5">
      <c r="D843" s="3" t="s">
        <v>268</v>
      </c>
    </row>
    <row r="844" spans="4:4" ht="17.649999999999999" x14ac:dyDescent="0.5">
      <c r="D844" s="3" t="s">
        <v>82</v>
      </c>
    </row>
    <row r="845" spans="4:4" ht="17.649999999999999" x14ac:dyDescent="0.5">
      <c r="D845" s="3" t="s">
        <v>112</v>
      </c>
    </row>
    <row r="846" spans="4:4" ht="17.649999999999999" x14ac:dyDescent="0.5">
      <c r="D846" s="3" t="s">
        <v>77</v>
      </c>
    </row>
    <row r="847" spans="4:4" ht="17.649999999999999" x14ac:dyDescent="0.5">
      <c r="D847" s="3" t="s">
        <v>109</v>
      </c>
    </row>
    <row r="848" spans="4:4" ht="17.649999999999999" x14ac:dyDescent="0.5">
      <c r="D848" s="3" t="s">
        <v>48</v>
      </c>
    </row>
    <row r="849" spans="4:4" ht="17.649999999999999" x14ac:dyDescent="0.5">
      <c r="D849" s="3" t="s">
        <v>54</v>
      </c>
    </row>
    <row r="850" spans="4:4" ht="17.649999999999999" x14ac:dyDescent="0.5">
      <c r="D850" s="3" t="s">
        <v>53</v>
      </c>
    </row>
    <row r="851" spans="4:4" ht="17.649999999999999" x14ac:dyDescent="0.5">
      <c r="D851" s="3" t="s">
        <v>66</v>
      </c>
    </row>
    <row r="852" spans="4:4" ht="17.649999999999999" x14ac:dyDescent="0.5">
      <c r="D852" s="3" t="s">
        <v>83</v>
      </c>
    </row>
    <row r="853" spans="4:4" ht="17.649999999999999" x14ac:dyDescent="0.5">
      <c r="D853" s="3" t="s">
        <v>75</v>
      </c>
    </row>
    <row r="854" spans="4:4" ht="17.649999999999999" x14ac:dyDescent="0.5">
      <c r="D854" s="3" t="s">
        <v>52</v>
      </c>
    </row>
    <row r="855" spans="4:4" ht="17.649999999999999" x14ac:dyDescent="0.5">
      <c r="D855" s="3" t="s">
        <v>113</v>
      </c>
    </row>
    <row r="856" spans="4:4" ht="17.649999999999999" x14ac:dyDescent="0.5">
      <c r="D856" s="3" t="s">
        <v>83</v>
      </c>
    </row>
    <row r="857" spans="4:4" ht="17.649999999999999" x14ac:dyDescent="0.5">
      <c r="D857" s="3" t="s">
        <v>59</v>
      </c>
    </row>
    <row r="858" spans="4:4" ht="17.649999999999999" x14ac:dyDescent="0.5">
      <c r="D858" s="3" t="s">
        <v>269</v>
      </c>
    </row>
    <row r="859" spans="4:4" ht="17.649999999999999" x14ac:dyDescent="0.5">
      <c r="D859" s="3" t="s">
        <v>55</v>
      </c>
    </row>
    <row r="860" spans="4:4" ht="17.649999999999999" x14ac:dyDescent="0.5">
      <c r="D860" s="3" t="s">
        <v>91</v>
      </c>
    </row>
    <row r="861" spans="4:4" ht="17.649999999999999" x14ac:dyDescent="0.5">
      <c r="D861" s="3" t="s">
        <v>86</v>
      </c>
    </row>
    <row r="862" spans="4:4" ht="17.649999999999999" x14ac:dyDescent="0.5">
      <c r="D862" s="3" t="s">
        <v>73</v>
      </c>
    </row>
    <row r="863" spans="4:4" ht="17.649999999999999" x14ac:dyDescent="0.5">
      <c r="D863" s="3" t="s">
        <v>207</v>
      </c>
    </row>
    <row r="864" spans="4:4" ht="17.649999999999999" x14ac:dyDescent="0.5">
      <c r="D864" s="3" t="s">
        <v>65</v>
      </c>
    </row>
    <row r="865" spans="4:4" ht="17.649999999999999" x14ac:dyDescent="0.5">
      <c r="D865" s="3" t="s">
        <v>208</v>
      </c>
    </row>
    <row r="866" spans="4:4" ht="17.649999999999999" x14ac:dyDescent="0.5">
      <c r="D866" s="3" t="s">
        <v>42</v>
      </c>
    </row>
    <row r="867" spans="4:4" ht="17.649999999999999" x14ac:dyDescent="0.5">
      <c r="D867" s="3" t="s">
        <v>52</v>
      </c>
    </row>
    <row r="868" spans="4:4" ht="17.649999999999999" x14ac:dyDescent="0.5">
      <c r="D868" s="3" t="s">
        <v>49</v>
      </c>
    </row>
    <row r="869" spans="4:4" ht="17.649999999999999" x14ac:dyDescent="0.5">
      <c r="D869" s="3" t="s">
        <v>41</v>
      </c>
    </row>
    <row r="870" spans="4:4" ht="17.649999999999999" x14ac:dyDescent="0.5">
      <c r="D870" s="3" t="s">
        <v>82</v>
      </c>
    </row>
    <row r="871" spans="4:4" ht="17.649999999999999" x14ac:dyDescent="0.5">
      <c r="D871" s="3" t="s">
        <v>90</v>
      </c>
    </row>
    <row r="872" spans="4:4" ht="17.649999999999999" x14ac:dyDescent="0.5">
      <c r="D872" s="3" t="s">
        <v>53</v>
      </c>
    </row>
    <row r="873" spans="4:4" ht="17.649999999999999" x14ac:dyDescent="0.5">
      <c r="D873" s="3" t="s">
        <v>98</v>
      </c>
    </row>
    <row r="874" spans="4:4" ht="17.649999999999999" x14ac:dyDescent="0.5">
      <c r="D874" s="3" t="s">
        <v>180</v>
      </c>
    </row>
    <row r="875" spans="4:4" ht="17.649999999999999" x14ac:dyDescent="0.5">
      <c r="D875" s="3" t="s">
        <v>90</v>
      </c>
    </row>
    <row r="876" spans="4:4" ht="17.649999999999999" x14ac:dyDescent="0.5">
      <c r="D876" s="3" t="s">
        <v>47</v>
      </c>
    </row>
    <row r="877" spans="4:4" ht="17.649999999999999" x14ac:dyDescent="0.5">
      <c r="D877" s="3" t="s">
        <v>119</v>
      </c>
    </row>
    <row r="878" spans="4:4" ht="17.649999999999999" x14ac:dyDescent="0.5">
      <c r="D878" s="3" t="s">
        <v>107</v>
      </c>
    </row>
    <row r="879" spans="4:4" ht="17.649999999999999" x14ac:dyDescent="0.5">
      <c r="D879" s="3" t="s">
        <v>115</v>
      </c>
    </row>
    <row r="880" spans="4:4" ht="17.649999999999999" x14ac:dyDescent="0.5">
      <c r="D880" s="3" t="s">
        <v>58</v>
      </c>
    </row>
    <row r="881" spans="4:4" ht="17.649999999999999" x14ac:dyDescent="0.5">
      <c r="D881" s="3" t="s">
        <v>67</v>
      </c>
    </row>
    <row r="882" spans="4:4" ht="17.649999999999999" x14ac:dyDescent="0.5">
      <c r="D882" s="3" t="s">
        <v>59</v>
      </c>
    </row>
    <row r="883" spans="4:4" ht="17.649999999999999" x14ac:dyDescent="0.5">
      <c r="D883" s="3" t="s">
        <v>67</v>
      </c>
    </row>
    <row r="884" spans="4:4" ht="17.649999999999999" x14ac:dyDescent="0.5">
      <c r="D884" s="3" t="s">
        <v>91</v>
      </c>
    </row>
    <row r="885" spans="4:4" ht="17.649999999999999" x14ac:dyDescent="0.5">
      <c r="D885" s="3" t="s">
        <v>181</v>
      </c>
    </row>
    <row r="886" spans="4:4" ht="17.649999999999999" x14ac:dyDescent="0.5">
      <c r="D886" s="3" t="s">
        <v>60</v>
      </c>
    </row>
    <row r="887" spans="4:4" ht="17.649999999999999" x14ac:dyDescent="0.5">
      <c r="D887" s="3" t="s">
        <v>270</v>
      </c>
    </row>
    <row r="888" spans="4:4" ht="17.649999999999999" x14ac:dyDescent="0.5">
      <c r="D888" s="3" t="s">
        <v>103</v>
      </c>
    </row>
    <row r="889" spans="4:4" ht="17.649999999999999" x14ac:dyDescent="0.5">
      <c r="D889" s="3" t="s">
        <v>66</v>
      </c>
    </row>
    <row r="890" spans="4:4" ht="17.649999999999999" x14ac:dyDescent="0.5">
      <c r="D890" s="3" t="s">
        <v>76</v>
      </c>
    </row>
    <row r="891" spans="4:4" ht="17.649999999999999" x14ac:dyDescent="0.5">
      <c r="D891" s="3" t="s">
        <v>183</v>
      </c>
    </row>
    <row r="892" spans="4:4" ht="17.649999999999999" x14ac:dyDescent="0.5">
      <c r="D892" s="3" t="s">
        <v>210</v>
      </c>
    </row>
    <row r="893" spans="4:4" ht="17.649999999999999" x14ac:dyDescent="0.5">
      <c r="D893" s="3" t="s">
        <v>135</v>
      </c>
    </row>
    <row r="894" spans="4:4" ht="17.649999999999999" x14ac:dyDescent="0.5">
      <c r="D894" s="3" t="s">
        <v>118</v>
      </c>
    </row>
    <row r="895" spans="4:4" ht="17.649999999999999" x14ac:dyDescent="0.5">
      <c r="D895" s="3" t="s">
        <v>61</v>
      </c>
    </row>
    <row r="896" spans="4:4" ht="17.649999999999999" x14ac:dyDescent="0.5">
      <c r="D896" s="3" t="s">
        <v>87</v>
      </c>
    </row>
    <row r="897" spans="4:4" ht="17.649999999999999" x14ac:dyDescent="0.5">
      <c r="D897" s="3" t="s">
        <v>271</v>
      </c>
    </row>
    <row r="898" spans="4:4" ht="17.649999999999999" x14ac:dyDescent="0.5">
      <c r="D898" s="3" t="s">
        <v>75</v>
      </c>
    </row>
    <row r="899" spans="4:4" ht="17.649999999999999" x14ac:dyDescent="0.5">
      <c r="D899" s="3" t="s">
        <v>53</v>
      </c>
    </row>
    <row r="900" spans="4:4" ht="17.649999999999999" x14ac:dyDescent="0.5">
      <c r="D900" s="3" t="s">
        <v>105</v>
      </c>
    </row>
    <row r="901" spans="4:4" ht="17.649999999999999" x14ac:dyDescent="0.5">
      <c r="D901" s="3" t="s">
        <v>63</v>
      </c>
    </row>
    <row r="902" spans="4:4" ht="17.649999999999999" x14ac:dyDescent="0.5">
      <c r="D902" s="3" t="s">
        <v>272</v>
      </c>
    </row>
    <row r="903" spans="4:4" ht="17.649999999999999" x14ac:dyDescent="0.5">
      <c r="D903" s="3" t="s">
        <v>273</v>
      </c>
    </row>
    <row r="904" spans="4:4" ht="17.649999999999999" x14ac:dyDescent="0.5">
      <c r="D904" s="3" t="s">
        <v>83</v>
      </c>
    </row>
    <row r="905" spans="4:4" ht="17.649999999999999" x14ac:dyDescent="0.5">
      <c r="D905" s="3" t="s">
        <v>91</v>
      </c>
    </row>
    <row r="906" spans="4:4" ht="17.649999999999999" x14ac:dyDescent="0.5">
      <c r="D906" s="3" t="s">
        <v>191</v>
      </c>
    </row>
    <row r="907" spans="4:4" ht="17.649999999999999" x14ac:dyDescent="0.5">
      <c r="D907" s="3" t="s">
        <v>72</v>
      </c>
    </row>
    <row r="908" spans="4:4" ht="17.649999999999999" x14ac:dyDescent="0.5">
      <c r="D908" s="3" t="s">
        <v>67</v>
      </c>
    </row>
    <row r="909" spans="4:4" ht="17.649999999999999" x14ac:dyDescent="0.5">
      <c r="D909" s="3" t="s">
        <v>43</v>
      </c>
    </row>
    <row r="910" spans="4:4" ht="17.649999999999999" x14ac:dyDescent="0.5">
      <c r="D910" s="3" t="s">
        <v>274</v>
      </c>
    </row>
    <row r="911" spans="4:4" ht="17.649999999999999" x14ac:dyDescent="0.5">
      <c r="D911" s="3" t="s">
        <v>115</v>
      </c>
    </row>
    <row r="912" spans="4:4" ht="17.649999999999999" x14ac:dyDescent="0.5">
      <c r="D912" s="3" t="s">
        <v>54</v>
      </c>
    </row>
    <row r="913" spans="4:4" ht="17.649999999999999" x14ac:dyDescent="0.5">
      <c r="D913" s="3" t="s">
        <v>61</v>
      </c>
    </row>
    <row r="914" spans="4:4" ht="17.649999999999999" x14ac:dyDescent="0.5">
      <c r="D914" s="3" t="s">
        <v>75</v>
      </c>
    </row>
    <row r="915" spans="4:4" ht="17.649999999999999" x14ac:dyDescent="0.5">
      <c r="D915" s="3" t="s">
        <v>90</v>
      </c>
    </row>
    <row r="916" spans="4:4" ht="17.649999999999999" x14ac:dyDescent="0.5">
      <c r="D916" s="3" t="s">
        <v>85</v>
      </c>
    </row>
    <row r="917" spans="4:4" ht="17.649999999999999" x14ac:dyDescent="0.5">
      <c r="D917" s="3" t="s">
        <v>63</v>
      </c>
    </row>
    <row r="918" spans="4:4" ht="17.649999999999999" x14ac:dyDescent="0.5">
      <c r="D918" s="3" t="s">
        <v>54</v>
      </c>
    </row>
    <row r="919" spans="4:4" ht="17.649999999999999" x14ac:dyDescent="0.5">
      <c r="D919" s="3" t="s">
        <v>213</v>
      </c>
    </row>
    <row r="920" spans="4:4" ht="17.649999999999999" x14ac:dyDescent="0.5">
      <c r="D920" s="3" t="s">
        <v>135</v>
      </c>
    </row>
    <row r="921" spans="4:4" ht="17.649999999999999" x14ac:dyDescent="0.5">
      <c r="D921" s="3" t="s">
        <v>55</v>
      </c>
    </row>
    <row r="922" spans="4:4" ht="17.649999999999999" x14ac:dyDescent="0.5">
      <c r="D922" s="3" t="s">
        <v>90</v>
      </c>
    </row>
    <row r="923" spans="4:4" ht="17.649999999999999" x14ac:dyDescent="0.5">
      <c r="D923" s="3" t="s">
        <v>54</v>
      </c>
    </row>
    <row r="924" spans="4:4" ht="17.649999999999999" x14ac:dyDescent="0.5">
      <c r="D924" s="3" t="s">
        <v>196</v>
      </c>
    </row>
    <row r="925" spans="4:4" ht="17.649999999999999" x14ac:dyDescent="0.5">
      <c r="D925" s="3" t="s">
        <v>83</v>
      </c>
    </row>
    <row r="926" spans="4:4" ht="17.649999999999999" x14ac:dyDescent="0.5">
      <c r="D926" s="3" t="s">
        <v>82</v>
      </c>
    </row>
    <row r="927" spans="4:4" ht="17.649999999999999" x14ac:dyDescent="0.5">
      <c r="D927" s="3" t="s">
        <v>91</v>
      </c>
    </row>
    <row r="928" spans="4:4" ht="17.649999999999999" x14ac:dyDescent="0.5">
      <c r="D928" s="3" t="s">
        <v>198</v>
      </c>
    </row>
    <row r="929" spans="4:4" ht="17.649999999999999" x14ac:dyDescent="0.5">
      <c r="D929" s="3" t="s">
        <v>93</v>
      </c>
    </row>
    <row r="930" spans="4:4" ht="17.649999999999999" x14ac:dyDescent="0.5">
      <c r="D930" s="3" t="s">
        <v>53</v>
      </c>
    </row>
    <row r="931" spans="4:4" ht="17.649999999999999" x14ac:dyDescent="0.5">
      <c r="D931" s="3" t="s">
        <v>96</v>
      </c>
    </row>
    <row r="932" spans="4:4" ht="17.649999999999999" x14ac:dyDescent="0.5">
      <c r="D932" s="3" t="s">
        <v>51</v>
      </c>
    </row>
    <row r="933" spans="4:4" ht="17.649999999999999" x14ac:dyDescent="0.5">
      <c r="D933" s="3" t="s">
        <v>202</v>
      </c>
    </row>
    <row r="934" spans="4:4" ht="17.649999999999999" x14ac:dyDescent="0.5">
      <c r="D934" s="3" t="s">
        <v>126</v>
      </c>
    </row>
    <row r="935" spans="4:4" ht="17.649999999999999" x14ac:dyDescent="0.5">
      <c r="D935" s="3" t="s">
        <v>118</v>
      </c>
    </row>
    <row r="936" spans="4:4" ht="17.649999999999999" x14ac:dyDescent="0.5">
      <c r="D936" s="3" t="s">
        <v>56</v>
      </c>
    </row>
    <row r="937" spans="4:4" ht="17.649999999999999" x14ac:dyDescent="0.5">
      <c r="D937" s="3" t="s">
        <v>112</v>
      </c>
    </row>
    <row r="938" spans="4:4" ht="17.649999999999999" x14ac:dyDescent="0.5">
      <c r="D938" s="3" t="s">
        <v>85</v>
      </c>
    </row>
    <row r="939" spans="4:4" ht="17.649999999999999" x14ac:dyDescent="0.5">
      <c r="D939" s="3" t="s">
        <v>117</v>
      </c>
    </row>
    <row r="940" spans="4:4" ht="17.649999999999999" x14ac:dyDescent="0.5">
      <c r="D940" s="3" t="s">
        <v>129</v>
      </c>
    </row>
    <row r="941" spans="4:4" ht="17.649999999999999" x14ac:dyDescent="0.5">
      <c r="D941" s="3" t="s">
        <v>46</v>
      </c>
    </row>
    <row r="942" spans="4:4" ht="17.649999999999999" x14ac:dyDescent="0.5">
      <c r="D942" s="3" t="s">
        <v>83</v>
      </c>
    </row>
    <row r="943" spans="4:4" ht="17.649999999999999" x14ac:dyDescent="0.5">
      <c r="D943" s="3" t="s">
        <v>54</v>
      </c>
    </row>
    <row r="944" spans="4:4" ht="17.649999999999999" x14ac:dyDescent="0.5">
      <c r="D944" s="3" t="s">
        <v>95</v>
      </c>
    </row>
    <row r="945" spans="4:4" ht="17.649999999999999" x14ac:dyDescent="0.5">
      <c r="D945" s="3" t="s">
        <v>83</v>
      </c>
    </row>
    <row r="946" spans="4:4" ht="17.649999999999999" x14ac:dyDescent="0.5">
      <c r="D946" s="3" t="s">
        <v>94</v>
      </c>
    </row>
    <row r="947" spans="4:4" ht="17.649999999999999" x14ac:dyDescent="0.5">
      <c r="D947" s="3" t="s">
        <v>103</v>
      </c>
    </row>
    <row r="948" spans="4:4" ht="17.649999999999999" x14ac:dyDescent="0.5">
      <c r="D948" s="3" t="s">
        <v>48</v>
      </c>
    </row>
    <row r="949" spans="4:4" ht="17.649999999999999" x14ac:dyDescent="0.5">
      <c r="D949" s="3" t="s">
        <v>216</v>
      </c>
    </row>
    <row r="950" spans="4:4" ht="17.649999999999999" x14ac:dyDescent="0.5">
      <c r="D950" s="3" t="s">
        <v>91</v>
      </c>
    </row>
    <row r="951" spans="4:4" ht="17.649999999999999" x14ac:dyDescent="0.5">
      <c r="D951" s="3" t="s">
        <v>98</v>
      </c>
    </row>
    <row r="952" spans="4:4" ht="17.649999999999999" x14ac:dyDescent="0.5">
      <c r="D952" s="3" t="s">
        <v>73</v>
      </c>
    </row>
    <row r="953" spans="4:4" ht="17.649999999999999" x14ac:dyDescent="0.5">
      <c r="D953" s="3" t="s">
        <v>41</v>
      </c>
    </row>
    <row r="954" spans="4:4" ht="17.649999999999999" x14ac:dyDescent="0.5">
      <c r="D954" s="3" t="s">
        <v>65</v>
      </c>
    </row>
    <row r="955" spans="4:4" ht="17.649999999999999" x14ac:dyDescent="0.5">
      <c r="D955" s="3" t="s">
        <v>50</v>
      </c>
    </row>
    <row r="956" spans="4:4" ht="17.649999999999999" x14ac:dyDescent="0.5">
      <c r="D956" s="3" t="s">
        <v>93</v>
      </c>
    </row>
    <row r="957" spans="4:4" ht="17.649999999999999" x14ac:dyDescent="0.5">
      <c r="D957" s="3" t="s">
        <v>211</v>
      </c>
    </row>
    <row r="958" spans="4:4" ht="17.649999999999999" x14ac:dyDescent="0.5">
      <c r="D958" s="3" t="s">
        <v>61</v>
      </c>
    </row>
    <row r="959" spans="4:4" ht="17.649999999999999" x14ac:dyDescent="0.5">
      <c r="D959" s="3" t="s">
        <v>275</v>
      </c>
    </row>
    <row r="960" spans="4:4" ht="17.649999999999999" x14ac:dyDescent="0.5">
      <c r="D960" s="3" t="s">
        <v>69</v>
      </c>
    </row>
    <row r="961" spans="4:4" ht="17.649999999999999" x14ac:dyDescent="0.5">
      <c r="D961" s="3" t="s">
        <v>103</v>
      </c>
    </row>
    <row r="962" spans="4:4" ht="17.649999999999999" x14ac:dyDescent="0.5">
      <c r="D962" s="3" t="s">
        <v>121</v>
      </c>
    </row>
    <row r="963" spans="4:4" ht="17.649999999999999" x14ac:dyDescent="0.5">
      <c r="D963" s="3" t="s">
        <v>212</v>
      </c>
    </row>
    <row r="964" spans="4:4" ht="17.649999999999999" x14ac:dyDescent="0.5">
      <c r="D964" s="3" t="s">
        <v>276</v>
      </c>
    </row>
    <row r="965" spans="4:4" ht="17.649999999999999" x14ac:dyDescent="0.5">
      <c r="D965" s="3" t="s">
        <v>83</v>
      </c>
    </row>
    <row r="966" spans="4:4" ht="17.649999999999999" x14ac:dyDescent="0.5">
      <c r="D966" s="3" t="s">
        <v>47</v>
      </c>
    </row>
    <row r="967" spans="4:4" ht="17.649999999999999" x14ac:dyDescent="0.5">
      <c r="D967" s="3" t="s">
        <v>101</v>
      </c>
    </row>
    <row r="968" spans="4:4" ht="17.649999999999999" x14ac:dyDescent="0.5">
      <c r="D968" s="3" t="s">
        <v>105</v>
      </c>
    </row>
    <row r="969" spans="4:4" ht="17.649999999999999" x14ac:dyDescent="0.5">
      <c r="D969" s="3" t="s">
        <v>77</v>
      </c>
    </row>
    <row r="970" spans="4:4" ht="17.649999999999999" x14ac:dyDescent="0.5">
      <c r="D970" s="3" t="s">
        <v>54</v>
      </c>
    </row>
    <row r="971" spans="4:4" ht="17.649999999999999" x14ac:dyDescent="0.5">
      <c r="D971" s="3" t="s">
        <v>48</v>
      </c>
    </row>
    <row r="972" spans="4:4" ht="17.649999999999999" x14ac:dyDescent="0.5">
      <c r="D972" s="3" t="s">
        <v>75</v>
      </c>
    </row>
    <row r="973" spans="4:4" ht="17.649999999999999" x14ac:dyDescent="0.5">
      <c r="D973" s="3" t="s">
        <v>130</v>
      </c>
    </row>
    <row r="974" spans="4:4" ht="17.649999999999999" x14ac:dyDescent="0.5">
      <c r="D974" s="3" t="s">
        <v>82</v>
      </c>
    </row>
    <row r="975" spans="4:4" ht="17.649999999999999" x14ac:dyDescent="0.5">
      <c r="D975" s="3" t="s">
        <v>50</v>
      </c>
    </row>
    <row r="976" spans="4:4" ht="17.649999999999999" x14ac:dyDescent="0.5">
      <c r="D976" s="3" t="s">
        <v>215</v>
      </c>
    </row>
    <row r="977" spans="4:4" ht="17.649999999999999" x14ac:dyDescent="0.5">
      <c r="D977" s="3" t="s">
        <v>54</v>
      </c>
    </row>
    <row r="978" spans="4:4" ht="17.649999999999999" x14ac:dyDescent="0.5">
      <c r="D978" s="3" t="s">
        <v>109</v>
      </c>
    </row>
    <row r="979" spans="4:4" ht="17.649999999999999" x14ac:dyDescent="0.5">
      <c r="D979" s="3" t="s">
        <v>53</v>
      </c>
    </row>
    <row r="980" spans="4:4" ht="17.649999999999999" x14ac:dyDescent="0.5">
      <c r="D980" s="3" t="s">
        <v>277</v>
      </c>
    </row>
    <row r="981" spans="4:4" ht="17.649999999999999" x14ac:dyDescent="0.5">
      <c r="D981" s="3" t="s">
        <v>74</v>
      </c>
    </row>
    <row r="982" spans="4:4" ht="17.649999999999999" x14ac:dyDescent="0.5">
      <c r="D982" s="3" t="s">
        <v>94</v>
      </c>
    </row>
    <row r="983" spans="4:4" ht="17.649999999999999" x14ac:dyDescent="0.5">
      <c r="D983" s="3" t="s">
        <v>48</v>
      </c>
    </row>
    <row r="984" spans="4:4" ht="17.649999999999999" x14ac:dyDescent="0.5">
      <c r="D984" s="3" t="s">
        <v>77</v>
      </c>
    </row>
    <row r="985" spans="4:4" ht="17.649999999999999" x14ac:dyDescent="0.5">
      <c r="D985" s="3" t="s">
        <v>59</v>
      </c>
    </row>
    <row r="986" spans="4:4" ht="17.649999999999999" x14ac:dyDescent="0.5">
      <c r="D986" s="3" t="s">
        <v>48</v>
      </c>
    </row>
    <row r="987" spans="4:4" ht="17.649999999999999" x14ac:dyDescent="0.5">
      <c r="D987" s="3" t="s">
        <v>75</v>
      </c>
    </row>
    <row r="988" spans="4:4" ht="17.649999999999999" x14ac:dyDescent="0.5">
      <c r="D988" s="3" t="s">
        <v>69</v>
      </c>
    </row>
    <row r="989" spans="4:4" ht="17.649999999999999" x14ac:dyDescent="0.5">
      <c r="D989" s="3" t="s">
        <v>108</v>
      </c>
    </row>
    <row r="990" spans="4:4" ht="17.649999999999999" x14ac:dyDescent="0.5">
      <c r="D990" s="3" t="s">
        <v>75</v>
      </c>
    </row>
    <row r="991" spans="4:4" ht="17.649999999999999" x14ac:dyDescent="0.5">
      <c r="D991" s="3" t="s">
        <v>109</v>
      </c>
    </row>
    <row r="992" spans="4:4" ht="17.649999999999999" x14ac:dyDescent="0.5">
      <c r="D992" s="3" t="s">
        <v>106</v>
      </c>
    </row>
    <row r="993" spans="4:4" ht="17.649999999999999" x14ac:dyDescent="0.5">
      <c r="D993" s="3" t="s">
        <v>91</v>
      </c>
    </row>
    <row r="994" spans="4:4" ht="17.649999999999999" x14ac:dyDescent="0.5">
      <c r="D994" s="3" t="s">
        <v>43</v>
      </c>
    </row>
    <row r="995" spans="4:4" ht="17.649999999999999" x14ac:dyDescent="0.5">
      <c r="D995" s="3" t="s">
        <v>116</v>
      </c>
    </row>
    <row r="996" spans="4:4" ht="17.649999999999999" x14ac:dyDescent="0.5">
      <c r="D996" s="3" t="s">
        <v>76</v>
      </c>
    </row>
    <row r="997" spans="4:4" ht="17.649999999999999" x14ac:dyDescent="0.5">
      <c r="D997" s="3" t="s">
        <v>217</v>
      </c>
    </row>
    <row r="998" spans="4:4" ht="17.649999999999999" x14ac:dyDescent="0.5">
      <c r="D998" s="3" t="s">
        <v>87</v>
      </c>
    </row>
    <row r="999" spans="4:4" ht="17.649999999999999" x14ac:dyDescent="0.5">
      <c r="D999" s="3" t="s">
        <v>83</v>
      </c>
    </row>
    <row r="1000" spans="4:4" ht="17.649999999999999" x14ac:dyDescent="0.5">
      <c r="D1000" s="3" t="s">
        <v>94</v>
      </c>
    </row>
    <row r="1001" spans="4:4" ht="17.649999999999999" x14ac:dyDescent="0.5">
      <c r="D1001" s="3" t="s">
        <v>59</v>
      </c>
    </row>
    <row r="1002" spans="4:4" ht="17.649999999999999" x14ac:dyDescent="0.5">
      <c r="D1002" s="3" t="s">
        <v>221</v>
      </c>
    </row>
    <row r="1003" spans="4:4" ht="17.649999999999999" x14ac:dyDescent="0.5">
      <c r="D1003" s="3" t="s">
        <v>56</v>
      </c>
    </row>
    <row r="1004" spans="4:4" ht="17.649999999999999" x14ac:dyDescent="0.5">
      <c r="D1004" s="3" t="s">
        <v>53</v>
      </c>
    </row>
    <row r="1005" spans="4:4" ht="17.649999999999999" x14ac:dyDescent="0.5">
      <c r="D1005" s="3" t="s">
        <v>64</v>
      </c>
    </row>
    <row r="1006" spans="4:4" ht="17.649999999999999" x14ac:dyDescent="0.5">
      <c r="D1006" s="3" t="s">
        <v>51</v>
      </c>
    </row>
    <row r="1007" spans="4:4" ht="17.649999999999999" x14ac:dyDescent="0.5">
      <c r="D1007" s="3" t="s">
        <v>55</v>
      </c>
    </row>
    <row r="1008" spans="4:4" ht="17.649999999999999" x14ac:dyDescent="0.5">
      <c r="D1008" s="3" t="s">
        <v>89</v>
      </c>
    </row>
    <row r="1009" spans="4:4" ht="17.649999999999999" x14ac:dyDescent="0.5">
      <c r="D1009" s="3" t="s">
        <v>220</v>
      </c>
    </row>
    <row r="1010" spans="4:4" ht="17.649999999999999" x14ac:dyDescent="0.5">
      <c r="D1010" s="3" t="s">
        <v>101</v>
      </c>
    </row>
    <row r="1011" spans="4:4" ht="17.649999999999999" x14ac:dyDescent="0.5">
      <c r="D1011" s="3" t="s">
        <v>117</v>
      </c>
    </row>
    <row r="1012" spans="4:4" ht="17.649999999999999" x14ac:dyDescent="0.5">
      <c r="D1012" s="3" t="s">
        <v>45</v>
      </c>
    </row>
    <row r="1013" spans="4:4" ht="17.649999999999999" x14ac:dyDescent="0.5">
      <c r="D1013" s="3" t="s">
        <v>80</v>
      </c>
    </row>
    <row r="1014" spans="4:4" ht="17.649999999999999" x14ac:dyDescent="0.5">
      <c r="D1014" s="3" t="s">
        <v>222</v>
      </c>
    </row>
    <row r="1015" spans="4:4" ht="17.649999999999999" x14ac:dyDescent="0.5">
      <c r="D1015" s="3" t="s">
        <v>52</v>
      </c>
    </row>
    <row r="1016" spans="4:4" ht="17.649999999999999" x14ac:dyDescent="0.5">
      <c r="D1016" s="3" t="s">
        <v>55</v>
      </c>
    </row>
    <row r="1017" spans="4:4" ht="17.649999999999999" x14ac:dyDescent="0.5">
      <c r="D1017" s="3" t="s">
        <v>85</v>
      </c>
    </row>
    <row r="1018" spans="4:4" ht="17.649999999999999" x14ac:dyDescent="0.5">
      <c r="D1018" s="3" t="s">
        <v>88</v>
      </c>
    </row>
    <row r="1019" spans="4:4" ht="17.649999999999999" x14ac:dyDescent="0.5">
      <c r="D1019" s="3" t="s">
        <v>53</v>
      </c>
    </row>
    <row r="1020" spans="4:4" ht="17.649999999999999" x14ac:dyDescent="0.5">
      <c r="D1020" s="3" t="s">
        <v>69</v>
      </c>
    </row>
    <row r="1021" spans="4:4" ht="17.649999999999999" x14ac:dyDescent="0.5">
      <c r="D1021" s="3" t="s">
        <v>55</v>
      </c>
    </row>
    <row r="1022" spans="4:4" ht="17.649999999999999" x14ac:dyDescent="0.5">
      <c r="D1022" s="3" t="s">
        <v>64</v>
      </c>
    </row>
    <row r="1023" spans="4:4" ht="17.649999999999999" x14ac:dyDescent="0.5">
      <c r="D1023" s="3" t="s">
        <v>46</v>
      </c>
    </row>
    <row r="1024" spans="4:4" ht="17.649999999999999" x14ac:dyDescent="0.5">
      <c r="D1024" s="3" t="s">
        <v>278</v>
      </c>
    </row>
    <row r="1025" spans="4:4" ht="17.649999999999999" x14ac:dyDescent="0.5">
      <c r="D1025" s="3" t="s">
        <v>49</v>
      </c>
    </row>
    <row r="1026" spans="4:4" ht="17.649999999999999" x14ac:dyDescent="0.5">
      <c r="D1026" s="3" t="s">
        <v>117</v>
      </c>
    </row>
    <row r="1027" spans="4:4" ht="17.649999999999999" x14ac:dyDescent="0.5">
      <c r="D1027" s="3" t="s">
        <v>68</v>
      </c>
    </row>
    <row r="1028" spans="4:4" ht="17.649999999999999" x14ac:dyDescent="0.5">
      <c r="D1028" s="3" t="s">
        <v>83</v>
      </c>
    </row>
    <row r="1029" spans="4:4" ht="17.649999999999999" x14ac:dyDescent="0.5">
      <c r="D1029" s="3" t="s">
        <v>124</v>
      </c>
    </row>
    <row r="1030" spans="4:4" ht="17.649999999999999" x14ac:dyDescent="0.5">
      <c r="D1030" s="3" t="s">
        <v>61</v>
      </c>
    </row>
    <row r="1031" spans="4:4" ht="17.649999999999999" x14ac:dyDescent="0.5">
      <c r="D1031" s="3" t="s">
        <v>279</v>
      </c>
    </row>
    <row r="1032" spans="4:4" ht="17.649999999999999" x14ac:dyDescent="0.5">
      <c r="D1032" s="3" t="s">
        <v>45</v>
      </c>
    </row>
    <row r="1033" spans="4:4" ht="17.649999999999999" x14ac:dyDescent="0.5">
      <c r="D1033" s="3" t="s">
        <v>280</v>
      </c>
    </row>
    <row r="1034" spans="4:4" ht="17.649999999999999" x14ac:dyDescent="0.5">
      <c r="D1034" s="3" t="s">
        <v>63</v>
      </c>
    </row>
    <row r="1035" spans="4:4" ht="17.649999999999999" x14ac:dyDescent="0.5">
      <c r="D1035" s="3" t="s">
        <v>74</v>
      </c>
    </row>
    <row r="1036" spans="4:4" ht="17.649999999999999" x14ac:dyDescent="0.5">
      <c r="D1036" s="3" t="s">
        <v>47</v>
      </c>
    </row>
    <row r="1037" spans="4:4" ht="17.649999999999999" x14ac:dyDescent="0.5">
      <c r="D1037" s="3" t="s">
        <v>53</v>
      </c>
    </row>
    <row r="1038" spans="4:4" ht="17.649999999999999" x14ac:dyDescent="0.5">
      <c r="D1038" s="3" t="s">
        <v>281</v>
      </c>
    </row>
    <row r="1039" spans="4:4" ht="17.649999999999999" x14ac:dyDescent="0.5">
      <c r="D1039" s="3" t="s">
        <v>59</v>
      </c>
    </row>
    <row r="1040" spans="4:4" ht="17.649999999999999" x14ac:dyDescent="0.5">
      <c r="D1040" s="3" t="s">
        <v>73</v>
      </c>
    </row>
    <row r="1041" spans="4:4" ht="17.649999999999999" x14ac:dyDescent="0.5">
      <c r="D1041" s="3" t="s">
        <v>282</v>
      </c>
    </row>
    <row r="1042" spans="4:4" ht="17.649999999999999" x14ac:dyDescent="0.5">
      <c r="D1042" s="3" t="s">
        <v>63</v>
      </c>
    </row>
    <row r="1043" spans="4:4" ht="17.649999999999999" x14ac:dyDescent="0.5">
      <c r="D1043" s="3" t="s">
        <v>231</v>
      </c>
    </row>
    <row r="1044" spans="4:4" ht="17.649999999999999" x14ac:dyDescent="0.5">
      <c r="D1044" s="3" t="s">
        <v>61</v>
      </c>
    </row>
    <row r="1045" spans="4:4" ht="17.649999999999999" x14ac:dyDescent="0.5">
      <c r="D1045" s="3" t="s">
        <v>98</v>
      </c>
    </row>
    <row r="1046" spans="4:4" ht="17.649999999999999" x14ac:dyDescent="0.5">
      <c r="D1046" s="3" t="s">
        <v>45</v>
      </c>
    </row>
    <row r="1047" spans="4:4" ht="17.649999999999999" x14ac:dyDescent="0.5">
      <c r="D1047" s="3" t="s">
        <v>130</v>
      </c>
    </row>
    <row r="1048" spans="4:4" ht="17.649999999999999" x14ac:dyDescent="0.5">
      <c r="D1048" s="3" t="s">
        <v>58</v>
      </c>
    </row>
    <row r="1049" spans="4:4" ht="17.649999999999999" x14ac:dyDescent="0.5">
      <c r="D1049" s="3" t="s">
        <v>107</v>
      </c>
    </row>
    <row r="1050" spans="4:4" ht="17.649999999999999" x14ac:dyDescent="0.5">
      <c r="D1050" s="3" t="s">
        <v>48</v>
      </c>
    </row>
    <row r="1051" spans="4:4" ht="17.649999999999999" x14ac:dyDescent="0.5">
      <c r="D1051" s="3" t="s">
        <v>64</v>
      </c>
    </row>
    <row r="1052" spans="4:4" ht="17.649999999999999" x14ac:dyDescent="0.5">
      <c r="D1052" s="3" t="s">
        <v>46</v>
      </c>
    </row>
    <row r="1053" spans="4:4" ht="17.649999999999999" x14ac:dyDescent="0.5">
      <c r="D1053" s="3" t="s">
        <v>234</v>
      </c>
    </row>
    <row r="1054" spans="4:4" ht="17.649999999999999" x14ac:dyDescent="0.5">
      <c r="D1054" s="3" t="s">
        <v>88</v>
      </c>
    </row>
    <row r="1055" spans="4:4" ht="17.649999999999999" x14ac:dyDescent="0.5">
      <c r="D1055" s="3" t="s">
        <v>75</v>
      </c>
    </row>
    <row r="1056" spans="4:4" ht="17.649999999999999" x14ac:dyDescent="0.5">
      <c r="D1056" s="3" t="s">
        <v>59</v>
      </c>
    </row>
    <row r="1057" spans="4:4" ht="17.649999999999999" x14ac:dyDescent="0.5">
      <c r="D1057" s="3" t="s">
        <v>43</v>
      </c>
    </row>
    <row r="1058" spans="4:4" ht="17.649999999999999" x14ac:dyDescent="0.5">
      <c r="D1058" s="3" t="s">
        <v>63</v>
      </c>
    </row>
    <row r="1059" spans="4:4" ht="17.649999999999999" x14ac:dyDescent="0.5">
      <c r="D1059" s="3" t="s">
        <v>67</v>
      </c>
    </row>
    <row r="1060" spans="4:4" ht="17.649999999999999" x14ac:dyDescent="0.5">
      <c r="D1060" s="3" t="s">
        <v>57</v>
      </c>
    </row>
    <row r="1061" spans="4:4" ht="17.649999999999999" x14ac:dyDescent="0.5">
      <c r="D1061" s="3" t="s">
        <v>74</v>
      </c>
    </row>
    <row r="1062" spans="4:4" ht="17.649999999999999" x14ac:dyDescent="0.5">
      <c r="D1062" s="3" t="s">
        <v>83</v>
      </c>
    </row>
    <row r="1063" spans="4:4" ht="17.649999999999999" x14ac:dyDescent="0.5">
      <c r="D1063" s="3" t="s">
        <v>64</v>
      </c>
    </row>
    <row r="1064" spans="4:4" ht="17.649999999999999" x14ac:dyDescent="0.5">
      <c r="D1064" s="3" t="s">
        <v>102</v>
      </c>
    </row>
    <row r="1065" spans="4:4" ht="17.649999999999999" x14ac:dyDescent="0.5">
      <c r="D1065" s="3" t="s">
        <v>58</v>
      </c>
    </row>
    <row r="1066" spans="4:4" ht="17.649999999999999" x14ac:dyDescent="0.5">
      <c r="D1066" s="3" t="s">
        <v>50</v>
      </c>
    </row>
    <row r="1067" spans="4:4" ht="17.649999999999999" x14ac:dyDescent="0.5">
      <c r="D1067" s="3" t="s">
        <v>129</v>
      </c>
    </row>
    <row r="1068" spans="4:4" ht="17.649999999999999" x14ac:dyDescent="0.5">
      <c r="D1068" s="3" t="s">
        <v>86</v>
      </c>
    </row>
    <row r="1069" spans="4:4" ht="17.649999999999999" x14ac:dyDescent="0.5">
      <c r="D1069" s="3" t="s">
        <v>77</v>
      </c>
    </row>
    <row r="1070" spans="4:4" ht="17.649999999999999" x14ac:dyDescent="0.5">
      <c r="D1070" s="3" t="s">
        <v>48</v>
      </c>
    </row>
    <row r="1071" spans="4:4" ht="17.649999999999999" x14ac:dyDescent="0.5">
      <c r="D1071" s="3" t="s">
        <v>80</v>
      </c>
    </row>
    <row r="1072" spans="4:4" ht="17.649999999999999" x14ac:dyDescent="0.5">
      <c r="D1072" s="3" t="s">
        <v>90</v>
      </c>
    </row>
    <row r="1073" spans="4:4" ht="17.649999999999999" x14ac:dyDescent="0.5">
      <c r="D1073" s="3" t="s">
        <v>43</v>
      </c>
    </row>
    <row r="1074" spans="4:4" ht="17.649999999999999" x14ac:dyDescent="0.5">
      <c r="D1074" s="3" t="s">
        <v>85</v>
      </c>
    </row>
    <row r="1075" spans="4:4" ht="17.649999999999999" x14ac:dyDescent="0.5">
      <c r="D1075" s="3" t="s">
        <v>63</v>
      </c>
    </row>
    <row r="1076" spans="4:4" ht="17.649999999999999" x14ac:dyDescent="0.5">
      <c r="D1076" s="3" t="s">
        <v>239</v>
      </c>
    </row>
    <row r="1077" spans="4:4" ht="17.649999999999999" x14ac:dyDescent="0.5">
      <c r="D1077" s="3" t="s">
        <v>48</v>
      </c>
    </row>
    <row r="1078" spans="4:4" ht="17.649999999999999" x14ac:dyDescent="0.5">
      <c r="D1078" s="3" t="s">
        <v>283</v>
      </c>
    </row>
    <row r="1079" spans="4:4" ht="17.649999999999999" x14ac:dyDescent="0.5">
      <c r="D1079" s="3" t="s">
        <v>53</v>
      </c>
    </row>
    <row r="1080" spans="4:4" ht="17.649999999999999" x14ac:dyDescent="0.5">
      <c r="D1080" s="3" t="s">
        <v>232</v>
      </c>
    </row>
    <row r="1081" spans="4:4" ht="17.649999999999999" x14ac:dyDescent="0.5">
      <c r="D1081" s="3" t="s">
        <v>67</v>
      </c>
    </row>
    <row r="1082" spans="4:4" ht="17.649999999999999" x14ac:dyDescent="0.5">
      <c r="D1082" s="3" t="s">
        <v>51</v>
      </c>
    </row>
    <row r="1083" spans="4:4" ht="17.649999999999999" x14ac:dyDescent="0.5">
      <c r="D1083" s="3" t="s">
        <v>103</v>
      </c>
    </row>
    <row r="1084" spans="4:4" ht="17.649999999999999" x14ac:dyDescent="0.5">
      <c r="D1084" s="3" t="s">
        <v>44</v>
      </c>
    </row>
    <row r="1085" spans="4:4" ht="17.649999999999999" x14ac:dyDescent="0.5">
      <c r="D1085" s="3" t="s">
        <v>233</v>
      </c>
    </row>
    <row r="1086" spans="4:4" ht="17.649999999999999" x14ac:dyDescent="0.5">
      <c r="D1086" s="3" t="s">
        <v>59</v>
      </c>
    </row>
    <row r="1087" spans="4:4" ht="17.649999999999999" x14ac:dyDescent="0.5">
      <c r="D1087" s="3" t="s">
        <v>91</v>
      </c>
    </row>
    <row r="1088" spans="4:4" ht="17.649999999999999" x14ac:dyDescent="0.5">
      <c r="D1088" s="3" t="s">
        <v>52</v>
      </c>
    </row>
    <row r="1089" spans="4:4" ht="17.649999999999999" x14ac:dyDescent="0.5">
      <c r="D1089" s="3" t="s">
        <v>64</v>
      </c>
    </row>
    <row r="1090" spans="4:4" ht="17.649999999999999" x14ac:dyDescent="0.5">
      <c r="D1090" s="3" t="s">
        <v>88</v>
      </c>
    </row>
    <row r="1091" spans="4:4" ht="17.649999999999999" x14ac:dyDescent="0.5">
      <c r="D1091" s="3" t="s">
        <v>73</v>
      </c>
    </row>
    <row r="1092" spans="4:4" ht="17.649999999999999" x14ac:dyDescent="0.5">
      <c r="D1092" s="3" t="s">
        <v>44</v>
      </c>
    </row>
    <row r="1093" spans="4:4" ht="17.649999999999999" x14ac:dyDescent="0.5">
      <c r="D1093" s="3" t="s">
        <v>59</v>
      </c>
    </row>
    <row r="1094" spans="4:4" ht="17.649999999999999" x14ac:dyDescent="0.5">
      <c r="D1094" s="3" t="s">
        <v>98</v>
      </c>
    </row>
    <row r="1095" spans="4:4" ht="17.649999999999999" x14ac:dyDescent="0.5">
      <c r="D1095" s="3" t="s">
        <v>50</v>
      </c>
    </row>
    <row r="1096" spans="4:4" ht="17.649999999999999" x14ac:dyDescent="0.5">
      <c r="D1096" s="3" t="s">
        <v>105</v>
      </c>
    </row>
    <row r="1097" spans="4:4" ht="17.649999999999999" x14ac:dyDescent="0.5">
      <c r="D1097" s="3" t="s">
        <v>58</v>
      </c>
    </row>
    <row r="1098" spans="4:4" ht="17.649999999999999" x14ac:dyDescent="0.5">
      <c r="D1098" s="3" t="s">
        <v>67</v>
      </c>
    </row>
    <row r="1099" spans="4:4" ht="17.649999999999999" x14ac:dyDescent="0.5">
      <c r="D1099" s="3" t="s">
        <v>46</v>
      </c>
    </row>
    <row r="1100" spans="4:4" ht="17.649999999999999" x14ac:dyDescent="0.5">
      <c r="D1100" s="3" t="s">
        <v>70</v>
      </c>
    </row>
    <row r="1101" spans="4:4" ht="17.649999999999999" x14ac:dyDescent="0.5">
      <c r="D1101" s="3" t="s">
        <v>77</v>
      </c>
    </row>
    <row r="1102" spans="4:4" ht="17.649999999999999" x14ac:dyDescent="0.5">
      <c r="D1102" s="3" t="s">
        <v>43</v>
      </c>
    </row>
    <row r="1103" spans="4:4" ht="17.649999999999999" x14ac:dyDescent="0.5">
      <c r="D1103" s="3" t="s">
        <v>94</v>
      </c>
    </row>
    <row r="1104" spans="4:4" ht="17.649999999999999" x14ac:dyDescent="0.5">
      <c r="D1104" s="3" t="s">
        <v>64</v>
      </c>
    </row>
    <row r="1105" spans="4:4" ht="17.649999999999999" x14ac:dyDescent="0.5">
      <c r="D1105" s="3" t="s">
        <v>51</v>
      </c>
    </row>
    <row r="1106" spans="4:4" ht="17.649999999999999" x14ac:dyDescent="0.5">
      <c r="D1106" s="3" t="s">
        <v>63</v>
      </c>
    </row>
    <row r="1107" spans="4:4" ht="17.649999999999999" x14ac:dyDescent="0.5">
      <c r="D1107" s="3" t="s">
        <v>49</v>
      </c>
    </row>
    <row r="1108" spans="4:4" ht="17.649999999999999" x14ac:dyDescent="0.5">
      <c r="D1108" s="3" t="s">
        <v>59</v>
      </c>
    </row>
    <row r="1109" spans="4:4" ht="17.649999999999999" x14ac:dyDescent="0.5">
      <c r="D1109" s="3" t="s">
        <v>284</v>
      </c>
    </row>
    <row r="1110" spans="4:4" ht="17.649999999999999" x14ac:dyDescent="0.5">
      <c r="D1110" s="3" t="s">
        <v>55</v>
      </c>
    </row>
    <row r="1111" spans="4:4" ht="17.649999999999999" x14ac:dyDescent="0.5">
      <c r="D1111" s="3" t="s">
        <v>114</v>
      </c>
    </row>
    <row r="1112" spans="4:4" ht="17.649999999999999" x14ac:dyDescent="0.5">
      <c r="D1112" s="3" t="s">
        <v>68</v>
      </c>
    </row>
    <row r="1113" spans="4:4" ht="17.649999999999999" x14ac:dyDescent="0.5">
      <c r="D1113" s="3" t="s">
        <v>240</v>
      </c>
    </row>
    <row r="1114" spans="4:4" ht="17.649999999999999" x14ac:dyDescent="0.5">
      <c r="D1114" s="3" t="s">
        <v>63</v>
      </c>
    </row>
    <row r="1115" spans="4:4" ht="17.649999999999999" x14ac:dyDescent="0.5">
      <c r="D1115" s="3" t="s">
        <v>237</v>
      </c>
    </row>
    <row r="1116" spans="4:4" ht="17.649999999999999" x14ac:dyDescent="0.5">
      <c r="D1116" s="3" t="s">
        <v>285</v>
      </c>
    </row>
    <row r="1117" spans="4:4" ht="17.649999999999999" x14ac:dyDescent="0.5">
      <c r="D1117" s="3" t="s">
        <v>93</v>
      </c>
    </row>
    <row r="1118" spans="4:4" ht="17.649999999999999" x14ac:dyDescent="0.5">
      <c r="D1118" s="3" t="s">
        <v>67</v>
      </c>
    </row>
    <row r="1119" spans="4:4" ht="17.649999999999999" x14ac:dyDescent="0.5">
      <c r="D1119" s="3" t="s">
        <v>48</v>
      </c>
    </row>
    <row r="1120" spans="4:4" ht="17.649999999999999" x14ac:dyDescent="0.5">
      <c r="D1120" s="3" t="s">
        <v>131</v>
      </c>
    </row>
    <row r="1121" spans="4:4" ht="17.649999999999999" x14ac:dyDescent="0.5">
      <c r="D1121" s="3" t="s">
        <v>103</v>
      </c>
    </row>
    <row r="1122" spans="4:4" ht="17.649999999999999" x14ac:dyDescent="0.5">
      <c r="D1122" s="3" t="s">
        <v>46</v>
      </c>
    </row>
    <row r="1123" spans="4:4" ht="17.649999999999999" x14ac:dyDescent="0.5">
      <c r="D1123" s="3" t="s">
        <v>85</v>
      </c>
    </row>
    <row r="1124" spans="4:4" ht="17.649999999999999" x14ac:dyDescent="0.5">
      <c r="D1124" s="3" t="s">
        <v>286</v>
      </c>
    </row>
    <row r="1125" spans="4:4" ht="17.649999999999999" x14ac:dyDescent="0.5">
      <c r="D1125" s="3" t="s">
        <v>90</v>
      </c>
    </row>
    <row r="1126" spans="4:4" ht="17.649999999999999" x14ac:dyDescent="0.5">
      <c r="D1126" s="3" t="s">
        <v>52</v>
      </c>
    </row>
    <row r="1127" spans="4:4" ht="17.649999999999999" x14ac:dyDescent="0.5">
      <c r="D1127" s="3" t="s">
        <v>245</v>
      </c>
    </row>
    <row r="1128" spans="4:4" ht="17.649999999999999" x14ac:dyDescent="0.5">
      <c r="D1128" s="3" t="s">
        <v>106</v>
      </c>
    </row>
    <row r="1129" spans="4:4" ht="17.649999999999999" x14ac:dyDescent="0.5">
      <c r="D1129" s="3" t="s">
        <v>112</v>
      </c>
    </row>
    <row r="1130" spans="4:4" ht="17.649999999999999" x14ac:dyDescent="0.5">
      <c r="D1130" s="3" t="s">
        <v>242</v>
      </c>
    </row>
    <row r="1131" spans="4:4" ht="17.649999999999999" x14ac:dyDescent="0.5">
      <c r="D1131" s="3" t="s">
        <v>246</v>
      </c>
    </row>
    <row r="1132" spans="4:4" ht="17.649999999999999" x14ac:dyDescent="0.5">
      <c r="D1132" s="3" t="s">
        <v>51</v>
      </c>
    </row>
    <row r="1133" spans="4:4" ht="17.649999999999999" x14ac:dyDescent="0.5">
      <c r="D1133" s="3" t="s">
        <v>287</v>
      </c>
    </row>
    <row r="1134" spans="4:4" ht="17.649999999999999" x14ac:dyDescent="0.5">
      <c r="D1134" s="3" t="s">
        <v>53</v>
      </c>
    </row>
    <row r="1135" spans="4:4" ht="17.649999999999999" x14ac:dyDescent="0.5">
      <c r="D1135" s="3" t="s">
        <v>254</v>
      </c>
    </row>
    <row r="1136" spans="4:4" ht="17.649999999999999" x14ac:dyDescent="0.5">
      <c r="D1136" s="3" t="s">
        <v>62</v>
      </c>
    </row>
    <row r="1137" spans="4:4" ht="17.649999999999999" x14ac:dyDescent="0.5">
      <c r="D1137" s="3" t="s">
        <v>127</v>
      </c>
    </row>
    <row r="1138" spans="4:4" ht="17.649999999999999" x14ac:dyDescent="0.5">
      <c r="D1138" s="3" t="s">
        <v>91</v>
      </c>
    </row>
    <row r="1139" spans="4:4" ht="17.649999999999999" x14ac:dyDescent="0.5">
      <c r="D1139" s="3" t="s">
        <v>117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90</v>
      </c>
    </row>
    <row r="1142" spans="4:4" ht="17.649999999999999" x14ac:dyDescent="0.5">
      <c r="D1142" s="3" t="s">
        <v>57</v>
      </c>
    </row>
    <row r="1143" spans="4:4" ht="17.649999999999999" x14ac:dyDescent="0.5">
      <c r="D1143" s="3" t="s">
        <v>122</v>
      </c>
    </row>
    <row r="1144" spans="4:4" ht="17.649999999999999" x14ac:dyDescent="0.5">
      <c r="D1144" s="3" t="s">
        <v>91</v>
      </c>
    </row>
    <row r="1145" spans="4:4" ht="17.649999999999999" x14ac:dyDescent="0.5">
      <c r="D1145" s="3" t="s">
        <v>80</v>
      </c>
    </row>
    <row r="1146" spans="4:4" ht="17.649999999999999" x14ac:dyDescent="0.5">
      <c r="D1146" s="3" t="s">
        <v>51</v>
      </c>
    </row>
    <row r="1147" spans="4:4" ht="17.649999999999999" x14ac:dyDescent="0.5">
      <c r="D1147" s="3" t="s">
        <v>101</v>
      </c>
    </row>
    <row r="1148" spans="4:4" ht="17.649999999999999" x14ac:dyDescent="0.5">
      <c r="D1148" s="3" t="s">
        <v>43</v>
      </c>
    </row>
    <row r="1149" spans="4:4" ht="17.649999999999999" x14ac:dyDescent="0.5">
      <c r="D1149" s="3" t="s">
        <v>135</v>
      </c>
    </row>
    <row r="1150" spans="4:4" ht="17.649999999999999" x14ac:dyDescent="0.5">
      <c r="D1150" s="3" t="s">
        <v>55</v>
      </c>
    </row>
    <row r="1151" spans="4:4" ht="17.649999999999999" x14ac:dyDescent="0.5">
      <c r="D1151" s="3" t="s">
        <v>47</v>
      </c>
    </row>
    <row r="1152" spans="4:4" ht="17.649999999999999" x14ac:dyDescent="0.5">
      <c r="D1152" s="3" t="s">
        <v>102</v>
      </c>
    </row>
    <row r="1153" spans="4:4" ht="17.649999999999999" x14ac:dyDescent="0.5">
      <c r="D1153" s="3" t="s">
        <v>52</v>
      </c>
    </row>
    <row r="1154" spans="4:4" ht="17.649999999999999" x14ac:dyDescent="0.5">
      <c r="D1154" s="3" t="s">
        <v>83</v>
      </c>
    </row>
    <row r="1155" spans="4:4" ht="17.649999999999999" x14ac:dyDescent="0.5">
      <c r="D1155" s="3" t="s">
        <v>107</v>
      </c>
    </row>
    <row r="1156" spans="4:4" ht="17.649999999999999" x14ac:dyDescent="0.5">
      <c r="D1156" s="3" t="s">
        <v>64</v>
      </c>
    </row>
    <row r="1157" spans="4:4" ht="17.649999999999999" x14ac:dyDescent="0.5">
      <c r="D1157" s="3" t="s">
        <v>53</v>
      </c>
    </row>
    <row r="1158" spans="4:4" ht="17.649999999999999" x14ac:dyDescent="0.5">
      <c r="D1158" s="3" t="s">
        <v>56</v>
      </c>
    </row>
    <row r="1159" spans="4:4" ht="17.649999999999999" x14ac:dyDescent="0.5">
      <c r="D1159" s="3" t="s">
        <v>112</v>
      </c>
    </row>
    <row r="1160" spans="4:4" ht="17.649999999999999" x14ac:dyDescent="0.5">
      <c r="D1160" s="3" t="s">
        <v>70</v>
      </c>
    </row>
    <row r="1161" spans="4:4" ht="17.649999999999999" x14ac:dyDescent="0.5">
      <c r="D1161" s="3" t="s">
        <v>68</v>
      </c>
    </row>
    <row r="1162" spans="4:4" ht="17.649999999999999" x14ac:dyDescent="0.5">
      <c r="D1162" s="3" t="s">
        <v>51</v>
      </c>
    </row>
    <row r="1163" spans="4:4" ht="17.649999999999999" x14ac:dyDescent="0.5">
      <c r="D1163" s="3" t="s">
        <v>124</v>
      </c>
    </row>
    <row r="1164" spans="4:4" ht="17.649999999999999" x14ac:dyDescent="0.5">
      <c r="D1164" s="3" t="s">
        <v>50</v>
      </c>
    </row>
    <row r="1165" spans="4:4" ht="17.649999999999999" x14ac:dyDescent="0.5">
      <c r="D1165" s="3" t="s">
        <v>255</v>
      </c>
    </row>
    <row r="1166" spans="4:4" ht="17.649999999999999" x14ac:dyDescent="0.5">
      <c r="D1166" s="3" t="s">
        <v>95</v>
      </c>
    </row>
    <row r="1167" spans="4:4" ht="17.649999999999999" x14ac:dyDescent="0.5">
      <c r="D1167" s="3" t="s">
        <v>122</v>
      </c>
    </row>
    <row r="1168" spans="4:4" ht="17.649999999999999" x14ac:dyDescent="0.5">
      <c r="D1168" s="3" t="s">
        <v>83</v>
      </c>
    </row>
    <row r="1169" spans="4:4" ht="17.649999999999999" x14ac:dyDescent="0.5">
      <c r="D1169" s="3" t="s">
        <v>131</v>
      </c>
    </row>
    <row r="1170" spans="4:4" ht="17.649999999999999" x14ac:dyDescent="0.5">
      <c r="D1170" s="3" t="s">
        <v>68</v>
      </c>
    </row>
    <row r="1171" spans="4:4" ht="17.649999999999999" x14ac:dyDescent="0.5">
      <c r="D1171" s="3" t="s">
        <v>103</v>
      </c>
    </row>
    <row r="1172" spans="4:4" ht="17.649999999999999" x14ac:dyDescent="0.5">
      <c r="D1172" s="3" t="s">
        <v>85</v>
      </c>
    </row>
    <row r="1173" spans="4:4" ht="17.649999999999999" x14ac:dyDescent="0.5">
      <c r="D1173" s="3" t="s">
        <v>88</v>
      </c>
    </row>
    <row r="1174" spans="4:4" ht="17.649999999999999" x14ac:dyDescent="0.5">
      <c r="D1174" s="3" t="s">
        <v>98</v>
      </c>
    </row>
    <row r="1175" spans="4:4" ht="17.649999999999999" x14ac:dyDescent="0.5">
      <c r="D1175" s="3" t="s">
        <v>73</v>
      </c>
    </row>
    <row r="1176" spans="4:4" ht="17.649999999999999" x14ac:dyDescent="0.5">
      <c r="D1176" s="3" t="s">
        <v>43</v>
      </c>
    </row>
    <row r="1177" spans="4:4" ht="17.649999999999999" x14ac:dyDescent="0.5">
      <c r="D1177" s="3" t="s">
        <v>83</v>
      </c>
    </row>
    <row r="1178" spans="4:4" ht="17.649999999999999" x14ac:dyDescent="0.5">
      <c r="D1178" s="3" t="s">
        <v>117</v>
      </c>
    </row>
    <row r="1179" spans="4:4" ht="17.649999999999999" x14ac:dyDescent="0.5">
      <c r="D1179" s="3" t="s">
        <v>118</v>
      </c>
    </row>
    <row r="1180" spans="4:4" ht="17.649999999999999" x14ac:dyDescent="0.5">
      <c r="D1180" s="3" t="s">
        <v>57</v>
      </c>
    </row>
    <row r="1181" spans="4:4" ht="17.649999999999999" x14ac:dyDescent="0.5">
      <c r="D1181" s="3" t="s">
        <v>96</v>
      </c>
    </row>
    <row r="1182" spans="4:4" ht="17.649999999999999" x14ac:dyDescent="0.5">
      <c r="D1182" s="3" t="s">
        <v>97</v>
      </c>
    </row>
    <row r="1183" spans="4:4" ht="17.649999999999999" x14ac:dyDescent="0.5">
      <c r="D1183" s="3" t="s">
        <v>61</v>
      </c>
    </row>
    <row r="1184" spans="4:4" ht="17.649999999999999" x14ac:dyDescent="0.5">
      <c r="D1184" s="3" t="s">
        <v>46</v>
      </c>
    </row>
    <row r="1185" spans="4:4" ht="17.649999999999999" x14ac:dyDescent="0.5">
      <c r="D1185" s="3" t="s">
        <v>288</v>
      </c>
    </row>
    <row r="1186" spans="4:4" ht="17.649999999999999" x14ac:dyDescent="0.5">
      <c r="D1186" s="3" t="s">
        <v>63</v>
      </c>
    </row>
    <row r="1187" spans="4:4" ht="17.649999999999999" x14ac:dyDescent="0.5">
      <c r="D1187" s="3" t="s">
        <v>49</v>
      </c>
    </row>
    <row r="1188" spans="4:4" ht="17.649999999999999" x14ac:dyDescent="0.5">
      <c r="D1188" s="3" t="s">
        <v>258</v>
      </c>
    </row>
    <row r="1189" spans="4:4" ht="17.649999999999999" x14ac:dyDescent="0.5">
      <c r="D1189" s="3" t="s">
        <v>101</v>
      </c>
    </row>
    <row r="1190" spans="4:4" ht="17.649999999999999" x14ac:dyDescent="0.5">
      <c r="D1190" s="3" t="s">
        <v>62</v>
      </c>
    </row>
    <row r="1191" spans="4:4" ht="17.649999999999999" x14ac:dyDescent="0.5">
      <c r="D1191" s="3" t="s">
        <v>57</v>
      </c>
    </row>
    <row r="1192" spans="4:4" ht="17.649999999999999" x14ac:dyDescent="0.5">
      <c r="D1192" s="3" t="s">
        <v>51</v>
      </c>
    </row>
    <row r="1193" spans="4:4" ht="17.649999999999999" x14ac:dyDescent="0.5">
      <c r="D1193" s="3" t="s">
        <v>117</v>
      </c>
    </row>
    <row r="1194" spans="4:4" ht="17.649999999999999" x14ac:dyDescent="0.5">
      <c r="D1194" s="3" t="s">
        <v>46</v>
      </c>
    </row>
    <row r="1195" spans="4:4" ht="17.649999999999999" x14ac:dyDescent="0.5">
      <c r="D1195" s="3" t="s">
        <v>45</v>
      </c>
    </row>
    <row r="1196" spans="4:4" ht="17.649999999999999" x14ac:dyDescent="0.5">
      <c r="D1196" s="3" t="s">
        <v>63</v>
      </c>
    </row>
    <row r="1197" spans="4:4" ht="17.649999999999999" x14ac:dyDescent="0.5">
      <c r="D1197" s="3" t="s">
        <v>120</v>
      </c>
    </row>
    <row r="1198" spans="4:4" ht="17.649999999999999" x14ac:dyDescent="0.5">
      <c r="D1198" s="3" t="s">
        <v>98</v>
      </c>
    </row>
    <row r="1199" spans="4:4" ht="17.649999999999999" x14ac:dyDescent="0.5">
      <c r="D1199" s="3" t="s">
        <v>47</v>
      </c>
    </row>
    <row r="1200" spans="4:4" ht="17.649999999999999" x14ac:dyDescent="0.5">
      <c r="D1200" s="3" t="s">
        <v>69</v>
      </c>
    </row>
    <row r="1201" spans="4:4" ht="17.649999999999999" x14ac:dyDescent="0.5">
      <c r="D1201" s="3" t="s">
        <v>106</v>
      </c>
    </row>
    <row r="1202" spans="4:4" ht="17.649999999999999" x14ac:dyDescent="0.5">
      <c r="D1202" s="3" t="s">
        <v>77</v>
      </c>
    </row>
    <row r="1203" spans="4:4" ht="17.649999999999999" x14ac:dyDescent="0.5">
      <c r="D1203" s="3" t="s">
        <v>60</v>
      </c>
    </row>
    <row r="1204" spans="4:4" ht="17.649999999999999" x14ac:dyDescent="0.5">
      <c r="D1204" s="3" t="s">
        <v>67</v>
      </c>
    </row>
    <row r="1205" spans="4:4" ht="17.649999999999999" x14ac:dyDescent="0.5">
      <c r="D1205" s="3" t="s">
        <v>56</v>
      </c>
    </row>
    <row r="1206" spans="4:4" ht="17.649999999999999" x14ac:dyDescent="0.5">
      <c r="D1206" s="3" t="s">
        <v>46</v>
      </c>
    </row>
    <row r="1207" spans="4:4" ht="17.649999999999999" x14ac:dyDescent="0.5">
      <c r="D1207" s="3" t="s">
        <v>261</v>
      </c>
    </row>
    <row r="1208" spans="4:4" ht="17.649999999999999" x14ac:dyDescent="0.5">
      <c r="D1208" s="3" t="s">
        <v>73</v>
      </c>
    </row>
    <row r="1209" spans="4:4" ht="17.649999999999999" x14ac:dyDescent="0.5">
      <c r="D1209" s="3" t="s">
        <v>55</v>
      </c>
    </row>
    <row r="1210" spans="4:4" ht="17.649999999999999" x14ac:dyDescent="0.5">
      <c r="D1210" s="3" t="s">
        <v>238</v>
      </c>
    </row>
    <row r="1211" spans="4:4" ht="17.649999999999999" x14ac:dyDescent="0.5">
      <c r="D1211" s="3" t="s">
        <v>85</v>
      </c>
    </row>
    <row r="1212" spans="4:4" ht="17.649999999999999" x14ac:dyDescent="0.5">
      <c r="D1212" s="3" t="s">
        <v>47</v>
      </c>
    </row>
    <row r="1213" spans="4:4" ht="17.649999999999999" x14ac:dyDescent="0.5">
      <c r="D1213" s="3" t="s">
        <v>44</v>
      </c>
    </row>
    <row r="1214" spans="4:4" ht="17.649999999999999" x14ac:dyDescent="0.5">
      <c r="D1214" s="3" t="s">
        <v>73</v>
      </c>
    </row>
    <row r="1215" spans="4:4" ht="17.649999999999999" x14ac:dyDescent="0.5">
      <c r="D1215" s="3" t="s">
        <v>54</v>
      </c>
    </row>
    <row r="1216" spans="4:4" ht="17.649999999999999" x14ac:dyDescent="0.5">
      <c r="D1216" s="3" t="s">
        <v>63</v>
      </c>
    </row>
    <row r="1217" spans="4:4" ht="17.649999999999999" x14ac:dyDescent="0.5">
      <c r="D1217" s="3" t="s">
        <v>42</v>
      </c>
    </row>
    <row r="1218" spans="4:4" ht="17.649999999999999" x14ac:dyDescent="0.5">
      <c r="D1218" s="3" t="s">
        <v>132</v>
      </c>
    </row>
    <row r="1219" spans="4:4" ht="17.649999999999999" x14ac:dyDescent="0.5">
      <c r="D1219" s="3" t="s">
        <v>67</v>
      </c>
    </row>
    <row r="1220" spans="4:4" ht="17.649999999999999" x14ac:dyDescent="0.5">
      <c r="D1220" s="3" t="s">
        <v>62</v>
      </c>
    </row>
    <row r="1221" spans="4:4" ht="17.649999999999999" x14ac:dyDescent="0.5">
      <c r="D1221" s="3" t="s">
        <v>94</v>
      </c>
    </row>
    <row r="1222" spans="4:4" ht="17.649999999999999" x14ac:dyDescent="0.5">
      <c r="D1222" s="3" t="s">
        <v>69</v>
      </c>
    </row>
    <row r="1223" spans="4:4" ht="17.649999999999999" x14ac:dyDescent="0.5">
      <c r="D1223" s="3" t="s">
        <v>129</v>
      </c>
    </row>
    <row r="1224" spans="4:4" ht="17.649999999999999" x14ac:dyDescent="0.5">
      <c r="D1224" s="3" t="s">
        <v>289</v>
      </c>
    </row>
    <row r="1225" spans="4:4" ht="17.649999999999999" x14ac:dyDescent="0.5">
      <c r="D1225" s="3" t="s">
        <v>117</v>
      </c>
    </row>
    <row r="1226" spans="4:4" ht="17.649999999999999" x14ac:dyDescent="0.5">
      <c r="D1226" s="3" t="s">
        <v>65</v>
      </c>
    </row>
    <row r="1227" spans="4:4" ht="17.649999999999999" x14ac:dyDescent="0.5">
      <c r="D1227" s="3" t="s">
        <v>64</v>
      </c>
    </row>
    <row r="1228" spans="4:4" ht="17.649999999999999" x14ac:dyDescent="0.5">
      <c r="D1228" s="3" t="s">
        <v>76</v>
      </c>
    </row>
    <row r="1229" spans="4:4" ht="17.649999999999999" x14ac:dyDescent="0.5">
      <c r="D1229" s="3" t="s">
        <v>41</v>
      </c>
    </row>
    <row r="1230" spans="4:4" ht="17.649999999999999" x14ac:dyDescent="0.5">
      <c r="D1230" s="3" t="s">
        <v>62</v>
      </c>
    </row>
    <row r="1231" spans="4:4" ht="17.649999999999999" x14ac:dyDescent="0.5">
      <c r="D1231" s="3" t="s">
        <v>94</v>
      </c>
    </row>
    <row r="1232" spans="4:4" ht="17.649999999999999" x14ac:dyDescent="0.5">
      <c r="D1232" s="3" t="s">
        <v>79</v>
      </c>
    </row>
    <row r="1233" spans="4:4" ht="17.649999999999999" x14ac:dyDescent="0.5">
      <c r="D1233" s="3" t="s">
        <v>68</v>
      </c>
    </row>
    <row r="1234" spans="4:4" ht="17.649999999999999" x14ac:dyDescent="0.5">
      <c r="D1234" s="3" t="s">
        <v>126</v>
      </c>
    </row>
    <row r="1235" spans="4:4" ht="17.649999999999999" x14ac:dyDescent="0.5">
      <c r="D1235" s="3" t="s">
        <v>51</v>
      </c>
    </row>
    <row r="1236" spans="4:4" ht="17.649999999999999" x14ac:dyDescent="0.5">
      <c r="D1236" s="3" t="s">
        <v>105</v>
      </c>
    </row>
    <row r="1237" spans="4:4" ht="17.649999999999999" x14ac:dyDescent="0.5">
      <c r="D1237" s="3" t="s">
        <v>64</v>
      </c>
    </row>
    <row r="1238" spans="4:4" ht="17.649999999999999" x14ac:dyDescent="0.5">
      <c r="D1238" s="3" t="s">
        <v>90</v>
      </c>
    </row>
    <row r="1239" spans="4:4" ht="17.649999999999999" x14ac:dyDescent="0.5">
      <c r="D1239" s="3" t="s">
        <v>53</v>
      </c>
    </row>
    <row r="1240" spans="4:4" ht="17.649999999999999" x14ac:dyDescent="0.5">
      <c r="D1240" s="3" t="s">
        <v>85</v>
      </c>
    </row>
    <row r="1241" spans="4:4" ht="17.649999999999999" x14ac:dyDescent="0.5">
      <c r="D1241" s="3" t="s">
        <v>48</v>
      </c>
    </row>
    <row r="1242" spans="4:4" ht="17.649999999999999" x14ac:dyDescent="0.5">
      <c r="D1242" s="3" t="s">
        <v>131</v>
      </c>
    </row>
    <row r="1243" spans="4:4" ht="17.649999999999999" x14ac:dyDescent="0.5">
      <c r="D1243" s="3" t="s">
        <v>52</v>
      </c>
    </row>
    <row r="1244" spans="4:4" ht="17.649999999999999" x14ac:dyDescent="0.5">
      <c r="D1244" s="3" t="s">
        <v>67</v>
      </c>
    </row>
    <row r="1245" spans="4:4" ht="17.649999999999999" x14ac:dyDescent="0.5">
      <c r="D1245" s="3" t="s">
        <v>243</v>
      </c>
    </row>
    <row r="1246" spans="4:4" ht="17.649999999999999" x14ac:dyDescent="0.5">
      <c r="D1246" s="3" t="s">
        <v>76</v>
      </c>
    </row>
    <row r="1247" spans="4:4" ht="17.649999999999999" x14ac:dyDescent="0.5">
      <c r="D1247" s="3" t="s">
        <v>74</v>
      </c>
    </row>
    <row r="1248" spans="4:4" ht="17.649999999999999" x14ac:dyDescent="0.5">
      <c r="D1248" s="3" t="s">
        <v>50</v>
      </c>
    </row>
    <row r="1249" spans="4:4" ht="17.649999999999999" x14ac:dyDescent="0.5">
      <c r="D1249" s="3" t="s">
        <v>48</v>
      </c>
    </row>
    <row r="1250" spans="4:4" ht="17.649999999999999" x14ac:dyDescent="0.5">
      <c r="D1250" s="3" t="s">
        <v>80</v>
      </c>
    </row>
    <row r="1251" spans="4:4" ht="17.649999999999999" x14ac:dyDescent="0.5">
      <c r="D1251" s="3" t="s">
        <v>75</v>
      </c>
    </row>
    <row r="1252" spans="4:4" ht="17.649999999999999" x14ac:dyDescent="0.5">
      <c r="D1252" s="3" t="s">
        <v>59</v>
      </c>
    </row>
    <row r="1253" spans="4:4" ht="17.649999999999999" x14ac:dyDescent="0.5">
      <c r="D1253" s="3" t="s">
        <v>90</v>
      </c>
    </row>
    <row r="1254" spans="4:4" ht="17.649999999999999" x14ac:dyDescent="0.5">
      <c r="D1254" s="3" t="s">
        <v>63</v>
      </c>
    </row>
    <row r="1255" spans="4:4" ht="17.649999999999999" x14ac:dyDescent="0.5">
      <c r="D1255" s="3" t="s">
        <v>290</v>
      </c>
    </row>
    <row r="1256" spans="4:4" ht="17.649999999999999" x14ac:dyDescent="0.5">
      <c r="D1256" s="3" t="s">
        <v>108</v>
      </c>
    </row>
    <row r="1257" spans="4:4" ht="17.649999999999999" x14ac:dyDescent="0.5">
      <c r="D1257" s="3" t="s">
        <v>49</v>
      </c>
    </row>
    <row r="1258" spans="4:4" ht="17.649999999999999" x14ac:dyDescent="0.5">
      <c r="D1258" s="3" t="s">
        <v>87</v>
      </c>
    </row>
    <row r="1259" spans="4:4" ht="17.649999999999999" x14ac:dyDescent="0.5">
      <c r="D1259" s="3" t="s">
        <v>247</v>
      </c>
    </row>
    <row r="1260" spans="4:4" ht="17.649999999999999" x14ac:dyDescent="0.5">
      <c r="D1260" s="3" t="s">
        <v>67</v>
      </c>
    </row>
    <row r="1261" spans="4:4" ht="17.649999999999999" x14ac:dyDescent="0.5">
      <c r="D1261" s="3" t="s">
        <v>291</v>
      </c>
    </row>
    <row r="1262" spans="4:4" ht="17.649999999999999" x14ac:dyDescent="0.5">
      <c r="D1262" s="3" t="s">
        <v>64</v>
      </c>
    </row>
    <row r="1263" spans="4:4" ht="17.649999999999999" x14ac:dyDescent="0.5">
      <c r="D1263" s="3" t="s">
        <v>109</v>
      </c>
    </row>
    <row r="1264" spans="4:4" ht="17.649999999999999" x14ac:dyDescent="0.5">
      <c r="D1264" s="3" t="s">
        <v>249</v>
      </c>
    </row>
    <row r="1265" spans="4:4" ht="17.649999999999999" x14ac:dyDescent="0.5">
      <c r="D1265" s="3" t="s">
        <v>80</v>
      </c>
    </row>
    <row r="1266" spans="4:4" ht="17.649999999999999" x14ac:dyDescent="0.5">
      <c r="D1266" s="3" t="s">
        <v>101</v>
      </c>
    </row>
    <row r="1267" spans="4:4" ht="17.649999999999999" x14ac:dyDescent="0.5">
      <c r="D1267" s="3" t="s">
        <v>52</v>
      </c>
    </row>
    <row r="1268" spans="4:4" ht="17.649999999999999" x14ac:dyDescent="0.5">
      <c r="D1268" s="3" t="s">
        <v>50</v>
      </c>
    </row>
    <row r="1269" spans="4:4" ht="17.649999999999999" x14ac:dyDescent="0.5">
      <c r="D1269" s="3" t="s">
        <v>47</v>
      </c>
    </row>
    <row r="1270" spans="4:4" ht="17.649999999999999" x14ac:dyDescent="0.5">
      <c r="D1270" s="3" t="s">
        <v>112</v>
      </c>
    </row>
    <row r="1271" spans="4:4" ht="17.649999999999999" x14ac:dyDescent="0.5">
      <c r="D1271" s="3" t="s">
        <v>51</v>
      </c>
    </row>
    <row r="1272" spans="4:4" ht="17.649999999999999" x14ac:dyDescent="0.5">
      <c r="D1272" s="3" t="s">
        <v>65</v>
      </c>
    </row>
    <row r="1273" spans="4:4" ht="17.649999999999999" x14ac:dyDescent="0.5">
      <c r="D1273" s="3" t="s">
        <v>59</v>
      </c>
    </row>
    <row r="1274" spans="4:4" ht="17.649999999999999" x14ac:dyDescent="0.5">
      <c r="D1274" s="3" t="s">
        <v>91</v>
      </c>
    </row>
    <row r="1275" spans="4:4" ht="17.649999999999999" x14ac:dyDescent="0.5">
      <c r="D1275" s="3" t="s">
        <v>44</v>
      </c>
    </row>
    <row r="1276" spans="4:4" ht="17.649999999999999" x14ac:dyDescent="0.5">
      <c r="D1276" s="3" t="s">
        <v>85</v>
      </c>
    </row>
    <row r="1277" spans="4:4" ht="17.649999999999999" x14ac:dyDescent="0.5">
      <c r="D1277" s="3" t="s">
        <v>43</v>
      </c>
    </row>
    <row r="1278" spans="4:4" ht="17.649999999999999" x14ac:dyDescent="0.5">
      <c r="D1278" s="3" t="s">
        <v>41</v>
      </c>
    </row>
    <row r="1279" spans="4:4" ht="17.649999999999999" x14ac:dyDescent="0.5">
      <c r="D1279" s="3" t="s">
        <v>53</v>
      </c>
    </row>
    <row r="1280" spans="4:4" ht="17.649999999999999" x14ac:dyDescent="0.5">
      <c r="D1280" s="3" t="s">
        <v>47</v>
      </c>
    </row>
    <row r="1281" spans="4:4" ht="17.649999999999999" x14ac:dyDescent="0.5">
      <c r="D1281" s="3" t="s">
        <v>98</v>
      </c>
    </row>
    <row r="1282" spans="4:4" ht="17.649999999999999" x14ac:dyDescent="0.5">
      <c r="D1282" s="3" t="s">
        <v>76</v>
      </c>
    </row>
    <row r="1283" spans="4:4" ht="17.649999999999999" x14ac:dyDescent="0.5">
      <c r="D1283" s="3" t="s">
        <v>55</v>
      </c>
    </row>
    <row r="1284" spans="4:4" ht="17.649999999999999" x14ac:dyDescent="0.5">
      <c r="D1284" s="3" t="s">
        <v>97</v>
      </c>
    </row>
    <row r="1285" spans="4:4" ht="17.649999999999999" x14ac:dyDescent="0.5">
      <c r="D1285" s="3" t="s">
        <v>115</v>
      </c>
    </row>
    <row r="1286" spans="4:4" ht="17.649999999999999" x14ac:dyDescent="0.5">
      <c r="D1286" s="3" t="s">
        <v>69</v>
      </c>
    </row>
    <row r="1287" spans="4:4" ht="17.649999999999999" x14ac:dyDescent="0.5">
      <c r="D1287" s="3" t="s">
        <v>292</v>
      </c>
    </row>
    <row r="1288" spans="4:4" ht="17.649999999999999" x14ac:dyDescent="0.5">
      <c r="D1288" s="3" t="s">
        <v>77</v>
      </c>
    </row>
    <row r="1289" spans="4:4" ht="17.649999999999999" x14ac:dyDescent="0.5">
      <c r="D1289" s="3" t="s">
        <v>94</v>
      </c>
    </row>
    <row r="1290" spans="4:4" ht="17.649999999999999" x14ac:dyDescent="0.5">
      <c r="D1290" s="3" t="s">
        <v>90</v>
      </c>
    </row>
    <row r="1291" spans="4:4" ht="17.649999999999999" x14ac:dyDescent="0.5">
      <c r="D1291" s="3" t="s">
        <v>55</v>
      </c>
    </row>
    <row r="1292" spans="4:4" ht="17.649999999999999" x14ac:dyDescent="0.5">
      <c r="D1292" s="3" t="s">
        <v>107</v>
      </c>
    </row>
    <row r="1293" spans="4:4" ht="17.649999999999999" x14ac:dyDescent="0.5">
      <c r="D1293" s="3" t="s">
        <v>64</v>
      </c>
    </row>
    <row r="1294" spans="4:4" ht="17.649999999999999" x14ac:dyDescent="0.5">
      <c r="D1294" s="3" t="s">
        <v>48</v>
      </c>
    </row>
    <row r="1295" spans="4:4" ht="17.649999999999999" x14ac:dyDescent="0.5">
      <c r="D1295" s="3" t="s">
        <v>47</v>
      </c>
    </row>
    <row r="1296" spans="4:4" ht="17.649999999999999" x14ac:dyDescent="0.5">
      <c r="D1296" s="3" t="s">
        <v>63</v>
      </c>
    </row>
    <row r="1297" spans="4:4" ht="17.649999999999999" x14ac:dyDescent="0.5">
      <c r="D1297" s="3" t="s">
        <v>47</v>
      </c>
    </row>
    <row r="1298" spans="4:4" ht="17.649999999999999" x14ac:dyDescent="0.5">
      <c r="D1298" s="3" t="s">
        <v>135</v>
      </c>
    </row>
    <row r="1299" spans="4:4" ht="17.649999999999999" x14ac:dyDescent="0.5">
      <c r="D1299" s="3" t="s">
        <v>91</v>
      </c>
    </row>
    <row r="1300" spans="4:4" ht="17.649999999999999" x14ac:dyDescent="0.5">
      <c r="D1300" s="3" t="s">
        <v>61</v>
      </c>
    </row>
    <row r="1301" spans="4:4" ht="17.649999999999999" x14ac:dyDescent="0.5">
      <c r="D1301" s="3" t="s">
        <v>83</v>
      </c>
    </row>
    <row r="1302" spans="4:4" ht="17.649999999999999" x14ac:dyDescent="0.5">
      <c r="D1302" s="3" t="s">
        <v>80</v>
      </c>
    </row>
    <row r="1303" spans="4:4" ht="17.649999999999999" x14ac:dyDescent="0.5">
      <c r="D1303" s="3" t="s">
        <v>52</v>
      </c>
    </row>
    <row r="1304" spans="4:4" ht="17.649999999999999" x14ac:dyDescent="0.5">
      <c r="D1304" s="3" t="s">
        <v>67</v>
      </c>
    </row>
    <row r="1305" spans="4:4" ht="17.649999999999999" x14ac:dyDescent="0.5">
      <c r="D1305" s="3" t="s">
        <v>41</v>
      </c>
    </row>
    <row r="1306" spans="4:4" ht="17.649999999999999" x14ac:dyDescent="0.5">
      <c r="D1306" s="3" t="s">
        <v>49</v>
      </c>
    </row>
    <row r="1307" spans="4:4" ht="17.649999999999999" x14ac:dyDescent="0.5">
      <c r="D1307" s="3" t="s">
        <v>66</v>
      </c>
    </row>
    <row r="1308" spans="4:4" ht="17.649999999999999" x14ac:dyDescent="0.5">
      <c r="D1308" s="3" t="s">
        <v>46</v>
      </c>
    </row>
    <row r="1309" spans="4:4" ht="17.649999999999999" x14ac:dyDescent="0.5">
      <c r="D1309" s="3" t="s">
        <v>73</v>
      </c>
    </row>
    <row r="1310" spans="4:4" ht="17.649999999999999" x14ac:dyDescent="0.5">
      <c r="D1310" s="3" t="s">
        <v>47</v>
      </c>
    </row>
    <row r="1311" spans="4:4" ht="17.649999999999999" x14ac:dyDescent="0.5">
      <c r="D1311" s="3" t="s">
        <v>265</v>
      </c>
    </row>
    <row r="1312" spans="4:4" ht="17.649999999999999" x14ac:dyDescent="0.5">
      <c r="D1312" s="3" t="s">
        <v>83</v>
      </c>
    </row>
    <row r="1313" spans="4:4" ht="17.649999999999999" x14ac:dyDescent="0.5">
      <c r="D1313" s="3" t="s">
        <v>43</v>
      </c>
    </row>
    <row r="1314" spans="4:4" ht="17.649999999999999" x14ac:dyDescent="0.5">
      <c r="D1314" s="3" t="s">
        <v>65</v>
      </c>
    </row>
    <row r="1315" spans="4:4" ht="17.649999999999999" x14ac:dyDescent="0.5">
      <c r="D1315" s="3" t="s">
        <v>101</v>
      </c>
    </row>
    <row r="1316" spans="4:4" ht="17.649999999999999" x14ac:dyDescent="0.5">
      <c r="D1316" s="3" t="s">
        <v>266</v>
      </c>
    </row>
    <row r="1317" spans="4:4" ht="17.649999999999999" x14ac:dyDescent="0.5">
      <c r="D1317" s="3" t="s">
        <v>63</v>
      </c>
    </row>
    <row r="1318" spans="4:4" ht="17.649999999999999" x14ac:dyDescent="0.5">
      <c r="D1318" s="3" t="s">
        <v>131</v>
      </c>
    </row>
    <row r="1319" spans="4:4" ht="17.649999999999999" x14ac:dyDescent="0.5">
      <c r="D1319" s="3" t="s">
        <v>54</v>
      </c>
    </row>
    <row r="1320" spans="4:4" ht="17.649999999999999" x14ac:dyDescent="0.5">
      <c r="D1320" s="3" t="s">
        <v>178</v>
      </c>
    </row>
    <row r="1321" spans="4:4" ht="17.649999999999999" x14ac:dyDescent="0.5">
      <c r="D1321" s="3" t="s">
        <v>77</v>
      </c>
    </row>
    <row r="1322" spans="4:4" ht="17.649999999999999" x14ac:dyDescent="0.5">
      <c r="D1322" s="3" t="s">
        <v>73</v>
      </c>
    </row>
    <row r="1323" spans="4:4" ht="17.649999999999999" x14ac:dyDescent="0.5">
      <c r="D1323" s="3" t="s">
        <v>50</v>
      </c>
    </row>
    <row r="1324" spans="4:4" ht="17.649999999999999" x14ac:dyDescent="0.5">
      <c r="D1324" s="3" t="s">
        <v>65</v>
      </c>
    </row>
    <row r="1325" spans="4:4" ht="17.649999999999999" x14ac:dyDescent="0.5">
      <c r="D1325" s="3" t="s">
        <v>118</v>
      </c>
    </row>
    <row r="1326" spans="4:4" ht="17.649999999999999" x14ac:dyDescent="0.5">
      <c r="D1326" s="3" t="s">
        <v>293</v>
      </c>
    </row>
    <row r="1327" spans="4:4" ht="17.649999999999999" x14ac:dyDescent="0.5">
      <c r="D1327" s="3" t="s">
        <v>117</v>
      </c>
    </row>
    <row r="1328" spans="4:4" ht="17.649999999999999" x14ac:dyDescent="0.5">
      <c r="D1328" s="3" t="s">
        <v>44</v>
      </c>
    </row>
    <row r="1329" spans="4:4" ht="17.649999999999999" x14ac:dyDescent="0.5">
      <c r="D1329" s="3" t="s">
        <v>71</v>
      </c>
    </row>
    <row r="1330" spans="4:4" ht="17.649999999999999" x14ac:dyDescent="0.5">
      <c r="D1330" s="3" t="s">
        <v>62</v>
      </c>
    </row>
    <row r="1331" spans="4:4" ht="17.649999999999999" x14ac:dyDescent="0.5">
      <c r="D1331" s="3" t="s">
        <v>59</v>
      </c>
    </row>
    <row r="1332" spans="4:4" ht="17.649999999999999" x14ac:dyDescent="0.5">
      <c r="D1332" s="3" t="s">
        <v>58</v>
      </c>
    </row>
    <row r="1333" spans="4:4" ht="17.649999999999999" x14ac:dyDescent="0.5">
      <c r="D1333" s="3" t="s">
        <v>83</v>
      </c>
    </row>
    <row r="1334" spans="4:4" ht="17.649999999999999" x14ac:dyDescent="0.5">
      <c r="D1334" s="3" t="s">
        <v>117</v>
      </c>
    </row>
    <row r="1335" spans="4:4" ht="17.649999999999999" x14ac:dyDescent="0.5">
      <c r="D1335" s="3" t="s">
        <v>107</v>
      </c>
    </row>
    <row r="1336" spans="4:4" ht="17.649999999999999" x14ac:dyDescent="0.5">
      <c r="D1336" s="3" t="s">
        <v>41</v>
      </c>
    </row>
    <row r="1337" spans="4:4" ht="17.649999999999999" x14ac:dyDescent="0.5">
      <c r="D1337" s="3" t="s">
        <v>54</v>
      </c>
    </row>
    <row r="1338" spans="4:4" ht="17.649999999999999" x14ac:dyDescent="0.5">
      <c r="D1338" s="3" t="s">
        <v>98</v>
      </c>
    </row>
    <row r="1339" spans="4:4" ht="17.649999999999999" x14ac:dyDescent="0.5">
      <c r="D1339" s="3" t="s">
        <v>132</v>
      </c>
    </row>
    <row r="1340" spans="4:4" ht="17.649999999999999" x14ac:dyDescent="0.5">
      <c r="D1340" s="3" t="s">
        <v>66</v>
      </c>
    </row>
    <row r="1341" spans="4:4" ht="17.649999999999999" x14ac:dyDescent="0.5">
      <c r="D1341" s="3" t="s">
        <v>50</v>
      </c>
    </row>
    <row r="1342" spans="4:4" ht="17.649999999999999" x14ac:dyDescent="0.5">
      <c r="D1342" s="3" t="s">
        <v>90</v>
      </c>
    </row>
    <row r="1343" spans="4:4" ht="17.649999999999999" x14ac:dyDescent="0.5">
      <c r="D1343" s="3" t="s">
        <v>77</v>
      </c>
    </row>
    <row r="1344" spans="4:4" ht="17.649999999999999" x14ac:dyDescent="0.5">
      <c r="D1344" s="3" t="s">
        <v>65</v>
      </c>
    </row>
    <row r="1345" spans="4:4" ht="17.649999999999999" x14ac:dyDescent="0.5">
      <c r="D1345" s="3" t="s">
        <v>294</v>
      </c>
    </row>
    <row r="1346" spans="4:4" ht="17.649999999999999" x14ac:dyDescent="0.5">
      <c r="D1346" s="3" t="s">
        <v>53</v>
      </c>
    </row>
    <row r="1347" spans="4:4" ht="17.649999999999999" x14ac:dyDescent="0.5">
      <c r="D1347" s="3" t="s">
        <v>70</v>
      </c>
    </row>
    <row r="1348" spans="4:4" ht="17.649999999999999" x14ac:dyDescent="0.5">
      <c r="D1348" s="3" t="s">
        <v>90</v>
      </c>
    </row>
    <row r="1349" spans="4:4" ht="17.649999999999999" x14ac:dyDescent="0.5">
      <c r="D1349" s="3" t="s">
        <v>253</v>
      </c>
    </row>
    <row r="1350" spans="4:4" ht="17.649999999999999" x14ac:dyDescent="0.5">
      <c r="D1350" s="3" t="s">
        <v>91</v>
      </c>
    </row>
    <row r="1351" spans="4:4" ht="17.649999999999999" x14ac:dyDescent="0.5">
      <c r="D1351" s="3" t="s">
        <v>295</v>
      </c>
    </row>
    <row r="1352" spans="4:4" ht="17.649999999999999" x14ac:dyDescent="0.5">
      <c r="D1352" s="3" t="s">
        <v>48</v>
      </c>
    </row>
    <row r="1353" spans="4:4" ht="17.649999999999999" x14ac:dyDescent="0.5">
      <c r="D1353" s="3" t="s">
        <v>105</v>
      </c>
    </row>
    <row r="1354" spans="4:4" ht="17.649999999999999" x14ac:dyDescent="0.5">
      <c r="D1354" s="3" t="s">
        <v>117</v>
      </c>
    </row>
    <row r="1355" spans="4:4" ht="17.649999999999999" x14ac:dyDescent="0.5">
      <c r="D1355" s="3" t="s">
        <v>87</v>
      </c>
    </row>
    <row r="1356" spans="4:4" ht="17.649999999999999" x14ac:dyDescent="0.5">
      <c r="D1356" s="3" t="s">
        <v>173</v>
      </c>
    </row>
    <row r="1357" spans="4:4" ht="17.649999999999999" x14ac:dyDescent="0.5">
      <c r="D1357" s="3" t="s">
        <v>112</v>
      </c>
    </row>
    <row r="1358" spans="4:4" ht="17.649999999999999" x14ac:dyDescent="0.5">
      <c r="D1358" s="3" t="s">
        <v>91</v>
      </c>
    </row>
    <row r="1359" spans="4:4" ht="17.649999999999999" x14ac:dyDescent="0.5">
      <c r="D1359" s="3" t="s">
        <v>44</v>
      </c>
    </row>
    <row r="1360" spans="4:4" ht="17.649999999999999" x14ac:dyDescent="0.5">
      <c r="D1360" s="3" t="s">
        <v>54</v>
      </c>
    </row>
    <row r="1361" spans="4:4" ht="17.649999999999999" x14ac:dyDescent="0.5">
      <c r="D1361" s="3" t="s">
        <v>73</v>
      </c>
    </row>
    <row r="1362" spans="4:4" ht="17.649999999999999" x14ac:dyDescent="0.5">
      <c r="D1362" s="3" t="s">
        <v>70</v>
      </c>
    </row>
    <row r="1363" spans="4:4" ht="17.649999999999999" x14ac:dyDescent="0.5">
      <c r="D1363" s="3" t="s">
        <v>96</v>
      </c>
    </row>
    <row r="1364" spans="4:4" ht="17.649999999999999" x14ac:dyDescent="0.5">
      <c r="D1364" s="3" t="s">
        <v>136</v>
      </c>
    </row>
    <row r="1365" spans="4:4" ht="17.649999999999999" x14ac:dyDescent="0.5">
      <c r="D1365" s="3" t="s">
        <v>90</v>
      </c>
    </row>
    <row r="1366" spans="4:4" ht="17.649999999999999" x14ac:dyDescent="0.5">
      <c r="D1366" s="3" t="s">
        <v>85</v>
      </c>
    </row>
    <row r="1367" spans="4:4" ht="17.649999999999999" x14ac:dyDescent="0.5">
      <c r="D1367" s="3" t="s">
        <v>77</v>
      </c>
    </row>
    <row r="1368" spans="4:4" ht="17.649999999999999" x14ac:dyDescent="0.5">
      <c r="D1368" s="3" t="s">
        <v>184</v>
      </c>
    </row>
    <row r="1369" spans="4:4" ht="17.649999999999999" x14ac:dyDescent="0.5">
      <c r="D1369" s="3" t="s">
        <v>88</v>
      </c>
    </row>
    <row r="1370" spans="4:4" ht="17.649999999999999" x14ac:dyDescent="0.5">
      <c r="D1370" s="3" t="s">
        <v>106</v>
      </c>
    </row>
    <row r="1371" spans="4:4" ht="17.649999999999999" x14ac:dyDescent="0.5">
      <c r="D1371" s="3" t="s">
        <v>59</v>
      </c>
    </row>
    <row r="1372" spans="4:4" ht="17.649999999999999" x14ac:dyDescent="0.5">
      <c r="D1372" s="3" t="s">
        <v>61</v>
      </c>
    </row>
    <row r="1373" spans="4:4" ht="17.649999999999999" x14ac:dyDescent="0.5">
      <c r="D1373" s="3" t="s">
        <v>49</v>
      </c>
    </row>
    <row r="1374" spans="4:4" ht="17.649999999999999" x14ac:dyDescent="0.5">
      <c r="D1374" s="3" t="s">
        <v>76</v>
      </c>
    </row>
    <row r="1375" spans="4:4" ht="17.649999999999999" x14ac:dyDescent="0.5">
      <c r="D1375" s="3" t="s">
        <v>43</v>
      </c>
    </row>
    <row r="1376" spans="4:4" ht="17.649999999999999" x14ac:dyDescent="0.5">
      <c r="D1376" s="3" t="s">
        <v>114</v>
      </c>
    </row>
    <row r="1377" spans="4:4" ht="17.649999999999999" x14ac:dyDescent="0.5">
      <c r="D1377" s="3" t="s">
        <v>111</v>
      </c>
    </row>
    <row r="1378" spans="4:4" ht="17.649999999999999" x14ac:dyDescent="0.5">
      <c r="D1378" s="3" t="s">
        <v>83</v>
      </c>
    </row>
    <row r="1379" spans="4:4" ht="17.649999999999999" x14ac:dyDescent="0.5">
      <c r="D1379" s="3" t="s">
        <v>71</v>
      </c>
    </row>
    <row r="1380" spans="4:4" ht="17.649999999999999" x14ac:dyDescent="0.5">
      <c r="D1380" s="3" t="s">
        <v>98</v>
      </c>
    </row>
    <row r="1381" spans="4:4" ht="17.649999999999999" x14ac:dyDescent="0.5">
      <c r="D1381" s="3" t="s">
        <v>83</v>
      </c>
    </row>
    <row r="1382" spans="4:4" ht="17.649999999999999" x14ac:dyDescent="0.5">
      <c r="D1382" s="3" t="s">
        <v>113</v>
      </c>
    </row>
    <row r="1383" spans="4:4" ht="17.649999999999999" x14ac:dyDescent="0.5">
      <c r="D1383" s="3" t="s">
        <v>268</v>
      </c>
    </row>
    <row r="1384" spans="4:4" ht="17.649999999999999" x14ac:dyDescent="0.5">
      <c r="D1384" s="3" t="s">
        <v>74</v>
      </c>
    </row>
    <row r="1385" spans="4:4" ht="17.649999999999999" x14ac:dyDescent="0.5">
      <c r="D1385" s="3" t="s">
        <v>113</v>
      </c>
    </row>
    <row r="1386" spans="4:4" ht="17.649999999999999" x14ac:dyDescent="0.5">
      <c r="D1386" s="3" t="s">
        <v>135</v>
      </c>
    </row>
    <row r="1387" spans="4:4" ht="17.649999999999999" x14ac:dyDescent="0.5">
      <c r="D1387" s="3" t="s">
        <v>64</v>
      </c>
    </row>
    <row r="1388" spans="4:4" ht="17.649999999999999" x14ac:dyDescent="0.5">
      <c r="D1388" s="3" t="s">
        <v>68</v>
      </c>
    </row>
    <row r="1389" spans="4:4" ht="17.649999999999999" x14ac:dyDescent="0.5">
      <c r="D1389" s="3" t="s">
        <v>107</v>
      </c>
    </row>
    <row r="1390" spans="4:4" ht="17.649999999999999" x14ac:dyDescent="0.5">
      <c r="D1390" s="3" t="s">
        <v>85</v>
      </c>
    </row>
    <row r="1391" spans="4:4" ht="17.649999999999999" x14ac:dyDescent="0.5">
      <c r="D1391" s="3" t="s">
        <v>41</v>
      </c>
    </row>
    <row r="1392" spans="4:4" ht="17.649999999999999" x14ac:dyDescent="0.5">
      <c r="D1392" s="3" t="s">
        <v>116</v>
      </c>
    </row>
    <row r="1393" spans="4:4" ht="17.649999999999999" x14ac:dyDescent="0.5">
      <c r="D1393" s="3" t="s">
        <v>66</v>
      </c>
    </row>
    <row r="1394" spans="4:4" ht="17.649999999999999" x14ac:dyDescent="0.5">
      <c r="D1394" s="3" t="s">
        <v>50</v>
      </c>
    </row>
    <row r="1395" spans="4:4" ht="17.649999999999999" x14ac:dyDescent="0.5">
      <c r="D1395" s="3" t="s">
        <v>65</v>
      </c>
    </row>
    <row r="1396" spans="4:4" ht="17.649999999999999" x14ac:dyDescent="0.5">
      <c r="D1396" s="3" t="s">
        <v>105</v>
      </c>
    </row>
    <row r="1397" spans="4:4" ht="17.649999999999999" x14ac:dyDescent="0.5">
      <c r="D1397" s="3" t="s">
        <v>90</v>
      </c>
    </row>
    <row r="1398" spans="4:4" ht="17.649999999999999" x14ac:dyDescent="0.5">
      <c r="D1398" s="3" t="s">
        <v>127</v>
      </c>
    </row>
    <row r="1399" spans="4:4" ht="17.649999999999999" x14ac:dyDescent="0.5">
      <c r="D1399" s="3" t="s">
        <v>259</v>
      </c>
    </row>
    <row r="1400" spans="4:4" ht="17.649999999999999" x14ac:dyDescent="0.5">
      <c r="D1400" s="3" t="s">
        <v>132</v>
      </c>
    </row>
    <row r="1401" spans="4:4" ht="17.649999999999999" x14ac:dyDescent="0.5">
      <c r="D1401" s="3" t="s">
        <v>61</v>
      </c>
    </row>
    <row r="1402" spans="4:4" ht="17.649999999999999" x14ac:dyDescent="0.5">
      <c r="D1402" s="3" t="s">
        <v>126</v>
      </c>
    </row>
    <row r="1403" spans="4:4" ht="17.649999999999999" x14ac:dyDescent="0.5">
      <c r="D1403" s="3" t="s">
        <v>53</v>
      </c>
    </row>
    <row r="1404" spans="4:4" ht="17.649999999999999" x14ac:dyDescent="0.5">
      <c r="D1404" s="3" t="s">
        <v>186</v>
      </c>
    </row>
    <row r="1405" spans="4:4" ht="17.649999999999999" x14ac:dyDescent="0.5">
      <c r="D1405" s="3" t="s">
        <v>61</v>
      </c>
    </row>
    <row r="1406" spans="4:4" ht="17.649999999999999" x14ac:dyDescent="0.5">
      <c r="D1406" s="3" t="s">
        <v>77</v>
      </c>
    </row>
    <row r="1407" spans="4:4" ht="17.649999999999999" x14ac:dyDescent="0.5">
      <c r="D1407" s="3" t="s">
        <v>105</v>
      </c>
    </row>
    <row r="1408" spans="4:4" ht="17.649999999999999" x14ac:dyDescent="0.5">
      <c r="D1408" s="3" t="s">
        <v>61</v>
      </c>
    </row>
    <row r="1409" spans="4:4" ht="17.649999999999999" x14ac:dyDescent="0.5">
      <c r="D1409" s="3" t="s">
        <v>105</v>
      </c>
    </row>
    <row r="1410" spans="4:4" ht="17.649999999999999" x14ac:dyDescent="0.5">
      <c r="D1410" s="3" t="s">
        <v>53</v>
      </c>
    </row>
    <row r="1411" spans="4:4" ht="17.649999999999999" x14ac:dyDescent="0.5">
      <c r="D1411" s="3" t="s">
        <v>52</v>
      </c>
    </row>
    <row r="1412" spans="4:4" ht="17.649999999999999" x14ac:dyDescent="0.5">
      <c r="D1412" s="3" t="s">
        <v>83</v>
      </c>
    </row>
    <row r="1413" spans="4:4" ht="17.649999999999999" x14ac:dyDescent="0.5">
      <c r="D1413" s="3" t="s">
        <v>94</v>
      </c>
    </row>
    <row r="1414" spans="4:4" ht="17.649999999999999" x14ac:dyDescent="0.5">
      <c r="D1414" s="3" t="s">
        <v>54</v>
      </c>
    </row>
    <row r="1415" spans="4:4" ht="17.649999999999999" x14ac:dyDescent="0.5">
      <c r="D1415" s="3" t="s">
        <v>51</v>
      </c>
    </row>
    <row r="1416" spans="4:4" ht="17.649999999999999" x14ac:dyDescent="0.5">
      <c r="D1416" s="3" t="s">
        <v>77</v>
      </c>
    </row>
    <row r="1417" spans="4:4" ht="17.649999999999999" x14ac:dyDescent="0.5">
      <c r="D1417" s="3" t="s">
        <v>103</v>
      </c>
    </row>
    <row r="1418" spans="4:4" ht="17.649999999999999" x14ac:dyDescent="0.5">
      <c r="D1418" s="3" t="s">
        <v>130</v>
      </c>
    </row>
    <row r="1419" spans="4:4" ht="17.649999999999999" x14ac:dyDescent="0.5">
      <c r="D1419" s="3" t="s">
        <v>80</v>
      </c>
    </row>
    <row r="1420" spans="4:4" ht="17.649999999999999" x14ac:dyDescent="0.5">
      <c r="D1420" s="3" t="s">
        <v>90</v>
      </c>
    </row>
    <row r="1421" spans="4:4" ht="17.649999999999999" x14ac:dyDescent="0.5">
      <c r="D1421" s="3" t="s">
        <v>115</v>
      </c>
    </row>
    <row r="1422" spans="4:4" ht="17.649999999999999" x14ac:dyDescent="0.5">
      <c r="D1422" s="3" t="s">
        <v>296</v>
      </c>
    </row>
    <row r="1423" spans="4:4" ht="17.649999999999999" x14ac:dyDescent="0.5">
      <c r="D1423" s="3" t="s">
        <v>124</v>
      </c>
    </row>
    <row r="1424" spans="4:4" ht="17.649999999999999" x14ac:dyDescent="0.5">
      <c r="D1424" s="3" t="s">
        <v>56</v>
      </c>
    </row>
    <row r="1425" spans="4:4" ht="17.649999999999999" x14ac:dyDescent="0.5">
      <c r="D1425" s="3" t="s">
        <v>88</v>
      </c>
    </row>
    <row r="1426" spans="4:4" ht="17.649999999999999" x14ac:dyDescent="0.5">
      <c r="D1426" s="3" t="s">
        <v>54</v>
      </c>
    </row>
    <row r="1427" spans="4:4" ht="17.649999999999999" x14ac:dyDescent="0.5">
      <c r="D1427" s="3" t="s">
        <v>182</v>
      </c>
    </row>
    <row r="1428" spans="4:4" ht="17.649999999999999" x14ac:dyDescent="0.5">
      <c r="D1428" s="3" t="s">
        <v>297</v>
      </c>
    </row>
    <row r="1429" spans="4:4" ht="17.649999999999999" x14ac:dyDescent="0.5">
      <c r="D1429" s="3" t="s">
        <v>96</v>
      </c>
    </row>
    <row r="1430" spans="4:4" ht="17.649999999999999" x14ac:dyDescent="0.5">
      <c r="D1430" s="3" t="s">
        <v>115</v>
      </c>
    </row>
    <row r="1431" spans="4:4" ht="17.649999999999999" x14ac:dyDescent="0.5">
      <c r="D1431" s="3" t="s">
        <v>90</v>
      </c>
    </row>
    <row r="1432" spans="4:4" ht="17.649999999999999" x14ac:dyDescent="0.5">
      <c r="D1432" s="3" t="s">
        <v>54</v>
      </c>
    </row>
    <row r="1433" spans="4:4" ht="17.649999999999999" x14ac:dyDescent="0.5">
      <c r="D1433" s="3" t="s">
        <v>91</v>
      </c>
    </row>
    <row r="1434" spans="4:4" ht="17.649999999999999" x14ac:dyDescent="0.5">
      <c r="D1434" s="3" t="s">
        <v>41</v>
      </c>
    </row>
    <row r="1435" spans="4:4" ht="17.649999999999999" x14ac:dyDescent="0.5">
      <c r="D1435" s="3" t="s">
        <v>86</v>
      </c>
    </row>
    <row r="1436" spans="4:4" ht="17.649999999999999" x14ac:dyDescent="0.5">
      <c r="D1436" s="3" t="s">
        <v>87</v>
      </c>
    </row>
    <row r="1437" spans="4:4" ht="17.649999999999999" x14ac:dyDescent="0.5">
      <c r="D1437" s="3" t="s">
        <v>50</v>
      </c>
    </row>
    <row r="1438" spans="4:4" ht="17.649999999999999" x14ac:dyDescent="0.5">
      <c r="D1438" s="3" t="s">
        <v>59</v>
      </c>
    </row>
    <row r="1439" spans="4:4" ht="17.649999999999999" x14ac:dyDescent="0.5">
      <c r="D1439" s="3" t="s">
        <v>55</v>
      </c>
    </row>
    <row r="1440" spans="4:4" ht="17.649999999999999" x14ac:dyDescent="0.5">
      <c r="D1440" s="3" t="s">
        <v>73</v>
      </c>
    </row>
    <row r="1441" spans="4:4" ht="17.649999999999999" x14ac:dyDescent="0.5">
      <c r="D1441" s="3" t="s">
        <v>70</v>
      </c>
    </row>
    <row r="1442" spans="4:4" ht="17.649999999999999" x14ac:dyDescent="0.5">
      <c r="D1442" s="3" t="s">
        <v>50</v>
      </c>
    </row>
    <row r="1443" spans="4:4" ht="17.649999999999999" x14ac:dyDescent="0.5">
      <c r="D1443" s="3" t="s">
        <v>126</v>
      </c>
    </row>
    <row r="1444" spans="4:4" ht="17.649999999999999" x14ac:dyDescent="0.5">
      <c r="D1444" s="3" t="s">
        <v>189</v>
      </c>
    </row>
    <row r="1445" spans="4:4" ht="17.649999999999999" x14ac:dyDescent="0.5">
      <c r="D1445" s="3" t="s">
        <v>61</v>
      </c>
    </row>
    <row r="1446" spans="4:4" ht="17.649999999999999" x14ac:dyDescent="0.5">
      <c r="D1446" s="3" t="s">
        <v>272</v>
      </c>
    </row>
    <row r="1447" spans="4:4" ht="17.649999999999999" x14ac:dyDescent="0.5">
      <c r="D1447" s="3" t="s">
        <v>62</v>
      </c>
    </row>
    <row r="1448" spans="4:4" ht="17.649999999999999" x14ac:dyDescent="0.5">
      <c r="D1448" s="3" t="s">
        <v>73</v>
      </c>
    </row>
    <row r="1449" spans="4:4" ht="17.649999999999999" x14ac:dyDescent="0.5">
      <c r="D1449" s="3" t="s">
        <v>80</v>
      </c>
    </row>
    <row r="1450" spans="4:4" ht="17.649999999999999" x14ac:dyDescent="0.5">
      <c r="D1450" s="3" t="s">
        <v>90</v>
      </c>
    </row>
    <row r="1451" spans="4:4" ht="17.649999999999999" x14ac:dyDescent="0.5">
      <c r="D1451" s="3" t="s">
        <v>95</v>
      </c>
    </row>
    <row r="1452" spans="4:4" ht="17.649999999999999" x14ac:dyDescent="0.5">
      <c r="D1452" s="3" t="s">
        <v>74</v>
      </c>
    </row>
    <row r="1453" spans="4:4" ht="17.649999999999999" x14ac:dyDescent="0.5">
      <c r="D1453" s="3" t="s">
        <v>116</v>
      </c>
    </row>
    <row r="1454" spans="4:4" ht="17.649999999999999" x14ac:dyDescent="0.5">
      <c r="D1454" s="3" t="s">
        <v>44</v>
      </c>
    </row>
    <row r="1455" spans="4:4" ht="17.649999999999999" x14ac:dyDescent="0.5">
      <c r="D1455" s="3" t="s">
        <v>117</v>
      </c>
    </row>
    <row r="1456" spans="4:4" ht="17.649999999999999" x14ac:dyDescent="0.5">
      <c r="D1456" s="3" t="s">
        <v>129</v>
      </c>
    </row>
    <row r="1457" spans="4:4" ht="17.649999999999999" x14ac:dyDescent="0.5">
      <c r="D1457" s="3" t="s">
        <v>298</v>
      </c>
    </row>
    <row r="1458" spans="4:4" ht="17.649999999999999" x14ac:dyDescent="0.5">
      <c r="D1458" s="3" t="s">
        <v>94</v>
      </c>
    </row>
    <row r="1459" spans="4:4" ht="17.649999999999999" x14ac:dyDescent="0.5">
      <c r="D1459" s="3" t="s">
        <v>193</v>
      </c>
    </row>
    <row r="1460" spans="4:4" ht="17.649999999999999" x14ac:dyDescent="0.5">
      <c r="D1460" s="3" t="s">
        <v>67</v>
      </c>
    </row>
    <row r="1461" spans="4:4" ht="17.649999999999999" x14ac:dyDescent="0.5">
      <c r="D1461" s="3" t="s">
        <v>42</v>
      </c>
    </row>
    <row r="1462" spans="4:4" ht="17.649999999999999" x14ac:dyDescent="0.5">
      <c r="D1462" s="3" t="s">
        <v>54</v>
      </c>
    </row>
    <row r="1463" spans="4:4" ht="17.649999999999999" x14ac:dyDescent="0.5">
      <c r="D1463" s="3" t="s">
        <v>98</v>
      </c>
    </row>
    <row r="1464" spans="4:4" ht="17.649999999999999" x14ac:dyDescent="0.5">
      <c r="D1464" s="3" t="s">
        <v>96</v>
      </c>
    </row>
    <row r="1465" spans="4:4" ht="17.649999999999999" x14ac:dyDescent="0.5">
      <c r="D1465" s="3" t="s">
        <v>299</v>
      </c>
    </row>
    <row r="1466" spans="4:4" ht="17.649999999999999" x14ac:dyDescent="0.5">
      <c r="D1466" s="3" t="s">
        <v>53</v>
      </c>
    </row>
    <row r="1467" spans="4:4" ht="17.649999999999999" x14ac:dyDescent="0.5">
      <c r="D1467" s="3" t="s">
        <v>58</v>
      </c>
    </row>
    <row r="1468" spans="4:4" ht="17.649999999999999" x14ac:dyDescent="0.5">
      <c r="D1468" s="3" t="s">
        <v>201</v>
      </c>
    </row>
    <row r="1469" spans="4:4" ht="17.649999999999999" x14ac:dyDescent="0.5">
      <c r="D1469" s="3" t="s">
        <v>52</v>
      </c>
    </row>
    <row r="1470" spans="4:4" ht="17.649999999999999" x14ac:dyDescent="0.5">
      <c r="D1470" s="3" t="s">
        <v>68</v>
      </c>
    </row>
    <row r="1471" spans="4:4" ht="17.649999999999999" x14ac:dyDescent="0.5">
      <c r="D1471" s="3" t="s">
        <v>68</v>
      </c>
    </row>
    <row r="1472" spans="4:4" ht="17.649999999999999" x14ac:dyDescent="0.5">
      <c r="D1472" s="3" t="s">
        <v>49</v>
      </c>
    </row>
    <row r="1473" spans="4:4" ht="17.649999999999999" x14ac:dyDescent="0.5">
      <c r="D1473" s="3" t="s">
        <v>46</v>
      </c>
    </row>
    <row r="1474" spans="4:4" ht="17.649999999999999" x14ac:dyDescent="0.5">
      <c r="D1474" s="3" t="s">
        <v>89</v>
      </c>
    </row>
    <row r="1475" spans="4:4" ht="17.649999999999999" x14ac:dyDescent="0.5">
      <c r="D1475" s="3" t="s">
        <v>190</v>
      </c>
    </row>
    <row r="1476" spans="4:4" ht="17.649999999999999" x14ac:dyDescent="0.5">
      <c r="D1476" s="3" t="s">
        <v>43</v>
      </c>
    </row>
    <row r="1477" spans="4:4" ht="17.649999999999999" x14ac:dyDescent="0.5">
      <c r="D1477" s="3" t="s">
        <v>116</v>
      </c>
    </row>
    <row r="1478" spans="4:4" ht="17.649999999999999" x14ac:dyDescent="0.5">
      <c r="D1478" s="3" t="s">
        <v>96</v>
      </c>
    </row>
    <row r="1479" spans="4:4" ht="17.649999999999999" x14ac:dyDescent="0.5">
      <c r="D1479" s="3" t="s">
        <v>111</v>
      </c>
    </row>
    <row r="1480" spans="4:4" ht="17.649999999999999" x14ac:dyDescent="0.5">
      <c r="D1480" s="3" t="s">
        <v>191</v>
      </c>
    </row>
    <row r="1481" spans="4:4" ht="17.649999999999999" x14ac:dyDescent="0.5">
      <c r="D1481" s="3" t="s">
        <v>63</v>
      </c>
    </row>
    <row r="1482" spans="4:4" ht="17.649999999999999" x14ac:dyDescent="0.5">
      <c r="D1482" s="3" t="s">
        <v>45</v>
      </c>
    </row>
    <row r="1483" spans="4:4" ht="17.649999999999999" x14ac:dyDescent="0.5">
      <c r="D1483" s="3" t="s">
        <v>89</v>
      </c>
    </row>
    <row r="1484" spans="4:4" ht="17.649999999999999" x14ac:dyDescent="0.5">
      <c r="D1484" s="3" t="s">
        <v>300</v>
      </c>
    </row>
    <row r="1485" spans="4:4" ht="17.649999999999999" x14ac:dyDescent="0.5">
      <c r="D1485" s="3" t="s">
        <v>47</v>
      </c>
    </row>
    <row r="1486" spans="4:4" ht="17.649999999999999" x14ac:dyDescent="0.5">
      <c r="D1486" s="3" t="s">
        <v>122</v>
      </c>
    </row>
    <row r="1487" spans="4:4" ht="17.649999999999999" x14ac:dyDescent="0.5">
      <c r="D1487" s="3" t="s">
        <v>75</v>
      </c>
    </row>
    <row r="1488" spans="4:4" ht="17.649999999999999" x14ac:dyDescent="0.5">
      <c r="D1488" s="3" t="s">
        <v>53</v>
      </c>
    </row>
    <row r="1489" spans="4:4" ht="17.649999999999999" x14ac:dyDescent="0.5">
      <c r="D1489" s="3" t="s">
        <v>132</v>
      </c>
    </row>
    <row r="1490" spans="4:4" ht="17.649999999999999" x14ac:dyDescent="0.5">
      <c r="D1490" s="3" t="s">
        <v>41</v>
      </c>
    </row>
    <row r="1491" spans="4:4" ht="17.649999999999999" x14ac:dyDescent="0.5">
      <c r="D1491" s="3" t="s">
        <v>96</v>
      </c>
    </row>
    <row r="1492" spans="4:4" ht="17.649999999999999" x14ac:dyDescent="0.5">
      <c r="D1492" s="3" t="s">
        <v>105</v>
      </c>
    </row>
    <row r="1493" spans="4:4" ht="17.649999999999999" x14ac:dyDescent="0.5">
      <c r="D1493" s="3" t="s">
        <v>194</v>
      </c>
    </row>
    <row r="1494" spans="4:4" ht="17.649999999999999" x14ac:dyDescent="0.5">
      <c r="D1494" s="3" t="s">
        <v>98</v>
      </c>
    </row>
    <row r="1495" spans="4:4" ht="17.649999999999999" x14ac:dyDescent="0.5">
      <c r="D1495" s="3" t="s">
        <v>46</v>
      </c>
    </row>
    <row r="1496" spans="4:4" ht="17.649999999999999" x14ac:dyDescent="0.5">
      <c r="D1496" s="3" t="s">
        <v>54</v>
      </c>
    </row>
    <row r="1497" spans="4:4" ht="17.649999999999999" x14ac:dyDescent="0.5">
      <c r="D1497" s="3" t="s">
        <v>57</v>
      </c>
    </row>
    <row r="1498" spans="4:4" ht="17.649999999999999" x14ac:dyDescent="0.5">
      <c r="D1498" s="3" t="s">
        <v>195</v>
      </c>
    </row>
    <row r="1499" spans="4:4" ht="17.649999999999999" x14ac:dyDescent="0.5">
      <c r="D1499" s="3" t="s">
        <v>67</v>
      </c>
    </row>
    <row r="1500" spans="4:4" ht="17.649999999999999" x14ac:dyDescent="0.5">
      <c r="D1500" s="3" t="s">
        <v>52</v>
      </c>
    </row>
    <row r="1501" spans="4:4" ht="17.649999999999999" x14ac:dyDescent="0.5">
      <c r="D1501" s="3" t="s">
        <v>61</v>
      </c>
    </row>
    <row r="1502" spans="4:4" ht="17.649999999999999" x14ac:dyDescent="0.5">
      <c r="D1502" s="3" t="s">
        <v>111</v>
      </c>
    </row>
    <row r="1503" spans="4:4" ht="17.649999999999999" x14ac:dyDescent="0.5">
      <c r="D1503" s="3" t="s">
        <v>117</v>
      </c>
    </row>
    <row r="1504" spans="4:4" ht="17.649999999999999" x14ac:dyDescent="0.5">
      <c r="D1504" s="3" t="s">
        <v>80</v>
      </c>
    </row>
    <row r="1505" spans="4:4" ht="17.649999999999999" x14ac:dyDescent="0.5">
      <c r="D1505" s="3" t="s">
        <v>56</v>
      </c>
    </row>
    <row r="1506" spans="4:4" ht="17.649999999999999" x14ac:dyDescent="0.5">
      <c r="D1506" s="3" t="s">
        <v>63</v>
      </c>
    </row>
    <row r="1507" spans="4:4" ht="17.649999999999999" x14ac:dyDescent="0.5">
      <c r="D1507" s="3" t="s">
        <v>67</v>
      </c>
    </row>
    <row r="1508" spans="4:4" ht="17.649999999999999" x14ac:dyDescent="0.5">
      <c r="D1508" s="3" t="s">
        <v>122</v>
      </c>
    </row>
    <row r="1509" spans="4:4" ht="17.649999999999999" x14ac:dyDescent="0.5">
      <c r="D1509" s="3" t="s">
        <v>47</v>
      </c>
    </row>
    <row r="1510" spans="4:4" ht="17.649999999999999" x14ac:dyDescent="0.5">
      <c r="D1510" s="3" t="s">
        <v>64</v>
      </c>
    </row>
    <row r="1511" spans="4:4" ht="17.649999999999999" x14ac:dyDescent="0.5">
      <c r="D1511" s="3" t="s">
        <v>130</v>
      </c>
    </row>
    <row r="1512" spans="4:4" ht="17.649999999999999" x14ac:dyDescent="0.5">
      <c r="D1512" s="3" t="s">
        <v>105</v>
      </c>
    </row>
    <row r="1513" spans="4:4" ht="17.649999999999999" x14ac:dyDescent="0.5">
      <c r="D1513" s="3" t="s">
        <v>58</v>
      </c>
    </row>
    <row r="1514" spans="4:4" ht="17.649999999999999" x14ac:dyDescent="0.5">
      <c r="D1514" s="3" t="s">
        <v>69</v>
      </c>
    </row>
    <row r="1515" spans="4:4" ht="17.649999999999999" x14ac:dyDescent="0.5">
      <c r="D1515" s="3" t="s">
        <v>196</v>
      </c>
    </row>
    <row r="1516" spans="4:4" ht="17.649999999999999" x14ac:dyDescent="0.5">
      <c r="D1516" s="3" t="s">
        <v>198</v>
      </c>
    </row>
    <row r="1517" spans="4:4" ht="17.649999999999999" x14ac:dyDescent="0.5">
      <c r="D1517" s="3" t="s">
        <v>102</v>
      </c>
    </row>
    <row r="1518" spans="4:4" ht="17.649999999999999" x14ac:dyDescent="0.5">
      <c r="D1518" s="3" t="s">
        <v>122</v>
      </c>
    </row>
    <row r="1519" spans="4:4" ht="17.649999999999999" x14ac:dyDescent="0.5">
      <c r="D1519" s="3" t="s">
        <v>53</v>
      </c>
    </row>
    <row r="1520" spans="4:4" ht="17.649999999999999" x14ac:dyDescent="0.5">
      <c r="D1520" s="3" t="s">
        <v>96</v>
      </c>
    </row>
    <row r="1521" spans="4:4" ht="17.649999999999999" x14ac:dyDescent="0.5">
      <c r="D1521" s="3" t="s">
        <v>202</v>
      </c>
    </row>
    <row r="1522" spans="4:4" ht="17.649999999999999" x14ac:dyDescent="0.5">
      <c r="D1522" s="3" t="s">
        <v>91</v>
      </c>
    </row>
    <row r="1523" spans="4:4" ht="17.649999999999999" x14ac:dyDescent="0.5">
      <c r="D1523" s="3" t="s">
        <v>111</v>
      </c>
    </row>
    <row r="1524" spans="4:4" ht="17.649999999999999" x14ac:dyDescent="0.5">
      <c r="D1524" s="3" t="s">
        <v>49</v>
      </c>
    </row>
    <row r="1525" spans="4:4" ht="17.649999999999999" x14ac:dyDescent="0.5">
      <c r="D1525" s="3" t="s">
        <v>52</v>
      </c>
    </row>
    <row r="1526" spans="4:4" ht="17.649999999999999" x14ac:dyDescent="0.5">
      <c r="D1526" s="3" t="s">
        <v>301</v>
      </c>
    </row>
    <row r="1527" spans="4:4" ht="17.649999999999999" x14ac:dyDescent="0.5">
      <c r="D1527" s="3" t="s">
        <v>67</v>
      </c>
    </row>
    <row r="1528" spans="4:4" ht="17.649999999999999" x14ac:dyDescent="0.5">
      <c r="D1528" s="3" t="s">
        <v>121</v>
      </c>
    </row>
    <row r="1529" spans="4:4" ht="17.649999999999999" x14ac:dyDescent="0.5">
      <c r="D1529" s="3" t="s">
        <v>94</v>
      </c>
    </row>
    <row r="1530" spans="4:4" ht="17.649999999999999" x14ac:dyDescent="0.5">
      <c r="D1530" s="3" t="s">
        <v>83</v>
      </c>
    </row>
    <row r="1531" spans="4:4" ht="17.649999999999999" x14ac:dyDescent="0.5">
      <c r="D1531" s="3" t="s">
        <v>212</v>
      </c>
    </row>
    <row r="1532" spans="4:4" ht="17.649999999999999" x14ac:dyDescent="0.5">
      <c r="D1532" s="3" t="s">
        <v>97</v>
      </c>
    </row>
    <row r="1533" spans="4:4" ht="17.649999999999999" x14ac:dyDescent="0.5">
      <c r="D1533" s="3" t="s">
        <v>115</v>
      </c>
    </row>
    <row r="1534" spans="4:4" ht="17.649999999999999" x14ac:dyDescent="0.5">
      <c r="D1534" s="3" t="s">
        <v>111</v>
      </c>
    </row>
    <row r="1535" spans="4:4" ht="17.649999999999999" x14ac:dyDescent="0.5">
      <c r="D1535" s="3" t="s">
        <v>51</v>
      </c>
    </row>
    <row r="1536" spans="4:4" ht="17.649999999999999" x14ac:dyDescent="0.5">
      <c r="D1536" s="3" t="s">
        <v>136</v>
      </c>
    </row>
    <row r="1537" spans="4:4" ht="17.649999999999999" x14ac:dyDescent="0.5">
      <c r="D1537" s="3" t="s">
        <v>120</v>
      </c>
    </row>
    <row r="1538" spans="4:4" ht="17.649999999999999" x14ac:dyDescent="0.5">
      <c r="D1538" s="3" t="s">
        <v>87</v>
      </c>
    </row>
    <row r="1539" spans="4:4" ht="17.649999999999999" x14ac:dyDescent="0.5">
      <c r="D1539" s="3" t="s">
        <v>130</v>
      </c>
    </row>
    <row r="1540" spans="4:4" ht="17.649999999999999" x14ac:dyDescent="0.5">
      <c r="D1540" s="3" t="s">
        <v>49</v>
      </c>
    </row>
    <row r="1541" spans="4:4" ht="17.649999999999999" x14ac:dyDescent="0.5">
      <c r="D1541" s="3" t="s">
        <v>67</v>
      </c>
    </row>
    <row r="1542" spans="4:4" ht="17.649999999999999" x14ac:dyDescent="0.5">
      <c r="D1542" s="3" t="s">
        <v>47</v>
      </c>
    </row>
    <row r="1543" spans="4:4" ht="17.649999999999999" x14ac:dyDescent="0.5">
      <c r="D1543" s="3" t="s">
        <v>117</v>
      </c>
    </row>
    <row r="1544" spans="4:4" ht="17.649999999999999" x14ac:dyDescent="0.5">
      <c r="D1544" s="3" t="s">
        <v>204</v>
      </c>
    </row>
    <row r="1545" spans="4:4" ht="17.649999999999999" x14ac:dyDescent="0.5">
      <c r="D1545" s="3" t="s">
        <v>60</v>
      </c>
    </row>
    <row r="1546" spans="4:4" ht="17.649999999999999" x14ac:dyDescent="0.5">
      <c r="D1546" s="3" t="s">
        <v>112</v>
      </c>
    </row>
    <row r="1547" spans="4:4" ht="17.649999999999999" x14ac:dyDescent="0.5">
      <c r="D1547" s="3" t="s">
        <v>267</v>
      </c>
    </row>
    <row r="1548" spans="4:4" ht="17.649999999999999" x14ac:dyDescent="0.5">
      <c r="D1548" s="3" t="s">
        <v>91</v>
      </c>
    </row>
    <row r="1549" spans="4:4" ht="17.649999999999999" x14ac:dyDescent="0.5">
      <c r="D1549" s="3" t="s">
        <v>48</v>
      </c>
    </row>
    <row r="1550" spans="4:4" ht="17.649999999999999" x14ac:dyDescent="0.5">
      <c r="D1550" s="3" t="s">
        <v>126</v>
      </c>
    </row>
    <row r="1551" spans="4:4" ht="17.649999999999999" x14ac:dyDescent="0.5">
      <c r="D1551" s="3" t="s">
        <v>63</v>
      </c>
    </row>
    <row r="1552" spans="4:4" ht="17.649999999999999" x14ac:dyDescent="0.5">
      <c r="D1552" s="3" t="s">
        <v>105</v>
      </c>
    </row>
    <row r="1553" spans="4:4" ht="17.649999999999999" x14ac:dyDescent="0.5">
      <c r="D1553" s="3" t="s">
        <v>66</v>
      </c>
    </row>
    <row r="1554" spans="4:4" ht="17.649999999999999" x14ac:dyDescent="0.5">
      <c r="D1554" s="3" t="s">
        <v>94</v>
      </c>
    </row>
    <row r="1555" spans="4:4" ht="17.649999999999999" x14ac:dyDescent="0.5">
      <c r="D1555" s="3" t="s">
        <v>43</v>
      </c>
    </row>
    <row r="1556" spans="4:4" ht="17.649999999999999" x14ac:dyDescent="0.5">
      <c r="D1556" s="3" t="s">
        <v>61</v>
      </c>
    </row>
    <row r="1557" spans="4:4" ht="17.649999999999999" x14ac:dyDescent="0.5">
      <c r="D1557" s="3" t="s">
        <v>44</v>
      </c>
    </row>
    <row r="1558" spans="4:4" ht="17.649999999999999" x14ac:dyDescent="0.5">
      <c r="D1558" s="3" t="s">
        <v>73</v>
      </c>
    </row>
    <row r="1559" spans="4:4" ht="17.649999999999999" x14ac:dyDescent="0.5">
      <c r="D1559" s="3" t="s">
        <v>120</v>
      </c>
    </row>
    <row r="1560" spans="4:4" ht="17.649999999999999" x14ac:dyDescent="0.5">
      <c r="D1560" s="3" t="s">
        <v>56</v>
      </c>
    </row>
    <row r="1561" spans="4:4" ht="17.649999999999999" x14ac:dyDescent="0.5">
      <c r="D1561" s="3" t="s">
        <v>103</v>
      </c>
    </row>
    <row r="1562" spans="4:4" ht="17.649999999999999" x14ac:dyDescent="0.5">
      <c r="D1562" s="3" t="s">
        <v>41</v>
      </c>
    </row>
    <row r="1563" spans="4:4" ht="17.649999999999999" x14ac:dyDescent="0.5">
      <c r="D1563" s="3" t="s">
        <v>80</v>
      </c>
    </row>
    <row r="1564" spans="4:4" ht="17.649999999999999" x14ac:dyDescent="0.5">
      <c r="D1564" s="3" t="s">
        <v>63</v>
      </c>
    </row>
    <row r="1565" spans="4:4" ht="17.649999999999999" x14ac:dyDescent="0.5">
      <c r="D1565" s="3" t="s">
        <v>65</v>
      </c>
    </row>
    <row r="1566" spans="4:4" ht="17.649999999999999" x14ac:dyDescent="0.5">
      <c r="D1566" s="3" t="s">
        <v>107</v>
      </c>
    </row>
    <row r="1567" spans="4:4" ht="17.649999999999999" x14ac:dyDescent="0.5">
      <c r="D1567" s="3" t="s">
        <v>103</v>
      </c>
    </row>
    <row r="1568" spans="4:4" ht="17.649999999999999" x14ac:dyDescent="0.5">
      <c r="D1568" s="3" t="s">
        <v>103</v>
      </c>
    </row>
    <row r="1569" spans="4:4" ht="17.649999999999999" x14ac:dyDescent="0.5">
      <c r="D1569" s="3" t="s">
        <v>60</v>
      </c>
    </row>
    <row r="1570" spans="4:4" ht="17.649999999999999" x14ac:dyDescent="0.5">
      <c r="D1570" s="3" t="s">
        <v>101</v>
      </c>
    </row>
    <row r="1571" spans="4:4" ht="17.649999999999999" x14ac:dyDescent="0.5">
      <c r="D1571" s="3" t="s">
        <v>73</v>
      </c>
    </row>
    <row r="1572" spans="4:4" ht="17.649999999999999" x14ac:dyDescent="0.5">
      <c r="D1572" s="3" t="s">
        <v>134</v>
      </c>
    </row>
    <row r="1573" spans="4:4" ht="17.649999999999999" x14ac:dyDescent="0.5">
      <c r="D1573" s="3" t="s">
        <v>61</v>
      </c>
    </row>
    <row r="1574" spans="4:4" ht="17.649999999999999" x14ac:dyDescent="0.5">
      <c r="D1574" s="3" t="s">
        <v>205</v>
      </c>
    </row>
    <row r="1575" spans="4:4" ht="17.649999999999999" x14ac:dyDescent="0.5">
      <c r="D1575" s="3" t="s">
        <v>129</v>
      </c>
    </row>
    <row r="1576" spans="4:4" ht="17.649999999999999" x14ac:dyDescent="0.5">
      <c r="D1576" s="3" t="s">
        <v>70</v>
      </c>
    </row>
    <row r="1577" spans="4:4" ht="17.649999999999999" x14ac:dyDescent="0.5">
      <c r="D1577" s="3" t="s">
        <v>133</v>
      </c>
    </row>
    <row r="1578" spans="4:4" ht="17.649999999999999" x14ac:dyDescent="0.5">
      <c r="D1578" s="3" t="s">
        <v>56</v>
      </c>
    </row>
    <row r="1579" spans="4:4" ht="17.649999999999999" x14ac:dyDescent="0.5">
      <c r="D1579" s="3" t="s">
        <v>206</v>
      </c>
    </row>
    <row r="1580" spans="4:4" ht="17.649999999999999" x14ac:dyDescent="0.5">
      <c r="D1580" s="3" t="s">
        <v>96</v>
      </c>
    </row>
    <row r="1581" spans="4:4" ht="17.649999999999999" x14ac:dyDescent="0.5">
      <c r="D1581" s="3" t="s">
        <v>68</v>
      </c>
    </row>
    <row r="1582" spans="4:4" ht="17.649999999999999" x14ac:dyDescent="0.5">
      <c r="D1582" s="3" t="s">
        <v>97</v>
      </c>
    </row>
    <row r="1583" spans="4:4" ht="17.649999999999999" x14ac:dyDescent="0.5">
      <c r="D1583" s="3" t="s">
        <v>49</v>
      </c>
    </row>
    <row r="1584" spans="4:4" ht="17.649999999999999" x14ac:dyDescent="0.5">
      <c r="D1584" s="3" t="s">
        <v>65</v>
      </c>
    </row>
    <row r="1585" spans="4:4" ht="17.649999999999999" x14ac:dyDescent="0.5">
      <c r="D1585" s="3" t="s">
        <v>53</v>
      </c>
    </row>
    <row r="1586" spans="4:4" ht="17.649999999999999" x14ac:dyDescent="0.5">
      <c r="D1586" s="3" t="s">
        <v>77</v>
      </c>
    </row>
    <row r="1587" spans="4:4" ht="17.649999999999999" x14ac:dyDescent="0.5">
      <c r="D1587" s="3" t="s">
        <v>108</v>
      </c>
    </row>
    <row r="1588" spans="4:4" ht="17.649999999999999" x14ac:dyDescent="0.5">
      <c r="D1588" s="3" t="s">
        <v>79</v>
      </c>
    </row>
    <row r="1589" spans="4:4" ht="17.649999999999999" x14ac:dyDescent="0.5">
      <c r="D1589" s="3" t="s">
        <v>136</v>
      </c>
    </row>
    <row r="1590" spans="4:4" ht="17.649999999999999" x14ac:dyDescent="0.5">
      <c r="D1590" s="3" t="s">
        <v>108</v>
      </c>
    </row>
    <row r="1591" spans="4:4" ht="17.649999999999999" x14ac:dyDescent="0.5">
      <c r="D1591" s="3" t="s">
        <v>302</v>
      </c>
    </row>
    <row r="1592" spans="4:4" ht="17.649999999999999" x14ac:dyDescent="0.5">
      <c r="D1592" s="3" t="s">
        <v>55</v>
      </c>
    </row>
    <row r="1593" spans="4:4" ht="17.649999999999999" x14ac:dyDescent="0.5">
      <c r="D1593" s="3" t="s">
        <v>275</v>
      </c>
    </row>
    <row r="1594" spans="4:4" ht="17.649999999999999" x14ac:dyDescent="0.5">
      <c r="D1594" s="3" t="s">
        <v>93</v>
      </c>
    </row>
    <row r="1595" spans="4:4" ht="17.649999999999999" x14ac:dyDescent="0.5">
      <c r="D1595" s="3" t="s">
        <v>67</v>
      </c>
    </row>
    <row r="1596" spans="4:4" ht="17.649999999999999" x14ac:dyDescent="0.5">
      <c r="D1596" s="3" t="s">
        <v>66</v>
      </c>
    </row>
    <row r="1597" spans="4:4" ht="17.649999999999999" x14ac:dyDescent="0.5">
      <c r="D1597" s="3" t="s">
        <v>208</v>
      </c>
    </row>
    <row r="1598" spans="4:4" ht="17.649999999999999" x14ac:dyDescent="0.5">
      <c r="D1598" s="3" t="s">
        <v>276</v>
      </c>
    </row>
    <row r="1599" spans="4:4" ht="17.649999999999999" x14ac:dyDescent="0.5">
      <c r="D1599" s="3" t="s">
        <v>52</v>
      </c>
    </row>
    <row r="1600" spans="4:4" ht="17.649999999999999" x14ac:dyDescent="0.5">
      <c r="D1600" s="3" t="s">
        <v>94</v>
      </c>
    </row>
    <row r="1601" spans="4:4" ht="17.649999999999999" x14ac:dyDescent="0.5">
      <c r="D1601" s="3" t="s">
        <v>91</v>
      </c>
    </row>
    <row r="1602" spans="4:4" ht="17.649999999999999" x14ac:dyDescent="0.5">
      <c r="D1602" s="3" t="s">
        <v>61</v>
      </c>
    </row>
    <row r="1603" spans="4:4" ht="17.649999999999999" x14ac:dyDescent="0.5">
      <c r="D1603" s="3" t="s">
        <v>115</v>
      </c>
    </row>
    <row r="1604" spans="4:4" ht="17.649999999999999" x14ac:dyDescent="0.5">
      <c r="D1604" s="3" t="s">
        <v>45</v>
      </c>
    </row>
    <row r="1605" spans="4:4" ht="17.649999999999999" x14ac:dyDescent="0.5">
      <c r="D1605" s="3" t="s">
        <v>115</v>
      </c>
    </row>
    <row r="1606" spans="4:4" ht="17.649999999999999" x14ac:dyDescent="0.5">
      <c r="D1606" s="3" t="s">
        <v>215</v>
      </c>
    </row>
    <row r="1607" spans="4:4" ht="17.649999999999999" x14ac:dyDescent="0.5">
      <c r="D1607" s="3" t="s">
        <v>131</v>
      </c>
    </row>
    <row r="1608" spans="4:4" ht="17.649999999999999" x14ac:dyDescent="0.5">
      <c r="D1608" s="3" t="s">
        <v>100</v>
      </c>
    </row>
    <row r="1609" spans="4:4" ht="17.649999999999999" x14ac:dyDescent="0.5">
      <c r="D1609" s="3" t="s">
        <v>51</v>
      </c>
    </row>
    <row r="1610" spans="4:4" ht="17.649999999999999" x14ac:dyDescent="0.5">
      <c r="D1610" s="3" t="s">
        <v>85</v>
      </c>
    </row>
    <row r="1611" spans="4:4" ht="17.649999999999999" x14ac:dyDescent="0.5">
      <c r="D1611" s="3" t="s">
        <v>41</v>
      </c>
    </row>
    <row r="1612" spans="4:4" ht="17.649999999999999" x14ac:dyDescent="0.5">
      <c r="D1612" s="3" t="s">
        <v>277</v>
      </c>
    </row>
    <row r="1613" spans="4:4" ht="17.649999999999999" x14ac:dyDescent="0.5">
      <c r="D1613" s="3" t="s">
        <v>61</v>
      </c>
    </row>
    <row r="1614" spans="4:4" ht="17.649999999999999" x14ac:dyDescent="0.5">
      <c r="D1614" s="3" t="s">
        <v>66</v>
      </c>
    </row>
    <row r="1615" spans="4:4" ht="17.649999999999999" x14ac:dyDescent="0.5">
      <c r="D1615" s="3" t="s">
        <v>270</v>
      </c>
    </row>
    <row r="1616" spans="4:4" ht="17.649999999999999" x14ac:dyDescent="0.5">
      <c r="D1616" s="3" t="s">
        <v>67</v>
      </c>
    </row>
    <row r="1617" spans="4:4" ht="17.649999999999999" x14ac:dyDescent="0.5">
      <c r="D1617" s="3" t="s">
        <v>224</v>
      </c>
    </row>
    <row r="1618" spans="4:4" ht="17.649999999999999" x14ac:dyDescent="0.5">
      <c r="D1618" s="3" t="s">
        <v>75</v>
      </c>
    </row>
    <row r="1619" spans="4:4" ht="17.649999999999999" x14ac:dyDescent="0.5">
      <c r="D1619" s="3" t="s">
        <v>83</v>
      </c>
    </row>
    <row r="1620" spans="4:4" ht="17.649999999999999" x14ac:dyDescent="0.5">
      <c r="D1620" s="3" t="s">
        <v>210</v>
      </c>
    </row>
    <row r="1621" spans="4:4" ht="17.649999999999999" x14ac:dyDescent="0.5">
      <c r="D1621" s="3" t="s">
        <v>91</v>
      </c>
    </row>
    <row r="1622" spans="4:4" ht="17.649999999999999" x14ac:dyDescent="0.5">
      <c r="D1622" s="3" t="s">
        <v>48</v>
      </c>
    </row>
    <row r="1623" spans="4:4" ht="17.649999999999999" x14ac:dyDescent="0.5">
      <c r="D1623" s="3" t="s">
        <v>66</v>
      </c>
    </row>
    <row r="1624" spans="4:4" ht="17.649999999999999" x14ac:dyDescent="0.5">
      <c r="D1624" s="3" t="s">
        <v>101</v>
      </c>
    </row>
    <row r="1625" spans="4:4" ht="17.649999999999999" x14ac:dyDescent="0.5">
      <c r="D1625" s="3" t="s">
        <v>51</v>
      </c>
    </row>
    <row r="1626" spans="4:4" ht="17.649999999999999" x14ac:dyDescent="0.5">
      <c r="D1626" s="3" t="s">
        <v>79</v>
      </c>
    </row>
    <row r="1627" spans="4:4" ht="17.649999999999999" x14ac:dyDescent="0.5">
      <c r="D1627" s="3" t="s">
        <v>74</v>
      </c>
    </row>
    <row r="1628" spans="4:4" ht="17.649999999999999" x14ac:dyDescent="0.5">
      <c r="D1628" s="3" t="s">
        <v>96</v>
      </c>
    </row>
    <row r="1629" spans="4:4" ht="17.649999999999999" x14ac:dyDescent="0.5">
      <c r="D1629" s="3" t="s">
        <v>117</v>
      </c>
    </row>
    <row r="1630" spans="4:4" ht="17.649999999999999" x14ac:dyDescent="0.5">
      <c r="D1630" s="3" t="s">
        <v>118</v>
      </c>
    </row>
    <row r="1631" spans="4:4" ht="17.649999999999999" x14ac:dyDescent="0.5">
      <c r="D1631" s="3" t="s">
        <v>43</v>
      </c>
    </row>
    <row r="1632" spans="4:4" ht="17.649999999999999" x14ac:dyDescent="0.5">
      <c r="D1632" s="3" t="s">
        <v>75</v>
      </c>
    </row>
    <row r="1633" spans="4:4" ht="17.649999999999999" x14ac:dyDescent="0.5">
      <c r="D1633" s="3" t="s">
        <v>64</v>
      </c>
    </row>
    <row r="1634" spans="4:4" ht="17.649999999999999" x14ac:dyDescent="0.5">
      <c r="D1634" s="3" t="s">
        <v>116</v>
      </c>
    </row>
    <row r="1635" spans="4:4" ht="17.649999999999999" x14ac:dyDescent="0.5">
      <c r="D1635" s="3" t="s">
        <v>87</v>
      </c>
    </row>
    <row r="1636" spans="4:4" ht="17.649999999999999" x14ac:dyDescent="0.5">
      <c r="D1636" s="3" t="s">
        <v>60</v>
      </c>
    </row>
    <row r="1637" spans="4:4" ht="17.649999999999999" x14ac:dyDescent="0.5">
      <c r="D1637" s="3" t="s">
        <v>63</v>
      </c>
    </row>
    <row r="1638" spans="4:4" ht="17.649999999999999" x14ac:dyDescent="0.5">
      <c r="D1638" s="3" t="s">
        <v>52</v>
      </c>
    </row>
    <row r="1639" spans="4:4" ht="17.649999999999999" x14ac:dyDescent="0.5">
      <c r="D1639" s="3" t="s">
        <v>83</v>
      </c>
    </row>
    <row r="1640" spans="4:4" ht="17.649999999999999" x14ac:dyDescent="0.5">
      <c r="D1640" s="3" t="s">
        <v>56</v>
      </c>
    </row>
    <row r="1641" spans="4:4" ht="17.649999999999999" x14ac:dyDescent="0.5">
      <c r="D1641" s="3" t="s">
        <v>96</v>
      </c>
    </row>
    <row r="1642" spans="4:4" ht="17.649999999999999" x14ac:dyDescent="0.5">
      <c r="D1642" s="3" t="s">
        <v>89</v>
      </c>
    </row>
    <row r="1643" spans="4:4" ht="17.649999999999999" x14ac:dyDescent="0.5">
      <c r="D1643" s="3" t="s">
        <v>113</v>
      </c>
    </row>
    <row r="1644" spans="4:4" ht="17.649999999999999" x14ac:dyDescent="0.5">
      <c r="D1644" s="3" t="s">
        <v>94</v>
      </c>
    </row>
    <row r="1645" spans="4:4" ht="17.649999999999999" x14ac:dyDescent="0.5">
      <c r="D1645" s="3" t="s">
        <v>43</v>
      </c>
    </row>
    <row r="1646" spans="4:4" ht="17.649999999999999" x14ac:dyDescent="0.5">
      <c r="D1646" s="3" t="s">
        <v>68</v>
      </c>
    </row>
    <row r="1647" spans="4:4" ht="17.649999999999999" x14ac:dyDescent="0.5">
      <c r="D1647" s="3" t="s">
        <v>99</v>
      </c>
    </row>
    <row r="1648" spans="4:4" ht="17.649999999999999" x14ac:dyDescent="0.5">
      <c r="D1648" s="3" t="s">
        <v>213</v>
      </c>
    </row>
    <row r="1649" spans="4:4" ht="17.649999999999999" x14ac:dyDescent="0.5">
      <c r="D1649" s="3" t="s">
        <v>50</v>
      </c>
    </row>
    <row r="1650" spans="4:4" ht="17.649999999999999" x14ac:dyDescent="0.5">
      <c r="D1650" s="3" t="s">
        <v>303</v>
      </c>
    </row>
    <row r="1651" spans="4:4" ht="17.649999999999999" x14ac:dyDescent="0.5">
      <c r="D1651" s="3" t="s">
        <v>41</v>
      </c>
    </row>
    <row r="1652" spans="4:4" ht="17.649999999999999" x14ac:dyDescent="0.5">
      <c r="D1652" s="3" t="s">
        <v>87</v>
      </c>
    </row>
    <row r="1653" spans="4:4" ht="17.649999999999999" x14ac:dyDescent="0.5">
      <c r="D1653" s="3" t="s">
        <v>93</v>
      </c>
    </row>
    <row r="1654" spans="4:4" ht="17.649999999999999" x14ac:dyDescent="0.5">
      <c r="D1654" s="3" t="s">
        <v>107</v>
      </c>
    </row>
    <row r="1655" spans="4:4" ht="17.649999999999999" x14ac:dyDescent="0.5">
      <c r="D1655" s="3" t="s">
        <v>112</v>
      </c>
    </row>
    <row r="1656" spans="4:4" ht="17.649999999999999" x14ac:dyDescent="0.5">
      <c r="D1656" s="3" t="s">
        <v>96</v>
      </c>
    </row>
    <row r="1657" spans="4:4" ht="17.649999999999999" x14ac:dyDescent="0.5">
      <c r="D1657" s="3" t="s">
        <v>43</v>
      </c>
    </row>
    <row r="1658" spans="4:4" ht="17.649999999999999" x14ac:dyDescent="0.5">
      <c r="D1658" s="3" t="s">
        <v>116</v>
      </c>
    </row>
    <row r="1659" spans="4:4" ht="17.649999999999999" x14ac:dyDescent="0.5">
      <c r="D1659" s="3" t="s">
        <v>91</v>
      </c>
    </row>
    <row r="1660" spans="4:4" ht="17.649999999999999" x14ac:dyDescent="0.5">
      <c r="D1660" s="3" t="s">
        <v>122</v>
      </c>
    </row>
    <row r="1661" spans="4:4" ht="17.649999999999999" x14ac:dyDescent="0.5">
      <c r="D1661" s="3" t="s">
        <v>65</v>
      </c>
    </row>
    <row r="1662" spans="4:4" ht="17.649999999999999" x14ac:dyDescent="0.5">
      <c r="D1662" s="3" t="s">
        <v>77</v>
      </c>
    </row>
    <row r="1663" spans="4:4" ht="17.649999999999999" x14ac:dyDescent="0.5">
      <c r="D1663" s="3" t="s">
        <v>69</v>
      </c>
    </row>
    <row r="1664" spans="4:4" ht="17.649999999999999" x14ac:dyDescent="0.5">
      <c r="D1664" s="3" t="s">
        <v>85</v>
      </c>
    </row>
    <row r="1665" spans="4:4" ht="17.649999999999999" x14ac:dyDescent="0.5">
      <c r="D1665" s="3" t="s">
        <v>121</v>
      </c>
    </row>
    <row r="1666" spans="4:4" ht="17.649999999999999" x14ac:dyDescent="0.5">
      <c r="D1666" s="3" t="s">
        <v>59</v>
      </c>
    </row>
    <row r="1667" spans="4:4" ht="17.649999999999999" x14ac:dyDescent="0.5">
      <c r="D1667" s="3" t="s">
        <v>67</v>
      </c>
    </row>
    <row r="1668" spans="4:4" ht="17.649999999999999" x14ac:dyDescent="0.5">
      <c r="D1668" s="3" t="s">
        <v>94</v>
      </c>
    </row>
    <row r="1669" spans="4:4" ht="17.649999999999999" x14ac:dyDescent="0.5">
      <c r="D1669" s="3" t="s">
        <v>49</v>
      </c>
    </row>
    <row r="1670" spans="4:4" ht="17.649999999999999" x14ac:dyDescent="0.5">
      <c r="D1670" s="3" t="s">
        <v>279</v>
      </c>
    </row>
    <row r="1671" spans="4:4" ht="17.649999999999999" x14ac:dyDescent="0.5">
      <c r="D1671" s="3" t="s">
        <v>58</v>
      </c>
    </row>
    <row r="1672" spans="4:4" ht="17.649999999999999" x14ac:dyDescent="0.5">
      <c r="D1672" s="3" t="s">
        <v>76</v>
      </c>
    </row>
    <row r="1673" spans="4:4" ht="17.649999999999999" x14ac:dyDescent="0.5">
      <c r="D1673" s="3" t="s">
        <v>90</v>
      </c>
    </row>
    <row r="1674" spans="4:4" ht="17.649999999999999" x14ac:dyDescent="0.5">
      <c r="D1674" s="3" t="s">
        <v>93</v>
      </c>
    </row>
    <row r="1675" spans="4:4" ht="17.649999999999999" x14ac:dyDescent="0.5">
      <c r="D1675" s="3" t="s">
        <v>75</v>
      </c>
    </row>
    <row r="1676" spans="4:4" ht="17.649999999999999" x14ac:dyDescent="0.5">
      <c r="D1676" s="3" t="s">
        <v>73</v>
      </c>
    </row>
    <row r="1677" spans="4:4" ht="17.649999999999999" x14ac:dyDescent="0.5">
      <c r="D1677" s="3" t="s">
        <v>74</v>
      </c>
    </row>
    <row r="1678" spans="4:4" ht="17.649999999999999" x14ac:dyDescent="0.5">
      <c r="D1678" s="3" t="s">
        <v>83</v>
      </c>
    </row>
    <row r="1679" spans="4:4" ht="17.649999999999999" x14ac:dyDescent="0.5">
      <c r="D1679" s="3" t="s">
        <v>65</v>
      </c>
    </row>
    <row r="1680" spans="4:4" ht="17.649999999999999" x14ac:dyDescent="0.5">
      <c r="D1680" s="3" t="s">
        <v>96</v>
      </c>
    </row>
    <row r="1681" spans="4:4" ht="17.649999999999999" x14ac:dyDescent="0.5">
      <c r="D1681" s="3" t="s">
        <v>74</v>
      </c>
    </row>
    <row r="1682" spans="4:4" ht="17.649999999999999" x14ac:dyDescent="0.5">
      <c r="D1682" s="3" t="s">
        <v>59</v>
      </c>
    </row>
    <row r="1683" spans="4:4" ht="17.649999999999999" x14ac:dyDescent="0.5">
      <c r="D1683" s="3" t="s">
        <v>44</v>
      </c>
    </row>
    <row r="1684" spans="4:4" ht="17.649999999999999" x14ac:dyDescent="0.5">
      <c r="D1684" s="3" t="s">
        <v>66</v>
      </c>
    </row>
    <row r="1685" spans="4:4" ht="17.649999999999999" x14ac:dyDescent="0.5">
      <c r="D1685" s="3" t="s">
        <v>67</v>
      </c>
    </row>
    <row r="1686" spans="4:4" ht="17.649999999999999" x14ac:dyDescent="0.5">
      <c r="D1686" s="3" t="s">
        <v>80</v>
      </c>
    </row>
    <row r="1687" spans="4:4" ht="17.649999999999999" x14ac:dyDescent="0.5">
      <c r="D1687" s="3" t="s">
        <v>216</v>
      </c>
    </row>
    <row r="1688" spans="4:4" ht="17.649999999999999" x14ac:dyDescent="0.5">
      <c r="D1688" s="3" t="s">
        <v>94</v>
      </c>
    </row>
    <row r="1689" spans="4:4" ht="17.649999999999999" x14ac:dyDescent="0.5">
      <c r="D1689" s="3" t="s">
        <v>219</v>
      </c>
    </row>
    <row r="1690" spans="4:4" ht="17.649999999999999" x14ac:dyDescent="0.5">
      <c r="D1690" s="3" t="s">
        <v>103</v>
      </c>
    </row>
    <row r="1691" spans="4:4" ht="17.649999999999999" x14ac:dyDescent="0.5">
      <c r="D1691" s="3" t="s">
        <v>132</v>
      </c>
    </row>
    <row r="1692" spans="4:4" ht="17.649999999999999" x14ac:dyDescent="0.5">
      <c r="D1692" s="3" t="s">
        <v>41</v>
      </c>
    </row>
    <row r="1693" spans="4:4" ht="17.649999999999999" x14ac:dyDescent="0.5">
      <c r="D1693" s="3" t="s">
        <v>85</v>
      </c>
    </row>
    <row r="1694" spans="4:4" ht="17.649999999999999" x14ac:dyDescent="0.5">
      <c r="D1694" s="3" t="s">
        <v>49</v>
      </c>
    </row>
    <row r="1695" spans="4:4" ht="17.649999999999999" x14ac:dyDescent="0.5">
      <c r="D1695" s="3" t="s">
        <v>63</v>
      </c>
    </row>
    <row r="1696" spans="4:4" ht="17.649999999999999" x14ac:dyDescent="0.5">
      <c r="D1696" s="3" t="s">
        <v>55</v>
      </c>
    </row>
    <row r="1697" spans="4:4" ht="17.649999999999999" x14ac:dyDescent="0.5">
      <c r="D1697" s="3" t="s">
        <v>118</v>
      </c>
    </row>
    <row r="1698" spans="4:4" ht="17.649999999999999" x14ac:dyDescent="0.5">
      <c r="D1698" s="3" t="s">
        <v>94</v>
      </c>
    </row>
    <row r="1699" spans="4:4" ht="17.649999999999999" x14ac:dyDescent="0.5">
      <c r="D1699" s="3" t="s">
        <v>74</v>
      </c>
    </row>
    <row r="1700" spans="4:4" ht="17.649999999999999" x14ac:dyDescent="0.5">
      <c r="D1700" s="3" t="s">
        <v>80</v>
      </c>
    </row>
    <row r="1701" spans="4:4" ht="17.649999999999999" x14ac:dyDescent="0.5">
      <c r="D1701" s="3" t="s">
        <v>41</v>
      </c>
    </row>
    <row r="1702" spans="4:4" ht="17.649999999999999" x14ac:dyDescent="0.5">
      <c r="D1702" s="3" t="s">
        <v>68</v>
      </c>
    </row>
    <row r="1703" spans="4:4" ht="17.649999999999999" x14ac:dyDescent="0.5">
      <c r="D1703" s="3" t="s">
        <v>101</v>
      </c>
    </row>
    <row r="1704" spans="4:4" ht="17.649999999999999" x14ac:dyDescent="0.5">
      <c r="D1704" s="3" t="s">
        <v>63</v>
      </c>
    </row>
    <row r="1705" spans="4:4" ht="17.649999999999999" x14ac:dyDescent="0.5">
      <c r="D1705" s="3" t="s">
        <v>120</v>
      </c>
    </row>
    <row r="1706" spans="4:4" ht="17.649999999999999" x14ac:dyDescent="0.5">
      <c r="D1706" s="3" t="s">
        <v>57</v>
      </c>
    </row>
    <row r="1707" spans="4:4" ht="17.649999999999999" x14ac:dyDescent="0.5">
      <c r="D1707" s="3" t="s">
        <v>89</v>
      </c>
    </row>
    <row r="1708" spans="4:4" ht="17.649999999999999" x14ac:dyDescent="0.5">
      <c r="D1708" s="3" t="s">
        <v>114</v>
      </c>
    </row>
    <row r="1709" spans="4:4" ht="17.649999999999999" x14ac:dyDescent="0.5">
      <c r="D1709" s="3" t="s">
        <v>115</v>
      </c>
    </row>
    <row r="1710" spans="4:4" ht="17.649999999999999" x14ac:dyDescent="0.5">
      <c r="D1710" s="3" t="s">
        <v>304</v>
      </c>
    </row>
    <row r="1711" spans="4:4" ht="17.649999999999999" x14ac:dyDescent="0.5">
      <c r="D1711" s="3" t="s">
        <v>53</v>
      </c>
    </row>
    <row r="1712" spans="4:4" ht="17.649999999999999" x14ac:dyDescent="0.5">
      <c r="D1712" s="3" t="s">
        <v>105</v>
      </c>
    </row>
    <row r="1713" spans="4:4" ht="17.649999999999999" x14ac:dyDescent="0.5">
      <c r="D1713" s="3" t="s">
        <v>53</v>
      </c>
    </row>
    <row r="1714" spans="4:4" ht="17.649999999999999" x14ac:dyDescent="0.5">
      <c r="D1714" s="3" t="s">
        <v>221</v>
      </c>
    </row>
    <row r="1715" spans="4:4" ht="17.649999999999999" x14ac:dyDescent="0.5">
      <c r="D1715" s="3" t="s">
        <v>71</v>
      </c>
    </row>
    <row r="1716" spans="4:4" ht="17.649999999999999" x14ac:dyDescent="0.5">
      <c r="D1716" s="3" t="s">
        <v>77</v>
      </c>
    </row>
    <row r="1717" spans="4:4" ht="17.649999999999999" x14ac:dyDescent="0.5">
      <c r="D1717" s="3" t="s">
        <v>57</v>
      </c>
    </row>
    <row r="1718" spans="4:4" ht="17.649999999999999" x14ac:dyDescent="0.5">
      <c r="D1718" s="3" t="s">
        <v>63</v>
      </c>
    </row>
    <row r="1719" spans="4:4" ht="17.649999999999999" x14ac:dyDescent="0.5">
      <c r="D1719" s="3" t="s">
        <v>65</v>
      </c>
    </row>
    <row r="1720" spans="4:4" ht="17.649999999999999" x14ac:dyDescent="0.5">
      <c r="D1720" s="3" t="s">
        <v>50</v>
      </c>
    </row>
    <row r="1721" spans="4:4" ht="17.649999999999999" x14ac:dyDescent="0.5">
      <c r="D1721" s="3" t="s">
        <v>52</v>
      </c>
    </row>
    <row r="1722" spans="4:4" ht="17.649999999999999" x14ac:dyDescent="0.5">
      <c r="D1722" s="3" t="s">
        <v>131</v>
      </c>
    </row>
    <row r="1723" spans="4:4" ht="17.649999999999999" x14ac:dyDescent="0.5">
      <c r="D1723" s="3" t="s">
        <v>55</v>
      </c>
    </row>
    <row r="1724" spans="4:4" ht="17.649999999999999" x14ac:dyDescent="0.5">
      <c r="D1724" s="3" t="s">
        <v>68</v>
      </c>
    </row>
    <row r="1725" spans="4:4" ht="17.649999999999999" x14ac:dyDescent="0.5">
      <c r="D1725" s="3" t="s">
        <v>124</v>
      </c>
    </row>
    <row r="1726" spans="4:4" ht="17.649999999999999" x14ac:dyDescent="0.5">
      <c r="D1726" s="3" t="s">
        <v>91</v>
      </c>
    </row>
    <row r="1727" spans="4:4" ht="17.649999999999999" x14ac:dyDescent="0.5">
      <c r="D1727" s="3" t="s">
        <v>112</v>
      </c>
    </row>
    <row r="1728" spans="4:4" ht="17.649999999999999" x14ac:dyDescent="0.5">
      <c r="D1728" s="3" t="s">
        <v>111</v>
      </c>
    </row>
    <row r="1729" spans="4:4" ht="17.649999999999999" x14ac:dyDescent="0.5">
      <c r="D1729" s="3" t="s">
        <v>63</v>
      </c>
    </row>
    <row r="1730" spans="4:4" ht="17.649999999999999" x14ac:dyDescent="0.5">
      <c r="D1730" s="3" t="s">
        <v>89</v>
      </c>
    </row>
    <row r="1731" spans="4:4" ht="17.649999999999999" x14ac:dyDescent="0.5">
      <c r="D1731" s="3" t="s">
        <v>90</v>
      </c>
    </row>
    <row r="1732" spans="4:4" ht="17.649999999999999" x14ac:dyDescent="0.5">
      <c r="D1732" s="3" t="s">
        <v>103</v>
      </c>
    </row>
    <row r="1733" spans="4:4" ht="17.649999999999999" x14ac:dyDescent="0.5">
      <c r="D1733" s="3" t="s">
        <v>68</v>
      </c>
    </row>
    <row r="1734" spans="4:4" ht="17.649999999999999" x14ac:dyDescent="0.5">
      <c r="D1734" s="3" t="s">
        <v>120</v>
      </c>
    </row>
    <row r="1735" spans="4:4" ht="17.649999999999999" x14ac:dyDescent="0.5">
      <c r="D1735" s="3" t="s">
        <v>112</v>
      </c>
    </row>
    <row r="1736" spans="4:4" ht="17.649999999999999" x14ac:dyDescent="0.5">
      <c r="D1736" s="3" t="s">
        <v>48</v>
      </c>
    </row>
    <row r="1737" spans="4:4" ht="17.649999999999999" x14ac:dyDescent="0.5">
      <c r="D1737" s="3" t="s">
        <v>43</v>
      </c>
    </row>
    <row r="1738" spans="4:4" ht="17.649999999999999" x14ac:dyDescent="0.5">
      <c r="D1738" s="3" t="s">
        <v>73</v>
      </c>
    </row>
    <row r="1739" spans="4:4" ht="17.649999999999999" x14ac:dyDescent="0.5">
      <c r="D1739" s="3" t="s">
        <v>69</v>
      </c>
    </row>
    <row r="1740" spans="4:4" ht="17.649999999999999" x14ac:dyDescent="0.5">
      <c r="D1740" s="3" t="s">
        <v>105</v>
      </c>
    </row>
    <row r="1741" spans="4:4" ht="17.649999999999999" x14ac:dyDescent="0.5">
      <c r="D1741" s="3" t="s">
        <v>112</v>
      </c>
    </row>
    <row r="1742" spans="4:4" ht="17.649999999999999" x14ac:dyDescent="0.5">
      <c r="D1742" s="3" t="s">
        <v>91</v>
      </c>
    </row>
    <row r="1743" spans="4:4" ht="17.649999999999999" x14ac:dyDescent="0.5">
      <c r="D1743" s="3" t="s">
        <v>64</v>
      </c>
    </row>
    <row r="1744" spans="4:4" ht="17.649999999999999" x14ac:dyDescent="0.5">
      <c r="D1744" s="3" t="s">
        <v>104</v>
      </c>
    </row>
    <row r="1745" spans="4:4" ht="17.649999999999999" x14ac:dyDescent="0.5">
      <c r="D1745" s="3" t="s">
        <v>117</v>
      </c>
    </row>
    <row r="1746" spans="4:4" ht="17.649999999999999" x14ac:dyDescent="0.5">
      <c r="D1746" s="3" t="s">
        <v>105</v>
      </c>
    </row>
    <row r="1747" spans="4:4" ht="17.649999999999999" x14ac:dyDescent="0.5">
      <c r="D1747" s="3" t="s">
        <v>98</v>
      </c>
    </row>
    <row r="1748" spans="4:4" ht="17.649999999999999" x14ac:dyDescent="0.5">
      <c r="D1748" s="3" t="s">
        <v>73</v>
      </c>
    </row>
    <row r="1749" spans="4:4" ht="17.649999999999999" x14ac:dyDescent="0.5">
      <c r="D1749" s="3" t="s">
        <v>43</v>
      </c>
    </row>
    <row r="1750" spans="4:4" ht="17.649999999999999" x14ac:dyDescent="0.5">
      <c r="D1750" s="3" t="s">
        <v>117</v>
      </c>
    </row>
    <row r="1751" spans="4:4" ht="17.649999999999999" x14ac:dyDescent="0.5">
      <c r="D1751" s="3" t="s">
        <v>53</v>
      </c>
    </row>
    <row r="1752" spans="4:4" ht="17.649999999999999" x14ac:dyDescent="0.5">
      <c r="D1752" s="3" t="s">
        <v>87</v>
      </c>
    </row>
    <row r="1753" spans="4:4" ht="17.649999999999999" x14ac:dyDescent="0.5">
      <c r="D1753" s="3" t="s">
        <v>47</v>
      </c>
    </row>
    <row r="1754" spans="4:4" ht="17.649999999999999" x14ac:dyDescent="0.5">
      <c r="D1754" s="3" t="s">
        <v>107</v>
      </c>
    </row>
    <row r="1755" spans="4:4" ht="17.649999999999999" x14ac:dyDescent="0.5">
      <c r="D1755" s="3" t="s">
        <v>117</v>
      </c>
    </row>
    <row r="1756" spans="4:4" ht="17.649999999999999" x14ac:dyDescent="0.5">
      <c r="D1756" s="3" t="s">
        <v>58</v>
      </c>
    </row>
    <row r="1757" spans="4:4" ht="17.649999999999999" x14ac:dyDescent="0.5">
      <c r="D1757" s="3" t="s">
        <v>85</v>
      </c>
    </row>
    <row r="1758" spans="4:4" ht="17.649999999999999" x14ac:dyDescent="0.5">
      <c r="D1758" s="3" t="s">
        <v>65</v>
      </c>
    </row>
    <row r="1759" spans="4:4" ht="17.649999999999999" x14ac:dyDescent="0.5">
      <c r="D1759" s="3" t="s">
        <v>51</v>
      </c>
    </row>
    <row r="1760" spans="4:4" ht="17.649999999999999" x14ac:dyDescent="0.5">
      <c r="D1760" s="3" t="s">
        <v>115</v>
      </c>
    </row>
    <row r="1761" spans="4:4" ht="17.649999999999999" x14ac:dyDescent="0.5">
      <c r="D1761" s="3" t="s">
        <v>57</v>
      </c>
    </row>
    <row r="1762" spans="4:4" ht="17.649999999999999" x14ac:dyDescent="0.5">
      <c r="D1762" s="3" t="s">
        <v>85</v>
      </c>
    </row>
    <row r="1763" spans="4:4" ht="17.649999999999999" x14ac:dyDescent="0.5">
      <c r="D1763" s="3" t="s">
        <v>96</v>
      </c>
    </row>
    <row r="1764" spans="4:4" ht="17.649999999999999" x14ac:dyDescent="0.5">
      <c r="D1764" s="3" t="s">
        <v>55</v>
      </c>
    </row>
    <row r="1765" spans="4:4" ht="17.649999999999999" x14ac:dyDescent="0.5">
      <c r="D1765" s="3" t="s">
        <v>89</v>
      </c>
    </row>
    <row r="1766" spans="4:4" ht="17.649999999999999" x14ac:dyDescent="0.5">
      <c r="D1766" s="3" t="s">
        <v>90</v>
      </c>
    </row>
    <row r="1767" spans="4:4" ht="17.649999999999999" x14ac:dyDescent="0.5">
      <c r="D1767" s="3" t="s">
        <v>71</v>
      </c>
    </row>
    <row r="1768" spans="4:4" ht="17.649999999999999" x14ac:dyDescent="0.5">
      <c r="D1768" s="3" t="s">
        <v>96</v>
      </c>
    </row>
    <row r="1769" spans="4:4" ht="17.649999999999999" x14ac:dyDescent="0.5">
      <c r="D1769" s="3" t="s">
        <v>87</v>
      </c>
    </row>
    <row r="1770" spans="4:4" ht="17.649999999999999" x14ac:dyDescent="0.5">
      <c r="D1770" s="3" t="s">
        <v>53</v>
      </c>
    </row>
    <row r="1771" spans="4:4" ht="17.649999999999999" x14ac:dyDescent="0.5">
      <c r="D1771" s="3" t="s">
        <v>305</v>
      </c>
    </row>
    <row r="1772" spans="4:4" ht="17.649999999999999" x14ac:dyDescent="0.5">
      <c r="D1772" s="3" t="s">
        <v>99</v>
      </c>
    </row>
    <row r="1773" spans="4:4" ht="17.649999999999999" x14ac:dyDescent="0.5">
      <c r="D1773" s="3" t="s">
        <v>67</v>
      </c>
    </row>
    <row r="1774" spans="4:4" ht="17.649999999999999" x14ac:dyDescent="0.5">
      <c r="D1774" s="3" t="s">
        <v>107</v>
      </c>
    </row>
    <row r="1775" spans="4:4" ht="17.649999999999999" x14ac:dyDescent="0.5">
      <c r="D1775" s="3" t="s">
        <v>131</v>
      </c>
    </row>
    <row r="1776" spans="4:4" ht="17.649999999999999" x14ac:dyDescent="0.5">
      <c r="D1776" s="3" t="s">
        <v>44</v>
      </c>
    </row>
    <row r="1777" spans="4:4" ht="17.649999999999999" x14ac:dyDescent="0.5">
      <c r="D1777" s="3" t="s">
        <v>65</v>
      </c>
    </row>
    <row r="1778" spans="4:4" ht="17.649999999999999" x14ac:dyDescent="0.5">
      <c r="D1778" s="3" t="s">
        <v>94</v>
      </c>
    </row>
    <row r="1779" spans="4:4" ht="17.649999999999999" x14ac:dyDescent="0.5">
      <c r="D1779" s="3" t="s">
        <v>66</v>
      </c>
    </row>
    <row r="1780" spans="4:4" ht="17.649999999999999" x14ac:dyDescent="0.5">
      <c r="D1780" s="3" t="s">
        <v>75</v>
      </c>
    </row>
    <row r="1781" spans="4:4" ht="17.649999999999999" x14ac:dyDescent="0.5">
      <c r="D1781" s="3" t="s">
        <v>100</v>
      </c>
    </row>
    <row r="1782" spans="4:4" ht="17.649999999999999" x14ac:dyDescent="0.5">
      <c r="D1782" s="3" t="s">
        <v>80</v>
      </c>
    </row>
    <row r="1783" spans="4:4" ht="17.649999999999999" x14ac:dyDescent="0.5">
      <c r="D1783" s="3" t="s">
        <v>131</v>
      </c>
    </row>
    <row r="1784" spans="4:4" ht="17.649999999999999" x14ac:dyDescent="0.5">
      <c r="D1784" s="3" t="s">
        <v>83</v>
      </c>
    </row>
    <row r="1785" spans="4:4" ht="17.649999999999999" x14ac:dyDescent="0.5">
      <c r="D1785" s="3" t="s">
        <v>41</v>
      </c>
    </row>
    <row r="1786" spans="4:4" ht="17.649999999999999" x14ac:dyDescent="0.5">
      <c r="D1786" s="3" t="s">
        <v>306</v>
      </c>
    </row>
    <row r="1787" spans="4:4" ht="17.649999999999999" x14ac:dyDescent="0.5">
      <c r="D1787" s="3" t="s">
        <v>47</v>
      </c>
    </row>
    <row r="1788" spans="4:4" ht="17.649999999999999" x14ac:dyDescent="0.5">
      <c r="D1788" s="3" t="s">
        <v>102</v>
      </c>
    </row>
    <row r="1789" spans="4:4" ht="17.649999999999999" x14ac:dyDescent="0.5">
      <c r="D1789" s="3" t="s">
        <v>225</v>
      </c>
    </row>
    <row r="1790" spans="4:4" ht="17.649999999999999" x14ac:dyDescent="0.5">
      <c r="D1790" s="3" t="s">
        <v>52</v>
      </c>
    </row>
    <row r="1791" spans="4:4" ht="17.649999999999999" x14ac:dyDescent="0.5">
      <c r="D1791" s="3" t="s">
        <v>54</v>
      </c>
    </row>
    <row r="1792" spans="4:4" ht="17.649999999999999" x14ac:dyDescent="0.5">
      <c r="D1792" s="3" t="s">
        <v>236</v>
      </c>
    </row>
    <row r="1793" spans="4:4" ht="17.649999999999999" x14ac:dyDescent="0.5">
      <c r="D1793" s="3" t="s">
        <v>73</v>
      </c>
    </row>
    <row r="1794" spans="4:4" ht="17.649999999999999" x14ac:dyDescent="0.5">
      <c r="D1794" s="3" t="s">
        <v>227</v>
      </c>
    </row>
    <row r="1795" spans="4:4" ht="17.649999999999999" x14ac:dyDescent="0.5">
      <c r="D1795" s="3" t="s">
        <v>50</v>
      </c>
    </row>
    <row r="1796" spans="4:4" ht="17.649999999999999" x14ac:dyDescent="0.5">
      <c r="D1796" s="3" t="s">
        <v>55</v>
      </c>
    </row>
    <row r="1797" spans="4:4" ht="17.649999999999999" x14ac:dyDescent="0.5">
      <c r="D1797" s="3" t="s">
        <v>74</v>
      </c>
    </row>
    <row r="1798" spans="4:4" ht="17.649999999999999" x14ac:dyDescent="0.5">
      <c r="D1798" s="3" t="s">
        <v>66</v>
      </c>
    </row>
    <row r="1799" spans="4:4" ht="17.649999999999999" x14ac:dyDescent="0.5">
      <c r="D1799" s="3" t="s">
        <v>101</v>
      </c>
    </row>
    <row r="1800" spans="4:4" ht="17.649999999999999" x14ac:dyDescent="0.5">
      <c r="D1800" s="3" t="s">
        <v>239</v>
      </c>
    </row>
    <row r="1801" spans="4:4" ht="17.649999999999999" x14ac:dyDescent="0.5">
      <c r="D1801" s="3" t="s">
        <v>41</v>
      </c>
    </row>
    <row r="1802" spans="4:4" ht="17.649999999999999" x14ac:dyDescent="0.5">
      <c r="D1802" s="3" t="s">
        <v>283</v>
      </c>
    </row>
    <row r="1803" spans="4:4" ht="17.649999999999999" x14ac:dyDescent="0.5">
      <c r="D1803" s="3" t="s">
        <v>74</v>
      </c>
    </row>
    <row r="1804" spans="4:4" ht="17.649999999999999" x14ac:dyDescent="0.5">
      <c r="D1804" s="3" t="s">
        <v>68</v>
      </c>
    </row>
    <row r="1805" spans="4:4" ht="17.649999999999999" x14ac:dyDescent="0.5">
      <c r="D1805" s="3" t="s">
        <v>74</v>
      </c>
    </row>
    <row r="1806" spans="4:4" ht="17.649999999999999" x14ac:dyDescent="0.5">
      <c r="D1806" s="3" t="s">
        <v>105</v>
      </c>
    </row>
    <row r="1807" spans="4:4" ht="17.649999999999999" x14ac:dyDescent="0.5">
      <c r="D1807" s="3" t="s">
        <v>96</v>
      </c>
    </row>
    <row r="1808" spans="4:4" ht="17.649999999999999" x14ac:dyDescent="0.5">
      <c r="D1808" s="3" t="s">
        <v>85</v>
      </c>
    </row>
    <row r="1809" spans="4:4" ht="17.649999999999999" x14ac:dyDescent="0.5">
      <c r="D1809" s="3" t="s">
        <v>65</v>
      </c>
    </row>
    <row r="1810" spans="4:4" ht="17.649999999999999" x14ac:dyDescent="0.5">
      <c r="D1810" s="3" t="s">
        <v>77</v>
      </c>
    </row>
    <row r="1811" spans="4:4" ht="17.649999999999999" x14ac:dyDescent="0.5">
      <c r="D1811" s="3" t="s">
        <v>102</v>
      </c>
    </row>
    <row r="1812" spans="4:4" ht="17.649999999999999" x14ac:dyDescent="0.5">
      <c r="D1812" s="3" t="s">
        <v>52</v>
      </c>
    </row>
    <row r="1813" spans="4:4" ht="17.649999999999999" x14ac:dyDescent="0.5">
      <c r="D1813" s="3" t="s">
        <v>101</v>
      </c>
    </row>
    <row r="1814" spans="4:4" ht="17.649999999999999" x14ac:dyDescent="0.5">
      <c r="D1814" s="3" t="s">
        <v>83</v>
      </c>
    </row>
    <row r="1815" spans="4:4" ht="17.649999999999999" x14ac:dyDescent="0.5">
      <c r="D1815" s="3" t="s">
        <v>98</v>
      </c>
    </row>
    <row r="1816" spans="4:4" ht="17.649999999999999" x14ac:dyDescent="0.5">
      <c r="D1816" s="3" t="s">
        <v>65</v>
      </c>
    </row>
    <row r="1817" spans="4:4" ht="17.649999999999999" x14ac:dyDescent="0.5">
      <c r="D1817" s="3" t="s">
        <v>69</v>
      </c>
    </row>
    <row r="1818" spans="4:4" ht="17.649999999999999" x14ac:dyDescent="0.5">
      <c r="D1818" s="3" t="s">
        <v>96</v>
      </c>
    </row>
    <row r="1819" spans="4:4" ht="17.649999999999999" x14ac:dyDescent="0.5">
      <c r="D1819" s="3" t="s">
        <v>307</v>
      </c>
    </row>
    <row r="1820" spans="4:4" ht="17.649999999999999" x14ac:dyDescent="0.5">
      <c r="D1820" s="3" t="s">
        <v>117</v>
      </c>
    </row>
    <row r="1821" spans="4:4" ht="17.649999999999999" x14ac:dyDescent="0.5">
      <c r="D1821" s="3" t="s">
        <v>111</v>
      </c>
    </row>
    <row r="1822" spans="4:4" ht="17.649999999999999" x14ac:dyDescent="0.5">
      <c r="D1822" s="3" t="s">
        <v>95</v>
      </c>
    </row>
    <row r="1823" spans="4:4" ht="17.649999999999999" x14ac:dyDescent="0.5">
      <c r="D1823" s="3" t="s">
        <v>55</v>
      </c>
    </row>
    <row r="1824" spans="4:4" ht="17.649999999999999" x14ac:dyDescent="0.5">
      <c r="D1824" s="3" t="s">
        <v>285</v>
      </c>
    </row>
    <row r="1825" spans="4:4" ht="17.649999999999999" x14ac:dyDescent="0.5">
      <c r="D1825" s="3" t="s">
        <v>41</v>
      </c>
    </row>
    <row r="1826" spans="4:4" ht="17.649999999999999" x14ac:dyDescent="0.5">
      <c r="D1826" s="3" t="s">
        <v>49</v>
      </c>
    </row>
    <row r="1827" spans="4:4" ht="17.649999999999999" x14ac:dyDescent="0.5">
      <c r="D1827" s="3" t="s">
        <v>64</v>
      </c>
    </row>
    <row r="1828" spans="4:4" ht="17.649999999999999" x14ac:dyDescent="0.5">
      <c r="D1828" s="3" t="s">
        <v>71</v>
      </c>
    </row>
    <row r="1829" spans="4:4" ht="17.649999999999999" x14ac:dyDescent="0.5">
      <c r="D1829" s="3" t="s">
        <v>67</v>
      </c>
    </row>
    <row r="1830" spans="4:4" ht="17.649999999999999" x14ac:dyDescent="0.5">
      <c r="D1830" s="3" t="s">
        <v>47</v>
      </c>
    </row>
    <row r="1831" spans="4:4" ht="17.649999999999999" x14ac:dyDescent="0.5">
      <c r="D1831" s="3" t="s">
        <v>83</v>
      </c>
    </row>
    <row r="1832" spans="4:4" ht="17.649999999999999" x14ac:dyDescent="0.5">
      <c r="D1832" s="3" t="s">
        <v>241</v>
      </c>
    </row>
    <row r="1833" spans="4:4" ht="17.649999999999999" x14ac:dyDescent="0.5">
      <c r="D1833" s="3" t="s">
        <v>63</v>
      </c>
    </row>
    <row r="1834" spans="4:4" ht="17.649999999999999" x14ac:dyDescent="0.5">
      <c r="D1834" s="3" t="s">
        <v>242</v>
      </c>
    </row>
    <row r="1835" spans="4:4" ht="17.649999999999999" x14ac:dyDescent="0.5">
      <c r="D1835" s="3" t="s">
        <v>96</v>
      </c>
    </row>
    <row r="1836" spans="4:4" ht="17.649999999999999" x14ac:dyDescent="0.5">
      <c r="D1836" s="3" t="s">
        <v>90</v>
      </c>
    </row>
    <row r="1837" spans="4:4" ht="17.649999999999999" x14ac:dyDescent="0.5">
      <c r="D1837" s="3" t="s">
        <v>70</v>
      </c>
    </row>
    <row r="1838" spans="4:4" ht="17.649999999999999" x14ac:dyDescent="0.5">
      <c r="D1838" s="3" t="s">
        <v>74</v>
      </c>
    </row>
    <row r="1839" spans="4:4" ht="17.649999999999999" x14ac:dyDescent="0.5">
      <c r="D1839" s="3" t="s">
        <v>112</v>
      </c>
    </row>
    <row r="1840" spans="4:4" ht="17.649999999999999" x14ac:dyDescent="0.5">
      <c r="D1840" s="3" t="s">
        <v>126</v>
      </c>
    </row>
    <row r="1841" spans="4:4" ht="17.649999999999999" x14ac:dyDescent="0.5">
      <c r="D1841" s="3" t="s">
        <v>229</v>
      </c>
    </row>
    <row r="1842" spans="4:4" ht="17.649999999999999" x14ac:dyDescent="0.5">
      <c r="D1842" s="3" t="s">
        <v>51</v>
      </c>
    </row>
    <row r="1843" spans="4:4" ht="17.649999999999999" x14ac:dyDescent="0.5">
      <c r="D1843" s="3" t="s">
        <v>95</v>
      </c>
    </row>
    <row r="1844" spans="4:4" ht="17.649999999999999" x14ac:dyDescent="0.5">
      <c r="D1844" s="3" t="s">
        <v>113</v>
      </c>
    </row>
    <row r="1845" spans="4:4" ht="17.649999999999999" x14ac:dyDescent="0.5">
      <c r="D1845" s="3" t="s">
        <v>282</v>
      </c>
    </row>
    <row r="1846" spans="4:4" ht="17.649999999999999" x14ac:dyDescent="0.5">
      <c r="D1846" s="3" t="s">
        <v>101</v>
      </c>
    </row>
    <row r="1847" spans="4:4" ht="17.649999999999999" x14ac:dyDescent="0.5">
      <c r="D1847" s="3" t="s">
        <v>56</v>
      </c>
    </row>
    <row r="1848" spans="4:4" ht="17.649999999999999" x14ac:dyDescent="0.5">
      <c r="D1848" s="3" t="s">
        <v>61</v>
      </c>
    </row>
    <row r="1849" spans="4:4" ht="17.649999999999999" x14ac:dyDescent="0.5">
      <c r="D1849" s="3" t="s">
        <v>49</v>
      </c>
    </row>
    <row r="1850" spans="4:4" ht="17.649999999999999" x14ac:dyDescent="0.5">
      <c r="D1850" s="3" t="s">
        <v>105</v>
      </c>
    </row>
    <row r="1851" spans="4:4" ht="17.649999999999999" x14ac:dyDescent="0.5">
      <c r="D1851" s="3" t="s">
        <v>113</v>
      </c>
    </row>
    <row r="1852" spans="4:4" ht="17.649999999999999" x14ac:dyDescent="0.5">
      <c r="D1852" s="3" t="s">
        <v>102</v>
      </c>
    </row>
    <row r="1853" spans="4:4" ht="17.649999999999999" x14ac:dyDescent="0.5">
      <c r="D1853" s="3" t="s">
        <v>75</v>
      </c>
    </row>
    <row r="1854" spans="4:4" ht="17.649999999999999" x14ac:dyDescent="0.5">
      <c r="D1854" s="3" t="s">
        <v>72</v>
      </c>
    </row>
    <row r="1855" spans="4:4" ht="17.649999999999999" x14ac:dyDescent="0.5">
      <c r="D1855" s="3" t="s">
        <v>67</v>
      </c>
    </row>
    <row r="1856" spans="4:4" ht="17.649999999999999" x14ac:dyDescent="0.5">
      <c r="D1856" s="3" t="s">
        <v>71</v>
      </c>
    </row>
    <row r="1857" spans="4:4" ht="17.649999999999999" x14ac:dyDescent="0.5">
      <c r="D1857" s="3" t="s">
        <v>96</v>
      </c>
    </row>
    <row r="1858" spans="4:4" ht="17.649999999999999" x14ac:dyDescent="0.5">
      <c r="D1858" s="3" t="s">
        <v>67</v>
      </c>
    </row>
    <row r="1859" spans="4:4" ht="17.649999999999999" x14ac:dyDescent="0.5">
      <c r="D1859" s="3" t="s">
        <v>120</v>
      </c>
    </row>
    <row r="1860" spans="4:4" ht="17.649999999999999" x14ac:dyDescent="0.5">
      <c r="D1860" s="3" t="s">
        <v>71</v>
      </c>
    </row>
    <row r="1861" spans="4:4" ht="17.649999999999999" x14ac:dyDescent="0.5">
      <c r="D1861" s="3" t="s">
        <v>59</v>
      </c>
    </row>
    <row r="1862" spans="4:4" ht="17.649999999999999" x14ac:dyDescent="0.5">
      <c r="D1862" s="3" t="s">
        <v>94</v>
      </c>
    </row>
    <row r="1863" spans="4:4" ht="17.649999999999999" x14ac:dyDescent="0.5">
      <c r="D1863" s="3" t="s">
        <v>87</v>
      </c>
    </row>
    <row r="1864" spans="4:4" ht="17.649999999999999" x14ac:dyDescent="0.5">
      <c r="D1864" s="3" t="s">
        <v>53</v>
      </c>
    </row>
    <row r="1865" spans="4:4" ht="17.649999999999999" x14ac:dyDescent="0.5">
      <c r="D1865" s="3" t="s">
        <v>112</v>
      </c>
    </row>
    <row r="1866" spans="4:4" ht="17.649999999999999" x14ac:dyDescent="0.5">
      <c r="D1866" s="3" t="s">
        <v>54</v>
      </c>
    </row>
    <row r="1867" spans="4:4" ht="17.649999999999999" x14ac:dyDescent="0.5">
      <c r="D1867" s="3" t="s">
        <v>59</v>
      </c>
    </row>
    <row r="1868" spans="4:4" ht="17.649999999999999" x14ac:dyDescent="0.5">
      <c r="D1868" s="3" t="s">
        <v>83</v>
      </c>
    </row>
    <row r="1869" spans="4:4" ht="17.649999999999999" x14ac:dyDescent="0.5">
      <c r="D1869" s="3" t="s">
        <v>245</v>
      </c>
    </row>
    <row r="1870" spans="4:4" ht="17.649999999999999" x14ac:dyDescent="0.5">
      <c r="D1870" s="3" t="s">
        <v>102</v>
      </c>
    </row>
    <row r="1871" spans="4:4" ht="17.649999999999999" x14ac:dyDescent="0.5">
      <c r="D1871" s="3" t="s">
        <v>63</v>
      </c>
    </row>
    <row r="1872" spans="4:4" ht="17.649999999999999" x14ac:dyDescent="0.5">
      <c r="D1872" s="3" t="s">
        <v>70</v>
      </c>
    </row>
    <row r="1873" spans="4:4" ht="17.649999999999999" x14ac:dyDescent="0.5">
      <c r="D1873" s="3" t="s">
        <v>105</v>
      </c>
    </row>
    <row r="1874" spans="4:4" ht="17.649999999999999" x14ac:dyDescent="0.5">
      <c r="D1874" s="3" t="s">
        <v>63</v>
      </c>
    </row>
    <row r="1875" spans="4:4" ht="17.649999999999999" x14ac:dyDescent="0.5">
      <c r="D1875" s="3" t="s">
        <v>232</v>
      </c>
    </row>
    <row r="1876" spans="4:4" ht="17.649999999999999" x14ac:dyDescent="0.5">
      <c r="D1876" s="3" t="s">
        <v>88</v>
      </c>
    </row>
    <row r="1877" spans="4:4" ht="17.649999999999999" x14ac:dyDescent="0.5">
      <c r="D1877" s="3" t="s">
        <v>235</v>
      </c>
    </row>
    <row r="1878" spans="4:4" ht="17.649999999999999" x14ac:dyDescent="0.5">
      <c r="D1878" s="3" t="s">
        <v>65</v>
      </c>
    </row>
    <row r="1879" spans="4:4" ht="17.649999999999999" x14ac:dyDescent="0.5">
      <c r="D1879" s="3" t="s">
        <v>66</v>
      </c>
    </row>
    <row r="1880" spans="4:4" ht="17.649999999999999" x14ac:dyDescent="0.5">
      <c r="D1880" s="3" t="s">
        <v>233</v>
      </c>
    </row>
    <row r="1881" spans="4:4" ht="17.649999999999999" x14ac:dyDescent="0.5">
      <c r="D1881" s="3" t="s">
        <v>48</v>
      </c>
    </row>
    <row r="1882" spans="4:4" ht="17.649999999999999" x14ac:dyDescent="0.5">
      <c r="D1882" s="3" t="s">
        <v>237</v>
      </c>
    </row>
    <row r="1883" spans="4:4" ht="17.649999999999999" x14ac:dyDescent="0.5">
      <c r="D1883" s="3" t="s">
        <v>80</v>
      </c>
    </row>
    <row r="1884" spans="4:4" ht="17.649999999999999" x14ac:dyDescent="0.5">
      <c r="D1884" s="3" t="s">
        <v>77</v>
      </c>
    </row>
    <row r="1885" spans="4:4" ht="17.649999999999999" x14ac:dyDescent="0.5">
      <c r="D1885" s="3" t="s">
        <v>114</v>
      </c>
    </row>
    <row r="1886" spans="4:4" ht="17.649999999999999" x14ac:dyDescent="0.5">
      <c r="D1886" s="3" t="s">
        <v>61</v>
      </c>
    </row>
    <row r="1887" spans="4:4" ht="17.649999999999999" x14ac:dyDescent="0.5">
      <c r="D1887" s="3" t="s">
        <v>117</v>
      </c>
    </row>
    <row r="1888" spans="4:4" ht="17.649999999999999" x14ac:dyDescent="0.5">
      <c r="D1888" s="3" t="s">
        <v>111</v>
      </c>
    </row>
    <row r="1889" spans="4:4" ht="17.649999999999999" x14ac:dyDescent="0.5">
      <c r="D1889" s="3" t="s">
        <v>68</v>
      </c>
    </row>
    <row r="1890" spans="4:4" ht="17.649999999999999" x14ac:dyDescent="0.5">
      <c r="D1890" s="3" t="s">
        <v>129</v>
      </c>
    </row>
    <row r="1891" spans="4:4" ht="17.649999999999999" x14ac:dyDescent="0.5">
      <c r="D1891" s="3" t="s">
        <v>42</v>
      </c>
    </row>
    <row r="1892" spans="4:4" ht="17.649999999999999" x14ac:dyDescent="0.5">
      <c r="D1892" s="3" t="s">
        <v>68</v>
      </c>
    </row>
    <row r="1893" spans="4:4" ht="17.649999999999999" x14ac:dyDescent="0.5">
      <c r="D1893" s="3" t="s">
        <v>85</v>
      </c>
    </row>
    <row r="1894" spans="4:4" ht="17.649999999999999" x14ac:dyDescent="0.5">
      <c r="D1894" s="3" t="s">
        <v>98</v>
      </c>
    </row>
    <row r="1895" spans="4:4" ht="17.649999999999999" x14ac:dyDescent="0.5">
      <c r="D1895" s="3" t="s">
        <v>65</v>
      </c>
    </row>
    <row r="1896" spans="4:4" ht="17.649999999999999" x14ac:dyDescent="0.5">
      <c r="D1896" s="3" t="s">
        <v>135</v>
      </c>
    </row>
    <row r="1897" spans="4:4" ht="17.649999999999999" x14ac:dyDescent="0.5">
      <c r="D1897" s="3" t="s">
        <v>74</v>
      </c>
    </row>
    <row r="1898" spans="4:4" ht="17.649999999999999" x14ac:dyDescent="0.5">
      <c r="D1898" s="3" t="s">
        <v>96</v>
      </c>
    </row>
    <row r="1899" spans="4:4" ht="17.649999999999999" x14ac:dyDescent="0.5">
      <c r="D1899" s="3" t="s">
        <v>91</v>
      </c>
    </row>
    <row r="1900" spans="4:4" ht="17.649999999999999" x14ac:dyDescent="0.5">
      <c r="D1900" s="3" t="s">
        <v>52</v>
      </c>
    </row>
    <row r="1901" spans="4:4" ht="17.649999999999999" x14ac:dyDescent="0.5">
      <c r="D1901" s="3" t="s">
        <v>65</v>
      </c>
    </row>
    <row r="1902" spans="4:4" ht="17.649999999999999" x14ac:dyDescent="0.5">
      <c r="D1902" s="3" t="s">
        <v>43</v>
      </c>
    </row>
    <row r="1903" spans="4:4" ht="17.649999999999999" x14ac:dyDescent="0.5">
      <c r="D1903" s="3" t="s">
        <v>72</v>
      </c>
    </row>
    <row r="1904" spans="4:4" ht="17.649999999999999" x14ac:dyDescent="0.5">
      <c r="D1904" s="3" t="s">
        <v>238</v>
      </c>
    </row>
    <row r="1905" spans="4:4" ht="17.649999999999999" x14ac:dyDescent="0.5">
      <c r="D1905" s="3" t="s">
        <v>60</v>
      </c>
    </row>
    <row r="1906" spans="4:4" ht="17.649999999999999" x14ac:dyDescent="0.5">
      <c r="D1906" s="3" t="s">
        <v>134</v>
      </c>
    </row>
    <row r="1907" spans="4:4" ht="17.649999999999999" x14ac:dyDescent="0.5">
      <c r="D1907" s="3" t="s">
        <v>77</v>
      </c>
    </row>
    <row r="1908" spans="4:4" ht="17.649999999999999" x14ac:dyDescent="0.5">
      <c r="D1908" s="3" t="s">
        <v>68</v>
      </c>
    </row>
    <row r="1909" spans="4:4" ht="17.649999999999999" x14ac:dyDescent="0.5">
      <c r="D1909" s="3" t="s">
        <v>66</v>
      </c>
    </row>
    <row r="1910" spans="4:4" ht="17.649999999999999" x14ac:dyDescent="0.5">
      <c r="D1910" s="3" t="s">
        <v>67</v>
      </c>
    </row>
    <row r="1911" spans="4:4" ht="17.649999999999999" x14ac:dyDescent="0.5">
      <c r="D1911" s="3" t="s">
        <v>83</v>
      </c>
    </row>
    <row r="1912" spans="4:4" ht="17.649999999999999" x14ac:dyDescent="0.5">
      <c r="D1912" s="3" t="s">
        <v>103</v>
      </c>
    </row>
    <row r="1913" spans="4:4" ht="17.649999999999999" x14ac:dyDescent="0.5">
      <c r="D1913" s="3" t="s">
        <v>49</v>
      </c>
    </row>
    <row r="1914" spans="4:4" ht="17.649999999999999" x14ac:dyDescent="0.5">
      <c r="D1914" s="3" t="s">
        <v>75</v>
      </c>
    </row>
    <row r="1915" spans="4:4" ht="17.649999999999999" x14ac:dyDescent="0.5">
      <c r="D1915" s="3" t="s">
        <v>68</v>
      </c>
    </row>
    <row r="1916" spans="4:4" ht="17.649999999999999" x14ac:dyDescent="0.5">
      <c r="D1916" s="3" t="s">
        <v>66</v>
      </c>
    </row>
    <row r="1917" spans="4:4" ht="17.649999999999999" x14ac:dyDescent="0.5">
      <c r="D1917" s="3" t="s">
        <v>252</v>
      </c>
    </row>
    <row r="1918" spans="4:4" ht="17.649999999999999" x14ac:dyDescent="0.5">
      <c r="D1918" s="3" t="s">
        <v>108</v>
      </c>
    </row>
    <row r="1919" spans="4:4" ht="17.649999999999999" x14ac:dyDescent="0.5">
      <c r="D1919" s="3" t="s">
        <v>50</v>
      </c>
    </row>
    <row r="1920" spans="4:4" ht="17.649999999999999" x14ac:dyDescent="0.5">
      <c r="D1920" s="3" t="s">
        <v>308</v>
      </c>
    </row>
    <row r="1921" spans="4:4" ht="17.649999999999999" x14ac:dyDescent="0.5">
      <c r="D1921" s="3" t="s">
        <v>54</v>
      </c>
    </row>
    <row r="1922" spans="4:4" ht="17.649999999999999" x14ac:dyDescent="0.5">
      <c r="D1922" s="3" t="s">
        <v>56</v>
      </c>
    </row>
    <row r="1923" spans="4:4" ht="17.649999999999999" x14ac:dyDescent="0.5">
      <c r="D1923" s="3" t="s">
        <v>254</v>
      </c>
    </row>
    <row r="1924" spans="4:4" ht="17.649999999999999" x14ac:dyDescent="0.5">
      <c r="D1924" s="3" t="s">
        <v>53</v>
      </c>
    </row>
    <row r="1925" spans="4:4" ht="17.649999999999999" x14ac:dyDescent="0.5">
      <c r="D1925" s="3" t="s">
        <v>256</v>
      </c>
    </row>
    <row r="1926" spans="4:4" ht="17.649999999999999" x14ac:dyDescent="0.5">
      <c r="D1926" s="3" t="s">
        <v>44</v>
      </c>
    </row>
    <row r="1927" spans="4:4" ht="17.649999999999999" x14ac:dyDescent="0.5">
      <c r="D1927" s="3" t="s">
        <v>107</v>
      </c>
    </row>
    <row r="1928" spans="4:4" ht="17.649999999999999" x14ac:dyDescent="0.5">
      <c r="D1928" s="3" t="s">
        <v>67</v>
      </c>
    </row>
    <row r="1929" spans="4:4" ht="17.649999999999999" x14ac:dyDescent="0.5">
      <c r="D1929" s="3" t="s">
        <v>68</v>
      </c>
    </row>
    <row r="1930" spans="4:4" ht="17.649999999999999" x14ac:dyDescent="0.5">
      <c r="D1930" s="3" t="s">
        <v>91</v>
      </c>
    </row>
    <row r="1931" spans="4:4" ht="17.649999999999999" x14ac:dyDescent="0.5">
      <c r="D1931" s="3" t="s">
        <v>87</v>
      </c>
    </row>
    <row r="1932" spans="4:4" ht="17.649999999999999" x14ac:dyDescent="0.5">
      <c r="D1932" s="3" t="s">
        <v>73</v>
      </c>
    </row>
    <row r="1933" spans="4:4" ht="17.649999999999999" x14ac:dyDescent="0.5">
      <c r="D1933" s="3" t="s">
        <v>59</v>
      </c>
    </row>
    <row r="1934" spans="4:4" ht="17.649999999999999" x14ac:dyDescent="0.5">
      <c r="D1934" s="3" t="s">
        <v>97</v>
      </c>
    </row>
    <row r="1935" spans="4:4" ht="17.649999999999999" x14ac:dyDescent="0.5">
      <c r="D1935" s="3" t="s">
        <v>61</v>
      </c>
    </row>
    <row r="1936" spans="4:4" ht="17.649999999999999" x14ac:dyDescent="0.5">
      <c r="D1936" s="3" t="s">
        <v>288</v>
      </c>
    </row>
    <row r="1937" spans="4:4" ht="17.649999999999999" x14ac:dyDescent="0.5">
      <c r="D1937" s="3" t="s">
        <v>65</v>
      </c>
    </row>
    <row r="1938" spans="4:4" ht="17.649999999999999" x14ac:dyDescent="0.5">
      <c r="D1938" s="3" t="s">
        <v>53</v>
      </c>
    </row>
    <row r="1939" spans="4:4" ht="17.649999999999999" x14ac:dyDescent="0.5">
      <c r="D1939" s="3" t="s">
        <v>85</v>
      </c>
    </row>
    <row r="1940" spans="4:4" ht="17.649999999999999" x14ac:dyDescent="0.5">
      <c r="D1940" s="3" t="s">
        <v>258</v>
      </c>
    </row>
    <row r="1941" spans="4:4" ht="17.649999999999999" x14ac:dyDescent="0.5">
      <c r="D1941" s="3" t="s">
        <v>63</v>
      </c>
    </row>
    <row r="1942" spans="4:4" ht="17.649999999999999" x14ac:dyDescent="0.5">
      <c r="D1942" s="3" t="s">
        <v>80</v>
      </c>
    </row>
    <row r="1943" spans="4:4" ht="17.649999999999999" x14ac:dyDescent="0.5">
      <c r="D1943" s="3" t="s">
        <v>261</v>
      </c>
    </row>
    <row r="1944" spans="4:4" ht="17.649999999999999" x14ac:dyDescent="0.5">
      <c r="D1944" s="3" t="s">
        <v>90</v>
      </c>
    </row>
    <row r="1945" spans="4:4" ht="17.649999999999999" x14ac:dyDescent="0.5">
      <c r="D1945" s="3" t="s">
        <v>51</v>
      </c>
    </row>
    <row r="1946" spans="4:4" ht="17.649999999999999" x14ac:dyDescent="0.5">
      <c r="D1946" s="3" t="s">
        <v>41</v>
      </c>
    </row>
    <row r="1947" spans="4:4" ht="17.649999999999999" x14ac:dyDescent="0.5">
      <c r="D1947" s="3" t="s">
        <v>47</v>
      </c>
    </row>
    <row r="1948" spans="4:4" ht="17.649999999999999" x14ac:dyDescent="0.5">
      <c r="D1948" s="3" t="s">
        <v>98</v>
      </c>
    </row>
    <row r="1949" spans="4:4" ht="17.649999999999999" x14ac:dyDescent="0.5">
      <c r="D1949" s="3" t="s">
        <v>98</v>
      </c>
    </row>
    <row r="1950" spans="4:4" ht="17.649999999999999" x14ac:dyDescent="0.5">
      <c r="D1950" s="3" t="s">
        <v>121</v>
      </c>
    </row>
    <row r="1951" spans="4:4" ht="17.649999999999999" x14ac:dyDescent="0.5">
      <c r="D1951" s="3" t="s">
        <v>44</v>
      </c>
    </row>
    <row r="1952" spans="4:4" ht="17.649999999999999" x14ac:dyDescent="0.5">
      <c r="D1952" s="3" t="s">
        <v>95</v>
      </c>
    </row>
    <row r="1953" spans="4:4" ht="17.649999999999999" x14ac:dyDescent="0.5">
      <c r="D1953" s="3" t="s">
        <v>55</v>
      </c>
    </row>
    <row r="1954" spans="4:4" ht="17.649999999999999" x14ac:dyDescent="0.5">
      <c r="D1954" s="3" t="s">
        <v>62</v>
      </c>
    </row>
    <row r="1955" spans="4:4" ht="17.649999999999999" x14ac:dyDescent="0.5">
      <c r="D1955" s="3" t="s">
        <v>68</v>
      </c>
    </row>
    <row r="1956" spans="4:4" ht="17.649999999999999" x14ac:dyDescent="0.5">
      <c r="D1956" s="3" t="s">
        <v>56</v>
      </c>
    </row>
    <row r="1957" spans="4:4" ht="17.649999999999999" x14ac:dyDescent="0.5">
      <c r="D1957" s="3" t="s">
        <v>51</v>
      </c>
    </row>
    <row r="1958" spans="4:4" ht="17.649999999999999" x14ac:dyDescent="0.5">
      <c r="D1958" s="3" t="s">
        <v>111</v>
      </c>
    </row>
    <row r="1959" spans="4:4" ht="17.649999999999999" x14ac:dyDescent="0.5">
      <c r="D1959" s="3" t="s">
        <v>309</v>
      </c>
    </row>
    <row r="1960" spans="4:4" ht="17.649999999999999" x14ac:dyDescent="0.5">
      <c r="D1960" s="3" t="s">
        <v>67</v>
      </c>
    </row>
    <row r="1961" spans="4:4" ht="17.649999999999999" x14ac:dyDescent="0.5">
      <c r="D1961" s="3" t="s">
        <v>91</v>
      </c>
    </row>
    <row r="1962" spans="4:4" ht="17.649999999999999" x14ac:dyDescent="0.5">
      <c r="D1962" s="3" t="s">
        <v>59</v>
      </c>
    </row>
    <row r="1963" spans="4:4" ht="17.649999999999999" x14ac:dyDescent="0.5">
      <c r="D1963" s="3" t="s">
        <v>50</v>
      </c>
    </row>
    <row r="1964" spans="4:4" ht="17.649999999999999" x14ac:dyDescent="0.5">
      <c r="D1964" s="3" t="s">
        <v>310</v>
      </c>
    </row>
    <row r="1965" spans="4:4" ht="17.649999999999999" x14ac:dyDescent="0.5">
      <c r="D1965" s="3" t="s">
        <v>105</v>
      </c>
    </row>
    <row r="1966" spans="4:4" ht="17.649999999999999" x14ac:dyDescent="0.5">
      <c r="D1966" s="3" t="s">
        <v>135</v>
      </c>
    </row>
    <row r="1967" spans="4:4" ht="17.649999999999999" x14ac:dyDescent="0.5">
      <c r="D1967" s="3" t="s">
        <v>46</v>
      </c>
    </row>
    <row r="1968" spans="4:4" ht="17.649999999999999" x14ac:dyDescent="0.5">
      <c r="D1968" s="3" t="s">
        <v>49</v>
      </c>
    </row>
    <row r="1969" spans="4:4" ht="17.649999999999999" x14ac:dyDescent="0.5">
      <c r="D1969" s="3" t="s">
        <v>75</v>
      </c>
    </row>
    <row r="1970" spans="4:4" ht="17.649999999999999" x14ac:dyDescent="0.5">
      <c r="D1970" s="3" t="s">
        <v>58</v>
      </c>
    </row>
    <row r="1971" spans="4:4" ht="17.649999999999999" x14ac:dyDescent="0.5">
      <c r="D1971" s="3" t="s">
        <v>57</v>
      </c>
    </row>
    <row r="1972" spans="4:4" ht="17.649999999999999" x14ac:dyDescent="0.5">
      <c r="D1972" s="3" t="s">
        <v>114</v>
      </c>
    </row>
    <row r="1973" spans="4:4" ht="17.649999999999999" x14ac:dyDescent="0.5">
      <c r="D1973" s="3" t="s">
        <v>46</v>
      </c>
    </row>
    <row r="1974" spans="4:4" ht="17.649999999999999" x14ac:dyDescent="0.5">
      <c r="D1974" s="3" t="s">
        <v>63</v>
      </c>
    </row>
    <row r="1975" spans="4:4" ht="17.649999999999999" x14ac:dyDescent="0.5">
      <c r="D1975" s="3" t="s">
        <v>93</v>
      </c>
    </row>
    <row r="1976" spans="4:4" ht="17.649999999999999" x14ac:dyDescent="0.5">
      <c r="D1976" s="3" t="s">
        <v>244</v>
      </c>
    </row>
    <row r="1977" spans="4:4" ht="17.649999999999999" x14ac:dyDescent="0.5">
      <c r="D1977" s="3" t="s">
        <v>100</v>
      </c>
    </row>
    <row r="1978" spans="4:4" ht="17.649999999999999" x14ac:dyDescent="0.5">
      <c r="D1978" s="3" t="s">
        <v>68</v>
      </c>
    </row>
    <row r="1979" spans="4:4" ht="17.649999999999999" x14ac:dyDescent="0.5">
      <c r="D1979" s="3" t="s">
        <v>127</v>
      </c>
    </row>
    <row r="1980" spans="4:4" ht="17.649999999999999" x14ac:dyDescent="0.5">
      <c r="D1980" s="3" t="s">
        <v>291</v>
      </c>
    </row>
    <row r="1981" spans="4:4" ht="17.649999999999999" x14ac:dyDescent="0.5">
      <c r="D1981" s="3" t="s">
        <v>98</v>
      </c>
    </row>
    <row r="1982" spans="4:4" ht="17.649999999999999" x14ac:dyDescent="0.5">
      <c r="D1982" s="3" t="s">
        <v>90</v>
      </c>
    </row>
    <row r="1983" spans="4:4" ht="17.649999999999999" x14ac:dyDescent="0.5">
      <c r="D1983" s="3" t="s">
        <v>101</v>
      </c>
    </row>
    <row r="1984" spans="4:4" ht="17.649999999999999" x14ac:dyDescent="0.5">
      <c r="D1984" s="3" t="s">
        <v>247</v>
      </c>
    </row>
    <row r="1985" spans="4:4" ht="17.649999999999999" x14ac:dyDescent="0.5">
      <c r="D1985" s="3" t="s">
        <v>95</v>
      </c>
    </row>
    <row r="1986" spans="4:4" ht="17.649999999999999" x14ac:dyDescent="0.5">
      <c r="D1986" s="3" t="s">
        <v>51</v>
      </c>
    </row>
    <row r="1987" spans="4:4" ht="17.649999999999999" x14ac:dyDescent="0.5">
      <c r="D1987" s="3" t="s">
        <v>62</v>
      </c>
    </row>
    <row r="1988" spans="4:4" ht="17.649999999999999" x14ac:dyDescent="0.5">
      <c r="D1988" s="3" t="s">
        <v>66</v>
      </c>
    </row>
    <row r="1989" spans="4:4" ht="17.649999999999999" x14ac:dyDescent="0.5">
      <c r="D1989" s="3" t="s">
        <v>249</v>
      </c>
    </row>
    <row r="1990" spans="4:4" ht="17.649999999999999" x14ac:dyDescent="0.5">
      <c r="D1990" s="3" t="s">
        <v>96</v>
      </c>
    </row>
    <row r="1991" spans="4:4" ht="17.649999999999999" x14ac:dyDescent="0.5">
      <c r="D1991" s="3" t="s">
        <v>91</v>
      </c>
    </row>
    <row r="1992" spans="4:4" ht="17.649999999999999" x14ac:dyDescent="0.5">
      <c r="D1992" s="3" t="s">
        <v>289</v>
      </c>
    </row>
    <row r="1993" spans="4:4" ht="17.649999999999999" x14ac:dyDescent="0.5">
      <c r="D1993" s="3" t="s">
        <v>65</v>
      </c>
    </row>
    <row r="1994" spans="4:4" ht="17.649999999999999" x14ac:dyDescent="0.5">
      <c r="D1994" s="3" t="s">
        <v>55</v>
      </c>
    </row>
    <row r="1995" spans="4:4" ht="17.649999999999999" x14ac:dyDescent="0.5">
      <c r="D1995" s="3" t="s">
        <v>87</v>
      </c>
    </row>
    <row r="1996" spans="4:4" ht="17.649999999999999" x14ac:dyDescent="0.5">
      <c r="D1996" s="3" t="s">
        <v>248</v>
      </c>
    </row>
    <row r="1997" spans="4:4" ht="17.649999999999999" x14ac:dyDescent="0.5">
      <c r="D1997" s="3" t="s">
        <v>74</v>
      </c>
    </row>
    <row r="1998" spans="4:4" ht="17.649999999999999" x14ac:dyDescent="0.5">
      <c r="D1998" s="3" t="s">
        <v>264</v>
      </c>
    </row>
    <row r="1999" spans="4:4" ht="17.649999999999999" x14ac:dyDescent="0.5">
      <c r="D1999" s="3" t="s">
        <v>72</v>
      </c>
    </row>
    <row r="2000" spans="4:4" ht="17.649999999999999" x14ac:dyDescent="0.5">
      <c r="D2000" s="3" t="s">
        <v>63</v>
      </c>
    </row>
    <row r="2001" spans="4:4" ht="17.649999999999999" x14ac:dyDescent="0.5">
      <c r="D2001" s="3" t="s">
        <v>250</v>
      </c>
    </row>
    <row r="2002" spans="4:4" ht="17.649999999999999" x14ac:dyDescent="0.5">
      <c r="D2002" s="3" t="s">
        <v>98</v>
      </c>
    </row>
    <row r="2003" spans="4:4" ht="17.649999999999999" x14ac:dyDescent="0.5">
      <c r="D2003" s="3" t="s">
        <v>53</v>
      </c>
    </row>
    <row r="2004" spans="4:4" ht="17.649999999999999" x14ac:dyDescent="0.5">
      <c r="D2004" s="3" t="s">
        <v>112</v>
      </c>
    </row>
    <row r="2005" spans="4:4" ht="17.649999999999999" x14ac:dyDescent="0.5">
      <c r="D2005" s="3" t="s">
        <v>74</v>
      </c>
    </row>
    <row r="2006" spans="4:4" ht="17.649999999999999" x14ac:dyDescent="0.5">
      <c r="D2006" s="3" t="s">
        <v>48</v>
      </c>
    </row>
    <row r="2007" spans="4:4" ht="17.649999999999999" x14ac:dyDescent="0.5">
      <c r="D2007" s="3" t="s">
        <v>47</v>
      </c>
    </row>
    <row r="2008" spans="4:4" ht="17.649999999999999" x14ac:dyDescent="0.5">
      <c r="D2008" s="3" t="s">
        <v>115</v>
      </c>
    </row>
    <row r="2009" spans="4:4" ht="17.649999999999999" x14ac:dyDescent="0.5">
      <c r="D2009" s="3" t="s">
        <v>52</v>
      </c>
    </row>
    <row r="2010" spans="4:4" ht="17.649999999999999" x14ac:dyDescent="0.5">
      <c r="D2010" s="3" t="s">
        <v>47</v>
      </c>
    </row>
    <row r="2011" spans="4:4" ht="17.649999999999999" x14ac:dyDescent="0.5">
      <c r="D2011" s="3" t="s">
        <v>294</v>
      </c>
    </row>
    <row r="2012" spans="4:4" ht="17.649999999999999" x14ac:dyDescent="0.5">
      <c r="D2012" s="3" t="s">
        <v>67</v>
      </c>
    </row>
    <row r="2013" spans="4:4" ht="17.649999999999999" x14ac:dyDescent="0.5">
      <c r="D2013" s="3" t="s">
        <v>80</v>
      </c>
    </row>
    <row r="2014" spans="4:4" ht="17.649999999999999" x14ac:dyDescent="0.5">
      <c r="D2014" s="3" t="s">
        <v>87</v>
      </c>
    </row>
    <row r="2015" spans="4:4" ht="17.649999999999999" x14ac:dyDescent="0.5">
      <c r="D2015" s="3" t="s">
        <v>117</v>
      </c>
    </row>
    <row r="2016" spans="4:4" ht="17.649999999999999" x14ac:dyDescent="0.5">
      <c r="D2016" s="3" t="s">
        <v>54</v>
      </c>
    </row>
    <row r="2017" spans="4:4" ht="17.649999999999999" x14ac:dyDescent="0.5">
      <c r="D2017" s="3" t="s">
        <v>94</v>
      </c>
    </row>
    <row r="2018" spans="4:4" ht="17.649999999999999" x14ac:dyDescent="0.5">
      <c r="D2018" s="3" t="s">
        <v>49</v>
      </c>
    </row>
    <row r="2019" spans="4:4" ht="17.649999999999999" x14ac:dyDescent="0.5">
      <c r="D2019" s="3" t="s">
        <v>106</v>
      </c>
    </row>
    <row r="2020" spans="4:4" ht="17.649999999999999" x14ac:dyDescent="0.5">
      <c r="D2020" s="3" t="s">
        <v>48</v>
      </c>
    </row>
    <row r="2021" spans="4:4" ht="17.649999999999999" x14ac:dyDescent="0.5">
      <c r="D2021" s="3" t="s">
        <v>83</v>
      </c>
    </row>
    <row r="2022" spans="4:4" ht="17.649999999999999" x14ac:dyDescent="0.5">
      <c r="D2022" s="3" t="s">
        <v>46</v>
      </c>
    </row>
    <row r="2023" spans="4:4" ht="17.649999999999999" x14ac:dyDescent="0.5">
      <c r="D2023" s="3" t="s">
        <v>131</v>
      </c>
    </row>
    <row r="2024" spans="4:4" ht="17.649999999999999" x14ac:dyDescent="0.5">
      <c r="D2024" s="3" t="s">
        <v>53</v>
      </c>
    </row>
    <row r="2025" spans="4:4" ht="17.649999999999999" x14ac:dyDescent="0.5">
      <c r="D2025" s="3" t="s">
        <v>87</v>
      </c>
    </row>
    <row r="2026" spans="4:4" ht="17.649999999999999" x14ac:dyDescent="0.5">
      <c r="D2026" s="3" t="s">
        <v>66</v>
      </c>
    </row>
    <row r="2027" spans="4:4" ht="17.649999999999999" x14ac:dyDescent="0.5">
      <c r="D2027" s="3" t="s">
        <v>60</v>
      </c>
    </row>
    <row r="2028" spans="4:4" ht="17.649999999999999" x14ac:dyDescent="0.5">
      <c r="D2028" s="3" t="s">
        <v>107</v>
      </c>
    </row>
    <row r="2029" spans="4:4" ht="17.649999999999999" x14ac:dyDescent="0.5">
      <c r="D2029" s="3" t="s">
        <v>91</v>
      </c>
    </row>
    <row r="2030" spans="4:4" ht="17.649999999999999" x14ac:dyDescent="0.5">
      <c r="D2030" s="3" t="s">
        <v>134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83</v>
      </c>
    </row>
    <row r="2033" spans="4:4" ht="17.649999999999999" x14ac:dyDescent="0.5">
      <c r="D2033" s="3" t="s">
        <v>292</v>
      </c>
    </row>
    <row r="2034" spans="4:4" ht="17.649999999999999" x14ac:dyDescent="0.5">
      <c r="D2034" s="3" t="s">
        <v>114</v>
      </c>
    </row>
    <row r="2035" spans="4:4" ht="17.649999999999999" x14ac:dyDescent="0.5">
      <c r="D2035" s="3" t="s">
        <v>171</v>
      </c>
    </row>
    <row r="2036" spans="4:4" ht="17.649999999999999" x14ac:dyDescent="0.5">
      <c r="D2036" s="3" t="s">
        <v>68</v>
      </c>
    </row>
    <row r="2037" spans="4:4" ht="17.649999999999999" x14ac:dyDescent="0.5">
      <c r="D2037" s="3" t="s">
        <v>77</v>
      </c>
    </row>
    <row r="2038" spans="4:4" ht="17.649999999999999" x14ac:dyDescent="0.5">
      <c r="D2038" s="3" t="s">
        <v>56</v>
      </c>
    </row>
    <row r="2039" spans="4:4" ht="17.649999999999999" x14ac:dyDescent="0.5">
      <c r="D2039" s="3" t="s">
        <v>51</v>
      </c>
    </row>
    <row r="2040" spans="4:4" ht="17.649999999999999" x14ac:dyDescent="0.5">
      <c r="D2040" s="3" t="s">
        <v>67</v>
      </c>
    </row>
    <row r="2041" spans="4:4" ht="17.649999999999999" x14ac:dyDescent="0.5">
      <c r="D2041" s="3" t="s">
        <v>77</v>
      </c>
    </row>
    <row r="2042" spans="4:4" ht="17.649999999999999" x14ac:dyDescent="0.5">
      <c r="D2042" s="3" t="s">
        <v>74</v>
      </c>
    </row>
    <row r="2043" spans="4:4" ht="17.649999999999999" x14ac:dyDescent="0.5">
      <c r="D2043" s="3" t="s">
        <v>85</v>
      </c>
    </row>
    <row r="2044" spans="4:4" ht="17.649999999999999" x14ac:dyDescent="0.5">
      <c r="D2044" s="3" t="s">
        <v>51</v>
      </c>
    </row>
    <row r="2045" spans="4:4" ht="17.649999999999999" x14ac:dyDescent="0.5">
      <c r="D2045" s="3" t="s">
        <v>75</v>
      </c>
    </row>
    <row r="2046" spans="4:4" ht="17.649999999999999" x14ac:dyDescent="0.5">
      <c r="D2046" s="3" t="s">
        <v>50</v>
      </c>
    </row>
    <row r="2047" spans="4:4" ht="17.649999999999999" x14ac:dyDescent="0.5">
      <c r="D2047" s="3" t="s">
        <v>113</v>
      </c>
    </row>
    <row r="2048" spans="4:4" ht="17.649999999999999" x14ac:dyDescent="0.5">
      <c r="D2048" s="3" t="s">
        <v>65</v>
      </c>
    </row>
    <row r="2049" spans="4:4" ht="17.649999999999999" x14ac:dyDescent="0.5">
      <c r="D2049" s="3" t="s">
        <v>101</v>
      </c>
    </row>
    <row r="2050" spans="4:4" ht="17.649999999999999" x14ac:dyDescent="0.5">
      <c r="D2050" s="3" t="s">
        <v>85</v>
      </c>
    </row>
    <row r="2051" spans="4:4" ht="17.649999999999999" x14ac:dyDescent="0.5">
      <c r="D2051" s="3" t="s">
        <v>45</v>
      </c>
    </row>
    <row r="2052" spans="4:4" ht="17.649999999999999" x14ac:dyDescent="0.5">
      <c r="D2052" s="3" t="s">
        <v>172</v>
      </c>
    </row>
    <row r="2053" spans="4:4" ht="17.649999999999999" x14ac:dyDescent="0.5">
      <c r="D2053" s="3" t="s">
        <v>83</v>
      </c>
    </row>
    <row r="2054" spans="4:4" ht="17.649999999999999" x14ac:dyDescent="0.5">
      <c r="D2054" s="3" t="s">
        <v>94</v>
      </c>
    </row>
    <row r="2055" spans="4:4" ht="17.649999999999999" x14ac:dyDescent="0.5">
      <c r="D2055" s="3" t="s">
        <v>173</v>
      </c>
    </row>
    <row r="2056" spans="4:4" ht="17.649999999999999" x14ac:dyDescent="0.5">
      <c r="D2056" s="3" t="s">
        <v>74</v>
      </c>
    </row>
    <row r="2057" spans="4:4" ht="17.649999999999999" x14ac:dyDescent="0.5">
      <c r="D2057" s="3" t="s">
        <v>83</v>
      </c>
    </row>
    <row r="2058" spans="4:4" ht="17.649999999999999" x14ac:dyDescent="0.5">
      <c r="D2058" s="3" t="s">
        <v>79</v>
      </c>
    </row>
    <row r="2059" spans="4:4" ht="17.649999999999999" x14ac:dyDescent="0.5">
      <c r="D2059" s="3" t="s">
        <v>265</v>
      </c>
    </row>
    <row r="2060" spans="4:4" ht="17.649999999999999" x14ac:dyDescent="0.5">
      <c r="D2060" s="3" t="s">
        <v>61</v>
      </c>
    </row>
    <row r="2061" spans="4:4" ht="17.649999999999999" x14ac:dyDescent="0.5">
      <c r="D2061" s="3" t="s">
        <v>44</v>
      </c>
    </row>
    <row r="2062" spans="4:4" ht="17.649999999999999" x14ac:dyDescent="0.5">
      <c r="D2062" s="3" t="s">
        <v>94</v>
      </c>
    </row>
    <row r="2063" spans="4:4" ht="17.649999999999999" x14ac:dyDescent="0.5">
      <c r="D2063" s="3" t="s">
        <v>127</v>
      </c>
    </row>
    <row r="2064" spans="4:4" ht="17.649999999999999" x14ac:dyDescent="0.5">
      <c r="D2064" s="3" t="s">
        <v>175</v>
      </c>
    </row>
    <row r="2065" spans="4:4" ht="17.649999999999999" x14ac:dyDescent="0.5">
      <c r="D2065" s="3" t="s">
        <v>70</v>
      </c>
    </row>
    <row r="2066" spans="4:4" ht="17.649999999999999" x14ac:dyDescent="0.5">
      <c r="D2066" s="3" t="s">
        <v>46</v>
      </c>
    </row>
    <row r="2067" spans="4:4" ht="17.649999999999999" x14ac:dyDescent="0.5">
      <c r="D2067" s="3" t="s">
        <v>311</v>
      </c>
    </row>
    <row r="2068" spans="4:4" ht="17.649999999999999" x14ac:dyDescent="0.5">
      <c r="D2068" s="3" t="s">
        <v>41</v>
      </c>
    </row>
    <row r="2069" spans="4:4" ht="17.649999999999999" x14ac:dyDescent="0.5">
      <c r="D2069" s="3" t="s">
        <v>69</v>
      </c>
    </row>
    <row r="2070" spans="4:4" ht="17.649999999999999" x14ac:dyDescent="0.5">
      <c r="D2070" s="3" t="s">
        <v>185</v>
      </c>
    </row>
    <row r="2071" spans="4:4" ht="17.649999999999999" x14ac:dyDescent="0.5">
      <c r="D2071" s="3" t="s">
        <v>49</v>
      </c>
    </row>
    <row r="2072" spans="4:4" ht="17.649999999999999" x14ac:dyDescent="0.5">
      <c r="D2072" s="3" t="s">
        <v>63</v>
      </c>
    </row>
    <row r="2073" spans="4:4" ht="17.649999999999999" x14ac:dyDescent="0.5">
      <c r="D2073" s="3" t="s">
        <v>312</v>
      </c>
    </row>
    <row r="2074" spans="4:4" ht="17.649999999999999" x14ac:dyDescent="0.5">
      <c r="D2074" s="3" t="s">
        <v>59</v>
      </c>
    </row>
    <row r="2075" spans="4:4" ht="17.649999999999999" x14ac:dyDescent="0.5">
      <c r="D2075" s="3" t="s">
        <v>187</v>
      </c>
    </row>
    <row r="2076" spans="4:4" ht="17.649999999999999" x14ac:dyDescent="0.5">
      <c r="D2076" s="3" t="s">
        <v>66</v>
      </c>
    </row>
    <row r="2077" spans="4:4" ht="17.649999999999999" x14ac:dyDescent="0.5">
      <c r="D2077" s="3" t="s">
        <v>73</v>
      </c>
    </row>
    <row r="2078" spans="4:4" ht="17.649999999999999" x14ac:dyDescent="0.5">
      <c r="D2078" s="3" t="s">
        <v>50</v>
      </c>
    </row>
    <row r="2079" spans="4:4" ht="17.649999999999999" x14ac:dyDescent="0.5">
      <c r="D2079" s="3" t="s">
        <v>64</v>
      </c>
    </row>
    <row r="2080" spans="4:4" ht="17.649999999999999" x14ac:dyDescent="0.5">
      <c r="D2080" s="3" t="s">
        <v>57</v>
      </c>
    </row>
    <row r="2081" spans="4:4" ht="17.649999999999999" x14ac:dyDescent="0.5">
      <c r="D2081" s="3" t="s">
        <v>113</v>
      </c>
    </row>
    <row r="2082" spans="4:4" ht="17.649999999999999" x14ac:dyDescent="0.5">
      <c r="D2082" s="3" t="s">
        <v>61</v>
      </c>
    </row>
    <row r="2083" spans="4:4" ht="17.649999999999999" x14ac:dyDescent="0.5">
      <c r="D2083" s="3" t="s">
        <v>66</v>
      </c>
    </row>
    <row r="2084" spans="4:4" ht="17.649999999999999" x14ac:dyDescent="0.5">
      <c r="D2084" s="3" t="s">
        <v>48</v>
      </c>
    </row>
    <row r="2085" spans="4:4" ht="17.649999999999999" x14ac:dyDescent="0.5">
      <c r="D2085" s="3" t="s">
        <v>49</v>
      </c>
    </row>
    <row r="2086" spans="4:4" ht="17.649999999999999" x14ac:dyDescent="0.5">
      <c r="D2086" s="3" t="s">
        <v>103</v>
      </c>
    </row>
    <row r="2087" spans="4:4" ht="17.649999999999999" x14ac:dyDescent="0.5">
      <c r="D2087" s="3" t="s">
        <v>41</v>
      </c>
    </row>
    <row r="2088" spans="4:4" ht="17.649999999999999" x14ac:dyDescent="0.5">
      <c r="D2088" s="3" t="s">
        <v>49</v>
      </c>
    </row>
    <row r="2089" spans="4:4" ht="17.649999999999999" x14ac:dyDescent="0.5">
      <c r="D2089" s="3" t="s">
        <v>96</v>
      </c>
    </row>
    <row r="2090" spans="4:4" ht="17.649999999999999" x14ac:dyDescent="0.5">
      <c r="D2090" s="3" t="s">
        <v>93</v>
      </c>
    </row>
    <row r="2091" spans="4:4" ht="17.649999999999999" x14ac:dyDescent="0.5">
      <c r="D2091" s="3" t="s">
        <v>121</v>
      </c>
    </row>
    <row r="2092" spans="4:4" ht="17.649999999999999" x14ac:dyDescent="0.5">
      <c r="D2092" s="3" t="s">
        <v>266</v>
      </c>
    </row>
    <row r="2093" spans="4:4" ht="17.649999999999999" x14ac:dyDescent="0.5">
      <c r="D2093" s="3" t="s">
        <v>115</v>
      </c>
    </row>
    <row r="2094" spans="4:4" ht="17.649999999999999" x14ac:dyDescent="0.5">
      <c r="D2094" s="3" t="s">
        <v>94</v>
      </c>
    </row>
    <row r="2095" spans="4:4" ht="17.649999999999999" x14ac:dyDescent="0.5">
      <c r="D2095" s="3" t="s">
        <v>41</v>
      </c>
    </row>
    <row r="2096" spans="4:4" ht="17.649999999999999" x14ac:dyDescent="0.5">
      <c r="D2096" s="3" t="s">
        <v>136</v>
      </c>
    </row>
    <row r="2097" spans="4:4" ht="17.649999999999999" x14ac:dyDescent="0.5">
      <c r="D2097" s="3" t="s">
        <v>57</v>
      </c>
    </row>
    <row r="2098" spans="4:4" ht="17.649999999999999" x14ac:dyDescent="0.5">
      <c r="D2098" s="3" t="s">
        <v>62</v>
      </c>
    </row>
    <row r="2099" spans="4:4" ht="17.649999999999999" x14ac:dyDescent="0.5">
      <c r="D2099" s="3" t="s">
        <v>75</v>
      </c>
    </row>
    <row r="2100" spans="4:4" ht="17.649999999999999" x14ac:dyDescent="0.5">
      <c r="D2100" s="3" t="s">
        <v>101</v>
      </c>
    </row>
    <row r="2101" spans="4:4" ht="17.649999999999999" x14ac:dyDescent="0.5">
      <c r="D2101" s="3" t="s">
        <v>113</v>
      </c>
    </row>
    <row r="2102" spans="4:4" ht="17.649999999999999" x14ac:dyDescent="0.5">
      <c r="D2102" s="3" t="s">
        <v>116</v>
      </c>
    </row>
    <row r="2103" spans="4:4" ht="17.649999999999999" x14ac:dyDescent="0.5">
      <c r="D2103" s="3" t="s">
        <v>64</v>
      </c>
    </row>
    <row r="2104" spans="4:4" ht="17.649999999999999" x14ac:dyDescent="0.5">
      <c r="D2104" s="3" t="s">
        <v>67</v>
      </c>
    </row>
    <row r="2105" spans="4:4" ht="17.649999999999999" x14ac:dyDescent="0.5">
      <c r="D2105" s="3" t="s">
        <v>98</v>
      </c>
    </row>
    <row r="2106" spans="4:4" ht="17.649999999999999" x14ac:dyDescent="0.5">
      <c r="D2106" s="3" t="s">
        <v>51</v>
      </c>
    </row>
    <row r="2107" spans="4:4" ht="17.649999999999999" x14ac:dyDescent="0.5">
      <c r="D2107" s="3" t="s">
        <v>65</v>
      </c>
    </row>
    <row r="2108" spans="4:4" ht="17.649999999999999" x14ac:dyDescent="0.5">
      <c r="D2108" s="3" t="s">
        <v>133</v>
      </c>
    </row>
    <row r="2109" spans="4:4" ht="17.649999999999999" x14ac:dyDescent="0.5">
      <c r="D2109" s="3" t="s">
        <v>80</v>
      </c>
    </row>
    <row r="2110" spans="4:4" ht="17.649999999999999" x14ac:dyDescent="0.5">
      <c r="D2110" s="3" t="s">
        <v>65</v>
      </c>
    </row>
    <row r="2111" spans="4:4" ht="17.649999999999999" x14ac:dyDescent="0.5">
      <c r="D2111" s="3" t="s">
        <v>120</v>
      </c>
    </row>
    <row r="2112" spans="4:4" ht="17.649999999999999" x14ac:dyDescent="0.5">
      <c r="D2112" s="3" t="s">
        <v>46</v>
      </c>
    </row>
    <row r="2113" spans="4:4" ht="17.649999999999999" x14ac:dyDescent="0.5">
      <c r="D2113" s="3" t="s">
        <v>64</v>
      </c>
    </row>
    <row r="2114" spans="4:4" ht="17.649999999999999" x14ac:dyDescent="0.5">
      <c r="D2114" s="3" t="s">
        <v>57</v>
      </c>
    </row>
    <row r="2115" spans="4:4" ht="17.649999999999999" x14ac:dyDescent="0.5">
      <c r="D2115" s="3" t="s">
        <v>90</v>
      </c>
    </row>
    <row r="2116" spans="4:4" ht="17.649999999999999" x14ac:dyDescent="0.5">
      <c r="D2116" s="3" t="s">
        <v>47</v>
      </c>
    </row>
    <row r="2117" spans="4:4" ht="17.649999999999999" x14ac:dyDescent="0.5">
      <c r="D2117" s="3" t="s">
        <v>60</v>
      </c>
    </row>
    <row r="2118" spans="4:4" ht="17.649999999999999" x14ac:dyDescent="0.5">
      <c r="D2118" s="3" t="s">
        <v>51</v>
      </c>
    </row>
    <row r="2119" spans="4:4" ht="17.649999999999999" x14ac:dyDescent="0.5">
      <c r="D2119" s="3" t="s">
        <v>97</v>
      </c>
    </row>
    <row r="2120" spans="4:4" ht="17.649999999999999" x14ac:dyDescent="0.5">
      <c r="D2120" s="3" t="s">
        <v>117</v>
      </c>
    </row>
    <row r="2121" spans="4:4" ht="17.649999999999999" x14ac:dyDescent="0.5">
      <c r="D2121" s="3" t="s">
        <v>85</v>
      </c>
    </row>
    <row r="2122" spans="4:4" ht="17.649999999999999" x14ac:dyDescent="0.5">
      <c r="D2122" s="3" t="s">
        <v>87</v>
      </c>
    </row>
    <row r="2123" spans="4:4" ht="17.649999999999999" x14ac:dyDescent="0.5">
      <c r="D2123" s="3" t="s">
        <v>67</v>
      </c>
    </row>
    <row r="2124" spans="4:4" ht="17.649999999999999" x14ac:dyDescent="0.5">
      <c r="D2124" s="3" t="s">
        <v>112</v>
      </c>
    </row>
    <row r="2125" spans="4:4" ht="17.649999999999999" x14ac:dyDescent="0.5">
      <c r="D2125" s="3" t="s">
        <v>47</v>
      </c>
    </row>
    <row r="2126" spans="4:4" ht="17.649999999999999" x14ac:dyDescent="0.5">
      <c r="D2126" s="3" t="s">
        <v>83</v>
      </c>
    </row>
    <row r="2127" spans="4:4" ht="17.649999999999999" x14ac:dyDescent="0.5">
      <c r="D2127" s="3" t="s">
        <v>74</v>
      </c>
    </row>
    <row r="2128" spans="4:4" ht="17.649999999999999" x14ac:dyDescent="0.5">
      <c r="D2128" s="3" t="s">
        <v>73</v>
      </c>
    </row>
    <row r="2129" spans="4:4" ht="17.649999999999999" x14ac:dyDescent="0.5">
      <c r="D2129" s="3" t="s">
        <v>52</v>
      </c>
    </row>
    <row r="2130" spans="4:4" ht="17.649999999999999" x14ac:dyDescent="0.5">
      <c r="D2130" s="3" t="s">
        <v>59</v>
      </c>
    </row>
    <row r="2131" spans="4:4" ht="17.649999999999999" x14ac:dyDescent="0.5">
      <c r="D2131" s="3" t="s">
        <v>85</v>
      </c>
    </row>
    <row r="2132" spans="4:4" ht="17.649999999999999" x14ac:dyDescent="0.5">
      <c r="D2132" s="3" t="s">
        <v>104</v>
      </c>
    </row>
    <row r="2133" spans="4:4" ht="17.649999999999999" x14ac:dyDescent="0.5">
      <c r="D2133" s="3" t="s">
        <v>74</v>
      </c>
    </row>
    <row r="2134" spans="4:4" ht="17.649999999999999" x14ac:dyDescent="0.5">
      <c r="D2134" s="3" t="s">
        <v>58</v>
      </c>
    </row>
    <row r="2135" spans="4:4" ht="17.649999999999999" x14ac:dyDescent="0.5">
      <c r="D2135" s="3" t="s">
        <v>134</v>
      </c>
    </row>
    <row r="2136" spans="4:4" ht="17.649999999999999" x14ac:dyDescent="0.5">
      <c r="D2136" s="3" t="s">
        <v>98</v>
      </c>
    </row>
    <row r="2137" spans="4:4" ht="17.649999999999999" x14ac:dyDescent="0.5">
      <c r="D2137" s="3" t="s">
        <v>46</v>
      </c>
    </row>
    <row r="2138" spans="4:4" ht="17.649999999999999" x14ac:dyDescent="0.5">
      <c r="D2138" s="3" t="s">
        <v>268</v>
      </c>
    </row>
    <row r="2139" spans="4:4" ht="17.649999999999999" x14ac:dyDescent="0.5">
      <c r="D2139" s="3" t="s">
        <v>117</v>
      </c>
    </row>
    <row r="2140" spans="4:4" ht="17.649999999999999" x14ac:dyDescent="0.5">
      <c r="D2140" s="3" t="s">
        <v>55</v>
      </c>
    </row>
    <row r="2141" spans="4:4" ht="17.649999999999999" x14ac:dyDescent="0.5">
      <c r="D2141" s="3" t="s">
        <v>47</v>
      </c>
    </row>
    <row r="2142" spans="4:4" ht="17.649999999999999" x14ac:dyDescent="0.5">
      <c r="D2142" s="3" t="s">
        <v>112</v>
      </c>
    </row>
    <row r="2143" spans="4:4" ht="17.649999999999999" x14ac:dyDescent="0.5">
      <c r="D2143" s="3" t="s">
        <v>74</v>
      </c>
    </row>
    <row r="2144" spans="4:4" ht="17.649999999999999" x14ac:dyDescent="0.5">
      <c r="D2144" s="3" t="s">
        <v>47</v>
      </c>
    </row>
    <row r="2145" spans="4:4" ht="17.649999999999999" x14ac:dyDescent="0.5">
      <c r="D2145" s="3" t="s">
        <v>104</v>
      </c>
    </row>
    <row r="2146" spans="4:4" ht="17.649999999999999" x14ac:dyDescent="0.5">
      <c r="D2146" s="3" t="s">
        <v>46</v>
      </c>
    </row>
    <row r="2147" spans="4:4" ht="17.649999999999999" x14ac:dyDescent="0.5">
      <c r="D2147" s="3" t="s">
        <v>83</v>
      </c>
    </row>
    <row r="2148" spans="4:4" ht="17.649999999999999" x14ac:dyDescent="0.5">
      <c r="D2148" s="3" t="s">
        <v>45</v>
      </c>
    </row>
    <row r="2149" spans="4:4" ht="17.649999999999999" x14ac:dyDescent="0.5">
      <c r="D2149" s="3" t="s">
        <v>99</v>
      </c>
    </row>
    <row r="2150" spans="4:4" ht="17.649999999999999" x14ac:dyDescent="0.5">
      <c r="D2150" s="3" t="s">
        <v>63</v>
      </c>
    </row>
    <row r="2151" spans="4:4" ht="17.649999999999999" x14ac:dyDescent="0.5">
      <c r="D2151" s="3" t="s">
        <v>105</v>
      </c>
    </row>
    <row r="2152" spans="4:4" ht="17.649999999999999" x14ac:dyDescent="0.5">
      <c r="D2152" s="3" t="s">
        <v>98</v>
      </c>
    </row>
    <row r="2153" spans="4:4" ht="17.649999999999999" x14ac:dyDescent="0.5">
      <c r="D2153" s="3" t="s">
        <v>260</v>
      </c>
    </row>
    <row r="2154" spans="4:4" ht="17.649999999999999" x14ac:dyDescent="0.5">
      <c r="D2154" s="3" t="s">
        <v>115</v>
      </c>
    </row>
    <row r="2155" spans="4:4" ht="17.649999999999999" x14ac:dyDescent="0.5">
      <c r="D2155" s="3" t="s">
        <v>83</v>
      </c>
    </row>
    <row r="2156" spans="4:4" ht="17.649999999999999" x14ac:dyDescent="0.5">
      <c r="D2156" s="3" t="s">
        <v>112</v>
      </c>
    </row>
    <row r="2157" spans="4:4" ht="17.649999999999999" x14ac:dyDescent="0.5">
      <c r="D2157" s="3" t="s">
        <v>118</v>
      </c>
    </row>
    <row r="2158" spans="4:4" ht="17.649999999999999" x14ac:dyDescent="0.5">
      <c r="D2158" s="3" t="s">
        <v>188</v>
      </c>
    </row>
    <row r="2159" spans="4:4" ht="17.649999999999999" x14ac:dyDescent="0.5">
      <c r="D2159" s="3" t="s">
        <v>298</v>
      </c>
    </row>
    <row r="2160" spans="4:4" ht="17.649999999999999" x14ac:dyDescent="0.5">
      <c r="D2160" s="3" t="s">
        <v>42</v>
      </c>
    </row>
    <row r="2161" spans="4:4" ht="17.649999999999999" x14ac:dyDescent="0.5">
      <c r="D2161" s="3" t="s">
        <v>132</v>
      </c>
    </row>
    <row r="2162" spans="4:4" ht="17.649999999999999" x14ac:dyDescent="0.5">
      <c r="D2162" s="3" t="s">
        <v>46</v>
      </c>
    </row>
    <row r="2163" spans="4:4" ht="17.649999999999999" x14ac:dyDescent="0.5">
      <c r="D2163" s="3" t="s">
        <v>103</v>
      </c>
    </row>
    <row r="2164" spans="4:4" ht="17.649999999999999" x14ac:dyDescent="0.5">
      <c r="D2164" s="3" t="s">
        <v>56</v>
      </c>
    </row>
    <row r="2165" spans="4:4" ht="17.649999999999999" x14ac:dyDescent="0.5">
      <c r="D2165" s="3" t="s">
        <v>53</v>
      </c>
    </row>
    <row r="2166" spans="4:4" ht="17.649999999999999" x14ac:dyDescent="0.5">
      <c r="D2166" s="3" t="s">
        <v>98</v>
      </c>
    </row>
    <row r="2167" spans="4:4" ht="17.649999999999999" x14ac:dyDescent="0.5">
      <c r="D2167" s="3" t="s">
        <v>61</v>
      </c>
    </row>
    <row r="2168" spans="4:4" ht="17.649999999999999" x14ac:dyDescent="0.5">
      <c r="D2168" s="3" t="s">
        <v>107</v>
      </c>
    </row>
    <row r="2169" spans="4:4" ht="17.649999999999999" x14ac:dyDescent="0.5">
      <c r="D2169" s="3" t="s">
        <v>67</v>
      </c>
    </row>
    <row r="2170" spans="4:4" ht="17.649999999999999" x14ac:dyDescent="0.5">
      <c r="D2170" s="3" t="s">
        <v>73</v>
      </c>
    </row>
    <row r="2171" spans="4:4" ht="17.649999999999999" x14ac:dyDescent="0.5">
      <c r="D2171" s="3" t="s">
        <v>129</v>
      </c>
    </row>
    <row r="2172" spans="4:4" ht="17.649999999999999" x14ac:dyDescent="0.5">
      <c r="D2172" s="3" t="s">
        <v>180</v>
      </c>
    </row>
    <row r="2173" spans="4:4" ht="17.649999999999999" x14ac:dyDescent="0.5">
      <c r="D2173" s="3" t="s">
        <v>108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313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331</v>
      </c>
      <c r="G13" s="2">
        <v>335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333</v>
      </c>
      <c r="G23" s="2">
        <v>333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47</v>
      </c>
      <c r="F31" s="2">
        <v>41</v>
      </c>
      <c r="G31" s="2">
        <v>44</v>
      </c>
      <c r="H31" s="2">
        <v>39</v>
      </c>
      <c r="I31" s="2">
        <v>40</v>
      </c>
      <c r="J31" s="2">
        <v>42</v>
      </c>
      <c r="K31" s="2">
        <v>46</v>
      </c>
      <c r="L31" s="2">
        <v>41</v>
      </c>
      <c r="M31" s="2">
        <v>34</v>
      </c>
      <c r="N31" s="2">
        <v>46</v>
      </c>
      <c r="O31" s="2">
        <v>46</v>
      </c>
      <c r="P31" s="2">
        <v>40</v>
      </c>
    </row>
    <row r="32" spans="4:16" x14ac:dyDescent="0.5">
      <c r="D32" s="2">
        <v>2</v>
      </c>
      <c r="E32" s="2">
        <v>37</v>
      </c>
      <c r="F32" s="2">
        <v>42</v>
      </c>
      <c r="G32" s="2">
        <v>43</v>
      </c>
      <c r="H32" s="2">
        <v>40</v>
      </c>
      <c r="I32" s="2">
        <v>39</v>
      </c>
      <c r="J32" s="2">
        <v>46</v>
      </c>
      <c r="K32" s="2">
        <v>40</v>
      </c>
      <c r="L32" s="2">
        <v>37</v>
      </c>
      <c r="M32" s="2">
        <v>47</v>
      </c>
      <c r="N32" s="2">
        <v>42</v>
      </c>
      <c r="O32" s="2">
        <v>38</v>
      </c>
      <c r="P32" s="2">
        <v>43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36</v>
      </c>
      <c r="F37" s="2">
        <v>42</v>
      </c>
      <c r="G37" s="2">
        <v>40</v>
      </c>
      <c r="H37" s="2">
        <v>44</v>
      </c>
      <c r="I37" s="2">
        <v>44</v>
      </c>
      <c r="J37" s="2">
        <v>41</v>
      </c>
      <c r="K37" s="2">
        <v>37</v>
      </c>
      <c r="L37" s="2">
        <v>42</v>
      </c>
      <c r="M37" s="2">
        <v>50</v>
      </c>
      <c r="N37" s="2">
        <v>37</v>
      </c>
      <c r="O37" s="2">
        <v>37</v>
      </c>
      <c r="P37" s="2">
        <v>44</v>
      </c>
    </row>
    <row r="38" spans="4:16" x14ac:dyDescent="0.5">
      <c r="D38" s="2">
        <v>2</v>
      </c>
      <c r="E38" s="2">
        <v>46</v>
      </c>
      <c r="F38" s="2">
        <v>41</v>
      </c>
      <c r="G38" s="2">
        <v>41</v>
      </c>
      <c r="H38" s="2">
        <v>43</v>
      </c>
      <c r="I38" s="2">
        <v>45</v>
      </c>
      <c r="J38" s="2">
        <v>37</v>
      </c>
      <c r="K38" s="2">
        <v>43</v>
      </c>
      <c r="L38" s="2">
        <v>46</v>
      </c>
      <c r="M38" s="2">
        <v>37</v>
      </c>
      <c r="N38" s="2">
        <v>41</v>
      </c>
      <c r="O38" s="2">
        <v>45</v>
      </c>
      <c r="P38" s="2">
        <v>41</v>
      </c>
    </row>
    <row r="39" spans="4:16" ht="17.649999999999999" x14ac:dyDescent="0.5">
      <c r="D39" s="3" t="s">
        <v>137</v>
      </c>
      <c r="E39">
        <f t="shared" ref="E39:P39" si="0">E31-E37</f>
        <v>11</v>
      </c>
      <c r="F39">
        <f t="shared" si="0"/>
        <v>-1</v>
      </c>
      <c r="G39">
        <f t="shared" si="0"/>
        <v>4</v>
      </c>
      <c r="H39">
        <f t="shared" si="0"/>
        <v>-5</v>
      </c>
      <c r="I39">
        <f t="shared" si="0"/>
        <v>-4</v>
      </c>
      <c r="J39">
        <f t="shared" si="0"/>
        <v>1</v>
      </c>
      <c r="K39">
        <f t="shared" si="0"/>
        <v>9</v>
      </c>
      <c r="L39">
        <f t="shared" si="0"/>
        <v>-1</v>
      </c>
      <c r="M39">
        <f t="shared" si="0"/>
        <v>-16</v>
      </c>
      <c r="N39">
        <f t="shared" si="0"/>
        <v>9</v>
      </c>
      <c r="O39">
        <f t="shared" si="0"/>
        <v>9</v>
      </c>
      <c r="P39">
        <f t="shared" si="0"/>
        <v>-4</v>
      </c>
    </row>
    <row r="40" spans="4:16" ht="17.649999999999999" x14ac:dyDescent="0.5">
      <c r="D40" s="3" t="s">
        <v>138</v>
      </c>
      <c r="E40">
        <f t="shared" ref="E40:P40" si="1">E32-E38</f>
        <v>-9</v>
      </c>
      <c r="F40">
        <f t="shared" si="1"/>
        <v>1</v>
      </c>
      <c r="G40">
        <f t="shared" si="1"/>
        <v>2</v>
      </c>
      <c r="H40">
        <f t="shared" si="1"/>
        <v>-3</v>
      </c>
      <c r="I40">
        <f t="shared" si="1"/>
        <v>-6</v>
      </c>
      <c r="J40">
        <f t="shared" si="1"/>
        <v>9</v>
      </c>
      <c r="K40">
        <f t="shared" si="1"/>
        <v>-3</v>
      </c>
      <c r="L40">
        <f t="shared" si="1"/>
        <v>-9</v>
      </c>
      <c r="M40">
        <f t="shared" si="1"/>
        <v>10</v>
      </c>
      <c r="N40">
        <f t="shared" si="1"/>
        <v>1</v>
      </c>
      <c r="O40">
        <f t="shared" si="1"/>
        <v>-7</v>
      </c>
      <c r="P40">
        <f t="shared" si="1"/>
        <v>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84</v>
      </c>
      <c r="F44" s="2">
        <v>83</v>
      </c>
      <c r="G44" s="2">
        <v>87</v>
      </c>
      <c r="H44" s="2">
        <v>79</v>
      </c>
      <c r="I44" s="2">
        <v>79</v>
      </c>
      <c r="J44" s="2">
        <v>88</v>
      </c>
      <c r="K44" s="2">
        <v>86</v>
      </c>
      <c r="L44" s="2">
        <v>78</v>
      </c>
      <c r="M44" s="2">
        <v>81</v>
      </c>
      <c r="N44" s="2">
        <v>88</v>
      </c>
      <c r="O44" s="2">
        <v>84</v>
      </c>
      <c r="P44" s="2">
        <v>83</v>
      </c>
    </row>
    <row r="45" spans="4:16" x14ac:dyDescent="0.5">
      <c r="D45" s="2" t="s">
        <v>28</v>
      </c>
      <c r="E45" s="2">
        <v>82</v>
      </c>
      <c r="F45" s="2">
        <v>83</v>
      </c>
      <c r="G45" s="2">
        <v>81</v>
      </c>
      <c r="H45" s="2">
        <v>87</v>
      </c>
      <c r="I45" s="2">
        <v>89</v>
      </c>
      <c r="J45" s="2">
        <v>78</v>
      </c>
      <c r="K45" s="2">
        <v>80</v>
      </c>
      <c r="L45" s="2">
        <v>88</v>
      </c>
      <c r="M45" s="2">
        <v>87</v>
      </c>
      <c r="N45" s="2">
        <v>78</v>
      </c>
      <c r="O45" s="2">
        <v>82</v>
      </c>
      <c r="P45" s="2">
        <v>85</v>
      </c>
    </row>
    <row r="46" spans="4:16" x14ac:dyDescent="0.5">
      <c r="D46" s="2" t="s">
        <v>30</v>
      </c>
      <c r="E46" s="2">
        <v>2</v>
      </c>
      <c r="F46" s="2">
        <v>0</v>
      </c>
      <c r="G46" s="2">
        <v>6</v>
      </c>
      <c r="H46" s="2">
        <v>-8</v>
      </c>
      <c r="I46" s="2">
        <v>-10</v>
      </c>
      <c r="J46" s="2">
        <v>10</v>
      </c>
      <c r="K46" s="2">
        <v>6</v>
      </c>
      <c r="L46" s="2">
        <v>-10</v>
      </c>
      <c r="M46" s="2">
        <v>-6</v>
      </c>
      <c r="N46" s="2">
        <v>10</v>
      </c>
      <c r="O46" s="2">
        <v>2</v>
      </c>
      <c r="P46" s="2">
        <v>-2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331</v>
      </c>
      <c r="H51" s="2">
        <v>335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333</v>
      </c>
      <c r="H52" s="2">
        <v>333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-2</v>
      </c>
      <c r="H53" s="2">
        <v>2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5</v>
      </c>
      <c r="F56" s="2">
        <v>108</v>
      </c>
      <c r="G56" s="2">
        <v>518</v>
      </c>
      <c r="H56" s="2">
        <v>802</v>
      </c>
      <c r="I56" s="2">
        <v>475</v>
      </c>
      <c r="J56" s="2">
        <v>90</v>
      </c>
      <c r="K56" s="2">
        <v>2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314</v>
      </c>
    </row>
    <row r="61" spans="4:11" ht="17.649999999999999" x14ac:dyDescent="0.5">
      <c r="D61" s="3" t="s">
        <v>143</v>
      </c>
    </row>
    <row r="62" spans="4:11" ht="17.649999999999999" x14ac:dyDescent="0.5">
      <c r="D62" s="3" t="s">
        <v>63</v>
      </c>
    </row>
    <row r="63" spans="4:11" ht="17.649999999999999" x14ac:dyDescent="0.5">
      <c r="D63" s="3" t="s">
        <v>81</v>
      </c>
    </row>
    <row r="64" spans="4:11" ht="17.649999999999999" x14ac:dyDescent="0.5">
      <c r="D64" s="3" t="s">
        <v>100</v>
      </c>
    </row>
    <row r="65" spans="4:4" ht="17.649999999999999" x14ac:dyDescent="0.5">
      <c r="D65" s="3" t="s">
        <v>120</v>
      </c>
    </row>
    <row r="66" spans="4:4" ht="17.649999999999999" x14ac:dyDescent="0.5">
      <c r="D66" s="3" t="s">
        <v>92</v>
      </c>
    </row>
    <row r="67" spans="4:4" ht="17.649999999999999" x14ac:dyDescent="0.5">
      <c r="D67" s="3" t="s">
        <v>57</v>
      </c>
    </row>
    <row r="68" spans="4:4" ht="17.649999999999999" x14ac:dyDescent="0.5">
      <c r="D68" s="3" t="s">
        <v>43</v>
      </c>
    </row>
    <row r="69" spans="4:4" ht="17.649999999999999" x14ac:dyDescent="0.5">
      <c r="D69" s="3" t="s">
        <v>86</v>
      </c>
    </row>
    <row r="70" spans="4:4" ht="17.649999999999999" x14ac:dyDescent="0.5">
      <c r="D70" s="3" t="s">
        <v>66</v>
      </c>
    </row>
    <row r="71" spans="4:4" ht="17.649999999999999" x14ac:dyDescent="0.5">
      <c r="D71" s="3" t="s">
        <v>77</v>
      </c>
    </row>
    <row r="72" spans="4:4" ht="17.649999999999999" x14ac:dyDescent="0.5">
      <c r="D72" s="3" t="s">
        <v>48</v>
      </c>
    </row>
    <row r="73" spans="4:4" ht="17.649999999999999" x14ac:dyDescent="0.5">
      <c r="D73" s="3" t="s">
        <v>98</v>
      </c>
    </row>
    <row r="74" spans="4:4" ht="17.649999999999999" x14ac:dyDescent="0.5">
      <c r="D74" s="3" t="s">
        <v>108</v>
      </c>
    </row>
    <row r="75" spans="4:4" ht="17.649999999999999" x14ac:dyDescent="0.5">
      <c r="D75" s="3" t="s">
        <v>67</v>
      </c>
    </row>
    <row r="76" spans="4:4" ht="17.649999999999999" x14ac:dyDescent="0.5">
      <c r="D76" s="3" t="s">
        <v>116</v>
      </c>
    </row>
    <row r="77" spans="4:4" ht="17.649999999999999" x14ac:dyDescent="0.5">
      <c r="D77" s="3" t="s">
        <v>73</v>
      </c>
    </row>
    <row r="78" spans="4:4" ht="17.649999999999999" x14ac:dyDescent="0.5">
      <c r="D78" s="3" t="s">
        <v>57</v>
      </c>
    </row>
    <row r="79" spans="4:4" ht="17.649999999999999" x14ac:dyDescent="0.5">
      <c r="D79" s="3" t="s">
        <v>56</v>
      </c>
    </row>
    <row r="80" spans="4:4" ht="17.649999999999999" x14ac:dyDescent="0.5">
      <c r="D80" s="3" t="s">
        <v>53</v>
      </c>
    </row>
    <row r="81" spans="4:4" ht="17.649999999999999" x14ac:dyDescent="0.5">
      <c r="D81" s="3" t="s">
        <v>91</v>
      </c>
    </row>
    <row r="82" spans="4:4" ht="17.649999999999999" x14ac:dyDescent="0.5">
      <c r="D82" s="3" t="s">
        <v>48</v>
      </c>
    </row>
    <row r="83" spans="4:4" ht="17.649999999999999" x14ac:dyDescent="0.5">
      <c r="D83" s="3" t="s">
        <v>47</v>
      </c>
    </row>
    <row r="84" spans="4:4" ht="17.649999999999999" x14ac:dyDescent="0.5">
      <c r="D84" s="3" t="s">
        <v>60</v>
      </c>
    </row>
    <row r="85" spans="4:4" ht="17.649999999999999" x14ac:dyDescent="0.5">
      <c r="D85" s="3" t="s">
        <v>98</v>
      </c>
    </row>
    <row r="86" spans="4:4" ht="17.649999999999999" x14ac:dyDescent="0.5">
      <c r="D86" s="3" t="s">
        <v>55</v>
      </c>
    </row>
    <row r="87" spans="4:4" ht="17.649999999999999" x14ac:dyDescent="0.5">
      <c r="D87" s="3" t="s">
        <v>103</v>
      </c>
    </row>
    <row r="88" spans="4:4" ht="17.649999999999999" x14ac:dyDescent="0.5">
      <c r="D88" s="3" t="s">
        <v>105</v>
      </c>
    </row>
    <row r="89" spans="4:4" ht="17.649999999999999" x14ac:dyDescent="0.5">
      <c r="D89" s="3" t="s">
        <v>87</v>
      </c>
    </row>
    <row r="90" spans="4:4" ht="17.649999999999999" x14ac:dyDescent="0.5">
      <c r="D90" s="3" t="s">
        <v>51</v>
      </c>
    </row>
    <row r="91" spans="4:4" ht="17.649999999999999" x14ac:dyDescent="0.5">
      <c r="D91" s="3" t="s">
        <v>86</v>
      </c>
    </row>
    <row r="92" spans="4:4" ht="17.649999999999999" x14ac:dyDescent="0.5">
      <c r="D92" s="3" t="s">
        <v>135</v>
      </c>
    </row>
    <row r="93" spans="4:4" ht="17.649999999999999" x14ac:dyDescent="0.5">
      <c r="D93" s="3" t="s">
        <v>71</v>
      </c>
    </row>
    <row r="94" spans="4:4" ht="17.649999999999999" x14ac:dyDescent="0.5">
      <c r="D94" s="3" t="s">
        <v>46</v>
      </c>
    </row>
    <row r="95" spans="4:4" ht="17.649999999999999" x14ac:dyDescent="0.5">
      <c r="D95" s="3" t="s">
        <v>84</v>
      </c>
    </row>
    <row r="96" spans="4:4" ht="17.649999999999999" x14ac:dyDescent="0.5">
      <c r="D96" s="3" t="s">
        <v>44</v>
      </c>
    </row>
    <row r="97" spans="4:4" ht="17.649999999999999" x14ac:dyDescent="0.5">
      <c r="D97" s="3" t="s">
        <v>59</v>
      </c>
    </row>
    <row r="98" spans="4:4" ht="17.649999999999999" x14ac:dyDescent="0.5">
      <c r="D98" s="3" t="s">
        <v>117</v>
      </c>
    </row>
    <row r="99" spans="4:4" ht="17.649999999999999" x14ac:dyDescent="0.5">
      <c r="D99" s="3" t="s">
        <v>78</v>
      </c>
    </row>
    <row r="100" spans="4:4" ht="17.649999999999999" x14ac:dyDescent="0.5">
      <c r="D100" s="3" t="s">
        <v>81</v>
      </c>
    </row>
    <row r="101" spans="4:4" ht="17.649999999999999" x14ac:dyDescent="0.5">
      <c r="D101" s="3" t="s">
        <v>69</v>
      </c>
    </row>
    <row r="102" spans="4:4" ht="17.649999999999999" x14ac:dyDescent="0.5">
      <c r="D102" s="3" t="s">
        <v>51</v>
      </c>
    </row>
    <row r="103" spans="4:4" ht="17.649999999999999" x14ac:dyDescent="0.5">
      <c r="D103" s="3" t="s">
        <v>85</v>
      </c>
    </row>
    <row r="104" spans="4:4" ht="17.649999999999999" x14ac:dyDescent="0.5">
      <c r="D104" s="3" t="s">
        <v>98</v>
      </c>
    </row>
    <row r="105" spans="4:4" ht="17.649999999999999" x14ac:dyDescent="0.5">
      <c r="D105" s="3" t="s">
        <v>108</v>
      </c>
    </row>
    <row r="106" spans="4:4" ht="17.649999999999999" x14ac:dyDescent="0.5">
      <c r="D106" s="3" t="s">
        <v>103</v>
      </c>
    </row>
    <row r="107" spans="4:4" ht="17.649999999999999" x14ac:dyDescent="0.5">
      <c r="D107" s="3" t="s">
        <v>117</v>
      </c>
    </row>
    <row r="108" spans="4:4" ht="17.649999999999999" x14ac:dyDescent="0.5">
      <c r="D108" s="3" t="s">
        <v>64</v>
      </c>
    </row>
    <row r="109" spans="4:4" ht="17.649999999999999" x14ac:dyDescent="0.5">
      <c r="D109" s="3" t="s">
        <v>49</v>
      </c>
    </row>
    <row r="110" spans="4:4" ht="17.649999999999999" x14ac:dyDescent="0.5">
      <c r="D110" s="3" t="s">
        <v>61</v>
      </c>
    </row>
    <row r="111" spans="4:4" ht="17.649999999999999" x14ac:dyDescent="0.5">
      <c r="D111" s="3" t="s">
        <v>46</v>
      </c>
    </row>
    <row r="112" spans="4:4" ht="17.649999999999999" x14ac:dyDescent="0.5">
      <c r="D112" s="3" t="s">
        <v>107</v>
      </c>
    </row>
    <row r="113" spans="4:4" ht="17.649999999999999" x14ac:dyDescent="0.5">
      <c r="D113" s="3" t="s">
        <v>41</v>
      </c>
    </row>
    <row r="114" spans="4:4" ht="17.649999999999999" x14ac:dyDescent="0.5">
      <c r="D114" s="3" t="s">
        <v>63</v>
      </c>
    </row>
    <row r="115" spans="4:4" ht="17.649999999999999" x14ac:dyDescent="0.5">
      <c r="D115" s="3" t="s">
        <v>68</v>
      </c>
    </row>
    <row r="116" spans="4:4" ht="17.649999999999999" x14ac:dyDescent="0.5">
      <c r="D116" s="3" t="s">
        <v>62</v>
      </c>
    </row>
    <row r="117" spans="4:4" ht="17.649999999999999" x14ac:dyDescent="0.5">
      <c r="D117" s="3" t="s">
        <v>54</v>
      </c>
    </row>
    <row r="118" spans="4:4" ht="17.649999999999999" x14ac:dyDescent="0.5">
      <c r="D118" s="3" t="s">
        <v>90</v>
      </c>
    </row>
    <row r="119" spans="4:4" ht="17.649999999999999" x14ac:dyDescent="0.5">
      <c r="D119" s="3" t="s">
        <v>111</v>
      </c>
    </row>
    <row r="120" spans="4:4" ht="17.649999999999999" x14ac:dyDescent="0.5">
      <c r="D120" s="3" t="s">
        <v>41</v>
      </c>
    </row>
    <row r="121" spans="4:4" ht="17.649999999999999" x14ac:dyDescent="0.5">
      <c r="D121" s="3" t="s">
        <v>97</v>
      </c>
    </row>
    <row r="122" spans="4:4" ht="17.649999999999999" x14ac:dyDescent="0.5">
      <c r="D122" s="3" t="s">
        <v>52</v>
      </c>
    </row>
    <row r="123" spans="4:4" ht="17.649999999999999" x14ac:dyDescent="0.5">
      <c r="D123" s="3" t="s">
        <v>46</v>
      </c>
    </row>
    <row r="124" spans="4:4" ht="17.649999999999999" x14ac:dyDescent="0.5">
      <c r="D124" s="3" t="s">
        <v>48</v>
      </c>
    </row>
    <row r="125" spans="4:4" ht="17.649999999999999" x14ac:dyDescent="0.5">
      <c r="D125" s="3" t="s">
        <v>80</v>
      </c>
    </row>
    <row r="126" spans="4:4" ht="17.649999999999999" x14ac:dyDescent="0.5">
      <c r="D126" s="3" t="s">
        <v>53</v>
      </c>
    </row>
    <row r="127" spans="4:4" ht="17.649999999999999" x14ac:dyDescent="0.5">
      <c r="D127" s="3" t="s">
        <v>131</v>
      </c>
    </row>
    <row r="128" spans="4:4" ht="17.649999999999999" x14ac:dyDescent="0.5">
      <c r="D128" s="3" t="s">
        <v>83</v>
      </c>
    </row>
    <row r="129" spans="4:4" ht="17.649999999999999" x14ac:dyDescent="0.5">
      <c r="D129" s="3" t="s">
        <v>99</v>
      </c>
    </row>
    <row r="130" spans="4:4" ht="17.649999999999999" x14ac:dyDescent="0.5">
      <c r="D130" s="3" t="s">
        <v>53</v>
      </c>
    </row>
    <row r="131" spans="4:4" ht="17.649999999999999" x14ac:dyDescent="0.5">
      <c r="D131" s="3" t="s">
        <v>125</v>
      </c>
    </row>
    <row r="132" spans="4:4" ht="17.649999999999999" x14ac:dyDescent="0.5">
      <c r="D132" s="3" t="s">
        <v>107</v>
      </c>
    </row>
    <row r="133" spans="4:4" ht="17.649999999999999" x14ac:dyDescent="0.5">
      <c r="D133" s="3" t="s">
        <v>78</v>
      </c>
    </row>
    <row r="134" spans="4:4" ht="17.649999999999999" x14ac:dyDescent="0.5">
      <c r="D134" s="3" t="s">
        <v>54</v>
      </c>
    </row>
    <row r="135" spans="4:4" ht="17.649999999999999" x14ac:dyDescent="0.5">
      <c r="D135" s="3" t="s">
        <v>41</v>
      </c>
    </row>
    <row r="136" spans="4:4" ht="17.649999999999999" x14ac:dyDescent="0.5">
      <c r="D136" s="3" t="s">
        <v>69</v>
      </c>
    </row>
    <row r="137" spans="4:4" ht="17.649999999999999" x14ac:dyDescent="0.5">
      <c r="D137" s="3" t="s">
        <v>73</v>
      </c>
    </row>
    <row r="138" spans="4:4" ht="17.649999999999999" x14ac:dyDescent="0.5">
      <c r="D138" s="3" t="s">
        <v>102</v>
      </c>
    </row>
    <row r="139" spans="4:4" ht="17.649999999999999" x14ac:dyDescent="0.5">
      <c r="D139" s="3" t="s">
        <v>66</v>
      </c>
    </row>
    <row r="140" spans="4:4" ht="17.649999999999999" x14ac:dyDescent="0.5">
      <c r="D140" s="3" t="s">
        <v>81</v>
      </c>
    </row>
    <row r="141" spans="4:4" ht="17.649999999999999" x14ac:dyDescent="0.5">
      <c r="D141" s="3" t="s">
        <v>53</v>
      </c>
    </row>
    <row r="142" spans="4:4" ht="17.649999999999999" x14ac:dyDescent="0.5">
      <c r="D142" s="3" t="s">
        <v>61</v>
      </c>
    </row>
    <row r="143" spans="4:4" ht="17.649999999999999" x14ac:dyDescent="0.5">
      <c r="D143" s="3" t="s">
        <v>118</v>
      </c>
    </row>
    <row r="144" spans="4:4" ht="17.649999999999999" x14ac:dyDescent="0.5">
      <c r="D144" s="3" t="s">
        <v>103</v>
      </c>
    </row>
    <row r="145" spans="4:4" ht="17.649999999999999" x14ac:dyDescent="0.5">
      <c r="D145" s="3" t="s">
        <v>46</v>
      </c>
    </row>
    <row r="146" spans="4:4" ht="17.649999999999999" x14ac:dyDescent="0.5">
      <c r="D146" s="3" t="s">
        <v>84</v>
      </c>
    </row>
    <row r="147" spans="4:4" ht="17.649999999999999" x14ac:dyDescent="0.5">
      <c r="D147" s="3" t="s">
        <v>54</v>
      </c>
    </row>
    <row r="148" spans="4:4" ht="17.649999999999999" x14ac:dyDescent="0.5">
      <c r="D148" s="3" t="s">
        <v>94</v>
      </c>
    </row>
    <row r="149" spans="4:4" ht="17.649999999999999" x14ac:dyDescent="0.5">
      <c r="D149" s="3" t="s">
        <v>122</v>
      </c>
    </row>
    <row r="150" spans="4:4" ht="17.649999999999999" x14ac:dyDescent="0.5">
      <c r="D150" s="3" t="s">
        <v>78</v>
      </c>
    </row>
    <row r="151" spans="4:4" ht="17.649999999999999" x14ac:dyDescent="0.5">
      <c r="D151" s="3" t="s">
        <v>115</v>
      </c>
    </row>
    <row r="152" spans="4:4" ht="17.649999999999999" x14ac:dyDescent="0.5">
      <c r="D152" s="3" t="s">
        <v>59</v>
      </c>
    </row>
    <row r="153" spans="4:4" ht="17.649999999999999" x14ac:dyDescent="0.5">
      <c r="D153" s="3" t="s">
        <v>117</v>
      </c>
    </row>
    <row r="154" spans="4:4" ht="17.649999999999999" x14ac:dyDescent="0.5">
      <c r="D154" s="3" t="s">
        <v>136</v>
      </c>
    </row>
    <row r="155" spans="4:4" ht="17.649999999999999" x14ac:dyDescent="0.5">
      <c r="D155" s="3" t="s">
        <v>47</v>
      </c>
    </row>
    <row r="156" spans="4:4" ht="17.649999999999999" x14ac:dyDescent="0.5">
      <c r="D156" s="3" t="s">
        <v>101</v>
      </c>
    </row>
    <row r="157" spans="4:4" ht="17.649999999999999" x14ac:dyDescent="0.5">
      <c r="D157" s="3" t="s">
        <v>57</v>
      </c>
    </row>
    <row r="158" spans="4:4" ht="17.649999999999999" x14ac:dyDescent="0.5">
      <c r="D158" s="3" t="s">
        <v>75</v>
      </c>
    </row>
    <row r="159" spans="4:4" ht="17.649999999999999" x14ac:dyDescent="0.5">
      <c r="D159" s="3" t="s">
        <v>50</v>
      </c>
    </row>
    <row r="160" spans="4:4" ht="17.649999999999999" x14ac:dyDescent="0.5">
      <c r="D160" s="3" t="s">
        <v>65</v>
      </c>
    </row>
    <row r="161" spans="4:4" ht="17.649999999999999" x14ac:dyDescent="0.5">
      <c r="D161" s="3" t="s">
        <v>78</v>
      </c>
    </row>
    <row r="162" spans="4:4" ht="17.649999999999999" x14ac:dyDescent="0.5">
      <c r="D162" s="3" t="s">
        <v>133</v>
      </c>
    </row>
    <row r="163" spans="4:4" ht="17.649999999999999" x14ac:dyDescent="0.5">
      <c r="D163" s="3" t="s">
        <v>108</v>
      </c>
    </row>
    <row r="164" spans="4:4" ht="17.649999999999999" x14ac:dyDescent="0.5">
      <c r="D164" s="3" t="s">
        <v>118</v>
      </c>
    </row>
    <row r="165" spans="4:4" ht="17.649999999999999" x14ac:dyDescent="0.5">
      <c r="D165" s="3" t="s">
        <v>126</v>
      </c>
    </row>
    <row r="166" spans="4:4" ht="17.649999999999999" x14ac:dyDescent="0.5">
      <c r="D166" s="3" t="s">
        <v>99</v>
      </c>
    </row>
    <row r="167" spans="4:4" ht="17.649999999999999" x14ac:dyDescent="0.5">
      <c r="D167" s="3" t="s">
        <v>63</v>
      </c>
    </row>
    <row r="168" spans="4:4" ht="17.649999999999999" x14ac:dyDescent="0.5">
      <c r="D168" s="3" t="s">
        <v>48</v>
      </c>
    </row>
    <row r="169" spans="4:4" ht="17.649999999999999" x14ac:dyDescent="0.5">
      <c r="D169" s="3" t="s">
        <v>105</v>
      </c>
    </row>
    <row r="170" spans="4:4" ht="17.649999999999999" x14ac:dyDescent="0.5">
      <c r="D170" s="3" t="s">
        <v>102</v>
      </c>
    </row>
    <row r="171" spans="4:4" ht="17.649999999999999" x14ac:dyDescent="0.5">
      <c r="D171" s="3" t="s">
        <v>91</v>
      </c>
    </row>
    <row r="172" spans="4:4" ht="17.649999999999999" x14ac:dyDescent="0.5">
      <c r="D172" s="3" t="s">
        <v>121</v>
      </c>
    </row>
    <row r="173" spans="4:4" ht="17.649999999999999" x14ac:dyDescent="0.5">
      <c r="D173" s="3" t="s">
        <v>83</v>
      </c>
    </row>
    <row r="174" spans="4:4" ht="17.649999999999999" x14ac:dyDescent="0.5">
      <c r="D174" s="3" t="s">
        <v>47</v>
      </c>
    </row>
    <row r="175" spans="4:4" ht="17.649999999999999" x14ac:dyDescent="0.5">
      <c r="D175" s="3" t="s">
        <v>124</v>
      </c>
    </row>
    <row r="176" spans="4:4" ht="17.649999999999999" x14ac:dyDescent="0.5">
      <c r="D176" s="3" t="s">
        <v>125</v>
      </c>
    </row>
    <row r="177" spans="4:4" ht="17.649999999999999" x14ac:dyDescent="0.5">
      <c r="D177" s="3" t="s">
        <v>94</v>
      </c>
    </row>
    <row r="178" spans="4:4" ht="17.649999999999999" x14ac:dyDescent="0.5">
      <c r="D178" s="3" t="s">
        <v>54</v>
      </c>
    </row>
    <row r="179" spans="4:4" ht="17.649999999999999" x14ac:dyDescent="0.5">
      <c r="D179" s="3" t="s">
        <v>94</v>
      </c>
    </row>
    <row r="180" spans="4:4" ht="17.649999999999999" x14ac:dyDescent="0.5">
      <c r="D180" s="3" t="s">
        <v>44</v>
      </c>
    </row>
    <row r="181" spans="4:4" ht="17.649999999999999" x14ac:dyDescent="0.5">
      <c r="D181" s="3" t="s">
        <v>85</v>
      </c>
    </row>
    <row r="182" spans="4:4" ht="17.649999999999999" x14ac:dyDescent="0.5">
      <c r="D182" s="3" t="s">
        <v>77</v>
      </c>
    </row>
    <row r="183" spans="4:4" ht="17.649999999999999" x14ac:dyDescent="0.5">
      <c r="D183" s="3" t="s">
        <v>122</v>
      </c>
    </row>
    <row r="184" spans="4:4" ht="17.649999999999999" x14ac:dyDescent="0.5">
      <c r="D184" s="3" t="s">
        <v>43</v>
      </c>
    </row>
    <row r="185" spans="4:4" ht="17.649999999999999" x14ac:dyDescent="0.5">
      <c r="D185" s="3" t="s">
        <v>68</v>
      </c>
    </row>
    <row r="186" spans="4:4" ht="17.649999999999999" x14ac:dyDescent="0.5">
      <c r="D186" s="3" t="s">
        <v>91</v>
      </c>
    </row>
    <row r="187" spans="4:4" ht="17.649999999999999" x14ac:dyDescent="0.5">
      <c r="D187" s="3" t="s">
        <v>63</v>
      </c>
    </row>
    <row r="188" spans="4:4" ht="17.649999999999999" x14ac:dyDescent="0.5">
      <c r="D188" s="3" t="s">
        <v>98</v>
      </c>
    </row>
    <row r="189" spans="4:4" ht="17.649999999999999" x14ac:dyDescent="0.5">
      <c r="D189" s="3" t="s">
        <v>122</v>
      </c>
    </row>
    <row r="190" spans="4:4" ht="17.649999999999999" x14ac:dyDescent="0.5">
      <c r="D190" s="3" t="s">
        <v>46</v>
      </c>
    </row>
    <row r="191" spans="4:4" ht="17.649999999999999" x14ac:dyDescent="0.5">
      <c r="D191" s="3" t="s">
        <v>52</v>
      </c>
    </row>
    <row r="192" spans="4:4" ht="17.649999999999999" x14ac:dyDescent="0.5">
      <c r="D192" s="3" t="s">
        <v>129</v>
      </c>
    </row>
    <row r="193" spans="4:4" ht="17.649999999999999" x14ac:dyDescent="0.5">
      <c r="D193" s="3" t="s">
        <v>65</v>
      </c>
    </row>
    <row r="194" spans="4:4" ht="17.649999999999999" x14ac:dyDescent="0.5">
      <c r="D194" s="3" t="s">
        <v>118</v>
      </c>
    </row>
    <row r="195" spans="4:4" ht="17.649999999999999" x14ac:dyDescent="0.5">
      <c r="D195" s="3" t="s">
        <v>60</v>
      </c>
    </row>
    <row r="196" spans="4:4" ht="17.649999999999999" x14ac:dyDescent="0.5">
      <c r="D196" s="3" t="s">
        <v>135</v>
      </c>
    </row>
    <row r="197" spans="4:4" ht="17.649999999999999" x14ac:dyDescent="0.5">
      <c r="D197" s="3" t="s">
        <v>120</v>
      </c>
    </row>
    <row r="198" spans="4:4" ht="17.649999999999999" x14ac:dyDescent="0.5">
      <c r="D198" s="3" t="s">
        <v>84</v>
      </c>
    </row>
    <row r="199" spans="4:4" ht="17.649999999999999" x14ac:dyDescent="0.5">
      <c r="D199" s="3" t="s">
        <v>46</v>
      </c>
    </row>
    <row r="200" spans="4:4" ht="17.649999999999999" x14ac:dyDescent="0.5">
      <c r="D200" s="3" t="s">
        <v>49</v>
      </c>
    </row>
    <row r="201" spans="4:4" ht="17.649999999999999" x14ac:dyDescent="0.5">
      <c r="D201" s="3" t="s">
        <v>53</v>
      </c>
    </row>
    <row r="202" spans="4:4" ht="17.649999999999999" x14ac:dyDescent="0.5">
      <c r="D202" s="3" t="s">
        <v>105</v>
      </c>
    </row>
    <row r="203" spans="4:4" ht="17.649999999999999" x14ac:dyDescent="0.5">
      <c r="D203" s="3" t="s">
        <v>65</v>
      </c>
    </row>
    <row r="204" spans="4:4" ht="17.649999999999999" x14ac:dyDescent="0.5">
      <c r="D204" s="3" t="s">
        <v>55</v>
      </c>
    </row>
    <row r="205" spans="4:4" ht="17.649999999999999" x14ac:dyDescent="0.5">
      <c r="D205" s="3" t="s">
        <v>112</v>
      </c>
    </row>
    <row r="206" spans="4:4" ht="17.649999999999999" x14ac:dyDescent="0.5">
      <c r="D206" s="3" t="s">
        <v>70</v>
      </c>
    </row>
    <row r="207" spans="4:4" ht="17.649999999999999" x14ac:dyDescent="0.5">
      <c r="D207" s="3" t="s">
        <v>91</v>
      </c>
    </row>
    <row r="208" spans="4:4" ht="17.649999999999999" x14ac:dyDescent="0.5">
      <c r="D208" s="3" t="s">
        <v>80</v>
      </c>
    </row>
    <row r="209" spans="4:4" ht="17.649999999999999" x14ac:dyDescent="0.5">
      <c r="D209" s="3" t="s">
        <v>88</v>
      </c>
    </row>
    <row r="210" spans="4:4" ht="17.649999999999999" x14ac:dyDescent="0.5">
      <c r="D210" s="3" t="s">
        <v>107</v>
      </c>
    </row>
    <row r="211" spans="4:4" ht="17.649999999999999" x14ac:dyDescent="0.5">
      <c r="D211" s="3" t="s">
        <v>91</v>
      </c>
    </row>
    <row r="212" spans="4:4" ht="17.649999999999999" x14ac:dyDescent="0.5">
      <c r="D212" s="3" t="s">
        <v>76</v>
      </c>
    </row>
    <row r="213" spans="4:4" ht="17.649999999999999" x14ac:dyDescent="0.5">
      <c r="D213" s="3" t="s">
        <v>48</v>
      </c>
    </row>
    <row r="214" spans="4:4" ht="17.649999999999999" x14ac:dyDescent="0.5">
      <c r="D214" s="3" t="s">
        <v>63</v>
      </c>
    </row>
    <row r="215" spans="4:4" ht="17.649999999999999" x14ac:dyDescent="0.5">
      <c r="D215" s="3" t="s">
        <v>123</v>
      </c>
    </row>
    <row r="216" spans="4:4" ht="17.649999999999999" x14ac:dyDescent="0.5">
      <c r="D216" s="3" t="s">
        <v>105</v>
      </c>
    </row>
    <row r="217" spans="4:4" ht="17.649999999999999" x14ac:dyDescent="0.5">
      <c r="D217" s="3" t="s">
        <v>82</v>
      </c>
    </row>
    <row r="218" spans="4:4" ht="17.649999999999999" x14ac:dyDescent="0.5">
      <c r="D218" s="3" t="s">
        <v>65</v>
      </c>
    </row>
    <row r="219" spans="4:4" ht="17.649999999999999" x14ac:dyDescent="0.5">
      <c r="D219" s="3" t="s">
        <v>119</v>
      </c>
    </row>
    <row r="220" spans="4:4" ht="17.649999999999999" x14ac:dyDescent="0.5">
      <c r="D220" s="3" t="s">
        <v>114</v>
      </c>
    </row>
    <row r="221" spans="4:4" ht="17.649999999999999" x14ac:dyDescent="0.5">
      <c r="D221" s="3" t="s">
        <v>98</v>
      </c>
    </row>
    <row r="222" spans="4:4" ht="17.649999999999999" x14ac:dyDescent="0.5">
      <c r="D222" s="3" t="s">
        <v>132</v>
      </c>
    </row>
    <row r="223" spans="4:4" ht="17.649999999999999" x14ac:dyDescent="0.5">
      <c r="D223" s="3" t="s">
        <v>67</v>
      </c>
    </row>
    <row r="224" spans="4:4" ht="17.649999999999999" x14ac:dyDescent="0.5">
      <c r="D224" s="3" t="s">
        <v>136</v>
      </c>
    </row>
    <row r="225" spans="4:4" ht="17.649999999999999" x14ac:dyDescent="0.5">
      <c r="D225" s="3" t="s">
        <v>68</v>
      </c>
    </row>
    <row r="226" spans="4:4" ht="17.649999999999999" x14ac:dyDescent="0.5">
      <c r="D226" s="3" t="s">
        <v>129</v>
      </c>
    </row>
    <row r="227" spans="4:4" ht="17.649999999999999" x14ac:dyDescent="0.5">
      <c r="D227" s="3" t="s">
        <v>74</v>
      </c>
    </row>
    <row r="228" spans="4:4" ht="17.649999999999999" x14ac:dyDescent="0.5">
      <c r="D228" s="3" t="s">
        <v>64</v>
      </c>
    </row>
    <row r="229" spans="4:4" ht="17.649999999999999" x14ac:dyDescent="0.5">
      <c r="D229" s="3" t="s">
        <v>121</v>
      </c>
    </row>
    <row r="230" spans="4:4" ht="17.649999999999999" x14ac:dyDescent="0.5">
      <c r="D230" s="3" t="s">
        <v>91</v>
      </c>
    </row>
    <row r="231" spans="4:4" ht="17.649999999999999" x14ac:dyDescent="0.5">
      <c r="D231" s="3" t="s">
        <v>96</v>
      </c>
    </row>
    <row r="232" spans="4:4" ht="17.649999999999999" x14ac:dyDescent="0.5">
      <c r="D232" s="3" t="s">
        <v>115</v>
      </c>
    </row>
    <row r="233" spans="4:4" ht="17.649999999999999" x14ac:dyDescent="0.5">
      <c r="D233" s="3" t="s">
        <v>84</v>
      </c>
    </row>
    <row r="234" spans="4:4" ht="17.649999999999999" x14ac:dyDescent="0.5">
      <c r="D234" s="3" t="s">
        <v>95</v>
      </c>
    </row>
    <row r="235" spans="4:4" ht="17.649999999999999" x14ac:dyDescent="0.5">
      <c r="D235" s="3" t="s">
        <v>48</v>
      </c>
    </row>
    <row r="236" spans="4:4" ht="17.649999999999999" x14ac:dyDescent="0.5">
      <c r="D236" s="3" t="s">
        <v>91</v>
      </c>
    </row>
    <row r="237" spans="4:4" ht="17.649999999999999" x14ac:dyDescent="0.5">
      <c r="D237" s="3" t="s">
        <v>53</v>
      </c>
    </row>
    <row r="238" spans="4:4" ht="17.649999999999999" x14ac:dyDescent="0.5">
      <c r="D238" s="3" t="s">
        <v>51</v>
      </c>
    </row>
    <row r="239" spans="4:4" ht="17.649999999999999" x14ac:dyDescent="0.5">
      <c r="D239" s="3" t="s">
        <v>123</v>
      </c>
    </row>
    <row r="240" spans="4:4" ht="17.649999999999999" x14ac:dyDescent="0.5">
      <c r="D240" s="3" t="s">
        <v>65</v>
      </c>
    </row>
    <row r="241" spans="4:4" ht="17.649999999999999" x14ac:dyDescent="0.5">
      <c r="D241" s="3" t="s">
        <v>90</v>
      </c>
    </row>
    <row r="242" spans="4:4" ht="17.649999999999999" x14ac:dyDescent="0.5">
      <c r="D242" s="3" t="s">
        <v>93</v>
      </c>
    </row>
    <row r="243" spans="4:4" ht="17.649999999999999" x14ac:dyDescent="0.5">
      <c r="D243" s="3" t="s">
        <v>127</v>
      </c>
    </row>
    <row r="244" spans="4:4" ht="17.649999999999999" x14ac:dyDescent="0.5">
      <c r="D244" s="3" t="s">
        <v>117</v>
      </c>
    </row>
    <row r="245" spans="4:4" ht="17.649999999999999" x14ac:dyDescent="0.5">
      <c r="D245" s="3" t="s">
        <v>51</v>
      </c>
    </row>
    <row r="246" spans="4:4" ht="17.649999999999999" x14ac:dyDescent="0.5">
      <c r="D246" s="3" t="s">
        <v>105</v>
      </c>
    </row>
    <row r="247" spans="4:4" ht="17.649999999999999" x14ac:dyDescent="0.5">
      <c r="D247" s="3" t="s">
        <v>91</v>
      </c>
    </row>
    <row r="248" spans="4:4" ht="17.649999999999999" x14ac:dyDescent="0.5">
      <c r="D248" s="3" t="s">
        <v>117</v>
      </c>
    </row>
    <row r="249" spans="4:4" ht="17.649999999999999" x14ac:dyDescent="0.5">
      <c r="D249" s="3" t="s">
        <v>69</v>
      </c>
    </row>
    <row r="250" spans="4:4" ht="17.649999999999999" x14ac:dyDescent="0.5">
      <c r="D250" s="3" t="s">
        <v>94</v>
      </c>
    </row>
    <row r="251" spans="4:4" ht="17.649999999999999" x14ac:dyDescent="0.5">
      <c r="D251" s="3" t="s">
        <v>59</v>
      </c>
    </row>
    <row r="252" spans="4:4" ht="17.649999999999999" x14ac:dyDescent="0.5">
      <c r="D252" s="3" t="s">
        <v>98</v>
      </c>
    </row>
    <row r="253" spans="4:4" ht="17.649999999999999" x14ac:dyDescent="0.5">
      <c r="D253" s="3" t="s">
        <v>117</v>
      </c>
    </row>
    <row r="254" spans="4:4" ht="17.649999999999999" x14ac:dyDescent="0.5">
      <c r="D254" s="3" t="s">
        <v>125</v>
      </c>
    </row>
    <row r="255" spans="4:4" ht="17.649999999999999" x14ac:dyDescent="0.5">
      <c r="D255" s="3" t="s">
        <v>100</v>
      </c>
    </row>
    <row r="256" spans="4:4" ht="17.649999999999999" x14ac:dyDescent="0.5">
      <c r="D256" s="3" t="s">
        <v>55</v>
      </c>
    </row>
    <row r="257" spans="4:4" ht="17.649999999999999" x14ac:dyDescent="0.5">
      <c r="D257" s="3" t="s">
        <v>56</v>
      </c>
    </row>
    <row r="258" spans="4:4" ht="17.649999999999999" x14ac:dyDescent="0.5">
      <c r="D258" s="3" t="s">
        <v>64</v>
      </c>
    </row>
    <row r="259" spans="4:4" ht="17.649999999999999" x14ac:dyDescent="0.5">
      <c r="D259" s="3" t="s">
        <v>104</v>
      </c>
    </row>
    <row r="260" spans="4:4" ht="17.649999999999999" x14ac:dyDescent="0.5">
      <c r="D260" s="3" t="s">
        <v>59</v>
      </c>
    </row>
    <row r="261" spans="4:4" ht="17.649999999999999" x14ac:dyDescent="0.5">
      <c r="D261" s="3" t="s">
        <v>67</v>
      </c>
    </row>
    <row r="262" spans="4:4" ht="17.649999999999999" x14ac:dyDescent="0.5">
      <c r="D262" s="3" t="s">
        <v>90</v>
      </c>
    </row>
    <row r="263" spans="4:4" ht="17.649999999999999" x14ac:dyDescent="0.5">
      <c r="D263" s="3" t="s">
        <v>73</v>
      </c>
    </row>
    <row r="264" spans="4:4" ht="17.649999999999999" x14ac:dyDescent="0.5">
      <c r="D264" s="3" t="s">
        <v>97</v>
      </c>
    </row>
    <row r="265" spans="4:4" ht="17.649999999999999" x14ac:dyDescent="0.5">
      <c r="D265" s="3" t="s">
        <v>56</v>
      </c>
    </row>
    <row r="266" spans="4:4" ht="17.649999999999999" x14ac:dyDescent="0.5">
      <c r="D266" s="3" t="s">
        <v>129</v>
      </c>
    </row>
    <row r="267" spans="4:4" ht="17.649999999999999" x14ac:dyDescent="0.5">
      <c r="D267" s="3" t="s">
        <v>63</v>
      </c>
    </row>
    <row r="268" spans="4:4" ht="17.649999999999999" x14ac:dyDescent="0.5">
      <c r="D268" s="3" t="s">
        <v>48</v>
      </c>
    </row>
    <row r="269" spans="4:4" ht="17.649999999999999" x14ac:dyDescent="0.5">
      <c r="D269" s="3" t="s">
        <v>47</v>
      </c>
    </row>
    <row r="270" spans="4:4" ht="17.649999999999999" x14ac:dyDescent="0.5">
      <c r="D270" s="3" t="s">
        <v>44</v>
      </c>
    </row>
    <row r="271" spans="4:4" ht="17.649999999999999" x14ac:dyDescent="0.5">
      <c r="D271" s="3" t="s">
        <v>78</v>
      </c>
    </row>
    <row r="272" spans="4:4" ht="17.649999999999999" x14ac:dyDescent="0.5">
      <c r="D272" s="3" t="s">
        <v>126</v>
      </c>
    </row>
    <row r="273" spans="4:4" ht="17.649999999999999" x14ac:dyDescent="0.5">
      <c r="D273" s="3" t="s">
        <v>75</v>
      </c>
    </row>
    <row r="274" spans="4:4" ht="17.649999999999999" x14ac:dyDescent="0.5">
      <c r="D274" s="3" t="s">
        <v>81</v>
      </c>
    </row>
    <row r="275" spans="4:4" ht="17.649999999999999" x14ac:dyDescent="0.5">
      <c r="D275" s="3" t="s">
        <v>112</v>
      </c>
    </row>
    <row r="276" spans="4:4" ht="17.649999999999999" x14ac:dyDescent="0.5">
      <c r="D276" s="3" t="s">
        <v>87</v>
      </c>
    </row>
    <row r="277" spans="4:4" ht="17.649999999999999" x14ac:dyDescent="0.5">
      <c r="D277" s="3" t="s">
        <v>130</v>
      </c>
    </row>
    <row r="278" spans="4:4" ht="17.649999999999999" x14ac:dyDescent="0.5">
      <c r="D278" s="3" t="s">
        <v>59</v>
      </c>
    </row>
    <row r="279" spans="4:4" ht="17.649999999999999" x14ac:dyDescent="0.5">
      <c r="D279" s="3" t="s">
        <v>132</v>
      </c>
    </row>
    <row r="280" spans="4:4" ht="17.649999999999999" x14ac:dyDescent="0.5">
      <c r="D280" s="3" t="s">
        <v>91</v>
      </c>
    </row>
    <row r="281" spans="4:4" ht="17.649999999999999" x14ac:dyDescent="0.5">
      <c r="D281" s="3" t="s">
        <v>80</v>
      </c>
    </row>
    <row r="282" spans="4:4" ht="17.649999999999999" x14ac:dyDescent="0.5">
      <c r="D282" s="3" t="s">
        <v>100</v>
      </c>
    </row>
    <row r="283" spans="4:4" ht="17.649999999999999" x14ac:dyDescent="0.5">
      <c r="D283" s="3" t="s">
        <v>64</v>
      </c>
    </row>
    <row r="284" spans="4:4" ht="17.649999999999999" x14ac:dyDescent="0.5">
      <c r="D284" s="3" t="s">
        <v>116</v>
      </c>
    </row>
    <row r="285" spans="4:4" ht="17.649999999999999" x14ac:dyDescent="0.5">
      <c r="D285" s="3" t="s">
        <v>68</v>
      </c>
    </row>
    <row r="286" spans="4:4" ht="17.649999999999999" x14ac:dyDescent="0.5">
      <c r="D286" s="3" t="s">
        <v>56</v>
      </c>
    </row>
    <row r="287" spans="4:4" ht="17.649999999999999" x14ac:dyDescent="0.5">
      <c r="D287" s="3" t="s">
        <v>94</v>
      </c>
    </row>
    <row r="288" spans="4:4" ht="17.649999999999999" x14ac:dyDescent="0.5">
      <c r="D288" s="3" t="s">
        <v>51</v>
      </c>
    </row>
    <row r="289" spans="4:4" ht="17.649999999999999" x14ac:dyDescent="0.5">
      <c r="D289" s="3" t="s">
        <v>84</v>
      </c>
    </row>
    <row r="290" spans="4:4" ht="17.649999999999999" x14ac:dyDescent="0.5">
      <c r="D290" s="3" t="s">
        <v>65</v>
      </c>
    </row>
    <row r="291" spans="4:4" ht="17.649999999999999" x14ac:dyDescent="0.5">
      <c r="D291" s="3" t="s">
        <v>52</v>
      </c>
    </row>
    <row r="292" spans="4:4" ht="17.649999999999999" x14ac:dyDescent="0.5">
      <c r="D292" s="3" t="s">
        <v>120</v>
      </c>
    </row>
    <row r="293" spans="4:4" ht="17.649999999999999" x14ac:dyDescent="0.5">
      <c r="D293" s="3" t="s">
        <v>41</v>
      </c>
    </row>
    <row r="294" spans="4:4" ht="17.649999999999999" x14ac:dyDescent="0.5">
      <c r="D294" s="3" t="s">
        <v>92</v>
      </c>
    </row>
    <row r="295" spans="4:4" ht="17.649999999999999" x14ac:dyDescent="0.5">
      <c r="D295" s="3" t="s">
        <v>66</v>
      </c>
    </row>
    <row r="296" spans="4:4" ht="17.649999999999999" x14ac:dyDescent="0.5">
      <c r="D296" s="3" t="s">
        <v>112</v>
      </c>
    </row>
    <row r="297" spans="4:4" ht="17.649999999999999" x14ac:dyDescent="0.5">
      <c r="D297" s="3" t="s">
        <v>47</v>
      </c>
    </row>
    <row r="298" spans="4:4" ht="17.649999999999999" x14ac:dyDescent="0.5">
      <c r="D298" s="3" t="s">
        <v>77</v>
      </c>
    </row>
    <row r="299" spans="4:4" ht="17.649999999999999" x14ac:dyDescent="0.5">
      <c r="D299" s="3" t="s">
        <v>68</v>
      </c>
    </row>
    <row r="300" spans="4:4" ht="17.649999999999999" x14ac:dyDescent="0.5">
      <c r="D300" s="3" t="s">
        <v>69</v>
      </c>
    </row>
    <row r="301" spans="4:4" ht="17.649999999999999" x14ac:dyDescent="0.5">
      <c r="D301" s="3" t="s">
        <v>83</v>
      </c>
    </row>
    <row r="302" spans="4:4" ht="17.649999999999999" x14ac:dyDescent="0.5">
      <c r="D302" s="3" t="s">
        <v>133</v>
      </c>
    </row>
    <row r="303" spans="4:4" ht="17.649999999999999" x14ac:dyDescent="0.5">
      <c r="D303" s="3" t="s">
        <v>90</v>
      </c>
    </row>
    <row r="304" spans="4:4" ht="17.649999999999999" x14ac:dyDescent="0.5">
      <c r="D304" s="3" t="s">
        <v>73</v>
      </c>
    </row>
    <row r="305" spans="4:4" ht="17.649999999999999" x14ac:dyDescent="0.5">
      <c r="D305" s="3" t="s">
        <v>84</v>
      </c>
    </row>
    <row r="306" spans="4:4" ht="17.649999999999999" x14ac:dyDescent="0.5">
      <c r="D306" s="3" t="s">
        <v>98</v>
      </c>
    </row>
    <row r="307" spans="4:4" ht="17.649999999999999" x14ac:dyDescent="0.5">
      <c r="D307" s="3" t="s">
        <v>132</v>
      </c>
    </row>
    <row r="308" spans="4:4" ht="17.649999999999999" x14ac:dyDescent="0.5">
      <c r="D308" s="3" t="s">
        <v>90</v>
      </c>
    </row>
    <row r="309" spans="4:4" ht="17.649999999999999" x14ac:dyDescent="0.5">
      <c r="D309" s="3" t="s">
        <v>56</v>
      </c>
    </row>
    <row r="310" spans="4:4" ht="17.649999999999999" x14ac:dyDescent="0.5">
      <c r="D310" s="3" t="s">
        <v>83</v>
      </c>
    </row>
    <row r="311" spans="4:4" ht="17.649999999999999" x14ac:dyDescent="0.5">
      <c r="D311" s="3" t="s">
        <v>50</v>
      </c>
    </row>
    <row r="312" spans="4:4" ht="17.649999999999999" x14ac:dyDescent="0.5">
      <c r="D312" s="3" t="s">
        <v>74</v>
      </c>
    </row>
    <row r="313" spans="4:4" ht="17.649999999999999" x14ac:dyDescent="0.5">
      <c r="D313" s="3" t="s">
        <v>129</v>
      </c>
    </row>
    <row r="314" spans="4:4" ht="17.649999999999999" x14ac:dyDescent="0.5">
      <c r="D314" s="3" t="s">
        <v>84</v>
      </c>
    </row>
    <row r="315" spans="4:4" ht="17.649999999999999" x14ac:dyDescent="0.5">
      <c r="D315" s="3" t="s">
        <v>50</v>
      </c>
    </row>
    <row r="316" spans="4:4" ht="17.649999999999999" x14ac:dyDescent="0.5">
      <c r="D316" s="3" t="s">
        <v>105</v>
      </c>
    </row>
    <row r="317" spans="4:4" ht="17.649999999999999" x14ac:dyDescent="0.5">
      <c r="D317" s="3" t="s">
        <v>94</v>
      </c>
    </row>
    <row r="318" spans="4:4" ht="17.649999999999999" x14ac:dyDescent="0.5">
      <c r="D318" s="3" t="s">
        <v>55</v>
      </c>
    </row>
    <row r="319" spans="4:4" ht="17.649999999999999" x14ac:dyDescent="0.5">
      <c r="D319" s="3" t="s">
        <v>103</v>
      </c>
    </row>
    <row r="320" spans="4:4" ht="17.649999999999999" x14ac:dyDescent="0.5">
      <c r="D320" s="3" t="s">
        <v>107</v>
      </c>
    </row>
    <row r="321" spans="4:4" ht="17.649999999999999" x14ac:dyDescent="0.5">
      <c r="D321" s="3" t="s">
        <v>53</v>
      </c>
    </row>
    <row r="322" spans="4:4" ht="17.649999999999999" x14ac:dyDescent="0.5">
      <c r="D322" s="3" t="s">
        <v>56</v>
      </c>
    </row>
    <row r="323" spans="4:4" ht="17.649999999999999" x14ac:dyDescent="0.5">
      <c r="D323" s="3" t="s">
        <v>121</v>
      </c>
    </row>
    <row r="324" spans="4:4" ht="17.649999999999999" x14ac:dyDescent="0.5">
      <c r="D324" s="3" t="s">
        <v>77</v>
      </c>
    </row>
    <row r="325" spans="4:4" ht="17.649999999999999" x14ac:dyDescent="0.5">
      <c r="D325" s="3" t="s">
        <v>54</v>
      </c>
    </row>
    <row r="326" spans="4:4" ht="17.649999999999999" x14ac:dyDescent="0.5">
      <c r="D326" s="3" t="s">
        <v>108</v>
      </c>
    </row>
    <row r="327" spans="4:4" ht="17.649999999999999" x14ac:dyDescent="0.5">
      <c r="D327" s="3" t="s">
        <v>96</v>
      </c>
    </row>
    <row r="328" spans="4:4" ht="17.649999999999999" x14ac:dyDescent="0.5">
      <c r="D328" s="3" t="s">
        <v>53</v>
      </c>
    </row>
    <row r="329" spans="4:4" ht="17.649999999999999" x14ac:dyDescent="0.5">
      <c r="D329" s="3" t="s">
        <v>94</v>
      </c>
    </row>
    <row r="330" spans="4:4" ht="17.649999999999999" x14ac:dyDescent="0.5">
      <c r="D330" s="3" t="s">
        <v>120</v>
      </c>
    </row>
    <row r="331" spans="4:4" ht="17.649999999999999" x14ac:dyDescent="0.5">
      <c r="D331" s="3" t="s">
        <v>64</v>
      </c>
    </row>
    <row r="332" spans="4:4" ht="17.649999999999999" x14ac:dyDescent="0.5">
      <c r="D332" s="3" t="s">
        <v>82</v>
      </c>
    </row>
    <row r="333" spans="4:4" ht="17.649999999999999" x14ac:dyDescent="0.5">
      <c r="D333" s="3" t="s">
        <v>118</v>
      </c>
    </row>
    <row r="334" spans="4:4" ht="17.649999999999999" x14ac:dyDescent="0.5">
      <c r="D334" s="3" t="s">
        <v>57</v>
      </c>
    </row>
    <row r="335" spans="4:4" ht="17.649999999999999" x14ac:dyDescent="0.5">
      <c r="D335" s="3" t="s">
        <v>62</v>
      </c>
    </row>
    <row r="336" spans="4:4" ht="17.649999999999999" x14ac:dyDescent="0.5">
      <c r="D336" s="3" t="s">
        <v>55</v>
      </c>
    </row>
    <row r="337" spans="4:4" ht="17.649999999999999" x14ac:dyDescent="0.5">
      <c r="D337" s="3" t="s">
        <v>82</v>
      </c>
    </row>
    <row r="338" spans="4:4" ht="17.649999999999999" x14ac:dyDescent="0.5">
      <c r="D338" s="3" t="s">
        <v>91</v>
      </c>
    </row>
    <row r="339" spans="4:4" ht="17.649999999999999" x14ac:dyDescent="0.5">
      <c r="D339" s="3" t="s">
        <v>47</v>
      </c>
    </row>
    <row r="340" spans="4:4" ht="17.649999999999999" x14ac:dyDescent="0.5">
      <c r="D340" s="3" t="s">
        <v>60</v>
      </c>
    </row>
    <row r="341" spans="4:4" ht="17.649999999999999" x14ac:dyDescent="0.5">
      <c r="D341" s="3" t="s">
        <v>46</v>
      </c>
    </row>
    <row r="342" spans="4:4" ht="17.649999999999999" x14ac:dyDescent="0.5">
      <c r="D342" s="3" t="s">
        <v>92</v>
      </c>
    </row>
    <row r="343" spans="4:4" ht="17.649999999999999" x14ac:dyDescent="0.5">
      <c r="D343" s="3" t="s">
        <v>64</v>
      </c>
    </row>
    <row r="344" spans="4:4" ht="17.649999999999999" x14ac:dyDescent="0.5">
      <c r="D344" s="3" t="s">
        <v>56</v>
      </c>
    </row>
    <row r="345" spans="4:4" ht="17.649999999999999" x14ac:dyDescent="0.5">
      <c r="D345" s="3" t="s">
        <v>130</v>
      </c>
    </row>
    <row r="346" spans="4:4" ht="17.649999999999999" x14ac:dyDescent="0.5">
      <c r="D346" s="3" t="s">
        <v>48</v>
      </c>
    </row>
    <row r="347" spans="4:4" ht="17.649999999999999" x14ac:dyDescent="0.5">
      <c r="D347" s="3" t="s">
        <v>77</v>
      </c>
    </row>
    <row r="348" spans="4:4" ht="17.649999999999999" x14ac:dyDescent="0.5">
      <c r="D348" s="3" t="s">
        <v>67</v>
      </c>
    </row>
    <row r="349" spans="4:4" ht="17.649999999999999" x14ac:dyDescent="0.5">
      <c r="D349" s="3" t="s">
        <v>77</v>
      </c>
    </row>
    <row r="350" spans="4:4" ht="17.649999999999999" x14ac:dyDescent="0.5">
      <c r="D350" s="3" t="s">
        <v>51</v>
      </c>
    </row>
    <row r="351" spans="4:4" ht="17.649999999999999" x14ac:dyDescent="0.5">
      <c r="D351" s="3" t="s">
        <v>95</v>
      </c>
    </row>
    <row r="352" spans="4:4" ht="17.649999999999999" x14ac:dyDescent="0.5">
      <c r="D352" s="3" t="s">
        <v>51</v>
      </c>
    </row>
    <row r="353" spans="4:4" ht="17.649999999999999" x14ac:dyDescent="0.5">
      <c r="D353" s="3" t="s">
        <v>46</v>
      </c>
    </row>
    <row r="354" spans="4:4" ht="17.649999999999999" x14ac:dyDescent="0.5">
      <c r="D354" s="3" t="s">
        <v>77</v>
      </c>
    </row>
    <row r="355" spans="4:4" ht="17.649999999999999" x14ac:dyDescent="0.5">
      <c r="D355" s="3" t="s">
        <v>59</v>
      </c>
    </row>
    <row r="356" spans="4:4" ht="17.649999999999999" x14ac:dyDescent="0.5">
      <c r="D356" s="3" t="s">
        <v>94</v>
      </c>
    </row>
    <row r="357" spans="4:4" ht="17.649999999999999" x14ac:dyDescent="0.5">
      <c r="D357" s="3" t="s">
        <v>90</v>
      </c>
    </row>
    <row r="358" spans="4:4" ht="17.649999999999999" x14ac:dyDescent="0.5">
      <c r="D358" s="3" t="s">
        <v>66</v>
      </c>
    </row>
    <row r="359" spans="4:4" ht="17.649999999999999" x14ac:dyDescent="0.5">
      <c r="D359" s="3" t="s">
        <v>80</v>
      </c>
    </row>
    <row r="360" spans="4:4" ht="17.649999999999999" x14ac:dyDescent="0.5">
      <c r="D360" s="3" t="s">
        <v>108</v>
      </c>
    </row>
    <row r="361" spans="4:4" ht="17.649999999999999" x14ac:dyDescent="0.5">
      <c r="D361" s="3" t="s">
        <v>87</v>
      </c>
    </row>
    <row r="362" spans="4:4" ht="17.649999999999999" x14ac:dyDescent="0.5">
      <c r="D362" s="3" t="s">
        <v>92</v>
      </c>
    </row>
    <row r="363" spans="4:4" ht="17.649999999999999" x14ac:dyDescent="0.5">
      <c r="D363" s="3" t="s">
        <v>57</v>
      </c>
    </row>
    <row r="364" spans="4:4" ht="17.649999999999999" x14ac:dyDescent="0.5">
      <c r="D364" s="3" t="s">
        <v>133</v>
      </c>
    </row>
    <row r="365" spans="4:4" ht="17.649999999999999" x14ac:dyDescent="0.5">
      <c r="D365" s="3" t="s">
        <v>53</v>
      </c>
    </row>
    <row r="366" spans="4:4" ht="17.649999999999999" x14ac:dyDescent="0.5">
      <c r="D366" s="3" t="s">
        <v>77</v>
      </c>
    </row>
    <row r="367" spans="4:4" ht="17.649999999999999" x14ac:dyDescent="0.5">
      <c r="D367" s="3" t="s">
        <v>48</v>
      </c>
    </row>
    <row r="368" spans="4:4" ht="17.649999999999999" x14ac:dyDescent="0.5">
      <c r="D368" s="3" t="s">
        <v>52</v>
      </c>
    </row>
    <row r="369" spans="4:4" ht="17.649999999999999" x14ac:dyDescent="0.5">
      <c r="D369" s="3" t="s">
        <v>41</v>
      </c>
    </row>
    <row r="370" spans="4:4" ht="17.649999999999999" x14ac:dyDescent="0.5">
      <c r="D370" s="3" t="s">
        <v>74</v>
      </c>
    </row>
    <row r="371" spans="4:4" ht="17.649999999999999" x14ac:dyDescent="0.5">
      <c r="D371" s="3" t="s">
        <v>61</v>
      </c>
    </row>
    <row r="372" spans="4:4" ht="17.649999999999999" x14ac:dyDescent="0.5">
      <c r="D372" s="3" t="s">
        <v>50</v>
      </c>
    </row>
    <row r="373" spans="4:4" ht="17.649999999999999" x14ac:dyDescent="0.5">
      <c r="D373" s="3" t="s">
        <v>101</v>
      </c>
    </row>
    <row r="374" spans="4:4" ht="17.649999999999999" x14ac:dyDescent="0.5">
      <c r="D374" s="3" t="s">
        <v>75</v>
      </c>
    </row>
    <row r="375" spans="4:4" ht="17.649999999999999" x14ac:dyDescent="0.5">
      <c r="D375" s="3" t="s">
        <v>49</v>
      </c>
    </row>
    <row r="376" spans="4:4" ht="17.649999999999999" x14ac:dyDescent="0.5">
      <c r="D376" s="3" t="s">
        <v>68</v>
      </c>
    </row>
    <row r="377" spans="4:4" ht="17.649999999999999" x14ac:dyDescent="0.5">
      <c r="D377" s="3" t="s">
        <v>56</v>
      </c>
    </row>
    <row r="378" spans="4:4" ht="17.649999999999999" x14ac:dyDescent="0.5">
      <c r="D378" s="3" t="s">
        <v>92</v>
      </c>
    </row>
    <row r="379" spans="4:4" ht="17.649999999999999" x14ac:dyDescent="0.5">
      <c r="D379" s="3" t="s">
        <v>47</v>
      </c>
    </row>
    <row r="380" spans="4:4" ht="17.649999999999999" x14ac:dyDescent="0.5">
      <c r="D380" s="3" t="s">
        <v>111</v>
      </c>
    </row>
    <row r="381" spans="4:4" ht="17.649999999999999" x14ac:dyDescent="0.5">
      <c r="D381" s="3" t="s">
        <v>98</v>
      </c>
    </row>
    <row r="382" spans="4:4" ht="17.649999999999999" x14ac:dyDescent="0.5">
      <c r="D382" s="3" t="s">
        <v>113</v>
      </c>
    </row>
    <row r="383" spans="4:4" ht="17.649999999999999" x14ac:dyDescent="0.5">
      <c r="D383" s="3" t="s">
        <v>81</v>
      </c>
    </row>
    <row r="384" spans="4:4" ht="17.649999999999999" x14ac:dyDescent="0.5">
      <c r="D384" s="3" t="s">
        <v>65</v>
      </c>
    </row>
    <row r="385" spans="4:4" ht="17.649999999999999" x14ac:dyDescent="0.5">
      <c r="D385" s="3" t="s">
        <v>84</v>
      </c>
    </row>
    <row r="386" spans="4:4" ht="17.649999999999999" x14ac:dyDescent="0.5">
      <c r="D386" s="3" t="s">
        <v>104</v>
      </c>
    </row>
    <row r="387" spans="4:4" ht="17.649999999999999" x14ac:dyDescent="0.5">
      <c r="D387" s="3" t="s">
        <v>76</v>
      </c>
    </row>
    <row r="388" spans="4:4" ht="17.649999999999999" x14ac:dyDescent="0.5">
      <c r="D388" s="3" t="s">
        <v>68</v>
      </c>
    </row>
    <row r="389" spans="4:4" ht="17.649999999999999" x14ac:dyDescent="0.5">
      <c r="D389" s="3" t="s">
        <v>64</v>
      </c>
    </row>
    <row r="390" spans="4:4" ht="17.649999999999999" x14ac:dyDescent="0.5">
      <c r="D390" s="3" t="s">
        <v>110</v>
      </c>
    </row>
    <row r="391" spans="4:4" ht="17.649999999999999" x14ac:dyDescent="0.5">
      <c r="D391" s="3" t="s">
        <v>43</v>
      </c>
    </row>
    <row r="392" spans="4:4" ht="17.649999999999999" x14ac:dyDescent="0.5">
      <c r="D392" s="3" t="s">
        <v>63</v>
      </c>
    </row>
    <row r="393" spans="4:4" ht="17.649999999999999" x14ac:dyDescent="0.5">
      <c r="D393" s="3" t="s">
        <v>55</v>
      </c>
    </row>
    <row r="394" spans="4:4" ht="17.649999999999999" x14ac:dyDescent="0.5">
      <c r="D394" s="3" t="s">
        <v>133</v>
      </c>
    </row>
    <row r="395" spans="4:4" ht="17.649999999999999" x14ac:dyDescent="0.5">
      <c r="D395" s="3" t="s">
        <v>45</v>
      </c>
    </row>
    <row r="396" spans="4:4" ht="17.649999999999999" x14ac:dyDescent="0.5">
      <c r="D396" s="3" t="s">
        <v>78</v>
      </c>
    </row>
    <row r="397" spans="4:4" ht="17.649999999999999" x14ac:dyDescent="0.5">
      <c r="D397" s="3" t="s">
        <v>57</v>
      </c>
    </row>
    <row r="398" spans="4:4" ht="17.649999999999999" x14ac:dyDescent="0.5">
      <c r="D398" s="3" t="s">
        <v>81</v>
      </c>
    </row>
    <row r="399" spans="4:4" ht="17.649999999999999" x14ac:dyDescent="0.5">
      <c r="D399" s="3" t="s">
        <v>90</v>
      </c>
    </row>
    <row r="400" spans="4:4" ht="17.649999999999999" x14ac:dyDescent="0.5">
      <c r="D400" s="3" t="s">
        <v>73</v>
      </c>
    </row>
    <row r="401" spans="4:4" ht="17.649999999999999" x14ac:dyDescent="0.5">
      <c r="D401" s="3" t="s">
        <v>47</v>
      </c>
    </row>
    <row r="402" spans="4:4" ht="17.649999999999999" x14ac:dyDescent="0.5">
      <c r="D402" s="3" t="s">
        <v>107</v>
      </c>
    </row>
    <row r="403" spans="4:4" ht="17.649999999999999" x14ac:dyDescent="0.5">
      <c r="D403" s="3" t="s">
        <v>90</v>
      </c>
    </row>
    <row r="404" spans="4:4" ht="17.649999999999999" x14ac:dyDescent="0.5">
      <c r="D404" s="3" t="s">
        <v>53</v>
      </c>
    </row>
    <row r="405" spans="4:4" ht="17.649999999999999" x14ac:dyDescent="0.5">
      <c r="D405" s="3" t="s">
        <v>57</v>
      </c>
    </row>
    <row r="406" spans="4:4" ht="17.649999999999999" x14ac:dyDescent="0.5">
      <c r="D406" s="3" t="s">
        <v>52</v>
      </c>
    </row>
    <row r="407" spans="4:4" ht="17.649999999999999" x14ac:dyDescent="0.5">
      <c r="D407" s="3" t="s">
        <v>77</v>
      </c>
    </row>
    <row r="408" spans="4:4" ht="17.649999999999999" x14ac:dyDescent="0.5">
      <c r="D408" s="3" t="s">
        <v>100</v>
      </c>
    </row>
    <row r="409" spans="4:4" ht="17.649999999999999" x14ac:dyDescent="0.5">
      <c r="D409" s="3" t="s">
        <v>88</v>
      </c>
    </row>
    <row r="410" spans="4:4" ht="17.649999999999999" x14ac:dyDescent="0.5">
      <c r="D410" s="3" t="s">
        <v>81</v>
      </c>
    </row>
    <row r="411" spans="4:4" ht="17.649999999999999" x14ac:dyDescent="0.5">
      <c r="D411" s="3" t="s">
        <v>102</v>
      </c>
    </row>
    <row r="412" spans="4:4" ht="17.649999999999999" x14ac:dyDescent="0.5">
      <c r="D412" s="3" t="s">
        <v>85</v>
      </c>
    </row>
    <row r="413" spans="4:4" ht="17.649999999999999" x14ac:dyDescent="0.5">
      <c r="D413" s="3" t="s">
        <v>122</v>
      </c>
    </row>
    <row r="414" spans="4:4" ht="17.649999999999999" x14ac:dyDescent="0.5">
      <c r="D414" s="3" t="s">
        <v>98</v>
      </c>
    </row>
    <row r="415" spans="4:4" ht="17.649999999999999" x14ac:dyDescent="0.5">
      <c r="D415" s="3" t="s">
        <v>115</v>
      </c>
    </row>
    <row r="416" spans="4:4" ht="17.649999999999999" x14ac:dyDescent="0.5">
      <c r="D416" s="3" t="s">
        <v>54</v>
      </c>
    </row>
    <row r="417" spans="4:4" ht="17.649999999999999" x14ac:dyDescent="0.5">
      <c r="D417" s="3" t="s">
        <v>117</v>
      </c>
    </row>
    <row r="418" spans="4:4" ht="17.649999999999999" x14ac:dyDescent="0.5">
      <c r="D418" s="3" t="s">
        <v>56</v>
      </c>
    </row>
    <row r="419" spans="4:4" ht="17.649999999999999" x14ac:dyDescent="0.5">
      <c r="D419" s="3" t="s">
        <v>90</v>
      </c>
    </row>
    <row r="420" spans="4:4" ht="17.649999999999999" x14ac:dyDescent="0.5">
      <c r="D420" s="3" t="s">
        <v>91</v>
      </c>
    </row>
    <row r="421" spans="4:4" ht="17.649999999999999" x14ac:dyDescent="0.5">
      <c r="D421" s="3" t="s">
        <v>58</v>
      </c>
    </row>
    <row r="422" spans="4:4" ht="17.649999999999999" x14ac:dyDescent="0.5">
      <c r="D422" s="3" t="s">
        <v>73</v>
      </c>
    </row>
    <row r="423" spans="4:4" ht="17.649999999999999" x14ac:dyDescent="0.5">
      <c r="D423" s="3" t="s">
        <v>99</v>
      </c>
    </row>
    <row r="424" spans="4:4" ht="17.649999999999999" x14ac:dyDescent="0.5">
      <c r="D424" s="3" t="s">
        <v>41</v>
      </c>
    </row>
    <row r="425" spans="4:4" ht="17.649999999999999" x14ac:dyDescent="0.5">
      <c r="D425" s="3" t="s">
        <v>43</v>
      </c>
    </row>
    <row r="426" spans="4:4" ht="17.649999999999999" x14ac:dyDescent="0.5">
      <c r="D426" s="3" t="s">
        <v>83</v>
      </c>
    </row>
    <row r="427" spans="4:4" ht="17.649999999999999" x14ac:dyDescent="0.5">
      <c r="D427" s="3" t="s">
        <v>126</v>
      </c>
    </row>
    <row r="428" spans="4:4" ht="17.649999999999999" x14ac:dyDescent="0.5">
      <c r="D428" s="3" t="s">
        <v>117</v>
      </c>
    </row>
    <row r="429" spans="4:4" ht="17.649999999999999" x14ac:dyDescent="0.5">
      <c r="D429" s="3" t="s">
        <v>71</v>
      </c>
    </row>
    <row r="430" spans="4:4" ht="17.649999999999999" x14ac:dyDescent="0.5">
      <c r="D430" s="3" t="s">
        <v>46</v>
      </c>
    </row>
    <row r="431" spans="4:4" ht="17.649999999999999" x14ac:dyDescent="0.5">
      <c r="D431" s="3" t="s">
        <v>52</v>
      </c>
    </row>
    <row r="432" spans="4:4" ht="17.649999999999999" x14ac:dyDescent="0.5">
      <c r="D432" s="3" t="s">
        <v>91</v>
      </c>
    </row>
    <row r="433" spans="4:4" ht="17.649999999999999" x14ac:dyDescent="0.5">
      <c r="D433" s="3" t="s">
        <v>76</v>
      </c>
    </row>
    <row r="434" spans="4:4" ht="17.649999999999999" x14ac:dyDescent="0.5">
      <c r="D434" s="3" t="s">
        <v>51</v>
      </c>
    </row>
    <row r="435" spans="4:4" ht="17.649999999999999" x14ac:dyDescent="0.5">
      <c r="D435" s="3" t="s">
        <v>112</v>
      </c>
    </row>
    <row r="436" spans="4:4" ht="17.649999999999999" x14ac:dyDescent="0.5">
      <c r="D436" s="3" t="s">
        <v>77</v>
      </c>
    </row>
    <row r="437" spans="4:4" ht="17.649999999999999" x14ac:dyDescent="0.5">
      <c r="D437" s="3" t="s">
        <v>129</v>
      </c>
    </row>
    <row r="438" spans="4:4" ht="17.649999999999999" x14ac:dyDescent="0.5">
      <c r="D438" s="3" t="s">
        <v>46</v>
      </c>
    </row>
    <row r="439" spans="4:4" ht="17.649999999999999" x14ac:dyDescent="0.5">
      <c r="D439" s="3" t="s">
        <v>54</v>
      </c>
    </row>
    <row r="440" spans="4:4" ht="17.649999999999999" x14ac:dyDescent="0.5">
      <c r="D440" s="3" t="s">
        <v>103</v>
      </c>
    </row>
    <row r="441" spans="4:4" ht="17.649999999999999" x14ac:dyDescent="0.5">
      <c r="D441" s="3" t="s">
        <v>55</v>
      </c>
    </row>
    <row r="442" spans="4:4" ht="17.649999999999999" x14ac:dyDescent="0.5">
      <c r="D442" s="3" t="s">
        <v>48</v>
      </c>
    </row>
    <row r="443" spans="4:4" ht="17.649999999999999" x14ac:dyDescent="0.5">
      <c r="D443" s="3" t="s">
        <v>47</v>
      </c>
    </row>
    <row r="444" spans="4:4" ht="17.649999999999999" x14ac:dyDescent="0.5">
      <c r="D444" s="3" t="s">
        <v>114</v>
      </c>
    </row>
    <row r="445" spans="4:4" ht="17.649999999999999" x14ac:dyDescent="0.5">
      <c r="D445" s="3" t="s">
        <v>77</v>
      </c>
    </row>
    <row r="446" spans="4:4" ht="17.649999999999999" x14ac:dyDescent="0.5">
      <c r="D446" s="3" t="s">
        <v>75</v>
      </c>
    </row>
    <row r="447" spans="4:4" ht="17.649999999999999" x14ac:dyDescent="0.5">
      <c r="D447" s="3" t="s">
        <v>101</v>
      </c>
    </row>
    <row r="448" spans="4:4" ht="17.649999999999999" x14ac:dyDescent="0.5">
      <c r="D448" s="3" t="s">
        <v>47</v>
      </c>
    </row>
    <row r="449" spans="4:4" ht="17.649999999999999" x14ac:dyDescent="0.5">
      <c r="D449" s="3" t="s">
        <v>50</v>
      </c>
    </row>
    <row r="450" spans="4:4" ht="17.649999999999999" x14ac:dyDescent="0.5">
      <c r="D450" s="3" t="s">
        <v>67</v>
      </c>
    </row>
    <row r="451" spans="4:4" ht="17.649999999999999" x14ac:dyDescent="0.5">
      <c r="D451" s="3" t="s">
        <v>49</v>
      </c>
    </row>
    <row r="452" spans="4:4" ht="17.649999999999999" x14ac:dyDescent="0.5">
      <c r="D452" s="3" t="s">
        <v>46</v>
      </c>
    </row>
    <row r="453" spans="4:4" ht="17.649999999999999" x14ac:dyDescent="0.5">
      <c r="D453" s="3" t="s">
        <v>66</v>
      </c>
    </row>
    <row r="454" spans="4:4" ht="17.649999999999999" x14ac:dyDescent="0.5">
      <c r="D454" s="3" t="s">
        <v>59</v>
      </c>
    </row>
    <row r="455" spans="4:4" ht="17.649999999999999" x14ac:dyDescent="0.5">
      <c r="D455" s="3" t="s">
        <v>101</v>
      </c>
    </row>
    <row r="456" spans="4:4" ht="17.649999999999999" x14ac:dyDescent="0.5">
      <c r="D456" s="3" t="s">
        <v>55</v>
      </c>
    </row>
    <row r="457" spans="4:4" ht="17.649999999999999" x14ac:dyDescent="0.5">
      <c r="D457" s="3" t="s">
        <v>89</v>
      </c>
    </row>
    <row r="458" spans="4:4" ht="17.649999999999999" x14ac:dyDescent="0.5">
      <c r="D458" s="3" t="s">
        <v>41</v>
      </c>
    </row>
    <row r="459" spans="4:4" ht="17.649999999999999" x14ac:dyDescent="0.5">
      <c r="D459" s="3" t="s">
        <v>43</v>
      </c>
    </row>
    <row r="460" spans="4:4" ht="17.649999999999999" x14ac:dyDescent="0.5">
      <c r="D460" s="3" t="s">
        <v>96</v>
      </c>
    </row>
    <row r="461" spans="4:4" ht="17.649999999999999" x14ac:dyDescent="0.5">
      <c r="D461" s="3" t="s">
        <v>71</v>
      </c>
    </row>
    <row r="462" spans="4:4" ht="17.649999999999999" x14ac:dyDescent="0.5">
      <c r="D462" s="3" t="s">
        <v>78</v>
      </c>
    </row>
    <row r="463" spans="4:4" ht="17.649999999999999" x14ac:dyDescent="0.5">
      <c r="D463" s="3" t="s">
        <v>87</v>
      </c>
    </row>
    <row r="464" spans="4:4" ht="17.649999999999999" x14ac:dyDescent="0.5">
      <c r="D464" s="3" t="s">
        <v>64</v>
      </c>
    </row>
    <row r="465" spans="4:4" ht="17.649999999999999" x14ac:dyDescent="0.5">
      <c r="D465" s="3" t="s">
        <v>65</v>
      </c>
    </row>
    <row r="466" spans="4:4" ht="17.649999999999999" x14ac:dyDescent="0.5">
      <c r="D466" s="3" t="s">
        <v>64</v>
      </c>
    </row>
    <row r="467" spans="4:4" ht="17.649999999999999" x14ac:dyDescent="0.5">
      <c r="D467" s="3" t="s">
        <v>61</v>
      </c>
    </row>
    <row r="468" spans="4:4" ht="17.649999999999999" x14ac:dyDescent="0.5">
      <c r="D468" s="3" t="s">
        <v>48</v>
      </c>
    </row>
    <row r="469" spans="4:4" ht="17.649999999999999" x14ac:dyDescent="0.5">
      <c r="D469" s="3" t="s">
        <v>133</v>
      </c>
    </row>
    <row r="470" spans="4:4" ht="17.649999999999999" x14ac:dyDescent="0.5">
      <c r="D470" s="3" t="s">
        <v>117</v>
      </c>
    </row>
    <row r="471" spans="4:4" ht="17.649999999999999" x14ac:dyDescent="0.5">
      <c r="D471" s="3" t="s">
        <v>94</v>
      </c>
    </row>
    <row r="472" spans="4:4" ht="17.649999999999999" x14ac:dyDescent="0.5">
      <c r="D472" s="3" t="s">
        <v>43</v>
      </c>
    </row>
    <row r="473" spans="4:4" ht="17.649999999999999" x14ac:dyDescent="0.5">
      <c r="D473" s="3" t="s">
        <v>49</v>
      </c>
    </row>
    <row r="474" spans="4:4" ht="17.649999999999999" x14ac:dyDescent="0.5">
      <c r="D474" s="3" t="s">
        <v>77</v>
      </c>
    </row>
    <row r="475" spans="4:4" ht="17.649999999999999" x14ac:dyDescent="0.5">
      <c r="D475" s="3" t="s">
        <v>112</v>
      </c>
    </row>
    <row r="476" spans="4:4" ht="17.649999999999999" x14ac:dyDescent="0.5">
      <c r="D476" s="3" t="s">
        <v>103</v>
      </c>
    </row>
    <row r="477" spans="4:4" ht="17.649999999999999" x14ac:dyDescent="0.5">
      <c r="D477" s="3" t="s">
        <v>106</v>
      </c>
    </row>
    <row r="478" spans="4:4" ht="17.649999999999999" x14ac:dyDescent="0.5">
      <c r="D478" s="3" t="s">
        <v>94</v>
      </c>
    </row>
    <row r="479" spans="4:4" ht="17.649999999999999" x14ac:dyDescent="0.5">
      <c r="D479" s="3" t="s">
        <v>98</v>
      </c>
    </row>
    <row r="480" spans="4:4" ht="17.649999999999999" x14ac:dyDescent="0.5">
      <c r="D480" s="3" t="s">
        <v>73</v>
      </c>
    </row>
    <row r="481" spans="4:4" ht="17.649999999999999" x14ac:dyDescent="0.5">
      <c r="D481" s="3" t="s">
        <v>126</v>
      </c>
    </row>
    <row r="482" spans="4:4" ht="17.649999999999999" x14ac:dyDescent="0.5">
      <c r="D482" s="3" t="s">
        <v>68</v>
      </c>
    </row>
    <row r="483" spans="4:4" ht="17.649999999999999" x14ac:dyDescent="0.5">
      <c r="D483" s="3" t="s">
        <v>52</v>
      </c>
    </row>
    <row r="484" spans="4:4" ht="17.649999999999999" x14ac:dyDescent="0.5">
      <c r="D484" s="3" t="s">
        <v>73</v>
      </c>
    </row>
    <row r="485" spans="4:4" ht="17.649999999999999" x14ac:dyDescent="0.5">
      <c r="D485" s="3" t="s">
        <v>129</v>
      </c>
    </row>
    <row r="486" spans="4:4" ht="17.649999999999999" x14ac:dyDescent="0.5">
      <c r="D486" s="3" t="s">
        <v>43</v>
      </c>
    </row>
    <row r="487" spans="4:4" ht="17.649999999999999" x14ac:dyDescent="0.5">
      <c r="D487" s="3" t="s">
        <v>74</v>
      </c>
    </row>
    <row r="488" spans="4:4" ht="17.649999999999999" x14ac:dyDescent="0.5">
      <c r="D488" s="3" t="s">
        <v>60</v>
      </c>
    </row>
    <row r="489" spans="4:4" ht="17.649999999999999" x14ac:dyDescent="0.5">
      <c r="D489" s="3" t="s">
        <v>48</v>
      </c>
    </row>
    <row r="490" spans="4:4" ht="17.649999999999999" x14ac:dyDescent="0.5">
      <c r="D490" s="3" t="s">
        <v>61</v>
      </c>
    </row>
    <row r="491" spans="4:4" ht="17.649999999999999" x14ac:dyDescent="0.5">
      <c r="D491" s="3" t="s">
        <v>105</v>
      </c>
    </row>
    <row r="492" spans="4:4" ht="17.649999999999999" x14ac:dyDescent="0.5">
      <c r="D492" s="3" t="s">
        <v>46</v>
      </c>
    </row>
    <row r="493" spans="4:4" ht="17.649999999999999" x14ac:dyDescent="0.5">
      <c r="D493" s="3" t="s">
        <v>103</v>
      </c>
    </row>
    <row r="494" spans="4:4" ht="17.649999999999999" x14ac:dyDescent="0.5">
      <c r="D494" s="3" t="s">
        <v>63</v>
      </c>
    </row>
    <row r="495" spans="4:4" ht="17.649999999999999" x14ac:dyDescent="0.5">
      <c r="D495" s="3" t="s">
        <v>49</v>
      </c>
    </row>
    <row r="496" spans="4:4" ht="17.649999999999999" x14ac:dyDescent="0.5">
      <c r="D496" s="3" t="s">
        <v>94</v>
      </c>
    </row>
    <row r="497" spans="4:4" ht="17.649999999999999" x14ac:dyDescent="0.5">
      <c r="D497" s="3" t="s">
        <v>52</v>
      </c>
    </row>
    <row r="498" spans="4:4" ht="17.649999999999999" x14ac:dyDescent="0.5">
      <c r="D498" s="3" t="s">
        <v>84</v>
      </c>
    </row>
    <row r="499" spans="4:4" ht="17.649999999999999" x14ac:dyDescent="0.5">
      <c r="D499" s="3" t="s">
        <v>78</v>
      </c>
    </row>
    <row r="500" spans="4:4" ht="17.649999999999999" x14ac:dyDescent="0.5">
      <c r="D500" s="3" t="s">
        <v>75</v>
      </c>
    </row>
    <row r="501" spans="4:4" ht="17.649999999999999" x14ac:dyDescent="0.5">
      <c r="D501" s="3" t="s">
        <v>67</v>
      </c>
    </row>
    <row r="502" spans="4:4" ht="17.649999999999999" x14ac:dyDescent="0.5">
      <c r="D502" s="3" t="s">
        <v>112</v>
      </c>
    </row>
    <row r="503" spans="4:4" ht="17.649999999999999" x14ac:dyDescent="0.5">
      <c r="D503" s="3" t="s">
        <v>84</v>
      </c>
    </row>
    <row r="504" spans="4:4" ht="17.649999999999999" x14ac:dyDescent="0.5">
      <c r="D504" s="3" t="s">
        <v>100</v>
      </c>
    </row>
    <row r="505" spans="4:4" ht="17.649999999999999" x14ac:dyDescent="0.5">
      <c r="D505" s="3" t="s">
        <v>74</v>
      </c>
    </row>
    <row r="506" spans="4:4" ht="17.649999999999999" x14ac:dyDescent="0.5">
      <c r="D506" s="3" t="s">
        <v>41</v>
      </c>
    </row>
    <row r="507" spans="4:4" ht="17.649999999999999" x14ac:dyDescent="0.5">
      <c r="D507" s="3" t="s">
        <v>87</v>
      </c>
    </row>
    <row r="508" spans="4:4" ht="17.649999999999999" x14ac:dyDescent="0.5">
      <c r="D508" s="3" t="s">
        <v>115</v>
      </c>
    </row>
    <row r="509" spans="4:4" ht="17.649999999999999" x14ac:dyDescent="0.5">
      <c r="D509" s="3" t="s">
        <v>73</v>
      </c>
    </row>
    <row r="510" spans="4:4" ht="17.649999999999999" x14ac:dyDescent="0.5">
      <c r="D510" s="3" t="s">
        <v>95</v>
      </c>
    </row>
    <row r="511" spans="4:4" ht="17.649999999999999" x14ac:dyDescent="0.5">
      <c r="D511" s="3" t="s">
        <v>62</v>
      </c>
    </row>
    <row r="512" spans="4:4" ht="17.649999999999999" x14ac:dyDescent="0.5">
      <c r="D512" s="3" t="s">
        <v>101</v>
      </c>
    </row>
    <row r="513" spans="4:4" ht="17.649999999999999" x14ac:dyDescent="0.5">
      <c r="D513" s="3" t="s">
        <v>53</v>
      </c>
    </row>
    <row r="514" spans="4:4" ht="17.649999999999999" x14ac:dyDescent="0.5">
      <c r="D514" s="3" t="s">
        <v>119</v>
      </c>
    </row>
    <row r="515" spans="4:4" ht="17.649999999999999" x14ac:dyDescent="0.5">
      <c r="D515" s="3" t="s">
        <v>54</v>
      </c>
    </row>
    <row r="516" spans="4:4" ht="17.649999999999999" x14ac:dyDescent="0.5">
      <c r="D516" s="3" t="s">
        <v>61</v>
      </c>
    </row>
    <row r="517" spans="4:4" ht="17.649999999999999" x14ac:dyDescent="0.5">
      <c r="D517" s="3" t="s">
        <v>115</v>
      </c>
    </row>
    <row r="518" spans="4:4" ht="17.649999999999999" x14ac:dyDescent="0.5">
      <c r="D518" s="3" t="s">
        <v>64</v>
      </c>
    </row>
    <row r="519" spans="4:4" ht="17.649999999999999" x14ac:dyDescent="0.5">
      <c r="D519" s="3" t="s">
        <v>92</v>
      </c>
    </row>
    <row r="520" spans="4:4" ht="17.649999999999999" x14ac:dyDescent="0.5">
      <c r="D520" s="3" t="s">
        <v>124</v>
      </c>
    </row>
    <row r="521" spans="4:4" ht="17.649999999999999" x14ac:dyDescent="0.5">
      <c r="D521" s="3" t="s">
        <v>93</v>
      </c>
    </row>
    <row r="522" spans="4:4" ht="17.649999999999999" x14ac:dyDescent="0.5">
      <c r="D522" s="3" t="s">
        <v>106</v>
      </c>
    </row>
    <row r="523" spans="4:4" ht="17.649999999999999" x14ac:dyDescent="0.5">
      <c r="D523" s="3" t="s">
        <v>59</v>
      </c>
    </row>
    <row r="524" spans="4:4" ht="17.649999999999999" x14ac:dyDescent="0.5">
      <c r="D524" s="3" t="s">
        <v>46</v>
      </c>
    </row>
    <row r="525" spans="4:4" ht="17.649999999999999" x14ac:dyDescent="0.5">
      <c r="D525" s="3" t="s">
        <v>47</v>
      </c>
    </row>
    <row r="526" spans="4:4" ht="17.649999999999999" x14ac:dyDescent="0.5">
      <c r="D526" s="3" t="s">
        <v>81</v>
      </c>
    </row>
    <row r="527" spans="4:4" ht="17.649999999999999" x14ac:dyDescent="0.5">
      <c r="D527" s="3" t="s">
        <v>51</v>
      </c>
    </row>
    <row r="528" spans="4:4" ht="17.649999999999999" x14ac:dyDescent="0.5">
      <c r="D528" s="3" t="s">
        <v>56</v>
      </c>
    </row>
    <row r="529" spans="4:4" ht="17.649999999999999" x14ac:dyDescent="0.5">
      <c r="D529" s="3" t="s">
        <v>94</v>
      </c>
    </row>
    <row r="530" spans="4:4" ht="17.649999999999999" x14ac:dyDescent="0.5">
      <c r="D530" s="3" t="s">
        <v>78</v>
      </c>
    </row>
    <row r="531" spans="4:4" ht="17.649999999999999" x14ac:dyDescent="0.5">
      <c r="D531" s="3" t="s">
        <v>118</v>
      </c>
    </row>
    <row r="532" spans="4:4" ht="17.649999999999999" x14ac:dyDescent="0.5">
      <c r="D532" s="3" t="s">
        <v>43</v>
      </c>
    </row>
    <row r="533" spans="4:4" ht="17.649999999999999" x14ac:dyDescent="0.5">
      <c r="D533" s="3" t="s">
        <v>67</v>
      </c>
    </row>
    <row r="534" spans="4:4" ht="17.649999999999999" x14ac:dyDescent="0.5">
      <c r="D534" s="3" t="s">
        <v>119</v>
      </c>
    </row>
    <row r="535" spans="4:4" ht="17.649999999999999" x14ac:dyDescent="0.5">
      <c r="D535" s="3" t="s">
        <v>76</v>
      </c>
    </row>
    <row r="536" spans="4:4" ht="17.649999999999999" x14ac:dyDescent="0.5">
      <c r="D536" s="3" t="s">
        <v>53</v>
      </c>
    </row>
    <row r="537" spans="4:4" ht="17.649999999999999" x14ac:dyDescent="0.5">
      <c r="D537" s="3" t="s">
        <v>80</v>
      </c>
    </row>
    <row r="538" spans="4:4" ht="17.649999999999999" x14ac:dyDescent="0.5">
      <c r="D538" s="3" t="s">
        <v>84</v>
      </c>
    </row>
    <row r="539" spans="4:4" ht="17.649999999999999" x14ac:dyDescent="0.5">
      <c r="D539" s="3" t="s">
        <v>50</v>
      </c>
    </row>
    <row r="540" spans="4:4" ht="17.649999999999999" x14ac:dyDescent="0.5">
      <c r="D540" s="3" t="s">
        <v>103</v>
      </c>
    </row>
    <row r="541" spans="4:4" ht="17.649999999999999" x14ac:dyDescent="0.5">
      <c r="D541" s="3" t="s">
        <v>88</v>
      </c>
    </row>
    <row r="542" spans="4:4" ht="17.649999999999999" x14ac:dyDescent="0.5">
      <c r="D542" s="3" t="s">
        <v>83</v>
      </c>
    </row>
    <row r="543" spans="4:4" ht="17.649999999999999" x14ac:dyDescent="0.5">
      <c r="D543" s="3" t="s">
        <v>64</v>
      </c>
    </row>
    <row r="544" spans="4:4" ht="17.649999999999999" x14ac:dyDescent="0.5">
      <c r="D544" s="3" t="s">
        <v>57</v>
      </c>
    </row>
    <row r="545" spans="4:4" ht="17.649999999999999" x14ac:dyDescent="0.5">
      <c r="D545" s="3" t="s">
        <v>74</v>
      </c>
    </row>
    <row r="546" spans="4:4" ht="17.649999999999999" x14ac:dyDescent="0.5">
      <c r="D546" s="3" t="s">
        <v>67</v>
      </c>
    </row>
    <row r="547" spans="4:4" ht="17.649999999999999" x14ac:dyDescent="0.5">
      <c r="D547" s="3" t="s">
        <v>53</v>
      </c>
    </row>
    <row r="548" spans="4:4" ht="17.649999999999999" x14ac:dyDescent="0.5">
      <c r="D548" s="3" t="s">
        <v>106</v>
      </c>
    </row>
    <row r="549" spans="4:4" ht="17.649999999999999" x14ac:dyDescent="0.5">
      <c r="D549" s="3" t="s">
        <v>75</v>
      </c>
    </row>
    <row r="550" spans="4:4" ht="17.649999999999999" x14ac:dyDescent="0.5">
      <c r="D550" s="3" t="s">
        <v>87</v>
      </c>
    </row>
    <row r="551" spans="4:4" ht="17.649999999999999" x14ac:dyDescent="0.5">
      <c r="D551" s="3" t="s">
        <v>58</v>
      </c>
    </row>
    <row r="552" spans="4:4" ht="17.649999999999999" x14ac:dyDescent="0.5">
      <c r="D552" s="3" t="s">
        <v>53</v>
      </c>
    </row>
    <row r="553" spans="4:4" ht="17.649999999999999" x14ac:dyDescent="0.5">
      <c r="D553" s="3" t="s">
        <v>56</v>
      </c>
    </row>
    <row r="554" spans="4:4" ht="17.649999999999999" x14ac:dyDescent="0.5">
      <c r="D554" s="3" t="s">
        <v>84</v>
      </c>
    </row>
    <row r="555" spans="4:4" ht="17.649999999999999" x14ac:dyDescent="0.5">
      <c r="D555" s="3" t="s">
        <v>53</v>
      </c>
    </row>
    <row r="556" spans="4:4" ht="17.649999999999999" x14ac:dyDescent="0.5">
      <c r="D556" s="3" t="s">
        <v>129</v>
      </c>
    </row>
    <row r="557" spans="4:4" ht="17.649999999999999" x14ac:dyDescent="0.5">
      <c r="D557" s="3" t="s">
        <v>90</v>
      </c>
    </row>
    <row r="558" spans="4:4" ht="17.649999999999999" x14ac:dyDescent="0.5">
      <c r="D558" s="3" t="s">
        <v>41</v>
      </c>
    </row>
    <row r="559" spans="4:4" ht="17.649999999999999" x14ac:dyDescent="0.5">
      <c r="D559" s="3" t="s">
        <v>75</v>
      </c>
    </row>
    <row r="560" spans="4:4" ht="17.649999999999999" x14ac:dyDescent="0.5">
      <c r="D560" s="3" t="s">
        <v>85</v>
      </c>
    </row>
    <row r="561" spans="4:4" ht="17.649999999999999" x14ac:dyDescent="0.5">
      <c r="D561" s="3" t="s">
        <v>57</v>
      </c>
    </row>
    <row r="562" spans="4:4" ht="17.649999999999999" x14ac:dyDescent="0.5">
      <c r="D562" s="3" t="s">
        <v>50</v>
      </c>
    </row>
    <row r="563" spans="4:4" ht="17.649999999999999" x14ac:dyDescent="0.5">
      <c r="D563" s="3" t="s">
        <v>65</v>
      </c>
    </row>
    <row r="564" spans="4:4" ht="17.649999999999999" x14ac:dyDescent="0.5">
      <c r="D564" s="3" t="s">
        <v>60</v>
      </c>
    </row>
    <row r="565" spans="4:4" ht="17.649999999999999" x14ac:dyDescent="0.5">
      <c r="D565" s="3" t="s">
        <v>126</v>
      </c>
    </row>
    <row r="566" spans="4:4" ht="17.649999999999999" x14ac:dyDescent="0.5">
      <c r="D566" s="3" t="s">
        <v>74</v>
      </c>
    </row>
    <row r="567" spans="4:4" ht="17.649999999999999" x14ac:dyDescent="0.5">
      <c r="D567" s="3" t="s">
        <v>72</v>
      </c>
    </row>
    <row r="568" spans="4:4" ht="17.649999999999999" x14ac:dyDescent="0.5">
      <c r="D568" s="3" t="s">
        <v>91</v>
      </c>
    </row>
    <row r="569" spans="4:4" ht="17.649999999999999" x14ac:dyDescent="0.5">
      <c r="D569" s="3" t="s">
        <v>56</v>
      </c>
    </row>
    <row r="570" spans="4:4" ht="17.649999999999999" x14ac:dyDescent="0.5">
      <c r="D570" s="3" t="s">
        <v>130</v>
      </c>
    </row>
    <row r="571" spans="4:4" ht="17.649999999999999" x14ac:dyDescent="0.5">
      <c r="D571" s="3" t="s">
        <v>58</v>
      </c>
    </row>
    <row r="572" spans="4:4" ht="17.649999999999999" x14ac:dyDescent="0.5">
      <c r="D572" s="3" t="s">
        <v>84</v>
      </c>
    </row>
    <row r="573" spans="4:4" ht="17.649999999999999" x14ac:dyDescent="0.5">
      <c r="D573" s="3" t="s">
        <v>108</v>
      </c>
    </row>
    <row r="574" spans="4:4" ht="17.649999999999999" x14ac:dyDescent="0.5">
      <c r="D574" s="3" t="s">
        <v>81</v>
      </c>
    </row>
    <row r="575" spans="4:4" ht="17.649999999999999" x14ac:dyDescent="0.5">
      <c r="D575" s="3" t="s">
        <v>60</v>
      </c>
    </row>
    <row r="576" spans="4:4" ht="17.649999999999999" x14ac:dyDescent="0.5">
      <c r="D576" s="3" t="s">
        <v>128</v>
      </c>
    </row>
    <row r="577" spans="4:4" ht="17.649999999999999" x14ac:dyDescent="0.5">
      <c r="D577" s="3" t="s">
        <v>56</v>
      </c>
    </row>
    <row r="578" spans="4:4" ht="17.649999999999999" x14ac:dyDescent="0.5">
      <c r="D578" s="3" t="s">
        <v>55</v>
      </c>
    </row>
    <row r="579" spans="4:4" ht="17.649999999999999" x14ac:dyDescent="0.5">
      <c r="D579" s="3" t="s">
        <v>111</v>
      </c>
    </row>
    <row r="580" spans="4:4" ht="17.649999999999999" x14ac:dyDescent="0.5">
      <c r="D580" s="3" t="s">
        <v>74</v>
      </c>
    </row>
    <row r="581" spans="4:4" ht="17.649999999999999" x14ac:dyDescent="0.5">
      <c r="D581" s="3" t="s">
        <v>60</v>
      </c>
    </row>
    <row r="582" spans="4:4" ht="17.649999999999999" x14ac:dyDescent="0.5">
      <c r="D582" s="3" t="s">
        <v>83</v>
      </c>
    </row>
    <row r="583" spans="4:4" ht="17.649999999999999" x14ac:dyDescent="0.5">
      <c r="D583" s="3" t="s">
        <v>52</v>
      </c>
    </row>
    <row r="584" spans="4:4" ht="17.649999999999999" x14ac:dyDescent="0.5">
      <c r="D584" s="3" t="s">
        <v>51</v>
      </c>
    </row>
    <row r="585" spans="4:4" ht="17.649999999999999" x14ac:dyDescent="0.5">
      <c r="D585" s="3" t="s">
        <v>83</v>
      </c>
    </row>
    <row r="586" spans="4:4" ht="17.649999999999999" x14ac:dyDescent="0.5">
      <c r="D586" s="3" t="s">
        <v>133</v>
      </c>
    </row>
    <row r="587" spans="4:4" ht="17.649999999999999" x14ac:dyDescent="0.5">
      <c r="D587" s="3" t="s">
        <v>89</v>
      </c>
    </row>
    <row r="588" spans="4:4" ht="17.649999999999999" x14ac:dyDescent="0.5">
      <c r="D588" s="3" t="s">
        <v>43</v>
      </c>
    </row>
    <row r="589" spans="4:4" ht="17.649999999999999" x14ac:dyDescent="0.5">
      <c r="D589" s="3" t="s">
        <v>72</v>
      </c>
    </row>
    <row r="590" spans="4:4" ht="17.649999999999999" x14ac:dyDescent="0.5">
      <c r="D590" s="3" t="s">
        <v>53</v>
      </c>
    </row>
    <row r="591" spans="4:4" ht="17.649999999999999" x14ac:dyDescent="0.5">
      <c r="D591" s="3" t="s">
        <v>80</v>
      </c>
    </row>
    <row r="592" spans="4:4" ht="17.649999999999999" x14ac:dyDescent="0.5">
      <c r="D592" s="3" t="s">
        <v>105</v>
      </c>
    </row>
    <row r="593" spans="4:4" ht="17.649999999999999" x14ac:dyDescent="0.5">
      <c r="D593" s="3" t="s">
        <v>55</v>
      </c>
    </row>
    <row r="594" spans="4:4" ht="17.649999999999999" x14ac:dyDescent="0.5">
      <c r="D594" s="3" t="s">
        <v>46</v>
      </c>
    </row>
    <row r="595" spans="4:4" ht="17.649999999999999" x14ac:dyDescent="0.5">
      <c r="D595" s="3" t="s">
        <v>131</v>
      </c>
    </row>
    <row r="596" spans="4:4" ht="17.649999999999999" x14ac:dyDescent="0.5">
      <c r="D596" s="3" t="s">
        <v>73</v>
      </c>
    </row>
    <row r="597" spans="4:4" ht="17.649999999999999" x14ac:dyDescent="0.5">
      <c r="D597" s="3" t="s">
        <v>48</v>
      </c>
    </row>
    <row r="598" spans="4:4" ht="17.649999999999999" x14ac:dyDescent="0.5">
      <c r="D598" s="3" t="s">
        <v>62</v>
      </c>
    </row>
    <row r="599" spans="4:4" ht="17.649999999999999" x14ac:dyDescent="0.5">
      <c r="D599" s="3" t="s">
        <v>43</v>
      </c>
    </row>
    <row r="600" spans="4:4" ht="17.649999999999999" x14ac:dyDescent="0.5">
      <c r="D600" s="3" t="s">
        <v>112</v>
      </c>
    </row>
    <row r="601" spans="4:4" ht="17.649999999999999" x14ac:dyDescent="0.5">
      <c r="D601" s="3" t="s">
        <v>133</v>
      </c>
    </row>
    <row r="602" spans="4:4" ht="17.649999999999999" x14ac:dyDescent="0.5">
      <c r="D602" s="3" t="s">
        <v>94</v>
      </c>
    </row>
    <row r="603" spans="4:4" ht="17.649999999999999" x14ac:dyDescent="0.5">
      <c r="D603" s="3" t="s">
        <v>51</v>
      </c>
    </row>
    <row r="604" spans="4:4" ht="17.649999999999999" x14ac:dyDescent="0.5">
      <c r="D604" s="3" t="s">
        <v>131</v>
      </c>
    </row>
    <row r="605" spans="4:4" ht="17.649999999999999" x14ac:dyDescent="0.5">
      <c r="D605" s="3" t="s">
        <v>101</v>
      </c>
    </row>
    <row r="606" spans="4:4" ht="17.649999999999999" x14ac:dyDescent="0.5">
      <c r="D606" s="3" t="s">
        <v>123</v>
      </c>
    </row>
    <row r="607" spans="4:4" ht="17.649999999999999" x14ac:dyDescent="0.5">
      <c r="D607" s="3" t="s">
        <v>80</v>
      </c>
    </row>
    <row r="608" spans="4:4" ht="17.649999999999999" x14ac:dyDescent="0.5">
      <c r="D608" s="3" t="s">
        <v>54</v>
      </c>
    </row>
    <row r="609" spans="4:4" ht="17.649999999999999" x14ac:dyDescent="0.5">
      <c r="D609" s="3" t="s">
        <v>128</v>
      </c>
    </row>
    <row r="610" spans="4:4" ht="17.649999999999999" x14ac:dyDescent="0.5">
      <c r="D610" s="3" t="s">
        <v>55</v>
      </c>
    </row>
    <row r="611" spans="4:4" ht="17.649999999999999" x14ac:dyDescent="0.5">
      <c r="D611" s="3" t="s">
        <v>50</v>
      </c>
    </row>
    <row r="612" spans="4:4" ht="17.649999999999999" x14ac:dyDescent="0.5">
      <c r="D612" s="3" t="s">
        <v>80</v>
      </c>
    </row>
    <row r="613" spans="4:4" ht="17.649999999999999" x14ac:dyDescent="0.5">
      <c r="D613" s="3" t="s">
        <v>87</v>
      </c>
    </row>
    <row r="614" spans="4:4" ht="17.649999999999999" x14ac:dyDescent="0.5">
      <c r="D614" s="3" t="s">
        <v>52</v>
      </c>
    </row>
    <row r="615" spans="4:4" ht="17.649999999999999" x14ac:dyDescent="0.5">
      <c r="D615" s="3" t="s">
        <v>116</v>
      </c>
    </row>
    <row r="616" spans="4:4" ht="17.649999999999999" x14ac:dyDescent="0.5">
      <c r="D616" s="3" t="s">
        <v>75</v>
      </c>
    </row>
    <row r="617" spans="4:4" ht="17.649999999999999" x14ac:dyDescent="0.5">
      <c r="D617" s="3" t="s">
        <v>51</v>
      </c>
    </row>
    <row r="618" spans="4:4" ht="17.649999999999999" x14ac:dyDescent="0.5">
      <c r="D618" s="3" t="s">
        <v>61</v>
      </c>
    </row>
    <row r="619" spans="4:4" ht="17.649999999999999" x14ac:dyDescent="0.5">
      <c r="D619" s="3" t="s">
        <v>66</v>
      </c>
    </row>
    <row r="620" spans="4:4" ht="17.649999999999999" x14ac:dyDescent="0.5">
      <c r="D620" s="3" t="s">
        <v>87</v>
      </c>
    </row>
    <row r="621" spans="4:4" ht="17.649999999999999" x14ac:dyDescent="0.5">
      <c r="D621" s="3" t="s">
        <v>113</v>
      </c>
    </row>
    <row r="622" spans="4:4" ht="17.649999999999999" x14ac:dyDescent="0.5">
      <c r="D622" s="3" t="s">
        <v>69</v>
      </c>
    </row>
    <row r="623" spans="4:4" ht="17.649999999999999" x14ac:dyDescent="0.5">
      <c r="D623" s="3" t="s">
        <v>63</v>
      </c>
    </row>
    <row r="624" spans="4:4" ht="17.649999999999999" x14ac:dyDescent="0.5">
      <c r="D624" s="3" t="s">
        <v>54</v>
      </c>
    </row>
    <row r="625" spans="4:4" ht="17.649999999999999" x14ac:dyDescent="0.5">
      <c r="D625" s="3" t="s">
        <v>85</v>
      </c>
    </row>
    <row r="626" spans="4:4" ht="17.649999999999999" x14ac:dyDescent="0.5">
      <c r="D626" s="3" t="s">
        <v>50</v>
      </c>
    </row>
    <row r="627" spans="4:4" ht="17.649999999999999" x14ac:dyDescent="0.5">
      <c r="D627" s="3" t="s">
        <v>87</v>
      </c>
    </row>
    <row r="628" spans="4:4" ht="17.649999999999999" x14ac:dyDescent="0.5">
      <c r="D628" s="3" t="s">
        <v>90</v>
      </c>
    </row>
    <row r="629" spans="4:4" ht="17.649999999999999" x14ac:dyDescent="0.5">
      <c r="D629" s="3" t="s">
        <v>135</v>
      </c>
    </row>
    <row r="630" spans="4:4" ht="17.649999999999999" x14ac:dyDescent="0.5">
      <c r="D630" s="3" t="s">
        <v>73</v>
      </c>
    </row>
    <row r="631" spans="4:4" ht="17.649999999999999" x14ac:dyDescent="0.5">
      <c r="D631" s="3" t="s">
        <v>107</v>
      </c>
    </row>
    <row r="632" spans="4:4" ht="17.649999999999999" x14ac:dyDescent="0.5">
      <c r="D632" s="3" t="s">
        <v>103</v>
      </c>
    </row>
    <row r="633" spans="4:4" ht="17.649999999999999" x14ac:dyDescent="0.5">
      <c r="D633" s="3" t="s">
        <v>92</v>
      </c>
    </row>
    <row r="634" spans="4:4" ht="17.649999999999999" x14ac:dyDescent="0.5">
      <c r="D634" s="3" t="s">
        <v>84</v>
      </c>
    </row>
    <row r="635" spans="4:4" ht="17.649999999999999" x14ac:dyDescent="0.5">
      <c r="D635" s="3" t="s">
        <v>50</v>
      </c>
    </row>
    <row r="636" spans="4:4" ht="17.649999999999999" x14ac:dyDescent="0.5">
      <c r="D636" s="3" t="s">
        <v>64</v>
      </c>
    </row>
    <row r="637" spans="4:4" ht="17.649999999999999" x14ac:dyDescent="0.5">
      <c r="D637" s="3" t="s">
        <v>113</v>
      </c>
    </row>
    <row r="638" spans="4:4" ht="17.649999999999999" x14ac:dyDescent="0.5">
      <c r="D638" s="3" t="s">
        <v>73</v>
      </c>
    </row>
    <row r="639" spans="4:4" ht="17.649999999999999" x14ac:dyDescent="0.5">
      <c r="D639" s="3" t="s">
        <v>45</v>
      </c>
    </row>
    <row r="640" spans="4:4" ht="17.649999999999999" x14ac:dyDescent="0.5">
      <c r="D640" s="3" t="s">
        <v>87</v>
      </c>
    </row>
    <row r="641" spans="4:4" ht="17.649999999999999" x14ac:dyDescent="0.5">
      <c r="D641" s="3" t="s">
        <v>55</v>
      </c>
    </row>
    <row r="642" spans="4:4" ht="17.649999999999999" x14ac:dyDescent="0.5">
      <c r="D642" s="3" t="s">
        <v>80</v>
      </c>
    </row>
    <row r="643" spans="4:4" ht="17.649999999999999" x14ac:dyDescent="0.5">
      <c r="D643" s="3" t="s">
        <v>46</v>
      </c>
    </row>
    <row r="644" spans="4:4" ht="17.649999999999999" x14ac:dyDescent="0.5">
      <c r="D644" s="3" t="s">
        <v>131</v>
      </c>
    </row>
    <row r="645" spans="4:4" ht="17.649999999999999" x14ac:dyDescent="0.5">
      <c r="D645" s="3" t="s">
        <v>50</v>
      </c>
    </row>
    <row r="646" spans="4:4" ht="17.649999999999999" x14ac:dyDescent="0.5">
      <c r="D646" s="3" t="s">
        <v>92</v>
      </c>
    </row>
    <row r="647" spans="4:4" ht="17.649999999999999" x14ac:dyDescent="0.5">
      <c r="D647" s="3" t="s">
        <v>69</v>
      </c>
    </row>
    <row r="648" spans="4:4" ht="17.649999999999999" x14ac:dyDescent="0.5">
      <c r="D648" s="3" t="s">
        <v>51</v>
      </c>
    </row>
    <row r="649" spans="4:4" ht="17.649999999999999" x14ac:dyDescent="0.5">
      <c r="D649" s="3" t="s">
        <v>98</v>
      </c>
    </row>
    <row r="650" spans="4:4" ht="17.649999999999999" x14ac:dyDescent="0.5">
      <c r="D650" s="3" t="s">
        <v>84</v>
      </c>
    </row>
    <row r="651" spans="4:4" ht="17.649999999999999" x14ac:dyDescent="0.5">
      <c r="D651" s="3" t="s">
        <v>90</v>
      </c>
    </row>
    <row r="652" spans="4:4" ht="17.649999999999999" x14ac:dyDescent="0.5">
      <c r="D652" s="3" t="s">
        <v>49</v>
      </c>
    </row>
    <row r="653" spans="4:4" ht="17.649999999999999" x14ac:dyDescent="0.5">
      <c r="D653" s="3" t="s">
        <v>44</v>
      </c>
    </row>
    <row r="654" spans="4:4" ht="17.649999999999999" x14ac:dyDescent="0.5">
      <c r="D654" s="3" t="s">
        <v>115</v>
      </c>
    </row>
    <row r="655" spans="4:4" ht="17.649999999999999" x14ac:dyDescent="0.5">
      <c r="D655" s="3" t="s">
        <v>98</v>
      </c>
    </row>
    <row r="656" spans="4:4" ht="17.649999999999999" x14ac:dyDescent="0.5">
      <c r="D656" s="3" t="s">
        <v>53</v>
      </c>
    </row>
    <row r="657" spans="4:4" ht="17.649999999999999" x14ac:dyDescent="0.5">
      <c r="D657" s="3" t="s">
        <v>62</v>
      </c>
    </row>
    <row r="658" spans="4:4" ht="17.649999999999999" x14ac:dyDescent="0.5">
      <c r="D658" s="3" t="s">
        <v>55</v>
      </c>
    </row>
    <row r="659" spans="4:4" ht="17.649999999999999" x14ac:dyDescent="0.5">
      <c r="D659" s="3" t="s">
        <v>107</v>
      </c>
    </row>
    <row r="660" spans="4:4" ht="17.649999999999999" x14ac:dyDescent="0.5">
      <c r="D660" s="3" t="s">
        <v>87</v>
      </c>
    </row>
    <row r="661" spans="4:4" ht="17.649999999999999" x14ac:dyDescent="0.5">
      <c r="D661" s="3" t="s">
        <v>53</v>
      </c>
    </row>
    <row r="662" spans="4:4" ht="17.649999999999999" x14ac:dyDescent="0.5">
      <c r="D662" s="3" t="s">
        <v>103</v>
      </c>
    </row>
    <row r="663" spans="4:4" ht="17.649999999999999" x14ac:dyDescent="0.5">
      <c r="D663" s="3" t="s">
        <v>58</v>
      </c>
    </row>
    <row r="664" spans="4:4" ht="17.649999999999999" x14ac:dyDescent="0.5">
      <c r="D664" s="3" t="s">
        <v>56</v>
      </c>
    </row>
    <row r="665" spans="4:4" ht="17.649999999999999" x14ac:dyDescent="0.5">
      <c r="D665" s="3" t="s">
        <v>57</v>
      </c>
    </row>
    <row r="666" spans="4:4" ht="17.649999999999999" x14ac:dyDescent="0.5">
      <c r="D666" s="3" t="s">
        <v>115</v>
      </c>
    </row>
    <row r="667" spans="4:4" ht="17.649999999999999" x14ac:dyDescent="0.5">
      <c r="D667" s="3" t="s">
        <v>47</v>
      </c>
    </row>
    <row r="668" spans="4:4" ht="17.649999999999999" x14ac:dyDescent="0.5">
      <c r="D668" s="3" t="s">
        <v>109</v>
      </c>
    </row>
    <row r="669" spans="4:4" ht="17.649999999999999" x14ac:dyDescent="0.5">
      <c r="D669" s="3" t="s">
        <v>49</v>
      </c>
    </row>
    <row r="670" spans="4:4" ht="17.649999999999999" x14ac:dyDescent="0.5">
      <c r="D670" s="3" t="s">
        <v>63</v>
      </c>
    </row>
    <row r="671" spans="4:4" ht="17.649999999999999" x14ac:dyDescent="0.5">
      <c r="D671" s="3" t="s">
        <v>69</v>
      </c>
    </row>
    <row r="672" spans="4:4" ht="17.649999999999999" x14ac:dyDescent="0.5">
      <c r="D672" s="3" t="s">
        <v>122</v>
      </c>
    </row>
    <row r="673" spans="4:4" ht="17.649999999999999" x14ac:dyDescent="0.5">
      <c r="D673" s="3" t="s">
        <v>114</v>
      </c>
    </row>
    <row r="674" spans="4:4" ht="17.649999999999999" x14ac:dyDescent="0.5">
      <c r="D674" s="3" t="s">
        <v>44</v>
      </c>
    </row>
    <row r="675" spans="4:4" ht="17.649999999999999" x14ac:dyDescent="0.5">
      <c r="D675" s="3" t="s">
        <v>59</v>
      </c>
    </row>
    <row r="676" spans="4:4" ht="17.649999999999999" x14ac:dyDescent="0.5">
      <c r="D676" s="3" t="s">
        <v>57</v>
      </c>
    </row>
    <row r="677" spans="4:4" ht="17.649999999999999" x14ac:dyDescent="0.5">
      <c r="D677" s="3" t="s">
        <v>46</v>
      </c>
    </row>
    <row r="678" spans="4:4" ht="17.649999999999999" x14ac:dyDescent="0.5">
      <c r="D678" s="3" t="s">
        <v>69</v>
      </c>
    </row>
    <row r="679" spans="4:4" ht="17.649999999999999" x14ac:dyDescent="0.5">
      <c r="D679" s="3" t="s">
        <v>41</v>
      </c>
    </row>
    <row r="680" spans="4:4" ht="17.649999999999999" x14ac:dyDescent="0.5">
      <c r="D680" s="3" t="s">
        <v>53</v>
      </c>
    </row>
    <row r="681" spans="4:4" ht="17.649999999999999" x14ac:dyDescent="0.5">
      <c r="D681" s="3" t="s">
        <v>52</v>
      </c>
    </row>
    <row r="682" spans="4:4" ht="17.649999999999999" x14ac:dyDescent="0.5">
      <c r="D682" s="3" t="s">
        <v>44</v>
      </c>
    </row>
    <row r="683" spans="4:4" ht="17.649999999999999" x14ac:dyDescent="0.5">
      <c r="D683" s="3" t="s">
        <v>99</v>
      </c>
    </row>
    <row r="684" spans="4:4" ht="17.649999999999999" x14ac:dyDescent="0.5">
      <c r="D684" s="3" t="s">
        <v>59</v>
      </c>
    </row>
    <row r="685" spans="4:4" ht="17.649999999999999" x14ac:dyDescent="0.5">
      <c r="D685" s="3" t="s">
        <v>48</v>
      </c>
    </row>
    <row r="686" spans="4:4" ht="17.649999999999999" x14ac:dyDescent="0.5">
      <c r="D686" s="3" t="s">
        <v>133</v>
      </c>
    </row>
    <row r="687" spans="4:4" ht="17.649999999999999" x14ac:dyDescent="0.5">
      <c r="D687" s="3" t="s">
        <v>116</v>
      </c>
    </row>
    <row r="688" spans="4:4" ht="17.649999999999999" x14ac:dyDescent="0.5">
      <c r="D688" s="3" t="s">
        <v>74</v>
      </c>
    </row>
    <row r="689" spans="4:4" ht="17.649999999999999" x14ac:dyDescent="0.5">
      <c r="D689" s="3" t="s">
        <v>50</v>
      </c>
    </row>
    <row r="690" spans="4:4" ht="17.649999999999999" x14ac:dyDescent="0.5">
      <c r="D690" s="3" t="s">
        <v>66</v>
      </c>
    </row>
    <row r="691" spans="4:4" ht="17.649999999999999" x14ac:dyDescent="0.5">
      <c r="D691" s="3" t="s">
        <v>108</v>
      </c>
    </row>
    <row r="692" spans="4:4" ht="17.649999999999999" x14ac:dyDescent="0.5">
      <c r="D692" s="3" t="s">
        <v>87</v>
      </c>
    </row>
    <row r="693" spans="4:4" ht="17.649999999999999" x14ac:dyDescent="0.5">
      <c r="D693" s="3" t="s">
        <v>72</v>
      </c>
    </row>
    <row r="694" spans="4:4" ht="17.649999999999999" x14ac:dyDescent="0.5">
      <c r="D694" s="3" t="s">
        <v>103</v>
      </c>
    </row>
    <row r="695" spans="4:4" ht="17.649999999999999" x14ac:dyDescent="0.5">
      <c r="D695" s="3" t="s">
        <v>67</v>
      </c>
    </row>
    <row r="696" spans="4:4" ht="17.649999999999999" x14ac:dyDescent="0.5">
      <c r="D696" s="3" t="s">
        <v>78</v>
      </c>
    </row>
    <row r="697" spans="4:4" ht="17.649999999999999" x14ac:dyDescent="0.5">
      <c r="D697" s="3" t="s">
        <v>87</v>
      </c>
    </row>
    <row r="698" spans="4:4" ht="17.649999999999999" x14ac:dyDescent="0.5">
      <c r="D698" s="3" t="s">
        <v>92</v>
      </c>
    </row>
    <row r="699" spans="4:4" ht="17.649999999999999" x14ac:dyDescent="0.5">
      <c r="D699" s="3" t="s">
        <v>104</v>
      </c>
    </row>
    <row r="700" spans="4:4" ht="17.649999999999999" x14ac:dyDescent="0.5">
      <c r="D700" s="3" t="s">
        <v>96</v>
      </c>
    </row>
    <row r="701" spans="4:4" ht="17.649999999999999" x14ac:dyDescent="0.5">
      <c r="D701" s="3" t="s">
        <v>45</v>
      </c>
    </row>
    <row r="702" spans="4:4" ht="17.649999999999999" x14ac:dyDescent="0.5">
      <c r="D702" s="3" t="s">
        <v>69</v>
      </c>
    </row>
    <row r="703" spans="4:4" ht="17.649999999999999" x14ac:dyDescent="0.5">
      <c r="D703" s="3" t="s">
        <v>101</v>
      </c>
    </row>
    <row r="704" spans="4:4" ht="17.649999999999999" x14ac:dyDescent="0.5">
      <c r="D704" s="3" t="s">
        <v>42</v>
      </c>
    </row>
    <row r="705" spans="4:4" ht="17.649999999999999" x14ac:dyDescent="0.5">
      <c r="D705" s="3" t="s">
        <v>126</v>
      </c>
    </row>
    <row r="706" spans="4:4" ht="17.649999999999999" x14ac:dyDescent="0.5">
      <c r="D706" s="3" t="s">
        <v>41</v>
      </c>
    </row>
    <row r="707" spans="4:4" ht="17.649999999999999" x14ac:dyDescent="0.5">
      <c r="D707" s="3" t="s">
        <v>71</v>
      </c>
    </row>
    <row r="708" spans="4:4" ht="17.649999999999999" x14ac:dyDescent="0.5">
      <c r="D708" s="3" t="s">
        <v>135</v>
      </c>
    </row>
    <row r="709" spans="4:4" ht="17.649999999999999" x14ac:dyDescent="0.5">
      <c r="D709" s="3" t="s">
        <v>97</v>
      </c>
    </row>
    <row r="710" spans="4:4" ht="17.649999999999999" x14ac:dyDescent="0.5">
      <c r="D710" s="3" t="s">
        <v>53</v>
      </c>
    </row>
    <row r="711" spans="4:4" ht="17.649999999999999" x14ac:dyDescent="0.5">
      <c r="D711" s="3" t="s">
        <v>43</v>
      </c>
    </row>
    <row r="712" spans="4:4" ht="17.649999999999999" x14ac:dyDescent="0.5">
      <c r="D712" s="3" t="s">
        <v>74</v>
      </c>
    </row>
    <row r="713" spans="4:4" ht="17.649999999999999" x14ac:dyDescent="0.5">
      <c r="D713" s="3" t="s">
        <v>109</v>
      </c>
    </row>
    <row r="714" spans="4:4" ht="17.649999999999999" x14ac:dyDescent="0.5">
      <c r="D714" s="3" t="s">
        <v>63</v>
      </c>
    </row>
    <row r="715" spans="4:4" ht="17.649999999999999" x14ac:dyDescent="0.5">
      <c r="D715" s="3" t="s">
        <v>118</v>
      </c>
    </row>
    <row r="716" spans="4:4" ht="17.649999999999999" x14ac:dyDescent="0.5">
      <c r="D716" s="3" t="s">
        <v>135</v>
      </c>
    </row>
    <row r="717" spans="4:4" ht="17.649999999999999" x14ac:dyDescent="0.5">
      <c r="D717" s="3" t="s">
        <v>54</v>
      </c>
    </row>
    <row r="718" spans="4:4" ht="17.649999999999999" x14ac:dyDescent="0.5">
      <c r="D718" s="3" t="s">
        <v>55</v>
      </c>
    </row>
    <row r="719" spans="4:4" ht="17.649999999999999" x14ac:dyDescent="0.5">
      <c r="D719" s="3" t="s">
        <v>46</v>
      </c>
    </row>
    <row r="720" spans="4:4" ht="17.649999999999999" x14ac:dyDescent="0.5">
      <c r="D720" s="3" t="s">
        <v>87</v>
      </c>
    </row>
    <row r="721" spans="4:4" ht="17.649999999999999" x14ac:dyDescent="0.5">
      <c r="D721" s="3" t="s">
        <v>53</v>
      </c>
    </row>
    <row r="722" spans="4:4" ht="17.649999999999999" x14ac:dyDescent="0.5">
      <c r="D722" s="3" t="s">
        <v>49</v>
      </c>
    </row>
    <row r="723" spans="4:4" ht="17.649999999999999" x14ac:dyDescent="0.5">
      <c r="D723" s="3" t="s">
        <v>45</v>
      </c>
    </row>
    <row r="724" spans="4:4" ht="17.649999999999999" x14ac:dyDescent="0.5">
      <c r="D724" s="3" t="s">
        <v>75</v>
      </c>
    </row>
    <row r="725" spans="4:4" ht="17.649999999999999" x14ac:dyDescent="0.5">
      <c r="D725" s="3" t="s">
        <v>107</v>
      </c>
    </row>
    <row r="726" spans="4:4" ht="17.649999999999999" x14ac:dyDescent="0.5">
      <c r="D726" s="3" t="s">
        <v>109</v>
      </c>
    </row>
    <row r="727" spans="4:4" ht="17.649999999999999" x14ac:dyDescent="0.5">
      <c r="D727" s="3" t="s">
        <v>82</v>
      </c>
    </row>
    <row r="728" spans="4:4" ht="17.649999999999999" x14ac:dyDescent="0.5">
      <c r="D728" s="3" t="s">
        <v>65</v>
      </c>
    </row>
    <row r="729" spans="4:4" ht="17.649999999999999" x14ac:dyDescent="0.5">
      <c r="D729" s="3" t="s">
        <v>59</v>
      </c>
    </row>
    <row r="730" spans="4:4" ht="17.649999999999999" x14ac:dyDescent="0.5">
      <c r="D730" s="3" t="s">
        <v>135</v>
      </c>
    </row>
    <row r="731" spans="4:4" ht="17.649999999999999" x14ac:dyDescent="0.5">
      <c r="D731" s="3" t="s">
        <v>66</v>
      </c>
    </row>
    <row r="732" spans="4:4" ht="17.649999999999999" x14ac:dyDescent="0.5">
      <c r="D732" s="3" t="s">
        <v>59</v>
      </c>
    </row>
    <row r="733" spans="4:4" ht="17.649999999999999" x14ac:dyDescent="0.5">
      <c r="D733" s="3" t="s">
        <v>52</v>
      </c>
    </row>
    <row r="734" spans="4:4" ht="17.649999999999999" x14ac:dyDescent="0.5">
      <c r="D734" s="3" t="s">
        <v>58</v>
      </c>
    </row>
    <row r="735" spans="4:4" ht="17.649999999999999" x14ac:dyDescent="0.5">
      <c r="D735" s="3" t="s">
        <v>65</v>
      </c>
    </row>
    <row r="736" spans="4:4" ht="17.649999999999999" x14ac:dyDescent="0.5">
      <c r="D736" s="3" t="s">
        <v>73</v>
      </c>
    </row>
    <row r="737" spans="4:4" ht="17.649999999999999" x14ac:dyDescent="0.5">
      <c r="D737" s="3" t="s">
        <v>57</v>
      </c>
    </row>
    <row r="738" spans="4:4" ht="17.649999999999999" x14ac:dyDescent="0.5">
      <c r="D738" s="3" t="s">
        <v>66</v>
      </c>
    </row>
    <row r="739" spans="4:4" ht="17.649999999999999" x14ac:dyDescent="0.5">
      <c r="D739" s="3" t="s">
        <v>96</v>
      </c>
    </row>
    <row r="740" spans="4:4" ht="17.649999999999999" x14ac:dyDescent="0.5">
      <c r="D740" s="3" t="s">
        <v>54</v>
      </c>
    </row>
    <row r="741" spans="4:4" ht="17.649999999999999" x14ac:dyDescent="0.5">
      <c r="D741" s="3" t="s">
        <v>135</v>
      </c>
    </row>
    <row r="742" spans="4:4" ht="17.649999999999999" x14ac:dyDescent="0.5">
      <c r="D742" s="3" t="s">
        <v>74</v>
      </c>
    </row>
    <row r="743" spans="4:4" ht="17.649999999999999" x14ac:dyDescent="0.5">
      <c r="D743" s="3" t="s">
        <v>121</v>
      </c>
    </row>
    <row r="744" spans="4:4" ht="17.649999999999999" x14ac:dyDescent="0.5">
      <c r="D744" s="3" t="s">
        <v>46</v>
      </c>
    </row>
    <row r="745" spans="4:4" ht="17.649999999999999" x14ac:dyDescent="0.5">
      <c r="D745" s="3" t="s">
        <v>47</v>
      </c>
    </row>
    <row r="746" spans="4:4" ht="17.649999999999999" x14ac:dyDescent="0.5">
      <c r="D746" s="3" t="s">
        <v>84</v>
      </c>
    </row>
    <row r="747" spans="4:4" ht="17.649999999999999" x14ac:dyDescent="0.5">
      <c r="D747" s="3" t="s">
        <v>63</v>
      </c>
    </row>
    <row r="748" spans="4:4" ht="17.649999999999999" x14ac:dyDescent="0.5">
      <c r="D748" s="3" t="s">
        <v>117</v>
      </c>
    </row>
    <row r="749" spans="4:4" ht="17.649999999999999" x14ac:dyDescent="0.5">
      <c r="D749" s="3" t="s">
        <v>89</v>
      </c>
    </row>
    <row r="750" spans="4:4" ht="17.649999999999999" x14ac:dyDescent="0.5">
      <c r="D750" s="3" t="s">
        <v>108</v>
      </c>
    </row>
    <row r="751" spans="4:4" ht="17.649999999999999" x14ac:dyDescent="0.5">
      <c r="D751" s="3" t="s">
        <v>74</v>
      </c>
    </row>
    <row r="752" spans="4:4" ht="17.649999999999999" x14ac:dyDescent="0.5">
      <c r="D752" s="3" t="s">
        <v>96</v>
      </c>
    </row>
    <row r="753" spans="4:4" ht="17.649999999999999" x14ac:dyDescent="0.5">
      <c r="D753" s="3" t="s">
        <v>47</v>
      </c>
    </row>
    <row r="754" spans="4:4" ht="17.649999999999999" x14ac:dyDescent="0.5">
      <c r="D754" s="3" t="s">
        <v>112</v>
      </c>
    </row>
    <row r="755" spans="4:4" ht="17.649999999999999" x14ac:dyDescent="0.5">
      <c r="D755" s="3" t="s">
        <v>54</v>
      </c>
    </row>
    <row r="756" spans="4:4" ht="17.649999999999999" x14ac:dyDescent="0.5">
      <c r="D756" s="3" t="s">
        <v>53</v>
      </c>
    </row>
    <row r="757" spans="4:4" ht="17.649999999999999" x14ac:dyDescent="0.5">
      <c r="D757" s="3" t="s">
        <v>68</v>
      </c>
    </row>
    <row r="758" spans="4:4" ht="17.649999999999999" x14ac:dyDescent="0.5">
      <c r="D758" s="3" t="s">
        <v>107</v>
      </c>
    </row>
    <row r="759" spans="4:4" ht="17.649999999999999" x14ac:dyDescent="0.5">
      <c r="D759" s="3" t="s">
        <v>91</v>
      </c>
    </row>
    <row r="760" spans="4:4" ht="17.649999999999999" x14ac:dyDescent="0.5">
      <c r="D760" s="3" t="s">
        <v>44</v>
      </c>
    </row>
    <row r="761" spans="4:4" ht="17.649999999999999" x14ac:dyDescent="0.5">
      <c r="D761" s="3" t="s">
        <v>67</v>
      </c>
    </row>
    <row r="762" spans="4:4" ht="17.649999999999999" x14ac:dyDescent="0.5">
      <c r="D762" s="3" t="s">
        <v>93</v>
      </c>
    </row>
    <row r="763" spans="4:4" ht="17.649999999999999" x14ac:dyDescent="0.5">
      <c r="D763" s="3" t="s">
        <v>95</v>
      </c>
    </row>
    <row r="764" spans="4:4" ht="17.649999999999999" x14ac:dyDescent="0.5">
      <c r="D764" s="3" t="s">
        <v>117</v>
      </c>
    </row>
    <row r="765" spans="4:4" ht="17.649999999999999" x14ac:dyDescent="0.5">
      <c r="D765" s="3" t="s">
        <v>111</v>
      </c>
    </row>
    <row r="766" spans="4:4" ht="17.649999999999999" x14ac:dyDescent="0.5">
      <c r="D766" s="3" t="s">
        <v>90</v>
      </c>
    </row>
    <row r="767" spans="4:4" ht="17.649999999999999" x14ac:dyDescent="0.5">
      <c r="D767" s="3" t="s">
        <v>123</v>
      </c>
    </row>
    <row r="768" spans="4:4" ht="17.649999999999999" x14ac:dyDescent="0.5">
      <c r="D768" s="3" t="s">
        <v>51</v>
      </c>
    </row>
    <row r="769" spans="4:4" ht="17.649999999999999" x14ac:dyDescent="0.5">
      <c r="D769" s="3" t="s">
        <v>75</v>
      </c>
    </row>
    <row r="770" spans="4:4" ht="17.649999999999999" x14ac:dyDescent="0.5">
      <c r="D770" s="3" t="s">
        <v>91</v>
      </c>
    </row>
    <row r="771" spans="4:4" ht="17.649999999999999" x14ac:dyDescent="0.5">
      <c r="D771" s="3" t="s">
        <v>96</v>
      </c>
    </row>
    <row r="772" spans="4:4" ht="17.649999999999999" x14ac:dyDescent="0.5">
      <c r="D772" s="3" t="s">
        <v>44</v>
      </c>
    </row>
    <row r="773" spans="4:4" ht="17.649999999999999" x14ac:dyDescent="0.5">
      <c r="D773" s="3" t="s">
        <v>58</v>
      </c>
    </row>
    <row r="774" spans="4:4" ht="17.649999999999999" x14ac:dyDescent="0.5">
      <c r="D774" s="3" t="s">
        <v>136</v>
      </c>
    </row>
    <row r="775" spans="4:4" ht="17.649999999999999" x14ac:dyDescent="0.5">
      <c r="D775" s="3" t="s">
        <v>89</v>
      </c>
    </row>
    <row r="776" spans="4:4" ht="17.649999999999999" x14ac:dyDescent="0.5">
      <c r="D776" s="3" t="s">
        <v>41</v>
      </c>
    </row>
    <row r="777" spans="4:4" ht="17.649999999999999" x14ac:dyDescent="0.5">
      <c r="D777" s="3" t="s">
        <v>87</v>
      </c>
    </row>
    <row r="778" spans="4:4" ht="17.649999999999999" x14ac:dyDescent="0.5">
      <c r="D778" s="3" t="s">
        <v>85</v>
      </c>
    </row>
    <row r="779" spans="4:4" ht="17.649999999999999" x14ac:dyDescent="0.5">
      <c r="D779" s="3" t="s">
        <v>90</v>
      </c>
    </row>
    <row r="780" spans="4:4" ht="17.649999999999999" x14ac:dyDescent="0.5">
      <c r="D780" s="3" t="s">
        <v>48</v>
      </c>
    </row>
    <row r="781" spans="4:4" ht="17.649999999999999" x14ac:dyDescent="0.5">
      <c r="D781" s="3" t="s">
        <v>59</v>
      </c>
    </row>
    <row r="782" spans="4:4" ht="17.649999999999999" x14ac:dyDescent="0.5">
      <c r="D782" s="3" t="s">
        <v>112</v>
      </c>
    </row>
    <row r="783" spans="4:4" ht="17.649999999999999" x14ac:dyDescent="0.5">
      <c r="D783" s="3" t="s">
        <v>64</v>
      </c>
    </row>
    <row r="784" spans="4:4" ht="17.649999999999999" x14ac:dyDescent="0.5">
      <c r="D784" s="3" t="s">
        <v>47</v>
      </c>
    </row>
    <row r="785" spans="4:4" ht="17.649999999999999" x14ac:dyDescent="0.5">
      <c r="D785" s="3" t="s">
        <v>74</v>
      </c>
    </row>
    <row r="786" spans="4:4" ht="17.649999999999999" x14ac:dyDescent="0.5">
      <c r="D786" s="3" t="s">
        <v>78</v>
      </c>
    </row>
    <row r="787" spans="4:4" ht="17.649999999999999" x14ac:dyDescent="0.5">
      <c r="D787" s="3" t="s">
        <v>76</v>
      </c>
    </row>
    <row r="788" spans="4:4" ht="17.649999999999999" x14ac:dyDescent="0.5">
      <c r="D788" s="3" t="s">
        <v>77</v>
      </c>
    </row>
    <row r="789" spans="4:4" ht="17.649999999999999" x14ac:dyDescent="0.5">
      <c r="D789" s="3" t="s">
        <v>44</v>
      </c>
    </row>
    <row r="790" spans="4:4" ht="17.649999999999999" x14ac:dyDescent="0.5">
      <c r="D790" s="3" t="s">
        <v>115</v>
      </c>
    </row>
    <row r="791" spans="4:4" ht="17.649999999999999" x14ac:dyDescent="0.5">
      <c r="D791" s="3" t="s">
        <v>105</v>
      </c>
    </row>
    <row r="792" spans="4:4" ht="17.649999999999999" x14ac:dyDescent="0.5">
      <c r="D792" s="3" t="s">
        <v>82</v>
      </c>
    </row>
    <row r="793" spans="4:4" ht="17.649999999999999" x14ac:dyDescent="0.5">
      <c r="D793" s="3" t="s">
        <v>70</v>
      </c>
    </row>
    <row r="794" spans="4:4" ht="17.649999999999999" x14ac:dyDescent="0.5">
      <c r="D794" s="3" t="s">
        <v>117</v>
      </c>
    </row>
    <row r="795" spans="4:4" ht="17.649999999999999" x14ac:dyDescent="0.5">
      <c r="D795" s="3" t="s">
        <v>64</v>
      </c>
    </row>
    <row r="796" spans="4:4" ht="17.649999999999999" x14ac:dyDescent="0.5">
      <c r="D796" s="3" t="s">
        <v>78</v>
      </c>
    </row>
    <row r="797" spans="4:4" ht="17.649999999999999" x14ac:dyDescent="0.5">
      <c r="D797" s="3" t="s">
        <v>90</v>
      </c>
    </row>
    <row r="798" spans="4:4" ht="17.649999999999999" x14ac:dyDescent="0.5">
      <c r="D798" s="3" t="s">
        <v>103</v>
      </c>
    </row>
    <row r="799" spans="4:4" ht="17.649999999999999" x14ac:dyDescent="0.5">
      <c r="D799" s="3" t="s">
        <v>97</v>
      </c>
    </row>
    <row r="800" spans="4:4" ht="17.649999999999999" x14ac:dyDescent="0.5">
      <c r="D800" s="3" t="s">
        <v>54</v>
      </c>
    </row>
    <row r="801" spans="4:4" ht="17.649999999999999" x14ac:dyDescent="0.5">
      <c r="D801" s="3" t="s">
        <v>73</v>
      </c>
    </row>
    <row r="802" spans="4:4" ht="17.649999999999999" x14ac:dyDescent="0.5">
      <c r="D802" s="3" t="s">
        <v>56</v>
      </c>
    </row>
    <row r="803" spans="4:4" ht="17.649999999999999" x14ac:dyDescent="0.5">
      <c r="D803" s="3" t="s">
        <v>44</v>
      </c>
    </row>
    <row r="804" spans="4:4" ht="17.649999999999999" x14ac:dyDescent="0.5">
      <c r="D804" s="3" t="s">
        <v>105</v>
      </c>
    </row>
    <row r="805" spans="4:4" ht="17.649999999999999" x14ac:dyDescent="0.5">
      <c r="D805" s="3" t="s">
        <v>132</v>
      </c>
    </row>
    <row r="806" spans="4:4" ht="17.649999999999999" x14ac:dyDescent="0.5">
      <c r="D806" s="3" t="s">
        <v>94</v>
      </c>
    </row>
    <row r="807" spans="4:4" ht="17.649999999999999" x14ac:dyDescent="0.5">
      <c r="D807" s="3" t="s">
        <v>90</v>
      </c>
    </row>
    <row r="808" spans="4:4" ht="17.649999999999999" x14ac:dyDescent="0.5">
      <c r="D808" s="3" t="s">
        <v>43</v>
      </c>
    </row>
    <row r="809" spans="4:4" ht="17.649999999999999" x14ac:dyDescent="0.5">
      <c r="D809" s="3" t="s">
        <v>66</v>
      </c>
    </row>
    <row r="810" spans="4:4" ht="17.649999999999999" x14ac:dyDescent="0.5">
      <c r="D810" s="3" t="s">
        <v>135</v>
      </c>
    </row>
    <row r="811" spans="4:4" ht="17.649999999999999" x14ac:dyDescent="0.5">
      <c r="D811" s="3" t="s">
        <v>45</v>
      </c>
    </row>
    <row r="812" spans="4:4" ht="17.649999999999999" x14ac:dyDescent="0.5">
      <c r="D812" s="3" t="s">
        <v>64</v>
      </c>
    </row>
    <row r="813" spans="4:4" ht="17.649999999999999" x14ac:dyDescent="0.5">
      <c r="D813" s="3" t="s">
        <v>63</v>
      </c>
    </row>
    <row r="814" spans="4:4" ht="17.649999999999999" x14ac:dyDescent="0.5">
      <c r="D814" s="3" t="s">
        <v>74</v>
      </c>
    </row>
    <row r="815" spans="4:4" ht="17.649999999999999" x14ac:dyDescent="0.5">
      <c r="D815" s="3" t="s">
        <v>100</v>
      </c>
    </row>
    <row r="816" spans="4:4" ht="17.649999999999999" x14ac:dyDescent="0.5">
      <c r="D816" s="3" t="s">
        <v>61</v>
      </c>
    </row>
    <row r="817" spans="4:4" ht="17.649999999999999" x14ac:dyDescent="0.5">
      <c r="D817" s="3" t="s">
        <v>66</v>
      </c>
    </row>
    <row r="818" spans="4:4" ht="17.649999999999999" x14ac:dyDescent="0.5">
      <c r="D818" s="3" t="s">
        <v>61</v>
      </c>
    </row>
    <row r="819" spans="4:4" ht="17.649999999999999" x14ac:dyDescent="0.5">
      <c r="D819" s="3" t="s">
        <v>43</v>
      </c>
    </row>
    <row r="820" spans="4:4" ht="17.649999999999999" x14ac:dyDescent="0.5">
      <c r="D820" s="3" t="s">
        <v>127</v>
      </c>
    </row>
    <row r="821" spans="4:4" ht="17.649999999999999" x14ac:dyDescent="0.5">
      <c r="D821" s="3" t="s">
        <v>86</v>
      </c>
    </row>
    <row r="822" spans="4:4" ht="17.649999999999999" x14ac:dyDescent="0.5">
      <c r="D822" s="3" t="s">
        <v>106</v>
      </c>
    </row>
    <row r="823" spans="4:4" ht="17.649999999999999" x14ac:dyDescent="0.5">
      <c r="D823" s="3" t="s">
        <v>105</v>
      </c>
    </row>
    <row r="824" spans="4:4" ht="17.649999999999999" x14ac:dyDescent="0.5">
      <c r="D824" s="3" t="s">
        <v>79</v>
      </c>
    </row>
    <row r="825" spans="4:4" ht="17.649999999999999" x14ac:dyDescent="0.5">
      <c r="D825" s="3" t="s">
        <v>64</v>
      </c>
    </row>
    <row r="826" spans="4:4" ht="17.649999999999999" x14ac:dyDescent="0.5">
      <c r="D826" s="3" t="s">
        <v>58</v>
      </c>
    </row>
    <row r="827" spans="4:4" ht="17.649999999999999" x14ac:dyDescent="0.5">
      <c r="D827" s="3" t="s">
        <v>52</v>
      </c>
    </row>
    <row r="828" spans="4:4" ht="17.649999999999999" x14ac:dyDescent="0.5">
      <c r="D828" s="3" t="s">
        <v>108</v>
      </c>
    </row>
    <row r="829" spans="4:4" ht="17.649999999999999" x14ac:dyDescent="0.5">
      <c r="D829" s="3" t="s">
        <v>107</v>
      </c>
    </row>
    <row r="830" spans="4:4" ht="17.649999999999999" x14ac:dyDescent="0.5">
      <c r="D830" s="3" t="s">
        <v>61</v>
      </c>
    </row>
    <row r="831" spans="4:4" ht="17.649999999999999" x14ac:dyDescent="0.5">
      <c r="D831" s="3" t="s">
        <v>72</v>
      </c>
    </row>
    <row r="832" spans="4:4" ht="17.649999999999999" x14ac:dyDescent="0.5">
      <c r="D832" s="3" t="s">
        <v>91</v>
      </c>
    </row>
    <row r="833" spans="4:4" ht="17.649999999999999" x14ac:dyDescent="0.5">
      <c r="D833" s="3" t="s">
        <v>117</v>
      </c>
    </row>
    <row r="834" spans="4:4" ht="17.649999999999999" x14ac:dyDescent="0.5">
      <c r="D834" s="3" t="s">
        <v>66</v>
      </c>
    </row>
    <row r="835" spans="4:4" ht="17.649999999999999" x14ac:dyDescent="0.5">
      <c r="D835" s="3" t="s">
        <v>55</v>
      </c>
    </row>
    <row r="836" spans="4:4" ht="17.649999999999999" x14ac:dyDescent="0.5">
      <c r="D836" s="3" t="s">
        <v>81</v>
      </c>
    </row>
    <row r="837" spans="4:4" ht="17.649999999999999" x14ac:dyDescent="0.5">
      <c r="D837" s="3" t="s">
        <v>112</v>
      </c>
    </row>
    <row r="838" spans="4:4" ht="17.649999999999999" x14ac:dyDescent="0.5">
      <c r="D838" s="3" t="s">
        <v>105</v>
      </c>
    </row>
    <row r="839" spans="4:4" ht="17.649999999999999" x14ac:dyDescent="0.5">
      <c r="D839" s="3" t="s">
        <v>84</v>
      </c>
    </row>
    <row r="840" spans="4:4" ht="17.649999999999999" x14ac:dyDescent="0.5">
      <c r="D840" s="3" t="s">
        <v>115</v>
      </c>
    </row>
    <row r="841" spans="4:4" ht="17.649999999999999" x14ac:dyDescent="0.5">
      <c r="D841" s="3" t="s">
        <v>74</v>
      </c>
    </row>
    <row r="842" spans="4:4" ht="17.649999999999999" x14ac:dyDescent="0.5">
      <c r="D842" s="3" t="s">
        <v>100</v>
      </c>
    </row>
    <row r="843" spans="4:4" ht="17.649999999999999" x14ac:dyDescent="0.5">
      <c r="D843" s="3" t="s">
        <v>102</v>
      </c>
    </row>
    <row r="844" spans="4:4" ht="17.649999999999999" x14ac:dyDescent="0.5">
      <c r="D844" s="3" t="s">
        <v>80</v>
      </c>
    </row>
    <row r="845" spans="4:4" ht="17.649999999999999" x14ac:dyDescent="0.5">
      <c r="D845" s="3" t="s">
        <v>46</v>
      </c>
    </row>
    <row r="846" spans="4:4" ht="17.649999999999999" x14ac:dyDescent="0.5">
      <c r="D846" s="3" t="s">
        <v>56</v>
      </c>
    </row>
    <row r="847" spans="4:4" ht="17.649999999999999" x14ac:dyDescent="0.5">
      <c r="D847" s="3" t="s">
        <v>91</v>
      </c>
    </row>
    <row r="848" spans="4:4" ht="17.649999999999999" x14ac:dyDescent="0.5">
      <c r="D848" s="3" t="s">
        <v>76</v>
      </c>
    </row>
    <row r="849" spans="4:4" ht="17.649999999999999" x14ac:dyDescent="0.5">
      <c r="D849" s="3" t="s">
        <v>130</v>
      </c>
    </row>
    <row r="850" spans="4:4" ht="17.649999999999999" x14ac:dyDescent="0.5">
      <c r="D850" s="3" t="s">
        <v>49</v>
      </c>
    </row>
    <row r="851" spans="4:4" ht="17.649999999999999" x14ac:dyDescent="0.5">
      <c r="D851" s="3" t="s">
        <v>109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55</v>
      </c>
    </row>
    <row r="854" spans="4:4" ht="17.649999999999999" x14ac:dyDescent="0.5">
      <c r="D854" s="3" t="s">
        <v>69</v>
      </c>
    </row>
    <row r="855" spans="4:4" ht="17.649999999999999" x14ac:dyDescent="0.5">
      <c r="D855" s="3" t="s">
        <v>45</v>
      </c>
    </row>
    <row r="856" spans="4:4" ht="17.649999999999999" x14ac:dyDescent="0.5">
      <c r="D856" s="3" t="s">
        <v>94</v>
      </c>
    </row>
    <row r="857" spans="4:4" ht="17.649999999999999" x14ac:dyDescent="0.5">
      <c r="D857" s="3" t="s">
        <v>43</v>
      </c>
    </row>
    <row r="858" spans="4:4" ht="17.649999999999999" x14ac:dyDescent="0.5">
      <c r="D858" s="3" t="s">
        <v>126</v>
      </c>
    </row>
    <row r="859" spans="4:4" ht="17.649999999999999" x14ac:dyDescent="0.5">
      <c r="D859" s="3" t="s">
        <v>54</v>
      </c>
    </row>
    <row r="860" spans="4:4" ht="17.649999999999999" x14ac:dyDescent="0.5">
      <c r="D860" s="3" t="s">
        <v>135</v>
      </c>
    </row>
    <row r="861" spans="4:4" ht="17.649999999999999" x14ac:dyDescent="0.5">
      <c r="D861" s="3" t="s">
        <v>69</v>
      </c>
    </row>
    <row r="862" spans="4:4" ht="17.649999999999999" x14ac:dyDescent="0.5">
      <c r="D862" s="3" t="s">
        <v>114</v>
      </c>
    </row>
    <row r="863" spans="4:4" ht="17.649999999999999" x14ac:dyDescent="0.5">
      <c r="D863" s="3" t="s">
        <v>100</v>
      </c>
    </row>
    <row r="864" spans="4:4" ht="17.649999999999999" x14ac:dyDescent="0.5">
      <c r="D864" s="3" t="s">
        <v>101</v>
      </c>
    </row>
    <row r="865" spans="4:4" ht="17.649999999999999" x14ac:dyDescent="0.5">
      <c r="D865" s="3" t="s">
        <v>91</v>
      </c>
    </row>
    <row r="866" spans="4:4" ht="17.649999999999999" x14ac:dyDescent="0.5">
      <c r="D866" s="3" t="s">
        <v>111</v>
      </c>
    </row>
    <row r="867" spans="4:4" ht="17.649999999999999" x14ac:dyDescent="0.5">
      <c r="D867" s="3" t="s">
        <v>67</v>
      </c>
    </row>
    <row r="868" spans="4:4" ht="17.649999999999999" x14ac:dyDescent="0.5">
      <c r="D868" s="3" t="s">
        <v>64</v>
      </c>
    </row>
    <row r="869" spans="4:4" ht="17.649999999999999" x14ac:dyDescent="0.5">
      <c r="D869" s="3" t="s">
        <v>82</v>
      </c>
    </row>
    <row r="870" spans="4:4" ht="17.649999999999999" x14ac:dyDescent="0.5">
      <c r="D870" s="3" t="s">
        <v>63</v>
      </c>
    </row>
    <row r="871" spans="4:4" ht="17.649999999999999" x14ac:dyDescent="0.5">
      <c r="D871" s="3" t="s">
        <v>126</v>
      </c>
    </row>
    <row r="872" spans="4:4" ht="17.649999999999999" x14ac:dyDescent="0.5">
      <c r="D872" s="3" t="s">
        <v>78</v>
      </c>
    </row>
    <row r="873" spans="4:4" ht="17.649999999999999" x14ac:dyDescent="0.5">
      <c r="D873" s="3" t="s">
        <v>47</v>
      </c>
    </row>
    <row r="874" spans="4:4" ht="17.649999999999999" x14ac:dyDescent="0.5">
      <c r="D874" s="3" t="s">
        <v>55</v>
      </c>
    </row>
    <row r="875" spans="4:4" ht="17.649999999999999" x14ac:dyDescent="0.5">
      <c r="D875" s="3" t="s">
        <v>49</v>
      </c>
    </row>
    <row r="876" spans="4:4" ht="17.649999999999999" x14ac:dyDescent="0.5">
      <c r="D876" s="3" t="s">
        <v>66</v>
      </c>
    </row>
    <row r="877" spans="4:4" ht="17.649999999999999" x14ac:dyDescent="0.5">
      <c r="D877" s="3" t="s">
        <v>73</v>
      </c>
    </row>
    <row r="878" spans="4:4" ht="17.649999999999999" x14ac:dyDescent="0.5">
      <c r="D878" s="3" t="s">
        <v>69</v>
      </c>
    </row>
    <row r="879" spans="4:4" ht="17.649999999999999" x14ac:dyDescent="0.5">
      <c r="D879" s="3" t="s">
        <v>64</v>
      </c>
    </row>
    <row r="880" spans="4:4" ht="17.649999999999999" x14ac:dyDescent="0.5">
      <c r="D880" s="3" t="s">
        <v>78</v>
      </c>
    </row>
    <row r="881" spans="4:4" ht="17.649999999999999" x14ac:dyDescent="0.5">
      <c r="D881" s="3" t="s">
        <v>65</v>
      </c>
    </row>
    <row r="882" spans="4:4" ht="17.649999999999999" x14ac:dyDescent="0.5">
      <c r="D882" s="3" t="s">
        <v>125</v>
      </c>
    </row>
    <row r="883" spans="4:4" ht="17.649999999999999" x14ac:dyDescent="0.5">
      <c r="D883" s="3" t="s">
        <v>68</v>
      </c>
    </row>
    <row r="884" spans="4:4" ht="17.649999999999999" x14ac:dyDescent="0.5">
      <c r="D884" s="3" t="s">
        <v>73</v>
      </c>
    </row>
    <row r="885" spans="4:4" ht="17.649999999999999" x14ac:dyDescent="0.5">
      <c r="D885" s="3" t="s">
        <v>107</v>
      </c>
    </row>
    <row r="886" spans="4:4" ht="17.649999999999999" x14ac:dyDescent="0.5">
      <c r="D886" s="3" t="s">
        <v>46</v>
      </c>
    </row>
    <row r="887" spans="4:4" ht="17.649999999999999" x14ac:dyDescent="0.5">
      <c r="D887" s="3" t="s">
        <v>52</v>
      </c>
    </row>
    <row r="888" spans="4:4" ht="17.649999999999999" x14ac:dyDescent="0.5">
      <c r="D888" s="3" t="s">
        <v>54</v>
      </c>
    </row>
    <row r="889" spans="4:4" ht="17.649999999999999" x14ac:dyDescent="0.5">
      <c r="D889" s="3" t="s">
        <v>50</v>
      </c>
    </row>
    <row r="890" spans="4:4" ht="17.649999999999999" x14ac:dyDescent="0.5">
      <c r="D890" s="3" t="s">
        <v>98</v>
      </c>
    </row>
    <row r="891" spans="4:4" ht="17.649999999999999" x14ac:dyDescent="0.5">
      <c r="D891" s="3" t="s">
        <v>61</v>
      </c>
    </row>
    <row r="892" spans="4:4" ht="17.649999999999999" x14ac:dyDescent="0.5">
      <c r="D892" s="3" t="s">
        <v>83</v>
      </c>
    </row>
    <row r="893" spans="4:4" ht="17.649999999999999" x14ac:dyDescent="0.5">
      <c r="D893" s="3" t="s">
        <v>103</v>
      </c>
    </row>
    <row r="894" spans="4:4" ht="17.649999999999999" x14ac:dyDescent="0.5">
      <c r="D894" s="3" t="s">
        <v>49</v>
      </c>
    </row>
    <row r="895" spans="4:4" ht="17.649999999999999" x14ac:dyDescent="0.5">
      <c r="D895" s="3" t="s">
        <v>65</v>
      </c>
    </row>
    <row r="896" spans="4:4" ht="17.649999999999999" x14ac:dyDescent="0.5">
      <c r="D896" s="3" t="s">
        <v>83</v>
      </c>
    </row>
    <row r="897" spans="4:4" ht="17.649999999999999" x14ac:dyDescent="0.5">
      <c r="D897" s="3" t="s">
        <v>96</v>
      </c>
    </row>
    <row r="898" spans="4:4" ht="17.649999999999999" x14ac:dyDescent="0.5">
      <c r="D898" s="3" t="s">
        <v>95</v>
      </c>
    </row>
    <row r="899" spans="4:4" ht="17.649999999999999" x14ac:dyDescent="0.5">
      <c r="D899" s="3" t="s">
        <v>101</v>
      </c>
    </row>
    <row r="900" spans="4:4" ht="17.649999999999999" x14ac:dyDescent="0.5">
      <c r="D900" s="3" t="s">
        <v>124</v>
      </c>
    </row>
    <row r="901" spans="4:4" ht="17.649999999999999" x14ac:dyDescent="0.5">
      <c r="D901" s="3" t="s">
        <v>103</v>
      </c>
    </row>
    <row r="902" spans="4:4" ht="17.649999999999999" x14ac:dyDescent="0.5">
      <c r="D902" s="3" t="s">
        <v>79</v>
      </c>
    </row>
    <row r="903" spans="4:4" ht="17.649999999999999" x14ac:dyDescent="0.5">
      <c r="D903" s="3" t="s">
        <v>81</v>
      </c>
    </row>
    <row r="904" spans="4:4" ht="17.649999999999999" x14ac:dyDescent="0.5">
      <c r="D904" s="3" t="s">
        <v>92</v>
      </c>
    </row>
    <row r="905" spans="4:4" ht="17.649999999999999" x14ac:dyDescent="0.5">
      <c r="D905" s="3" t="s">
        <v>56</v>
      </c>
    </row>
    <row r="906" spans="4:4" ht="17.649999999999999" x14ac:dyDescent="0.5">
      <c r="D906" s="3" t="s">
        <v>106</v>
      </c>
    </row>
    <row r="907" spans="4:4" ht="17.649999999999999" x14ac:dyDescent="0.5">
      <c r="D907" s="3" t="s">
        <v>46</v>
      </c>
    </row>
    <row r="908" spans="4:4" ht="17.649999999999999" x14ac:dyDescent="0.5">
      <c r="D908" s="3" t="s">
        <v>81</v>
      </c>
    </row>
    <row r="909" spans="4:4" ht="17.649999999999999" x14ac:dyDescent="0.5">
      <c r="D909" s="3" t="s">
        <v>76</v>
      </c>
    </row>
    <row r="910" spans="4:4" ht="17.649999999999999" x14ac:dyDescent="0.5">
      <c r="D910" s="3" t="s">
        <v>83</v>
      </c>
    </row>
    <row r="911" spans="4:4" ht="17.649999999999999" x14ac:dyDescent="0.5">
      <c r="D911" s="3" t="s">
        <v>91</v>
      </c>
    </row>
    <row r="912" spans="4:4" ht="17.649999999999999" x14ac:dyDescent="0.5">
      <c r="D912" s="3" t="s">
        <v>77</v>
      </c>
    </row>
    <row r="913" spans="4:4" ht="17.649999999999999" x14ac:dyDescent="0.5">
      <c r="D913" s="3" t="s">
        <v>82</v>
      </c>
    </row>
    <row r="914" spans="4:4" ht="17.649999999999999" x14ac:dyDescent="0.5">
      <c r="D914" s="3" t="s">
        <v>74</v>
      </c>
    </row>
    <row r="915" spans="4:4" ht="17.649999999999999" x14ac:dyDescent="0.5">
      <c r="D915" s="3" t="s">
        <v>96</v>
      </c>
    </row>
    <row r="916" spans="4:4" ht="17.649999999999999" x14ac:dyDescent="0.5">
      <c r="D916" s="3" t="s">
        <v>107</v>
      </c>
    </row>
    <row r="917" spans="4:4" ht="17.649999999999999" x14ac:dyDescent="0.5">
      <c r="D917" s="3" t="s">
        <v>63</v>
      </c>
    </row>
    <row r="918" spans="4:4" ht="17.649999999999999" x14ac:dyDescent="0.5">
      <c r="D918" s="3" t="s">
        <v>74</v>
      </c>
    </row>
    <row r="919" spans="4:4" ht="17.649999999999999" x14ac:dyDescent="0.5">
      <c r="D919" s="3" t="s">
        <v>113</v>
      </c>
    </row>
    <row r="920" spans="4:4" ht="17.649999999999999" x14ac:dyDescent="0.5">
      <c r="D920" s="3" t="s">
        <v>117</v>
      </c>
    </row>
    <row r="921" spans="4:4" ht="17.649999999999999" x14ac:dyDescent="0.5">
      <c r="D921" s="3" t="s">
        <v>41</v>
      </c>
    </row>
    <row r="922" spans="4:4" ht="17.649999999999999" x14ac:dyDescent="0.5">
      <c r="D922" s="3" t="s">
        <v>45</v>
      </c>
    </row>
    <row r="923" spans="4:4" ht="17.649999999999999" x14ac:dyDescent="0.5">
      <c r="D923" s="3" t="s">
        <v>97</v>
      </c>
    </row>
    <row r="924" spans="4:4" ht="17.649999999999999" x14ac:dyDescent="0.5">
      <c r="D924" s="3" t="s">
        <v>105</v>
      </c>
    </row>
    <row r="925" spans="4:4" ht="17.649999999999999" x14ac:dyDescent="0.5">
      <c r="D925" s="3" t="s">
        <v>134</v>
      </c>
    </row>
    <row r="926" spans="4:4" ht="17.649999999999999" x14ac:dyDescent="0.5">
      <c r="D926" s="3" t="s">
        <v>125</v>
      </c>
    </row>
    <row r="927" spans="4:4" ht="17.649999999999999" x14ac:dyDescent="0.5">
      <c r="D927" s="3" t="s">
        <v>55</v>
      </c>
    </row>
    <row r="928" spans="4:4" ht="17.649999999999999" x14ac:dyDescent="0.5">
      <c r="D928" s="3" t="s">
        <v>136</v>
      </c>
    </row>
    <row r="929" spans="4:4" ht="17.649999999999999" x14ac:dyDescent="0.5">
      <c r="D929" s="3" t="s">
        <v>50</v>
      </c>
    </row>
    <row r="930" spans="4:4" ht="17.649999999999999" x14ac:dyDescent="0.5">
      <c r="D930" s="3" t="s">
        <v>48</v>
      </c>
    </row>
    <row r="931" spans="4:4" ht="17.649999999999999" x14ac:dyDescent="0.5">
      <c r="D931" s="3" t="s">
        <v>46</v>
      </c>
    </row>
    <row r="932" spans="4:4" ht="17.649999999999999" x14ac:dyDescent="0.5">
      <c r="D932" s="3" t="s">
        <v>99</v>
      </c>
    </row>
    <row r="933" spans="4:4" ht="17.649999999999999" x14ac:dyDescent="0.5">
      <c r="D933" s="3" t="s">
        <v>77</v>
      </c>
    </row>
    <row r="934" spans="4:4" ht="17.649999999999999" x14ac:dyDescent="0.5">
      <c r="D934" s="3" t="s">
        <v>87</v>
      </c>
    </row>
    <row r="935" spans="4:4" ht="17.649999999999999" x14ac:dyDescent="0.5">
      <c r="D935" s="3" t="s">
        <v>69</v>
      </c>
    </row>
    <row r="936" spans="4:4" ht="17.649999999999999" x14ac:dyDescent="0.5">
      <c r="D936" s="3" t="s">
        <v>83</v>
      </c>
    </row>
    <row r="937" spans="4:4" ht="17.649999999999999" x14ac:dyDescent="0.5">
      <c r="D937" s="3" t="s">
        <v>71</v>
      </c>
    </row>
    <row r="938" spans="4:4" ht="17.649999999999999" x14ac:dyDescent="0.5">
      <c r="D938" s="3" t="s">
        <v>130</v>
      </c>
    </row>
    <row r="939" spans="4:4" ht="17.649999999999999" x14ac:dyDescent="0.5">
      <c r="D939" s="3" t="s">
        <v>115</v>
      </c>
    </row>
    <row r="940" spans="4:4" ht="17.649999999999999" x14ac:dyDescent="0.5">
      <c r="D940" s="3" t="s">
        <v>85</v>
      </c>
    </row>
    <row r="941" spans="4:4" ht="17.649999999999999" x14ac:dyDescent="0.5">
      <c r="D941" s="3" t="s">
        <v>96</v>
      </c>
    </row>
    <row r="942" spans="4:4" ht="17.649999999999999" x14ac:dyDescent="0.5">
      <c r="D942" s="3" t="s">
        <v>50</v>
      </c>
    </row>
    <row r="943" spans="4:4" ht="17.649999999999999" x14ac:dyDescent="0.5">
      <c r="D943" s="3" t="s">
        <v>78</v>
      </c>
    </row>
    <row r="944" spans="4:4" ht="17.649999999999999" x14ac:dyDescent="0.5">
      <c r="D944" s="3" t="s">
        <v>125</v>
      </c>
    </row>
    <row r="945" spans="4:4" ht="17.649999999999999" x14ac:dyDescent="0.5">
      <c r="D945" s="3" t="s">
        <v>77</v>
      </c>
    </row>
    <row r="946" spans="4:4" ht="17.649999999999999" x14ac:dyDescent="0.5">
      <c r="D946" s="3" t="s">
        <v>92</v>
      </c>
    </row>
    <row r="947" spans="4:4" ht="17.649999999999999" x14ac:dyDescent="0.5">
      <c r="D947" s="3" t="s">
        <v>61</v>
      </c>
    </row>
    <row r="948" spans="4:4" ht="17.649999999999999" x14ac:dyDescent="0.5">
      <c r="D948" s="3" t="s">
        <v>62</v>
      </c>
    </row>
    <row r="949" spans="4:4" ht="17.649999999999999" x14ac:dyDescent="0.5">
      <c r="D949" s="3" t="s">
        <v>57</v>
      </c>
    </row>
    <row r="950" spans="4:4" ht="17.649999999999999" x14ac:dyDescent="0.5">
      <c r="D950" s="3" t="s">
        <v>115</v>
      </c>
    </row>
    <row r="951" spans="4:4" ht="17.649999999999999" x14ac:dyDescent="0.5">
      <c r="D951" s="3" t="s">
        <v>85</v>
      </c>
    </row>
    <row r="952" spans="4:4" ht="17.649999999999999" x14ac:dyDescent="0.5">
      <c r="D952" s="3" t="s">
        <v>52</v>
      </c>
    </row>
    <row r="953" spans="4:4" ht="17.649999999999999" x14ac:dyDescent="0.5">
      <c r="D953" s="3" t="s">
        <v>78</v>
      </c>
    </row>
    <row r="954" spans="4:4" ht="17.649999999999999" x14ac:dyDescent="0.5">
      <c r="D954" s="3" t="s">
        <v>75</v>
      </c>
    </row>
    <row r="955" spans="4:4" ht="17.649999999999999" x14ac:dyDescent="0.5">
      <c r="D955" s="3" t="s">
        <v>122</v>
      </c>
    </row>
    <row r="956" spans="4:4" ht="17.649999999999999" x14ac:dyDescent="0.5">
      <c r="D956" s="3" t="s">
        <v>52</v>
      </c>
    </row>
    <row r="957" spans="4:4" ht="17.649999999999999" x14ac:dyDescent="0.5">
      <c r="D957" s="3" t="s">
        <v>121</v>
      </c>
    </row>
    <row r="958" spans="4:4" ht="17.649999999999999" x14ac:dyDescent="0.5">
      <c r="D958" s="3" t="s">
        <v>91</v>
      </c>
    </row>
    <row r="959" spans="4:4" ht="17.649999999999999" x14ac:dyDescent="0.5">
      <c r="D959" s="3" t="s">
        <v>73</v>
      </c>
    </row>
    <row r="960" spans="4:4" ht="17.649999999999999" x14ac:dyDescent="0.5">
      <c r="D960" s="3" t="s">
        <v>61</v>
      </c>
    </row>
    <row r="961" spans="4:4" ht="17.649999999999999" x14ac:dyDescent="0.5">
      <c r="D961" s="3" t="s">
        <v>47</v>
      </c>
    </row>
    <row r="962" spans="4:4" ht="17.649999999999999" x14ac:dyDescent="0.5">
      <c r="D962" s="3" t="s">
        <v>54</v>
      </c>
    </row>
    <row r="963" spans="4:4" ht="17.649999999999999" x14ac:dyDescent="0.5">
      <c r="D963" s="3" t="s">
        <v>135</v>
      </c>
    </row>
    <row r="964" spans="4:4" ht="17.649999999999999" x14ac:dyDescent="0.5">
      <c r="D964" s="3" t="s">
        <v>58</v>
      </c>
    </row>
    <row r="965" spans="4:4" ht="17.649999999999999" x14ac:dyDescent="0.5">
      <c r="D965" s="3" t="s">
        <v>59</v>
      </c>
    </row>
    <row r="966" spans="4:4" ht="17.649999999999999" x14ac:dyDescent="0.5">
      <c r="D966" s="3" t="s">
        <v>101</v>
      </c>
    </row>
    <row r="967" spans="4:4" ht="17.649999999999999" x14ac:dyDescent="0.5">
      <c r="D967" s="3" t="s">
        <v>105</v>
      </c>
    </row>
    <row r="968" spans="4:4" ht="17.649999999999999" x14ac:dyDescent="0.5">
      <c r="D968" s="3" t="s">
        <v>43</v>
      </c>
    </row>
    <row r="969" spans="4:4" ht="17.649999999999999" x14ac:dyDescent="0.5">
      <c r="D969" s="3" t="s">
        <v>96</v>
      </c>
    </row>
    <row r="970" spans="4:4" ht="17.649999999999999" x14ac:dyDescent="0.5">
      <c r="D970" s="3" t="s">
        <v>98</v>
      </c>
    </row>
    <row r="971" spans="4:4" ht="17.649999999999999" x14ac:dyDescent="0.5">
      <c r="D971" s="3" t="s">
        <v>43</v>
      </c>
    </row>
    <row r="972" spans="4:4" ht="17.649999999999999" x14ac:dyDescent="0.5">
      <c r="D972" s="3" t="s">
        <v>61</v>
      </c>
    </row>
    <row r="973" spans="4:4" ht="17.649999999999999" x14ac:dyDescent="0.5">
      <c r="D973" s="3" t="s">
        <v>76</v>
      </c>
    </row>
    <row r="974" spans="4:4" ht="17.649999999999999" x14ac:dyDescent="0.5">
      <c r="D974" s="3" t="s">
        <v>84</v>
      </c>
    </row>
    <row r="975" spans="4:4" ht="17.649999999999999" x14ac:dyDescent="0.5">
      <c r="D975" s="3" t="s">
        <v>91</v>
      </c>
    </row>
    <row r="976" spans="4:4" ht="17.649999999999999" x14ac:dyDescent="0.5">
      <c r="D976" s="3" t="s">
        <v>113</v>
      </c>
    </row>
    <row r="977" spans="4:4" ht="17.649999999999999" x14ac:dyDescent="0.5">
      <c r="D977" s="3" t="s">
        <v>59</v>
      </c>
    </row>
    <row r="978" spans="4:4" ht="17.649999999999999" x14ac:dyDescent="0.5">
      <c r="D978" s="3" t="s">
        <v>90</v>
      </c>
    </row>
    <row r="979" spans="4:4" ht="17.649999999999999" x14ac:dyDescent="0.5">
      <c r="D979" s="3" t="s">
        <v>60</v>
      </c>
    </row>
    <row r="980" spans="4:4" ht="17.649999999999999" x14ac:dyDescent="0.5">
      <c r="D980" s="3" t="s">
        <v>97</v>
      </c>
    </row>
    <row r="981" spans="4:4" ht="17.649999999999999" x14ac:dyDescent="0.5">
      <c r="D981" s="3" t="s">
        <v>52</v>
      </c>
    </row>
    <row r="982" spans="4:4" ht="17.649999999999999" x14ac:dyDescent="0.5">
      <c r="D982" s="3" t="s">
        <v>122</v>
      </c>
    </row>
    <row r="983" spans="4:4" ht="17.649999999999999" x14ac:dyDescent="0.5">
      <c r="D983" s="3" t="s">
        <v>53</v>
      </c>
    </row>
    <row r="984" spans="4:4" ht="17.649999999999999" x14ac:dyDescent="0.5">
      <c r="D984" s="3" t="s">
        <v>115</v>
      </c>
    </row>
    <row r="985" spans="4:4" ht="17.649999999999999" x14ac:dyDescent="0.5">
      <c r="D985" s="3" t="s">
        <v>44</v>
      </c>
    </row>
    <row r="986" spans="4:4" ht="17.649999999999999" x14ac:dyDescent="0.5">
      <c r="D986" s="3" t="s">
        <v>136</v>
      </c>
    </row>
    <row r="987" spans="4:4" ht="17.649999999999999" x14ac:dyDescent="0.5">
      <c r="D987" s="3" t="s">
        <v>81</v>
      </c>
    </row>
    <row r="988" spans="4:4" ht="17.649999999999999" x14ac:dyDescent="0.5">
      <c r="D988" s="3" t="s">
        <v>51</v>
      </c>
    </row>
    <row r="989" spans="4:4" ht="17.649999999999999" x14ac:dyDescent="0.5">
      <c r="D989" s="3" t="s">
        <v>77</v>
      </c>
    </row>
    <row r="990" spans="4:4" ht="17.649999999999999" x14ac:dyDescent="0.5">
      <c r="D990" s="3" t="s">
        <v>92</v>
      </c>
    </row>
    <row r="991" spans="4:4" ht="17.649999999999999" x14ac:dyDescent="0.5">
      <c r="D991" s="3" t="s">
        <v>91</v>
      </c>
    </row>
    <row r="992" spans="4:4" ht="17.649999999999999" x14ac:dyDescent="0.5">
      <c r="D992" s="3" t="s">
        <v>84</v>
      </c>
    </row>
    <row r="993" spans="4:4" ht="17.649999999999999" x14ac:dyDescent="0.5">
      <c r="D993" s="3" t="s">
        <v>61</v>
      </c>
    </row>
    <row r="994" spans="4:4" ht="17.649999999999999" x14ac:dyDescent="0.5">
      <c r="D994" s="3" t="s">
        <v>85</v>
      </c>
    </row>
    <row r="995" spans="4:4" ht="17.649999999999999" x14ac:dyDescent="0.5">
      <c r="D995" s="3" t="s">
        <v>44</v>
      </c>
    </row>
    <row r="996" spans="4:4" ht="17.649999999999999" x14ac:dyDescent="0.5">
      <c r="D996" s="3" t="s">
        <v>81</v>
      </c>
    </row>
    <row r="997" spans="4:4" ht="17.649999999999999" x14ac:dyDescent="0.5">
      <c r="D997" s="3" t="s">
        <v>47</v>
      </c>
    </row>
    <row r="998" spans="4:4" ht="17.649999999999999" x14ac:dyDescent="0.5">
      <c r="D998" s="3" t="s">
        <v>132</v>
      </c>
    </row>
    <row r="999" spans="4:4" ht="17.649999999999999" x14ac:dyDescent="0.5">
      <c r="D999" s="3" t="s">
        <v>96</v>
      </c>
    </row>
    <row r="1000" spans="4:4" ht="17.649999999999999" x14ac:dyDescent="0.5">
      <c r="D1000" s="3" t="s">
        <v>78</v>
      </c>
    </row>
    <row r="1001" spans="4:4" ht="17.649999999999999" x14ac:dyDescent="0.5">
      <c r="D1001" s="3" t="s">
        <v>74</v>
      </c>
    </row>
    <row r="1002" spans="4:4" ht="17.649999999999999" x14ac:dyDescent="0.5">
      <c r="D1002" s="3" t="s">
        <v>106</v>
      </c>
    </row>
    <row r="1003" spans="4:4" ht="17.649999999999999" x14ac:dyDescent="0.5">
      <c r="D1003" s="3" t="s">
        <v>105</v>
      </c>
    </row>
    <row r="1004" spans="4:4" ht="17.649999999999999" x14ac:dyDescent="0.5">
      <c r="D1004" s="3" t="s">
        <v>59</v>
      </c>
    </row>
    <row r="1005" spans="4:4" ht="17.649999999999999" x14ac:dyDescent="0.5">
      <c r="D1005" s="3" t="s">
        <v>104</v>
      </c>
    </row>
    <row r="1006" spans="4:4" ht="17.649999999999999" x14ac:dyDescent="0.5">
      <c r="D1006" s="3" t="s">
        <v>46</v>
      </c>
    </row>
    <row r="1007" spans="4:4" ht="17.649999999999999" x14ac:dyDescent="0.5">
      <c r="D1007" s="3" t="s">
        <v>91</v>
      </c>
    </row>
    <row r="1008" spans="4:4" ht="17.649999999999999" x14ac:dyDescent="0.5">
      <c r="D1008" s="3" t="s">
        <v>117</v>
      </c>
    </row>
    <row r="1009" spans="4:4" ht="17.649999999999999" x14ac:dyDescent="0.5">
      <c r="D1009" s="3" t="s">
        <v>61</v>
      </c>
    </row>
    <row r="1010" spans="4:4" ht="17.649999999999999" x14ac:dyDescent="0.5">
      <c r="D1010" s="3" t="s">
        <v>71</v>
      </c>
    </row>
    <row r="1011" spans="4:4" ht="17.649999999999999" x14ac:dyDescent="0.5">
      <c r="D1011" s="3" t="s">
        <v>126</v>
      </c>
    </row>
    <row r="1012" spans="4:4" ht="17.649999999999999" x14ac:dyDescent="0.5">
      <c r="D1012" s="3" t="s">
        <v>48</v>
      </c>
    </row>
    <row r="1013" spans="4:4" ht="17.649999999999999" x14ac:dyDescent="0.5">
      <c r="D1013" s="3" t="s">
        <v>75</v>
      </c>
    </row>
    <row r="1014" spans="4:4" ht="17.649999999999999" x14ac:dyDescent="0.5">
      <c r="D1014" s="3" t="s">
        <v>87</v>
      </c>
    </row>
    <row r="1015" spans="4:4" ht="17.649999999999999" x14ac:dyDescent="0.5">
      <c r="D1015" s="3" t="s">
        <v>48</v>
      </c>
    </row>
    <row r="1016" spans="4:4" ht="17.649999999999999" x14ac:dyDescent="0.5">
      <c r="D1016" s="3" t="s">
        <v>52</v>
      </c>
    </row>
    <row r="1017" spans="4:4" ht="17.649999999999999" x14ac:dyDescent="0.5">
      <c r="D1017" s="3" t="s">
        <v>117</v>
      </c>
    </row>
    <row r="1018" spans="4:4" ht="17.649999999999999" x14ac:dyDescent="0.5">
      <c r="D1018" s="3" t="s">
        <v>103</v>
      </c>
    </row>
    <row r="1019" spans="4:4" ht="17.649999999999999" x14ac:dyDescent="0.5">
      <c r="D1019" s="3" t="s">
        <v>134</v>
      </c>
    </row>
    <row r="1020" spans="4:4" ht="17.649999999999999" x14ac:dyDescent="0.5">
      <c r="D1020" s="3" t="s">
        <v>63</v>
      </c>
    </row>
    <row r="1021" spans="4:4" ht="17.649999999999999" x14ac:dyDescent="0.5">
      <c r="D1021" s="3" t="s">
        <v>59</v>
      </c>
    </row>
    <row r="1022" spans="4:4" ht="17.649999999999999" x14ac:dyDescent="0.5">
      <c r="D1022" s="3" t="s">
        <v>127</v>
      </c>
    </row>
    <row r="1023" spans="4:4" ht="17.649999999999999" x14ac:dyDescent="0.5">
      <c r="D1023" s="3" t="s">
        <v>135</v>
      </c>
    </row>
    <row r="1024" spans="4:4" ht="17.649999999999999" x14ac:dyDescent="0.5">
      <c r="D1024" s="3" t="s">
        <v>63</v>
      </c>
    </row>
    <row r="1025" spans="4:4" ht="17.649999999999999" x14ac:dyDescent="0.5">
      <c r="D1025" s="3" t="s">
        <v>52</v>
      </c>
    </row>
    <row r="1026" spans="4:4" ht="17.649999999999999" x14ac:dyDescent="0.5">
      <c r="D1026" s="3" t="s">
        <v>65</v>
      </c>
    </row>
    <row r="1027" spans="4:4" ht="17.649999999999999" x14ac:dyDescent="0.5">
      <c r="D1027" s="3" t="s">
        <v>45</v>
      </c>
    </row>
    <row r="1028" spans="4:4" ht="17.649999999999999" x14ac:dyDescent="0.5">
      <c r="D1028" s="3" t="s">
        <v>77</v>
      </c>
    </row>
    <row r="1029" spans="4:4" ht="17.649999999999999" x14ac:dyDescent="0.5">
      <c r="D1029" s="3" t="s">
        <v>84</v>
      </c>
    </row>
    <row r="1030" spans="4:4" ht="17.649999999999999" x14ac:dyDescent="0.5">
      <c r="D1030" s="3" t="s">
        <v>130</v>
      </c>
    </row>
    <row r="1031" spans="4:4" ht="17.649999999999999" x14ac:dyDescent="0.5">
      <c r="D1031" s="3" t="s">
        <v>68</v>
      </c>
    </row>
    <row r="1032" spans="4:4" ht="17.649999999999999" x14ac:dyDescent="0.5">
      <c r="D1032" s="3" t="s">
        <v>78</v>
      </c>
    </row>
    <row r="1033" spans="4:4" ht="17.649999999999999" x14ac:dyDescent="0.5">
      <c r="D1033" s="3" t="s">
        <v>112</v>
      </c>
    </row>
    <row r="1034" spans="4:4" ht="17.649999999999999" x14ac:dyDescent="0.5">
      <c r="D1034" s="3" t="s">
        <v>43</v>
      </c>
    </row>
    <row r="1035" spans="4:4" ht="17.649999999999999" x14ac:dyDescent="0.5">
      <c r="D1035" s="3" t="s">
        <v>85</v>
      </c>
    </row>
    <row r="1036" spans="4:4" ht="17.649999999999999" x14ac:dyDescent="0.5">
      <c r="D1036" s="3" t="s">
        <v>112</v>
      </c>
    </row>
    <row r="1037" spans="4:4" ht="17.649999999999999" x14ac:dyDescent="0.5">
      <c r="D1037" s="3" t="s">
        <v>119</v>
      </c>
    </row>
    <row r="1038" spans="4:4" ht="17.649999999999999" x14ac:dyDescent="0.5">
      <c r="D1038" s="3" t="s">
        <v>91</v>
      </c>
    </row>
    <row r="1039" spans="4:4" ht="17.649999999999999" x14ac:dyDescent="0.5">
      <c r="D1039" s="3" t="s">
        <v>78</v>
      </c>
    </row>
    <row r="1040" spans="4:4" ht="17.649999999999999" x14ac:dyDescent="0.5">
      <c r="D1040" s="3" t="s">
        <v>115</v>
      </c>
    </row>
    <row r="1041" spans="4:4" ht="17.649999999999999" x14ac:dyDescent="0.5">
      <c r="D1041" s="3" t="s">
        <v>91</v>
      </c>
    </row>
    <row r="1042" spans="4:4" ht="17.649999999999999" x14ac:dyDescent="0.5">
      <c r="D1042" s="3" t="s">
        <v>112</v>
      </c>
    </row>
    <row r="1043" spans="4:4" ht="17.649999999999999" x14ac:dyDescent="0.5">
      <c r="D1043" s="3" t="s">
        <v>85</v>
      </c>
    </row>
    <row r="1044" spans="4:4" ht="17.649999999999999" x14ac:dyDescent="0.5">
      <c r="D1044" s="3" t="s">
        <v>44</v>
      </c>
    </row>
    <row r="1045" spans="4:4" ht="17.649999999999999" x14ac:dyDescent="0.5">
      <c r="D1045" s="3" t="s">
        <v>62</v>
      </c>
    </row>
    <row r="1046" spans="4:4" ht="17.649999999999999" x14ac:dyDescent="0.5">
      <c r="D1046" s="3" t="s">
        <v>87</v>
      </c>
    </row>
    <row r="1047" spans="4:4" ht="17.649999999999999" x14ac:dyDescent="0.5">
      <c r="D1047" s="3" t="s">
        <v>78</v>
      </c>
    </row>
    <row r="1048" spans="4:4" ht="17.649999999999999" x14ac:dyDescent="0.5">
      <c r="D1048" s="3" t="s">
        <v>55</v>
      </c>
    </row>
    <row r="1049" spans="4:4" ht="17.649999999999999" x14ac:dyDescent="0.5">
      <c r="D1049" s="3" t="s">
        <v>75</v>
      </c>
    </row>
    <row r="1050" spans="4:4" ht="17.649999999999999" x14ac:dyDescent="0.5">
      <c r="D1050" s="3" t="s">
        <v>107</v>
      </c>
    </row>
    <row r="1051" spans="4:4" ht="17.649999999999999" x14ac:dyDescent="0.5">
      <c r="D1051" s="3" t="s">
        <v>87</v>
      </c>
    </row>
    <row r="1052" spans="4:4" ht="17.649999999999999" x14ac:dyDescent="0.5">
      <c r="D1052" s="3" t="s">
        <v>117</v>
      </c>
    </row>
    <row r="1053" spans="4:4" ht="17.649999999999999" x14ac:dyDescent="0.5">
      <c r="D1053" s="3" t="s">
        <v>55</v>
      </c>
    </row>
    <row r="1054" spans="4:4" ht="17.649999999999999" x14ac:dyDescent="0.5">
      <c r="D1054" s="3" t="s">
        <v>105</v>
      </c>
    </row>
    <row r="1055" spans="4:4" ht="17.649999999999999" x14ac:dyDescent="0.5">
      <c r="D1055" s="3" t="s">
        <v>101</v>
      </c>
    </row>
    <row r="1056" spans="4:4" ht="17.649999999999999" x14ac:dyDescent="0.5">
      <c r="D1056" s="3" t="s">
        <v>83</v>
      </c>
    </row>
    <row r="1057" spans="4:4" ht="17.649999999999999" x14ac:dyDescent="0.5">
      <c r="D1057" s="3" t="s">
        <v>70</v>
      </c>
    </row>
    <row r="1058" spans="4:4" ht="17.649999999999999" x14ac:dyDescent="0.5">
      <c r="D1058" s="3" t="s">
        <v>46</v>
      </c>
    </row>
    <row r="1059" spans="4:4" ht="17.649999999999999" x14ac:dyDescent="0.5">
      <c r="D1059" s="3" t="s">
        <v>56</v>
      </c>
    </row>
    <row r="1060" spans="4:4" ht="17.649999999999999" x14ac:dyDescent="0.5">
      <c r="D1060" s="3" t="s">
        <v>98</v>
      </c>
    </row>
    <row r="1061" spans="4:4" ht="17.649999999999999" x14ac:dyDescent="0.5">
      <c r="D1061" s="3" t="s">
        <v>98</v>
      </c>
    </row>
    <row r="1062" spans="4:4" ht="17.649999999999999" x14ac:dyDescent="0.5">
      <c r="D1062" s="3" t="s">
        <v>76</v>
      </c>
    </row>
    <row r="1063" spans="4:4" ht="17.649999999999999" x14ac:dyDescent="0.5">
      <c r="D1063" s="3" t="s">
        <v>122</v>
      </c>
    </row>
    <row r="1064" spans="4:4" ht="17.649999999999999" x14ac:dyDescent="0.5">
      <c r="D1064" s="3" t="s">
        <v>48</v>
      </c>
    </row>
    <row r="1065" spans="4:4" ht="17.649999999999999" x14ac:dyDescent="0.5">
      <c r="D1065" s="3" t="s">
        <v>87</v>
      </c>
    </row>
    <row r="1066" spans="4:4" ht="17.649999999999999" x14ac:dyDescent="0.5">
      <c r="D1066" s="3" t="s">
        <v>66</v>
      </c>
    </row>
    <row r="1067" spans="4:4" ht="17.649999999999999" x14ac:dyDescent="0.5">
      <c r="D1067" s="3" t="s">
        <v>48</v>
      </c>
    </row>
    <row r="1068" spans="4:4" ht="17.649999999999999" x14ac:dyDescent="0.5">
      <c r="D1068" s="3" t="s">
        <v>43</v>
      </c>
    </row>
    <row r="1069" spans="4:4" ht="17.649999999999999" x14ac:dyDescent="0.5">
      <c r="D1069" s="3" t="s">
        <v>102</v>
      </c>
    </row>
    <row r="1070" spans="4:4" ht="17.649999999999999" x14ac:dyDescent="0.5">
      <c r="D1070" s="3" t="s">
        <v>53</v>
      </c>
    </row>
    <row r="1071" spans="4:4" ht="17.649999999999999" x14ac:dyDescent="0.5">
      <c r="D1071" s="3" t="s">
        <v>91</v>
      </c>
    </row>
    <row r="1072" spans="4:4" ht="17.649999999999999" x14ac:dyDescent="0.5">
      <c r="D1072" s="3" t="s">
        <v>96</v>
      </c>
    </row>
    <row r="1073" spans="4:4" ht="17.649999999999999" x14ac:dyDescent="0.5">
      <c r="D1073" s="3" t="s">
        <v>59</v>
      </c>
    </row>
    <row r="1074" spans="4:4" ht="17.649999999999999" x14ac:dyDescent="0.5">
      <c r="D1074" s="3" t="s">
        <v>43</v>
      </c>
    </row>
    <row r="1075" spans="4:4" ht="17.649999999999999" x14ac:dyDescent="0.5">
      <c r="D1075" s="3" t="s">
        <v>63</v>
      </c>
    </row>
    <row r="1076" spans="4:4" ht="17.649999999999999" x14ac:dyDescent="0.5">
      <c r="D1076" s="3" t="s">
        <v>81</v>
      </c>
    </row>
    <row r="1077" spans="4:4" ht="17.649999999999999" x14ac:dyDescent="0.5">
      <c r="D1077" s="3" t="s">
        <v>61</v>
      </c>
    </row>
    <row r="1078" spans="4:4" ht="17.649999999999999" x14ac:dyDescent="0.5">
      <c r="D1078" s="3" t="s">
        <v>77</v>
      </c>
    </row>
    <row r="1079" spans="4:4" ht="17.649999999999999" x14ac:dyDescent="0.5">
      <c r="D1079" s="3" t="s">
        <v>63</v>
      </c>
    </row>
    <row r="1080" spans="4:4" ht="17.649999999999999" x14ac:dyDescent="0.5">
      <c r="D1080" s="3" t="s">
        <v>58</v>
      </c>
    </row>
    <row r="1081" spans="4:4" ht="17.649999999999999" x14ac:dyDescent="0.5">
      <c r="D1081" s="3" t="s">
        <v>73</v>
      </c>
    </row>
    <row r="1082" spans="4:4" ht="17.649999999999999" x14ac:dyDescent="0.5">
      <c r="D1082" s="3" t="s">
        <v>107</v>
      </c>
    </row>
    <row r="1083" spans="4:4" ht="17.649999999999999" x14ac:dyDescent="0.5">
      <c r="D1083" s="3" t="s">
        <v>131</v>
      </c>
    </row>
    <row r="1084" spans="4:4" ht="17.649999999999999" x14ac:dyDescent="0.5">
      <c r="D1084" s="3" t="s">
        <v>67</v>
      </c>
    </row>
    <row r="1085" spans="4:4" ht="17.649999999999999" x14ac:dyDescent="0.5">
      <c r="D1085" s="3" t="s">
        <v>41</v>
      </c>
    </row>
    <row r="1086" spans="4:4" ht="17.649999999999999" x14ac:dyDescent="0.5">
      <c r="D1086" s="3" t="s">
        <v>115</v>
      </c>
    </row>
    <row r="1087" spans="4:4" ht="17.649999999999999" x14ac:dyDescent="0.5">
      <c r="D1087" s="3" t="s">
        <v>133</v>
      </c>
    </row>
    <row r="1088" spans="4:4" ht="17.649999999999999" x14ac:dyDescent="0.5">
      <c r="D1088" s="3" t="s">
        <v>131</v>
      </c>
    </row>
    <row r="1089" spans="4:4" ht="17.649999999999999" x14ac:dyDescent="0.5">
      <c r="D1089" s="3" t="s">
        <v>123</v>
      </c>
    </row>
    <row r="1090" spans="4:4" ht="17.649999999999999" x14ac:dyDescent="0.5">
      <c r="D1090" s="3" t="s">
        <v>106</v>
      </c>
    </row>
    <row r="1091" spans="4:4" ht="17.649999999999999" x14ac:dyDescent="0.5">
      <c r="D1091" s="3" t="s">
        <v>65</v>
      </c>
    </row>
    <row r="1092" spans="4:4" ht="17.649999999999999" x14ac:dyDescent="0.5">
      <c r="D1092" s="3" t="s">
        <v>129</v>
      </c>
    </row>
    <row r="1093" spans="4:4" ht="17.649999999999999" x14ac:dyDescent="0.5">
      <c r="D1093" s="3" t="s">
        <v>97</v>
      </c>
    </row>
    <row r="1094" spans="4:4" ht="17.649999999999999" x14ac:dyDescent="0.5">
      <c r="D1094" s="3" t="s">
        <v>56</v>
      </c>
    </row>
    <row r="1095" spans="4:4" ht="17.649999999999999" x14ac:dyDescent="0.5">
      <c r="D1095" s="3" t="s">
        <v>53</v>
      </c>
    </row>
    <row r="1096" spans="4:4" ht="17.649999999999999" x14ac:dyDescent="0.5">
      <c r="D1096" s="3" t="s">
        <v>49</v>
      </c>
    </row>
    <row r="1097" spans="4:4" ht="17.649999999999999" x14ac:dyDescent="0.5">
      <c r="D1097" s="3" t="s">
        <v>65</v>
      </c>
    </row>
    <row r="1098" spans="4:4" ht="17.649999999999999" x14ac:dyDescent="0.5">
      <c r="D1098" s="3" t="s">
        <v>73</v>
      </c>
    </row>
    <row r="1099" spans="4:4" ht="17.649999999999999" x14ac:dyDescent="0.5">
      <c r="D1099" s="3" t="s">
        <v>48</v>
      </c>
    </row>
    <row r="1100" spans="4:4" ht="17.649999999999999" x14ac:dyDescent="0.5">
      <c r="D1100" s="3" t="s">
        <v>105</v>
      </c>
    </row>
    <row r="1101" spans="4:4" ht="17.649999999999999" x14ac:dyDescent="0.5">
      <c r="D1101" s="3" t="s">
        <v>47</v>
      </c>
    </row>
    <row r="1102" spans="4:4" ht="17.649999999999999" x14ac:dyDescent="0.5">
      <c r="D1102" s="3" t="s">
        <v>135</v>
      </c>
    </row>
    <row r="1103" spans="4:4" ht="17.649999999999999" x14ac:dyDescent="0.5">
      <c r="D1103" s="3" t="s">
        <v>117</v>
      </c>
    </row>
    <row r="1104" spans="4:4" ht="17.649999999999999" x14ac:dyDescent="0.5">
      <c r="D1104" s="3" t="s">
        <v>131</v>
      </c>
    </row>
    <row r="1105" spans="4:4" ht="17.649999999999999" x14ac:dyDescent="0.5">
      <c r="D1105" s="3" t="s">
        <v>107</v>
      </c>
    </row>
    <row r="1106" spans="4:4" ht="17.649999999999999" x14ac:dyDescent="0.5">
      <c r="D1106" s="3" t="s">
        <v>115</v>
      </c>
    </row>
    <row r="1107" spans="4:4" ht="17.649999999999999" x14ac:dyDescent="0.5">
      <c r="D1107" s="3" t="s">
        <v>57</v>
      </c>
    </row>
    <row r="1108" spans="4:4" ht="17.649999999999999" x14ac:dyDescent="0.5">
      <c r="D1108" s="3" t="s">
        <v>103</v>
      </c>
    </row>
    <row r="1109" spans="4:4" ht="17.649999999999999" x14ac:dyDescent="0.5">
      <c r="D1109" s="3" t="s">
        <v>121</v>
      </c>
    </row>
    <row r="1110" spans="4:4" ht="17.649999999999999" x14ac:dyDescent="0.5">
      <c r="D1110" s="3" t="s">
        <v>91</v>
      </c>
    </row>
    <row r="1111" spans="4:4" ht="17.649999999999999" x14ac:dyDescent="0.5">
      <c r="D1111" s="3" t="s">
        <v>48</v>
      </c>
    </row>
    <row r="1112" spans="4:4" ht="17.649999999999999" x14ac:dyDescent="0.5">
      <c r="D1112" s="3" t="s">
        <v>52</v>
      </c>
    </row>
    <row r="1113" spans="4:4" ht="17.649999999999999" x14ac:dyDescent="0.5">
      <c r="D1113" s="3" t="s">
        <v>75</v>
      </c>
    </row>
    <row r="1114" spans="4:4" ht="17.649999999999999" x14ac:dyDescent="0.5">
      <c r="D1114" s="3" t="s">
        <v>90</v>
      </c>
    </row>
    <row r="1115" spans="4:4" ht="17.649999999999999" x14ac:dyDescent="0.5">
      <c r="D1115" s="3" t="s">
        <v>98</v>
      </c>
    </row>
    <row r="1116" spans="4:4" ht="17.649999999999999" x14ac:dyDescent="0.5">
      <c r="D1116" s="3" t="s">
        <v>50</v>
      </c>
    </row>
    <row r="1117" spans="4:4" ht="17.649999999999999" x14ac:dyDescent="0.5">
      <c r="D1117" s="3" t="s">
        <v>47</v>
      </c>
    </row>
    <row r="1118" spans="4:4" ht="17.649999999999999" x14ac:dyDescent="0.5">
      <c r="D1118" s="3" t="s">
        <v>72</v>
      </c>
    </row>
    <row r="1119" spans="4:4" ht="17.649999999999999" x14ac:dyDescent="0.5">
      <c r="D1119" s="3" t="s">
        <v>58</v>
      </c>
    </row>
    <row r="1120" spans="4:4" ht="17.649999999999999" x14ac:dyDescent="0.5">
      <c r="D1120" s="3" t="s">
        <v>99</v>
      </c>
    </row>
    <row r="1121" spans="4:4" ht="17.649999999999999" x14ac:dyDescent="0.5">
      <c r="D1121" s="3" t="s">
        <v>50</v>
      </c>
    </row>
    <row r="1122" spans="4:4" ht="17.649999999999999" x14ac:dyDescent="0.5">
      <c r="D1122" s="3" t="s">
        <v>94</v>
      </c>
    </row>
    <row r="1123" spans="4:4" ht="17.649999999999999" x14ac:dyDescent="0.5">
      <c r="D1123" s="3" t="s">
        <v>101</v>
      </c>
    </row>
    <row r="1124" spans="4:4" ht="17.649999999999999" x14ac:dyDescent="0.5">
      <c r="D1124" s="3" t="s">
        <v>80</v>
      </c>
    </row>
    <row r="1125" spans="4:4" ht="17.649999999999999" x14ac:dyDescent="0.5">
      <c r="D1125" s="3" t="s">
        <v>81</v>
      </c>
    </row>
    <row r="1126" spans="4:4" ht="17.649999999999999" x14ac:dyDescent="0.5">
      <c r="D1126" s="3" t="s">
        <v>108</v>
      </c>
    </row>
    <row r="1127" spans="4:4" ht="17.649999999999999" x14ac:dyDescent="0.5">
      <c r="D1127" s="3" t="s">
        <v>77</v>
      </c>
    </row>
    <row r="1128" spans="4:4" ht="17.649999999999999" x14ac:dyDescent="0.5">
      <c r="D1128" s="3" t="s">
        <v>46</v>
      </c>
    </row>
    <row r="1129" spans="4:4" ht="17.649999999999999" x14ac:dyDescent="0.5">
      <c r="D1129" s="3" t="s">
        <v>62</v>
      </c>
    </row>
    <row r="1130" spans="4:4" ht="17.649999999999999" x14ac:dyDescent="0.5">
      <c r="D1130" s="3" t="s">
        <v>75</v>
      </c>
    </row>
    <row r="1131" spans="4:4" ht="17.649999999999999" x14ac:dyDescent="0.5">
      <c r="D1131" s="3" t="s">
        <v>88</v>
      </c>
    </row>
    <row r="1132" spans="4:4" ht="17.649999999999999" x14ac:dyDescent="0.5">
      <c r="D1132" s="3" t="s">
        <v>118</v>
      </c>
    </row>
    <row r="1133" spans="4:4" ht="17.649999999999999" x14ac:dyDescent="0.5">
      <c r="D1133" s="3" t="s">
        <v>87</v>
      </c>
    </row>
    <row r="1134" spans="4:4" ht="17.649999999999999" x14ac:dyDescent="0.5">
      <c r="D1134" s="3" t="s">
        <v>106</v>
      </c>
    </row>
    <row r="1135" spans="4:4" ht="17.649999999999999" x14ac:dyDescent="0.5">
      <c r="D1135" s="3" t="s">
        <v>67</v>
      </c>
    </row>
    <row r="1136" spans="4:4" ht="17.649999999999999" x14ac:dyDescent="0.5">
      <c r="D1136" s="3" t="s">
        <v>49</v>
      </c>
    </row>
    <row r="1137" spans="4:4" ht="17.649999999999999" x14ac:dyDescent="0.5">
      <c r="D1137" s="3" t="s">
        <v>110</v>
      </c>
    </row>
    <row r="1138" spans="4:4" ht="17.649999999999999" x14ac:dyDescent="0.5">
      <c r="D1138" s="3" t="s">
        <v>60</v>
      </c>
    </row>
    <row r="1139" spans="4:4" ht="17.649999999999999" x14ac:dyDescent="0.5">
      <c r="D1139" s="3" t="s">
        <v>59</v>
      </c>
    </row>
    <row r="1140" spans="4:4" ht="17.649999999999999" x14ac:dyDescent="0.5">
      <c r="D1140" s="3" t="s">
        <v>46</v>
      </c>
    </row>
    <row r="1141" spans="4:4" ht="17.649999999999999" x14ac:dyDescent="0.5">
      <c r="D1141" s="3" t="s">
        <v>117</v>
      </c>
    </row>
    <row r="1142" spans="4:4" ht="17.649999999999999" x14ac:dyDescent="0.5">
      <c r="D1142" s="3" t="s">
        <v>63</v>
      </c>
    </row>
    <row r="1143" spans="4:4" ht="17.649999999999999" x14ac:dyDescent="0.5">
      <c r="D1143" s="3" t="s">
        <v>123</v>
      </c>
    </row>
    <row r="1144" spans="4:4" ht="17.649999999999999" x14ac:dyDescent="0.5">
      <c r="D1144" s="3" t="s">
        <v>133</v>
      </c>
    </row>
    <row r="1145" spans="4:4" ht="17.649999999999999" x14ac:dyDescent="0.5">
      <c r="D1145" s="3" t="s">
        <v>100</v>
      </c>
    </row>
    <row r="1146" spans="4:4" ht="17.649999999999999" x14ac:dyDescent="0.5">
      <c r="D1146" s="3" t="s">
        <v>89</v>
      </c>
    </row>
    <row r="1147" spans="4:4" ht="17.649999999999999" x14ac:dyDescent="0.5">
      <c r="D1147" s="3" t="s">
        <v>127</v>
      </c>
    </row>
    <row r="1148" spans="4:4" ht="17.649999999999999" x14ac:dyDescent="0.5">
      <c r="D1148" s="3" t="s">
        <v>77</v>
      </c>
    </row>
    <row r="1149" spans="4:4" ht="17.649999999999999" x14ac:dyDescent="0.5">
      <c r="D1149" s="3" t="s">
        <v>130</v>
      </c>
    </row>
    <row r="1150" spans="4:4" ht="17.649999999999999" x14ac:dyDescent="0.5">
      <c r="D1150" s="3" t="s">
        <v>64</v>
      </c>
    </row>
    <row r="1151" spans="4:4" ht="17.649999999999999" x14ac:dyDescent="0.5">
      <c r="D1151" s="3" t="s">
        <v>103</v>
      </c>
    </row>
    <row r="1152" spans="4:4" ht="17.649999999999999" x14ac:dyDescent="0.5">
      <c r="D1152" s="3" t="s">
        <v>116</v>
      </c>
    </row>
    <row r="1153" spans="4:4" ht="17.649999999999999" x14ac:dyDescent="0.5">
      <c r="D1153" s="3" t="s">
        <v>103</v>
      </c>
    </row>
    <row r="1154" spans="4:4" ht="17.649999999999999" x14ac:dyDescent="0.5">
      <c r="D1154" s="3" t="s">
        <v>135</v>
      </c>
    </row>
    <row r="1155" spans="4:4" ht="17.649999999999999" x14ac:dyDescent="0.5">
      <c r="D1155" s="3" t="s">
        <v>58</v>
      </c>
    </row>
    <row r="1156" spans="4:4" ht="17.649999999999999" x14ac:dyDescent="0.5">
      <c r="D1156" s="3" t="s">
        <v>73</v>
      </c>
    </row>
    <row r="1157" spans="4:4" ht="17.649999999999999" x14ac:dyDescent="0.5">
      <c r="D1157" s="3" t="s">
        <v>70</v>
      </c>
    </row>
    <row r="1158" spans="4:4" ht="17.649999999999999" x14ac:dyDescent="0.5">
      <c r="D1158" s="3" t="s">
        <v>61</v>
      </c>
    </row>
    <row r="1159" spans="4:4" ht="17.649999999999999" x14ac:dyDescent="0.5">
      <c r="D1159" s="3" t="s">
        <v>87</v>
      </c>
    </row>
    <row r="1160" spans="4:4" ht="17.649999999999999" x14ac:dyDescent="0.5">
      <c r="D1160" s="3" t="s">
        <v>74</v>
      </c>
    </row>
    <row r="1161" spans="4:4" ht="17.649999999999999" x14ac:dyDescent="0.5">
      <c r="D1161" s="3" t="s">
        <v>101</v>
      </c>
    </row>
    <row r="1162" spans="4:4" ht="17.649999999999999" x14ac:dyDescent="0.5">
      <c r="D1162" s="3" t="s">
        <v>54</v>
      </c>
    </row>
    <row r="1163" spans="4:4" ht="17.649999999999999" x14ac:dyDescent="0.5">
      <c r="D1163" s="3" t="s">
        <v>75</v>
      </c>
    </row>
    <row r="1164" spans="4:4" ht="17.649999999999999" x14ac:dyDescent="0.5">
      <c r="D1164" s="3" t="s">
        <v>41</v>
      </c>
    </row>
    <row r="1165" spans="4:4" ht="17.649999999999999" x14ac:dyDescent="0.5">
      <c r="D1165" s="3" t="s">
        <v>101</v>
      </c>
    </row>
    <row r="1166" spans="4:4" ht="17.649999999999999" x14ac:dyDescent="0.5">
      <c r="D1166" s="3" t="s">
        <v>63</v>
      </c>
    </row>
    <row r="1167" spans="4:4" ht="17.649999999999999" x14ac:dyDescent="0.5">
      <c r="D1167" s="3" t="s">
        <v>107</v>
      </c>
    </row>
    <row r="1168" spans="4:4" ht="17.649999999999999" x14ac:dyDescent="0.5">
      <c r="D1168" s="3" t="s">
        <v>65</v>
      </c>
    </row>
    <row r="1169" spans="4:4" ht="17.649999999999999" x14ac:dyDescent="0.5">
      <c r="D1169" s="3" t="s">
        <v>53</v>
      </c>
    </row>
    <row r="1170" spans="4:4" ht="17.649999999999999" x14ac:dyDescent="0.5">
      <c r="D1170" s="3" t="s">
        <v>98</v>
      </c>
    </row>
    <row r="1171" spans="4:4" ht="17.649999999999999" x14ac:dyDescent="0.5">
      <c r="D1171" s="3" t="s">
        <v>61</v>
      </c>
    </row>
    <row r="1172" spans="4:4" ht="17.649999999999999" x14ac:dyDescent="0.5">
      <c r="D1172" s="3" t="s">
        <v>125</v>
      </c>
    </row>
    <row r="1173" spans="4:4" ht="17.649999999999999" x14ac:dyDescent="0.5">
      <c r="D1173" s="3" t="s">
        <v>107</v>
      </c>
    </row>
    <row r="1174" spans="4:4" ht="17.649999999999999" x14ac:dyDescent="0.5">
      <c r="D1174" s="3" t="s">
        <v>69</v>
      </c>
    </row>
    <row r="1175" spans="4:4" ht="17.649999999999999" x14ac:dyDescent="0.5">
      <c r="D1175" s="3" t="s">
        <v>65</v>
      </c>
    </row>
    <row r="1176" spans="4:4" ht="17.649999999999999" x14ac:dyDescent="0.5">
      <c r="D1176" s="3" t="s">
        <v>78</v>
      </c>
    </row>
    <row r="1177" spans="4:4" ht="17.649999999999999" x14ac:dyDescent="0.5">
      <c r="D1177" s="3" t="s">
        <v>84</v>
      </c>
    </row>
    <row r="1178" spans="4:4" ht="17.649999999999999" x14ac:dyDescent="0.5">
      <c r="D1178" s="3" t="s">
        <v>73</v>
      </c>
    </row>
    <row r="1179" spans="4:4" ht="17.649999999999999" x14ac:dyDescent="0.5">
      <c r="D1179" s="3" t="s">
        <v>45</v>
      </c>
    </row>
    <row r="1180" spans="4:4" ht="17.649999999999999" x14ac:dyDescent="0.5">
      <c r="D1180" s="3" t="s">
        <v>74</v>
      </c>
    </row>
    <row r="1181" spans="4:4" ht="17.649999999999999" x14ac:dyDescent="0.5">
      <c r="D1181" s="3" t="s">
        <v>67</v>
      </c>
    </row>
    <row r="1182" spans="4:4" ht="17.649999999999999" x14ac:dyDescent="0.5">
      <c r="D1182" s="3" t="s">
        <v>96</v>
      </c>
    </row>
    <row r="1183" spans="4:4" ht="17.649999999999999" x14ac:dyDescent="0.5">
      <c r="D1183" s="3" t="s">
        <v>80</v>
      </c>
    </row>
    <row r="1184" spans="4:4" ht="17.649999999999999" x14ac:dyDescent="0.5">
      <c r="D1184" s="3" t="s">
        <v>65</v>
      </c>
    </row>
    <row r="1185" spans="4:4" ht="17.649999999999999" x14ac:dyDescent="0.5">
      <c r="D1185" s="3" t="s">
        <v>91</v>
      </c>
    </row>
    <row r="1186" spans="4:4" ht="17.649999999999999" x14ac:dyDescent="0.5">
      <c r="D1186" s="3" t="s">
        <v>55</v>
      </c>
    </row>
    <row r="1187" spans="4:4" ht="17.649999999999999" x14ac:dyDescent="0.5">
      <c r="D1187" s="3" t="s">
        <v>115</v>
      </c>
    </row>
    <row r="1188" spans="4:4" ht="17.649999999999999" x14ac:dyDescent="0.5">
      <c r="D1188" s="3" t="s">
        <v>123</v>
      </c>
    </row>
    <row r="1189" spans="4:4" ht="17.649999999999999" x14ac:dyDescent="0.5">
      <c r="D1189" s="3" t="s">
        <v>54</v>
      </c>
    </row>
    <row r="1190" spans="4:4" ht="17.649999999999999" x14ac:dyDescent="0.5">
      <c r="D1190" s="3" t="s">
        <v>78</v>
      </c>
    </row>
    <row r="1191" spans="4:4" ht="17.649999999999999" x14ac:dyDescent="0.5">
      <c r="D1191" s="3" t="s">
        <v>85</v>
      </c>
    </row>
    <row r="1192" spans="4:4" ht="17.649999999999999" x14ac:dyDescent="0.5">
      <c r="D1192" s="3" t="s">
        <v>87</v>
      </c>
    </row>
    <row r="1193" spans="4:4" ht="17.649999999999999" x14ac:dyDescent="0.5">
      <c r="D1193" s="3" t="s">
        <v>112</v>
      </c>
    </row>
    <row r="1194" spans="4:4" ht="17.649999999999999" x14ac:dyDescent="0.5">
      <c r="D1194" s="3" t="s">
        <v>61</v>
      </c>
    </row>
    <row r="1195" spans="4:4" ht="17.649999999999999" x14ac:dyDescent="0.5">
      <c r="D1195" s="3" t="s">
        <v>64</v>
      </c>
    </row>
    <row r="1196" spans="4:4" ht="17.649999999999999" x14ac:dyDescent="0.5">
      <c r="D1196" s="3" t="s">
        <v>63</v>
      </c>
    </row>
    <row r="1197" spans="4:4" ht="17.649999999999999" x14ac:dyDescent="0.5">
      <c r="D1197" s="3" t="s">
        <v>85</v>
      </c>
    </row>
    <row r="1198" spans="4:4" ht="17.649999999999999" x14ac:dyDescent="0.5">
      <c r="D1198" s="3" t="s">
        <v>91</v>
      </c>
    </row>
    <row r="1199" spans="4:4" ht="17.649999999999999" x14ac:dyDescent="0.5">
      <c r="D1199" s="3" t="s">
        <v>46</v>
      </c>
    </row>
    <row r="1200" spans="4:4" ht="17.649999999999999" x14ac:dyDescent="0.5">
      <c r="D1200" s="3" t="s">
        <v>41</v>
      </c>
    </row>
    <row r="1201" spans="4:4" ht="17.649999999999999" x14ac:dyDescent="0.5">
      <c r="D1201" s="3" t="s">
        <v>48</v>
      </c>
    </row>
    <row r="1202" spans="4:4" ht="17.649999999999999" x14ac:dyDescent="0.5">
      <c r="D1202" s="3" t="s">
        <v>75</v>
      </c>
    </row>
    <row r="1203" spans="4:4" ht="17.649999999999999" x14ac:dyDescent="0.5">
      <c r="D1203" s="3" t="s">
        <v>45</v>
      </c>
    </row>
    <row r="1204" spans="4:4" ht="17.649999999999999" x14ac:dyDescent="0.5">
      <c r="D1204" s="3" t="s">
        <v>49</v>
      </c>
    </row>
    <row r="1205" spans="4:4" ht="17.649999999999999" x14ac:dyDescent="0.5">
      <c r="D1205" s="3" t="s">
        <v>84</v>
      </c>
    </row>
    <row r="1206" spans="4:4" ht="17.649999999999999" x14ac:dyDescent="0.5">
      <c r="D1206" s="3" t="s">
        <v>72</v>
      </c>
    </row>
    <row r="1207" spans="4:4" ht="17.649999999999999" x14ac:dyDescent="0.5">
      <c r="D1207" s="3" t="s">
        <v>47</v>
      </c>
    </row>
    <row r="1208" spans="4:4" ht="17.649999999999999" x14ac:dyDescent="0.5">
      <c r="D1208" s="3" t="s">
        <v>55</v>
      </c>
    </row>
    <row r="1209" spans="4:4" ht="17.649999999999999" x14ac:dyDescent="0.5">
      <c r="D1209" s="3" t="s">
        <v>114</v>
      </c>
    </row>
    <row r="1210" spans="4:4" ht="17.649999999999999" x14ac:dyDescent="0.5">
      <c r="D1210" s="3" t="s">
        <v>63</v>
      </c>
    </row>
    <row r="1211" spans="4:4" ht="17.649999999999999" x14ac:dyDescent="0.5">
      <c r="D1211" s="3" t="s">
        <v>61</v>
      </c>
    </row>
    <row r="1212" spans="4:4" ht="17.649999999999999" x14ac:dyDescent="0.5">
      <c r="D1212" s="3" t="s">
        <v>123</v>
      </c>
    </row>
    <row r="1213" spans="4:4" ht="17.649999999999999" x14ac:dyDescent="0.5">
      <c r="D1213" s="3" t="s">
        <v>107</v>
      </c>
    </row>
    <row r="1214" spans="4:4" ht="17.649999999999999" x14ac:dyDescent="0.5">
      <c r="D1214" s="3" t="s">
        <v>85</v>
      </c>
    </row>
    <row r="1215" spans="4:4" ht="17.649999999999999" x14ac:dyDescent="0.5">
      <c r="D1215" s="3" t="s">
        <v>51</v>
      </c>
    </row>
    <row r="1216" spans="4:4" ht="17.649999999999999" x14ac:dyDescent="0.5">
      <c r="D1216" s="3" t="s">
        <v>113</v>
      </c>
    </row>
    <row r="1217" spans="4:4" ht="17.649999999999999" x14ac:dyDescent="0.5">
      <c r="D1217" s="3" t="s">
        <v>57</v>
      </c>
    </row>
    <row r="1218" spans="4:4" ht="17.649999999999999" x14ac:dyDescent="0.5">
      <c r="D1218" s="3" t="s">
        <v>81</v>
      </c>
    </row>
    <row r="1219" spans="4:4" ht="17.649999999999999" x14ac:dyDescent="0.5">
      <c r="D1219" s="3" t="s">
        <v>132</v>
      </c>
    </row>
    <row r="1220" spans="4:4" ht="17.649999999999999" x14ac:dyDescent="0.5">
      <c r="D1220" s="3" t="s">
        <v>66</v>
      </c>
    </row>
    <row r="1221" spans="4:4" ht="17.649999999999999" x14ac:dyDescent="0.5">
      <c r="D1221" s="3" t="s">
        <v>128</v>
      </c>
    </row>
    <row r="1222" spans="4:4" ht="17.649999999999999" x14ac:dyDescent="0.5">
      <c r="D1222" s="3" t="s">
        <v>83</v>
      </c>
    </row>
    <row r="1223" spans="4:4" ht="17.649999999999999" x14ac:dyDescent="0.5">
      <c r="D1223" s="3" t="s">
        <v>94</v>
      </c>
    </row>
    <row r="1224" spans="4:4" ht="17.649999999999999" x14ac:dyDescent="0.5">
      <c r="D1224" s="3" t="s">
        <v>133</v>
      </c>
    </row>
    <row r="1225" spans="4:4" ht="17.649999999999999" x14ac:dyDescent="0.5">
      <c r="D1225" s="3" t="s">
        <v>118</v>
      </c>
    </row>
    <row r="1226" spans="4:4" ht="17.649999999999999" x14ac:dyDescent="0.5">
      <c r="D1226" s="3" t="s">
        <v>67</v>
      </c>
    </row>
    <row r="1227" spans="4:4" ht="17.649999999999999" x14ac:dyDescent="0.5">
      <c r="D1227" s="3" t="s">
        <v>77</v>
      </c>
    </row>
    <row r="1228" spans="4:4" ht="17.649999999999999" x14ac:dyDescent="0.5">
      <c r="D1228" s="3" t="s">
        <v>101</v>
      </c>
    </row>
    <row r="1229" spans="4:4" ht="17.649999999999999" x14ac:dyDescent="0.5">
      <c r="D1229" s="3" t="s">
        <v>59</v>
      </c>
    </row>
    <row r="1230" spans="4:4" ht="17.649999999999999" x14ac:dyDescent="0.5">
      <c r="D1230" s="3" t="s">
        <v>69</v>
      </c>
    </row>
    <row r="1231" spans="4:4" ht="17.649999999999999" x14ac:dyDescent="0.5">
      <c r="D1231" s="3" t="s">
        <v>94</v>
      </c>
    </row>
    <row r="1232" spans="4:4" ht="17.649999999999999" x14ac:dyDescent="0.5">
      <c r="D1232" s="3" t="s">
        <v>91</v>
      </c>
    </row>
    <row r="1233" spans="4:4" ht="17.649999999999999" x14ac:dyDescent="0.5">
      <c r="D1233" s="3" t="s">
        <v>76</v>
      </c>
    </row>
    <row r="1234" spans="4:4" ht="17.649999999999999" x14ac:dyDescent="0.5">
      <c r="D1234" s="3" t="s">
        <v>55</v>
      </c>
    </row>
    <row r="1235" spans="4:4" ht="17.649999999999999" x14ac:dyDescent="0.5">
      <c r="D1235" s="3" t="s">
        <v>43</v>
      </c>
    </row>
    <row r="1236" spans="4:4" ht="17.649999999999999" x14ac:dyDescent="0.5">
      <c r="D1236" s="3" t="s">
        <v>101</v>
      </c>
    </row>
    <row r="1237" spans="4:4" ht="17.649999999999999" x14ac:dyDescent="0.5">
      <c r="D1237" s="3" t="s">
        <v>124</v>
      </c>
    </row>
    <row r="1238" spans="4:4" ht="17.649999999999999" x14ac:dyDescent="0.5">
      <c r="D1238" s="3" t="s">
        <v>61</v>
      </c>
    </row>
    <row r="1239" spans="4:4" ht="17.649999999999999" x14ac:dyDescent="0.5">
      <c r="D1239" s="3" t="s">
        <v>129</v>
      </c>
    </row>
    <row r="1240" spans="4:4" ht="17.649999999999999" x14ac:dyDescent="0.5">
      <c r="D1240" s="3" t="s">
        <v>46</v>
      </c>
    </row>
    <row r="1241" spans="4:4" ht="17.649999999999999" x14ac:dyDescent="0.5">
      <c r="D1241" s="3" t="s">
        <v>103</v>
      </c>
    </row>
    <row r="1242" spans="4:4" ht="17.649999999999999" x14ac:dyDescent="0.5">
      <c r="D1242" s="3" t="s">
        <v>63</v>
      </c>
    </row>
    <row r="1243" spans="4:4" ht="17.649999999999999" x14ac:dyDescent="0.5">
      <c r="D1243" s="3" t="s">
        <v>75</v>
      </c>
    </row>
    <row r="1244" spans="4:4" ht="17.649999999999999" x14ac:dyDescent="0.5">
      <c r="D1244" s="3" t="s">
        <v>48</v>
      </c>
    </row>
    <row r="1245" spans="4:4" ht="17.649999999999999" x14ac:dyDescent="0.5">
      <c r="D1245" s="3" t="s">
        <v>44</v>
      </c>
    </row>
    <row r="1246" spans="4:4" ht="17.649999999999999" x14ac:dyDescent="0.5">
      <c r="D1246" s="3" t="s">
        <v>123</v>
      </c>
    </row>
    <row r="1247" spans="4:4" ht="17.649999999999999" x14ac:dyDescent="0.5">
      <c r="D1247" s="3" t="s">
        <v>83</v>
      </c>
    </row>
    <row r="1248" spans="4:4" ht="17.649999999999999" x14ac:dyDescent="0.5">
      <c r="D1248" s="3" t="s">
        <v>127</v>
      </c>
    </row>
    <row r="1249" spans="4:4" ht="17.649999999999999" x14ac:dyDescent="0.5">
      <c r="D1249" s="3" t="s">
        <v>49</v>
      </c>
    </row>
    <row r="1250" spans="4:4" ht="17.649999999999999" x14ac:dyDescent="0.5">
      <c r="D1250" s="3" t="s">
        <v>66</v>
      </c>
    </row>
    <row r="1251" spans="4:4" ht="17.649999999999999" x14ac:dyDescent="0.5">
      <c r="D1251" s="3" t="s">
        <v>83</v>
      </c>
    </row>
    <row r="1252" spans="4:4" ht="17.649999999999999" x14ac:dyDescent="0.5">
      <c r="D1252" s="3" t="s">
        <v>66</v>
      </c>
    </row>
    <row r="1253" spans="4:4" ht="17.649999999999999" x14ac:dyDescent="0.5">
      <c r="D1253" s="3" t="s">
        <v>68</v>
      </c>
    </row>
    <row r="1254" spans="4:4" ht="17.649999999999999" x14ac:dyDescent="0.5">
      <c r="D1254" s="3" t="s">
        <v>43</v>
      </c>
    </row>
    <row r="1255" spans="4:4" ht="17.649999999999999" x14ac:dyDescent="0.5">
      <c r="D1255" s="3" t="s">
        <v>63</v>
      </c>
    </row>
    <row r="1256" spans="4:4" ht="17.649999999999999" x14ac:dyDescent="0.5">
      <c r="D1256" s="3" t="s">
        <v>48</v>
      </c>
    </row>
    <row r="1257" spans="4:4" ht="17.649999999999999" x14ac:dyDescent="0.5">
      <c r="D1257" s="3" t="s">
        <v>85</v>
      </c>
    </row>
    <row r="1258" spans="4:4" ht="17.649999999999999" x14ac:dyDescent="0.5">
      <c r="D1258" s="3" t="s">
        <v>50</v>
      </c>
    </row>
    <row r="1259" spans="4:4" ht="17.649999999999999" x14ac:dyDescent="0.5">
      <c r="D1259" s="3" t="s">
        <v>74</v>
      </c>
    </row>
    <row r="1260" spans="4:4" ht="17.649999999999999" x14ac:dyDescent="0.5">
      <c r="D1260" s="3" t="s">
        <v>41</v>
      </c>
    </row>
    <row r="1261" spans="4:4" ht="17.649999999999999" x14ac:dyDescent="0.5">
      <c r="D1261" s="3" t="s">
        <v>125</v>
      </c>
    </row>
    <row r="1262" spans="4:4" ht="17.649999999999999" x14ac:dyDescent="0.5">
      <c r="D1262" s="3" t="s">
        <v>50</v>
      </c>
    </row>
    <row r="1263" spans="4:4" ht="17.649999999999999" x14ac:dyDescent="0.5">
      <c r="D1263" s="3" t="s">
        <v>87</v>
      </c>
    </row>
    <row r="1264" spans="4:4" ht="17.649999999999999" x14ac:dyDescent="0.5">
      <c r="D1264" s="3" t="s">
        <v>91</v>
      </c>
    </row>
    <row r="1265" spans="4:4" ht="17.649999999999999" x14ac:dyDescent="0.5">
      <c r="D1265" s="3" t="s">
        <v>63</v>
      </c>
    </row>
    <row r="1266" spans="4:4" ht="17.649999999999999" x14ac:dyDescent="0.5">
      <c r="D1266" s="3" t="s">
        <v>73</v>
      </c>
    </row>
    <row r="1267" spans="4:4" ht="17.649999999999999" x14ac:dyDescent="0.5">
      <c r="D1267" s="3" t="s">
        <v>49</v>
      </c>
    </row>
    <row r="1268" spans="4:4" ht="17.649999999999999" x14ac:dyDescent="0.5">
      <c r="D1268" s="3" t="s">
        <v>90</v>
      </c>
    </row>
    <row r="1269" spans="4:4" ht="17.649999999999999" x14ac:dyDescent="0.5">
      <c r="D1269" s="3" t="s">
        <v>64</v>
      </c>
    </row>
    <row r="1270" spans="4:4" ht="17.649999999999999" x14ac:dyDescent="0.5">
      <c r="D1270" s="3" t="s">
        <v>43</v>
      </c>
    </row>
    <row r="1271" spans="4:4" ht="17.649999999999999" x14ac:dyDescent="0.5">
      <c r="D1271" s="3" t="s">
        <v>82</v>
      </c>
    </row>
    <row r="1272" spans="4:4" ht="17.649999999999999" x14ac:dyDescent="0.5">
      <c r="D1272" s="3" t="s">
        <v>51</v>
      </c>
    </row>
    <row r="1273" spans="4:4" ht="17.649999999999999" x14ac:dyDescent="0.5">
      <c r="D1273" s="3" t="s">
        <v>111</v>
      </c>
    </row>
    <row r="1274" spans="4:4" ht="17.649999999999999" x14ac:dyDescent="0.5">
      <c r="D1274" s="3" t="s">
        <v>85</v>
      </c>
    </row>
    <row r="1275" spans="4:4" ht="17.649999999999999" x14ac:dyDescent="0.5">
      <c r="D1275" s="3" t="s">
        <v>80</v>
      </c>
    </row>
    <row r="1276" spans="4:4" ht="17.649999999999999" x14ac:dyDescent="0.5">
      <c r="D1276" s="3" t="s">
        <v>122</v>
      </c>
    </row>
    <row r="1277" spans="4:4" ht="17.649999999999999" x14ac:dyDescent="0.5">
      <c r="D1277" s="3" t="s">
        <v>68</v>
      </c>
    </row>
    <row r="1278" spans="4:4" ht="17.649999999999999" x14ac:dyDescent="0.5">
      <c r="D1278" s="3" t="s">
        <v>97</v>
      </c>
    </row>
    <row r="1279" spans="4:4" ht="17.649999999999999" x14ac:dyDescent="0.5">
      <c r="D1279" s="3" t="s">
        <v>65</v>
      </c>
    </row>
    <row r="1280" spans="4:4" ht="17.649999999999999" x14ac:dyDescent="0.5">
      <c r="D1280" s="3" t="s">
        <v>44</v>
      </c>
    </row>
    <row r="1281" spans="4:4" ht="17.649999999999999" x14ac:dyDescent="0.5">
      <c r="D1281" s="3" t="s">
        <v>66</v>
      </c>
    </row>
    <row r="1282" spans="4:4" ht="17.649999999999999" x14ac:dyDescent="0.5">
      <c r="D1282" s="3" t="s">
        <v>74</v>
      </c>
    </row>
    <row r="1283" spans="4:4" ht="17.649999999999999" x14ac:dyDescent="0.5">
      <c r="D1283" s="3" t="s">
        <v>54</v>
      </c>
    </row>
    <row r="1284" spans="4:4" ht="17.649999999999999" x14ac:dyDescent="0.5">
      <c r="D1284" s="3" t="s">
        <v>104</v>
      </c>
    </row>
    <row r="1285" spans="4:4" ht="17.649999999999999" x14ac:dyDescent="0.5">
      <c r="D1285" s="3" t="s">
        <v>44</v>
      </c>
    </row>
    <row r="1286" spans="4:4" ht="17.649999999999999" x14ac:dyDescent="0.5">
      <c r="D1286" s="3" t="s">
        <v>88</v>
      </c>
    </row>
    <row r="1287" spans="4:4" ht="17.649999999999999" x14ac:dyDescent="0.5">
      <c r="D1287" s="3" t="s">
        <v>52</v>
      </c>
    </row>
    <row r="1288" spans="4:4" ht="17.649999999999999" x14ac:dyDescent="0.5">
      <c r="D1288" s="3" t="s">
        <v>69</v>
      </c>
    </row>
    <row r="1289" spans="4:4" ht="17.649999999999999" x14ac:dyDescent="0.5">
      <c r="D1289" s="3" t="s">
        <v>64</v>
      </c>
    </row>
    <row r="1290" spans="4:4" ht="17.649999999999999" x14ac:dyDescent="0.5">
      <c r="D1290" s="3" t="s">
        <v>132</v>
      </c>
    </row>
    <row r="1291" spans="4:4" ht="17.649999999999999" x14ac:dyDescent="0.5">
      <c r="D1291" s="3" t="s">
        <v>78</v>
      </c>
    </row>
    <row r="1292" spans="4:4" ht="17.649999999999999" x14ac:dyDescent="0.5">
      <c r="D1292" s="3" t="s">
        <v>105</v>
      </c>
    </row>
    <row r="1293" spans="4:4" ht="17.649999999999999" x14ac:dyDescent="0.5">
      <c r="D1293" s="3" t="s">
        <v>44</v>
      </c>
    </row>
    <row r="1294" spans="4:4" ht="17.649999999999999" x14ac:dyDescent="0.5">
      <c r="D1294" s="3" t="s">
        <v>103</v>
      </c>
    </row>
    <row r="1295" spans="4:4" ht="17.649999999999999" x14ac:dyDescent="0.5">
      <c r="D1295" s="3" t="s">
        <v>63</v>
      </c>
    </row>
    <row r="1296" spans="4:4" ht="17.649999999999999" x14ac:dyDescent="0.5">
      <c r="D1296" s="3" t="s">
        <v>84</v>
      </c>
    </row>
    <row r="1297" spans="4:4" ht="17.649999999999999" x14ac:dyDescent="0.5">
      <c r="D1297" s="3" t="s">
        <v>90</v>
      </c>
    </row>
    <row r="1298" spans="4:4" ht="17.649999999999999" x14ac:dyDescent="0.5">
      <c r="D1298" s="3" t="s">
        <v>96</v>
      </c>
    </row>
    <row r="1299" spans="4:4" ht="17.649999999999999" x14ac:dyDescent="0.5">
      <c r="D1299" s="3" t="s">
        <v>77</v>
      </c>
    </row>
    <row r="1300" spans="4:4" ht="17.649999999999999" x14ac:dyDescent="0.5">
      <c r="D1300" s="3" t="s">
        <v>48</v>
      </c>
    </row>
    <row r="1301" spans="4:4" ht="17.649999999999999" x14ac:dyDescent="0.5">
      <c r="D1301" s="3" t="s">
        <v>47</v>
      </c>
    </row>
    <row r="1302" spans="4:4" ht="17.649999999999999" x14ac:dyDescent="0.5">
      <c r="D1302" s="3" t="s">
        <v>54</v>
      </c>
    </row>
    <row r="1303" spans="4:4" ht="17.649999999999999" x14ac:dyDescent="0.5">
      <c r="D1303" s="3" t="s">
        <v>112</v>
      </c>
    </row>
    <row r="1304" spans="4:4" ht="17.649999999999999" x14ac:dyDescent="0.5">
      <c r="D1304" s="3" t="s">
        <v>98</v>
      </c>
    </row>
    <row r="1305" spans="4:4" ht="17.649999999999999" x14ac:dyDescent="0.5">
      <c r="D1305" s="3" t="s">
        <v>61</v>
      </c>
    </row>
    <row r="1306" spans="4:4" ht="17.649999999999999" x14ac:dyDescent="0.5">
      <c r="D1306" s="3" t="s">
        <v>73</v>
      </c>
    </row>
    <row r="1307" spans="4:4" ht="17.649999999999999" x14ac:dyDescent="0.5">
      <c r="D1307" s="3" t="s">
        <v>136</v>
      </c>
    </row>
    <row r="1308" spans="4:4" ht="17.649999999999999" x14ac:dyDescent="0.5">
      <c r="D1308" s="3" t="s">
        <v>66</v>
      </c>
    </row>
    <row r="1309" spans="4:4" ht="17.649999999999999" x14ac:dyDescent="0.5">
      <c r="D1309" s="3" t="s">
        <v>78</v>
      </c>
    </row>
    <row r="1310" spans="4:4" ht="17.649999999999999" x14ac:dyDescent="0.5">
      <c r="D1310" s="3" t="s">
        <v>49</v>
      </c>
    </row>
    <row r="1311" spans="4:4" ht="17.649999999999999" x14ac:dyDescent="0.5">
      <c r="D1311" s="3" t="s">
        <v>112</v>
      </c>
    </row>
    <row r="1312" spans="4:4" ht="17.649999999999999" x14ac:dyDescent="0.5">
      <c r="D1312" s="3" t="s">
        <v>58</v>
      </c>
    </row>
    <row r="1313" spans="4:4" ht="17.649999999999999" x14ac:dyDescent="0.5">
      <c r="D1313" s="3" t="s">
        <v>81</v>
      </c>
    </row>
    <row r="1314" spans="4:4" ht="17.649999999999999" x14ac:dyDescent="0.5">
      <c r="D1314" s="3" t="s">
        <v>70</v>
      </c>
    </row>
    <row r="1315" spans="4:4" ht="17.649999999999999" x14ac:dyDescent="0.5">
      <c r="D1315" s="3" t="s">
        <v>57</v>
      </c>
    </row>
    <row r="1316" spans="4:4" ht="17.649999999999999" x14ac:dyDescent="0.5">
      <c r="D1316" s="3" t="s">
        <v>75</v>
      </c>
    </row>
    <row r="1317" spans="4:4" ht="17.649999999999999" x14ac:dyDescent="0.5">
      <c r="D1317" s="3" t="s">
        <v>134</v>
      </c>
    </row>
    <row r="1318" spans="4:4" ht="17.649999999999999" x14ac:dyDescent="0.5">
      <c r="D1318" s="3" t="s">
        <v>58</v>
      </c>
    </row>
    <row r="1319" spans="4:4" ht="17.649999999999999" x14ac:dyDescent="0.5">
      <c r="D1319" s="3" t="s">
        <v>56</v>
      </c>
    </row>
    <row r="1320" spans="4:4" ht="17.649999999999999" x14ac:dyDescent="0.5">
      <c r="D1320" s="3" t="s">
        <v>106</v>
      </c>
    </row>
    <row r="1321" spans="4:4" ht="17.649999999999999" x14ac:dyDescent="0.5">
      <c r="D1321" s="3" t="s">
        <v>115</v>
      </c>
    </row>
    <row r="1322" spans="4:4" ht="17.649999999999999" x14ac:dyDescent="0.5">
      <c r="D1322" s="3" t="s">
        <v>62</v>
      </c>
    </row>
    <row r="1323" spans="4:4" ht="17.649999999999999" x14ac:dyDescent="0.5">
      <c r="D1323" s="3" t="s">
        <v>65</v>
      </c>
    </row>
    <row r="1324" spans="4:4" ht="17.649999999999999" x14ac:dyDescent="0.5">
      <c r="D1324" s="3" t="s">
        <v>124</v>
      </c>
    </row>
    <row r="1325" spans="4:4" ht="17.649999999999999" x14ac:dyDescent="0.5">
      <c r="D1325" s="3" t="s">
        <v>90</v>
      </c>
    </row>
    <row r="1326" spans="4:4" ht="17.649999999999999" x14ac:dyDescent="0.5">
      <c r="D1326" s="3" t="s">
        <v>74</v>
      </c>
    </row>
    <row r="1327" spans="4:4" ht="17.649999999999999" x14ac:dyDescent="0.5">
      <c r="D1327" s="3" t="s">
        <v>121</v>
      </c>
    </row>
    <row r="1328" spans="4:4" ht="17.649999999999999" x14ac:dyDescent="0.5">
      <c r="D1328" s="3" t="s">
        <v>115</v>
      </c>
    </row>
    <row r="1329" spans="4:4" ht="17.649999999999999" x14ac:dyDescent="0.5">
      <c r="D1329" s="3" t="s">
        <v>103</v>
      </c>
    </row>
    <row r="1330" spans="4:4" ht="17.649999999999999" x14ac:dyDescent="0.5">
      <c r="D1330" s="3" t="s">
        <v>73</v>
      </c>
    </row>
    <row r="1331" spans="4:4" ht="17.649999999999999" x14ac:dyDescent="0.5">
      <c r="D1331" s="3" t="s">
        <v>107</v>
      </c>
    </row>
    <row r="1332" spans="4:4" ht="17.649999999999999" x14ac:dyDescent="0.5">
      <c r="D1332" s="3" t="s">
        <v>67</v>
      </c>
    </row>
    <row r="1333" spans="4:4" ht="17.649999999999999" x14ac:dyDescent="0.5">
      <c r="D1333" s="3" t="s">
        <v>80</v>
      </c>
    </row>
    <row r="1334" spans="4:4" ht="17.649999999999999" x14ac:dyDescent="0.5">
      <c r="D1334" s="3" t="s">
        <v>69</v>
      </c>
    </row>
    <row r="1335" spans="4:4" ht="17.649999999999999" x14ac:dyDescent="0.5">
      <c r="D1335" s="3" t="s">
        <v>55</v>
      </c>
    </row>
    <row r="1336" spans="4:4" ht="17.649999999999999" x14ac:dyDescent="0.5">
      <c r="D1336" s="3" t="s">
        <v>85</v>
      </c>
    </row>
    <row r="1337" spans="4:4" ht="17.649999999999999" x14ac:dyDescent="0.5">
      <c r="D1337" s="3" t="s">
        <v>61</v>
      </c>
    </row>
    <row r="1338" spans="4:4" ht="17.649999999999999" x14ac:dyDescent="0.5">
      <c r="D1338" s="3" t="s">
        <v>75</v>
      </c>
    </row>
    <row r="1339" spans="4:4" ht="17.649999999999999" x14ac:dyDescent="0.5">
      <c r="D1339" s="3" t="s">
        <v>61</v>
      </c>
    </row>
    <row r="1340" spans="4:4" ht="17.649999999999999" x14ac:dyDescent="0.5">
      <c r="D1340" s="3" t="s">
        <v>111</v>
      </c>
    </row>
    <row r="1341" spans="4:4" ht="17.649999999999999" x14ac:dyDescent="0.5">
      <c r="D1341" s="3" t="s">
        <v>115</v>
      </c>
    </row>
    <row r="1342" spans="4:4" ht="17.649999999999999" x14ac:dyDescent="0.5">
      <c r="D1342" s="3" t="s">
        <v>49</v>
      </c>
    </row>
    <row r="1343" spans="4:4" ht="17.649999999999999" x14ac:dyDescent="0.5">
      <c r="D1343" s="3" t="s">
        <v>46</v>
      </c>
    </row>
    <row r="1344" spans="4:4" ht="17.649999999999999" x14ac:dyDescent="0.5">
      <c r="D1344" s="3" t="s">
        <v>77</v>
      </c>
    </row>
    <row r="1345" spans="4:4" ht="17.649999999999999" x14ac:dyDescent="0.5">
      <c r="D1345" s="3" t="s">
        <v>90</v>
      </c>
    </row>
    <row r="1346" spans="4:4" ht="17.649999999999999" x14ac:dyDescent="0.5">
      <c r="D1346" s="3" t="s">
        <v>50</v>
      </c>
    </row>
    <row r="1347" spans="4:4" ht="17.649999999999999" x14ac:dyDescent="0.5">
      <c r="D1347" s="3" t="s">
        <v>99</v>
      </c>
    </row>
    <row r="1348" spans="4:4" ht="17.649999999999999" x14ac:dyDescent="0.5">
      <c r="D1348" s="3" t="s">
        <v>103</v>
      </c>
    </row>
    <row r="1349" spans="4:4" ht="17.649999999999999" x14ac:dyDescent="0.5">
      <c r="D1349" s="3" t="s">
        <v>83</v>
      </c>
    </row>
    <row r="1350" spans="4:4" ht="17.649999999999999" x14ac:dyDescent="0.5">
      <c r="D1350" s="3" t="s">
        <v>64</v>
      </c>
    </row>
    <row r="1351" spans="4:4" ht="17.649999999999999" x14ac:dyDescent="0.5">
      <c r="D1351" s="3" t="s">
        <v>112</v>
      </c>
    </row>
    <row r="1352" spans="4:4" ht="17.649999999999999" x14ac:dyDescent="0.5">
      <c r="D1352" s="3" t="s">
        <v>54</v>
      </c>
    </row>
    <row r="1353" spans="4:4" ht="17.649999999999999" x14ac:dyDescent="0.5">
      <c r="D1353" s="3" t="s">
        <v>66</v>
      </c>
    </row>
    <row r="1354" spans="4:4" ht="17.649999999999999" x14ac:dyDescent="0.5">
      <c r="D1354" s="3" t="s">
        <v>110</v>
      </c>
    </row>
    <row r="1355" spans="4:4" ht="17.649999999999999" x14ac:dyDescent="0.5">
      <c r="D1355" s="3" t="s">
        <v>67</v>
      </c>
    </row>
    <row r="1356" spans="4:4" ht="17.649999999999999" x14ac:dyDescent="0.5">
      <c r="D1356" s="3" t="s">
        <v>117</v>
      </c>
    </row>
    <row r="1357" spans="4:4" ht="17.649999999999999" x14ac:dyDescent="0.5">
      <c r="D1357" s="3" t="s">
        <v>101</v>
      </c>
    </row>
    <row r="1358" spans="4:4" ht="17.649999999999999" x14ac:dyDescent="0.5">
      <c r="D1358" s="3" t="s">
        <v>91</v>
      </c>
    </row>
    <row r="1359" spans="4:4" ht="17.649999999999999" x14ac:dyDescent="0.5">
      <c r="D1359" s="3" t="s">
        <v>52</v>
      </c>
    </row>
    <row r="1360" spans="4:4" ht="17.649999999999999" x14ac:dyDescent="0.5">
      <c r="D1360" s="3" t="s">
        <v>52</v>
      </c>
    </row>
    <row r="1361" spans="4:4" ht="17.649999999999999" x14ac:dyDescent="0.5">
      <c r="D1361" s="3" t="s">
        <v>61</v>
      </c>
    </row>
    <row r="1362" spans="4:4" ht="17.649999999999999" x14ac:dyDescent="0.5">
      <c r="D1362" s="3" t="s">
        <v>112</v>
      </c>
    </row>
    <row r="1363" spans="4:4" ht="17.649999999999999" x14ac:dyDescent="0.5">
      <c r="D1363" s="3" t="s">
        <v>106</v>
      </c>
    </row>
    <row r="1364" spans="4:4" ht="17.649999999999999" x14ac:dyDescent="0.5">
      <c r="D1364" s="3" t="s">
        <v>127</v>
      </c>
    </row>
    <row r="1365" spans="4:4" ht="17.649999999999999" x14ac:dyDescent="0.5">
      <c r="D1365" s="3" t="s">
        <v>62</v>
      </c>
    </row>
    <row r="1366" spans="4:4" ht="17.649999999999999" x14ac:dyDescent="0.5">
      <c r="D1366" s="3" t="s">
        <v>83</v>
      </c>
    </row>
    <row r="1367" spans="4:4" ht="17.649999999999999" x14ac:dyDescent="0.5">
      <c r="D1367" s="3" t="s">
        <v>101</v>
      </c>
    </row>
    <row r="1368" spans="4:4" ht="17.649999999999999" x14ac:dyDescent="0.5">
      <c r="D1368" s="3" t="s">
        <v>43</v>
      </c>
    </row>
    <row r="1369" spans="4:4" ht="17.649999999999999" x14ac:dyDescent="0.5">
      <c r="D1369" s="3" t="s">
        <v>71</v>
      </c>
    </row>
    <row r="1370" spans="4:4" ht="17.649999999999999" x14ac:dyDescent="0.5">
      <c r="D1370" s="3" t="s">
        <v>68</v>
      </c>
    </row>
    <row r="1371" spans="4:4" ht="17.649999999999999" x14ac:dyDescent="0.5">
      <c r="D1371" s="3" t="s">
        <v>52</v>
      </c>
    </row>
    <row r="1372" spans="4:4" ht="17.649999999999999" x14ac:dyDescent="0.5">
      <c r="D1372" s="3" t="s">
        <v>78</v>
      </c>
    </row>
    <row r="1373" spans="4:4" ht="17.649999999999999" x14ac:dyDescent="0.5">
      <c r="D1373" s="3" t="s">
        <v>54</v>
      </c>
    </row>
    <row r="1374" spans="4:4" ht="17.649999999999999" x14ac:dyDescent="0.5">
      <c r="D1374" s="3" t="s">
        <v>53</v>
      </c>
    </row>
    <row r="1375" spans="4:4" ht="17.649999999999999" x14ac:dyDescent="0.5">
      <c r="D1375" s="3" t="s">
        <v>125</v>
      </c>
    </row>
    <row r="1376" spans="4:4" ht="17.649999999999999" x14ac:dyDescent="0.5">
      <c r="D1376" s="3" t="s">
        <v>112</v>
      </c>
    </row>
    <row r="1377" spans="4:4" ht="17.649999999999999" x14ac:dyDescent="0.5">
      <c r="D1377" s="3" t="s">
        <v>87</v>
      </c>
    </row>
    <row r="1378" spans="4:4" ht="17.649999999999999" x14ac:dyDescent="0.5">
      <c r="D1378" s="3" t="s">
        <v>51</v>
      </c>
    </row>
    <row r="1379" spans="4:4" ht="17.649999999999999" x14ac:dyDescent="0.5">
      <c r="D1379" s="3" t="s">
        <v>111</v>
      </c>
    </row>
    <row r="1380" spans="4:4" ht="17.649999999999999" x14ac:dyDescent="0.5">
      <c r="D1380" s="3" t="s">
        <v>94</v>
      </c>
    </row>
    <row r="1381" spans="4:4" ht="17.649999999999999" x14ac:dyDescent="0.5">
      <c r="D1381" s="3" t="s">
        <v>49</v>
      </c>
    </row>
    <row r="1382" spans="4:4" ht="17.649999999999999" x14ac:dyDescent="0.5">
      <c r="D1382" s="3" t="s">
        <v>92</v>
      </c>
    </row>
    <row r="1383" spans="4:4" ht="17.649999999999999" x14ac:dyDescent="0.5">
      <c r="D1383" s="3" t="s">
        <v>70</v>
      </c>
    </row>
    <row r="1384" spans="4:4" ht="17.649999999999999" x14ac:dyDescent="0.5">
      <c r="D1384" s="3" t="s">
        <v>115</v>
      </c>
    </row>
    <row r="1385" spans="4:4" ht="17.649999999999999" x14ac:dyDescent="0.5">
      <c r="D1385" s="3" t="s">
        <v>71</v>
      </c>
    </row>
    <row r="1386" spans="4:4" ht="17.649999999999999" x14ac:dyDescent="0.5">
      <c r="D1386" s="3" t="s">
        <v>81</v>
      </c>
    </row>
    <row r="1387" spans="4:4" ht="17.649999999999999" x14ac:dyDescent="0.5">
      <c r="D1387" s="3" t="s">
        <v>65</v>
      </c>
    </row>
    <row r="1388" spans="4:4" ht="17.649999999999999" x14ac:dyDescent="0.5">
      <c r="D1388" s="3" t="s">
        <v>78</v>
      </c>
    </row>
    <row r="1389" spans="4:4" ht="17.649999999999999" x14ac:dyDescent="0.5">
      <c r="D1389" s="3" t="s">
        <v>119</v>
      </c>
    </row>
    <row r="1390" spans="4:4" ht="17.649999999999999" x14ac:dyDescent="0.5">
      <c r="D1390" s="3" t="s">
        <v>112</v>
      </c>
    </row>
    <row r="1391" spans="4:4" ht="17.649999999999999" x14ac:dyDescent="0.5">
      <c r="D1391" s="3" t="s">
        <v>74</v>
      </c>
    </row>
    <row r="1392" spans="4:4" ht="17.649999999999999" x14ac:dyDescent="0.5">
      <c r="D1392" s="3" t="s">
        <v>69</v>
      </c>
    </row>
    <row r="1393" spans="4:4" ht="17.649999999999999" x14ac:dyDescent="0.5">
      <c r="D1393" s="3" t="s">
        <v>94</v>
      </c>
    </row>
    <row r="1394" spans="4:4" ht="17.649999999999999" x14ac:dyDescent="0.5">
      <c r="D1394" s="3" t="s">
        <v>80</v>
      </c>
    </row>
    <row r="1395" spans="4:4" ht="17.649999999999999" x14ac:dyDescent="0.5">
      <c r="D1395" s="3" t="s">
        <v>92</v>
      </c>
    </row>
    <row r="1396" spans="4:4" ht="17.649999999999999" x14ac:dyDescent="0.5">
      <c r="D1396" s="3" t="s">
        <v>96</v>
      </c>
    </row>
    <row r="1397" spans="4:4" ht="17.649999999999999" x14ac:dyDescent="0.5">
      <c r="D1397" s="3" t="s">
        <v>52</v>
      </c>
    </row>
    <row r="1398" spans="4:4" ht="17.649999999999999" x14ac:dyDescent="0.5">
      <c r="D1398" s="3" t="s">
        <v>87</v>
      </c>
    </row>
    <row r="1399" spans="4:4" ht="17.649999999999999" x14ac:dyDescent="0.5">
      <c r="D1399" s="3" t="s">
        <v>92</v>
      </c>
    </row>
    <row r="1400" spans="4:4" ht="17.649999999999999" x14ac:dyDescent="0.5">
      <c r="D1400" s="3" t="s">
        <v>51</v>
      </c>
    </row>
    <row r="1401" spans="4:4" ht="17.649999999999999" x14ac:dyDescent="0.5">
      <c r="D1401" s="3" t="s">
        <v>80</v>
      </c>
    </row>
    <row r="1402" spans="4:4" ht="17.649999999999999" x14ac:dyDescent="0.5">
      <c r="D1402" s="3" t="s">
        <v>67</v>
      </c>
    </row>
    <row r="1403" spans="4:4" ht="17.649999999999999" x14ac:dyDescent="0.5">
      <c r="D1403" s="3" t="s">
        <v>64</v>
      </c>
    </row>
    <row r="1404" spans="4:4" ht="17.649999999999999" x14ac:dyDescent="0.5">
      <c r="D1404" s="3" t="s">
        <v>94</v>
      </c>
    </row>
    <row r="1405" spans="4:4" ht="17.649999999999999" x14ac:dyDescent="0.5">
      <c r="D1405" s="3" t="s">
        <v>96</v>
      </c>
    </row>
    <row r="1406" spans="4:4" ht="17.649999999999999" x14ac:dyDescent="0.5">
      <c r="D1406" s="3" t="s">
        <v>125</v>
      </c>
    </row>
    <row r="1407" spans="4:4" ht="17.649999999999999" x14ac:dyDescent="0.5">
      <c r="D1407" s="3" t="s">
        <v>62</v>
      </c>
    </row>
    <row r="1408" spans="4:4" ht="17.649999999999999" x14ac:dyDescent="0.5">
      <c r="D1408" s="3" t="s">
        <v>65</v>
      </c>
    </row>
    <row r="1409" spans="4:4" ht="17.649999999999999" x14ac:dyDescent="0.5">
      <c r="D1409" s="3" t="s">
        <v>55</v>
      </c>
    </row>
    <row r="1410" spans="4:4" ht="17.649999999999999" x14ac:dyDescent="0.5">
      <c r="D1410" s="3" t="s">
        <v>80</v>
      </c>
    </row>
    <row r="1411" spans="4:4" ht="17.649999999999999" x14ac:dyDescent="0.5">
      <c r="D1411" s="3" t="s">
        <v>56</v>
      </c>
    </row>
    <row r="1412" spans="4:4" ht="17.649999999999999" x14ac:dyDescent="0.5">
      <c r="D1412" s="3" t="s">
        <v>61</v>
      </c>
    </row>
    <row r="1413" spans="4:4" ht="17.649999999999999" x14ac:dyDescent="0.5">
      <c r="D1413" s="3" t="s">
        <v>105</v>
      </c>
    </row>
    <row r="1414" spans="4:4" ht="17.649999999999999" x14ac:dyDescent="0.5">
      <c r="D1414" s="3" t="s">
        <v>54</v>
      </c>
    </row>
    <row r="1415" spans="4:4" ht="17.649999999999999" x14ac:dyDescent="0.5">
      <c r="D1415" s="3" t="s">
        <v>67</v>
      </c>
    </row>
    <row r="1416" spans="4:4" ht="17.649999999999999" x14ac:dyDescent="0.5">
      <c r="D1416" s="3" t="s">
        <v>63</v>
      </c>
    </row>
    <row r="1417" spans="4:4" ht="17.649999999999999" x14ac:dyDescent="0.5">
      <c r="D1417" s="3" t="s">
        <v>75</v>
      </c>
    </row>
    <row r="1418" spans="4:4" ht="17.649999999999999" x14ac:dyDescent="0.5">
      <c r="D1418" s="3" t="s">
        <v>94</v>
      </c>
    </row>
    <row r="1419" spans="4:4" ht="17.649999999999999" x14ac:dyDescent="0.5">
      <c r="D1419" s="3" t="s">
        <v>43</v>
      </c>
    </row>
    <row r="1420" spans="4:4" ht="17.649999999999999" x14ac:dyDescent="0.5">
      <c r="D1420" s="3" t="s">
        <v>84</v>
      </c>
    </row>
    <row r="1421" spans="4:4" ht="17.649999999999999" x14ac:dyDescent="0.5">
      <c r="D1421" s="3" t="s">
        <v>65</v>
      </c>
    </row>
    <row r="1422" spans="4:4" ht="17.649999999999999" x14ac:dyDescent="0.5">
      <c r="D1422" s="3" t="s">
        <v>112</v>
      </c>
    </row>
    <row r="1423" spans="4:4" ht="17.649999999999999" x14ac:dyDescent="0.5">
      <c r="D1423" s="3" t="s">
        <v>119</v>
      </c>
    </row>
    <row r="1424" spans="4:4" ht="17.649999999999999" x14ac:dyDescent="0.5">
      <c r="D1424" s="3" t="s">
        <v>53</v>
      </c>
    </row>
    <row r="1425" spans="4:4" ht="17.649999999999999" x14ac:dyDescent="0.5">
      <c r="D1425" s="3" t="s">
        <v>84</v>
      </c>
    </row>
    <row r="1426" spans="4:4" ht="17.649999999999999" x14ac:dyDescent="0.5">
      <c r="D1426" s="3" t="s">
        <v>73</v>
      </c>
    </row>
    <row r="1427" spans="4:4" ht="17.649999999999999" x14ac:dyDescent="0.5">
      <c r="D1427" s="3" t="s">
        <v>69</v>
      </c>
    </row>
    <row r="1428" spans="4:4" ht="17.649999999999999" x14ac:dyDescent="0.5">
      <c r="D1428" s="3" t="s">
        <v>107</v>
      </c>
    </row>
    <row r="1429" spans="4:4" ht="17.649999999999999" x14ac:dyDescent="0.5">
      <c r="D1429" s="3" t="s">
        <v>67</v>
      </c>
    </row>
    <row r="1430" spans="4:4" ht="17.649999999999999" x14ac:dyDescent="0.5">
      <c r="D1430" s="3" t="s">
        <v>120</v>
      </c>
    </row>
    <row r="1431" spans="4:4" ht="17.649999999999999" x14ac:dyDescent="0.5">
      <c r="D1431" s="3" t="s">
        <v>128</v>
      </c>
    </row>
    <row r="1432" spans="4:4" ht="17.649999999999999" x14ac:dyDescent="0.5">
      <c r="D1432" s="3" t="s">
        <v>83</v>
      </c>
    </row>
    <row r="1433" spans="4:4" ht="17.649999999999999" x14ac:dyDescent="0.5">
      <c r="D1433" s="3" t="s">
        <v>85</v>
      </c>
    </row>
    <row r="1434" spans="4:4" ht="17.649999999999999" x14ac:dyDescent="0.5">
      <c r="D1434" s="3" t="s">
        <v>79</v>
      </c>
    </row>
    <row r="1435" spans="4:4" ht="17.649999999999999" x14ac:dyDescent="0.5">
      <c r="D1435" s="3" t="s">
        <v>101</v>
      </c>
    </row>
    <row r="1436" spans="4:4" ht="17.649999999999999" x14ac:dyDescent="0.5">
      <c r="D1436" s="3" t="s">
        <v>59</v>
      </c>
    </row>
    <row r="1437" spans="4:4" ht="17.649999999999999" x14ac:dyDescent="0.5">
      <c r="D1437" s="3" t="s">
        <v>112</v>
      </c>
    </row>
    <row r="1438" spans="4:4" ht="17.649999999999999" x14ac:dyDescent="0.5">
      <c r="D1438" s="3" t="s">
        <v>83</v>
      </c>
    </row>
    <row r="1439" spans="4:4" ht="17.649999999999999" x14ac:dyDescent="0.5">
      <c r="D1439" s="3" t="s">
        <v>117</v>
      </c>
    </row>
    <row r="1440" spans="4:4" ht="17.649999999999999" x14ac:dyDescent="0.5">
      <c r="D1440" s="3" t="s">
        <v>79</v>
      </c>
    </row>
    <row r="1441" spans="4:4" ht="17.649999999999999" x14ac:dyDescent="0.5">
      <c r="D1441" s="3" t="s">
        <v>131</v>
      </c>
    </row>
    <row r="1442" spans="4:4" ht="17.649999999999999" x14ac:dyDescent="0.5">
      <c r="D1442" s="3" t="s">
        <v>90</v>
      </c>
    </row>
    <row r="1443" spans="4:4" ht="17.649999999999999" x14ac:dyDescent="0.5">
      <c r="D1443" s="3" t="s">
        <v>115</v>
      </c>
    </row>
    <row r="1444" spans="4:4" ht="17.649999999999999" x14ac:dyDescent="0.5">
      <c r="D1444" s="3" t="s">
        <v>59</v>
      </c>
    </row>
    <row r="1445" spans="4:4" ht="17.649999999999999" x14ac:dyDescent="0.5">
      <c r="D1445" s="3" t="s">
        <v>103</v>
      </c>
    </row>
    <row r="1446" spans="4:4" ht="17.649999999999999" x14ac:dyDescent="0.5">
      <c r="D1446" s="3" t="s">
        <v>77</v>
      </c>
    </row>
    <row r="1447" spans="4:4" ht="17.649999999999999" x14ac:dyDescent="0.5">
      <c r="D1447" s="3" t="s">
        <v>73</v>
      </c>
    </row>
    <row r="1448" spans="4:4" ht="17.649999999999999" x14ac:dyDescent="0.5">
      <c r="D1448" s="3" t="s">
        <v>95</v>
      </c>
    </row>
    <row r="1449" spans="4:4" ht="17.649999999999999" x14ac:dyDescent="0.5">
      <c r="D1449" s="3" t="s">
        <v>92</v>
      </c>
    </row>
    <row r="1450" spans="4:4" ht="17.649999999999999" x14ac:dyDescent="0.5">
      <c r="D1450" s="3" t="s">
        <v>67</v>
      </c>
    </row>
    <row r="1451" spans="4:4" ht="17.649999999999999" x14ac:dyDescent="0.5">
      <c r="D1451" s="3" t="s">
        <v>64</v>
      </c>
    </row>
    <row r="1452" spans="4:4" ht="17.649999999999999" x14ac:dyDescent="0.5">
      <c r="D1452" s="3" t="s">
        <v>97</v>
      </c>
    </row>
    <row r="1453" spans="4:4" ht="17.649999999999999" x14ac:dyDescent="0.5">
      <c r="D1453" s="3" t="s">
        <v>92</v>
      </c>
    </row>
    <row r="1454" spans="4:4" ht="17.649999999999999" x14ac:dyDescent="0.5">
      <c r="D1454" s="3" t="s">
        <v>56</v>
      </c>
    </row>
    <row r="1455" spans="4:4" ht="17.649999999999999" x14ac:dyDescent="0.5">
      <c r="D1455" s="3" t="s">
        <v>48</v>
      </c>
    </row>
    <row r="1456" spans="4:4" ht="17.649999999999999" x14ac:dyDescent="0.5">
      <c r="D1456" s="3" t="s">
        <v>84</v>
      </c>
    </row>
    <row r="1457" spans="4:4" ht="17.649999999999999" x14ac:dyDescent="0.5">
      <c r="D1457" s="3" t="s">
        <v>92</v>
      </c>
    </row>
    <row r="1458" spans="4:4" ht="17.649999999999999" x14ac:dyDescent="0.5">
      <c r="D1458" s="3" t="s">
        <v>67</v>
      </c>
    </row>
    <row r="1459" spans="4:4" ht="17.649999999999999" x14ac:dyDescent="0.5">
      <c r="D1459" s="3" t="s">
        <v>119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78</v>
      </c>
    </row>
    <row r="1462" spans="4:4" ht="17.649999999999999" x14ac:dyDescent="0.5">
      <c r="D1462" s="3" t="s">
        <v>105</v>
      </c>
    </row>
    <row r="1463" spans="4:4" ht="17.649999999999999" x14ac:dyDescent="0.5">
      <c r="D1463" s="3" t="s">
        <v>117</v>
      </c>
    </row>
    <row r="1464" spans="4:4" ht="17.649999999999999" x14ac:dyDescent="0.5">
      <c r="D1464" s="3" t="s">
        <v>96</v>
      </c>
    </row>
    <row r="1465" spans="4:4" ht="17.649999999999999" x14ac:dyDescent="0.5">
      <c r="D1465" s="3" t="s">
        <v>77</v>
      </c>
    </row>
    <row r="1466" spans="4:4" ht="17.649999999999999" x14ac:dyDescent="0.5">
      <c r="D1466" s="3" t="s">
        <v>115</v>
      </c>
    </row>
    <row r="1467" spans="4:4" ht="17.649999999999999" x14ac:dyDescent="0.5">
      <c r="D1467" s="3" t="s">
        <v>107</v>
      </c>
    </row>
    <row r="1468" spans="4:4" ht="17.649999999999999" x14ac:dyDescent="0.5">
      <c r="D1468" s="3" t="s">
        <v>94</v>
      </c>
    </row>
    <row r="1469" spans="4:4" ht="17.649999999999999" x14ac:dyDescent="0.5">
      <c r="D1469" s="3" t="s">
        <v>70</v>
      </c>
    </row>
    <row r="1470" spans="4:4" ht="17.649999999999999" x14ac:dyDescent="0.5">
      <c r="D1470" s="3" t="s">
        <v>55</v>
      </c>
    </row>
    <row r="1471" spans="4:4" ht="17.649999999999999" x14ac:dyDescent="0.5">
      <c r="D1471" s="3" t="s">
        <v>57</v>
      </c>
    </row>
    <row r="1472" spans="4:4" ht="17.649999999999999" x14ac:dyDescent="0.5">
      <c r="D1472" s="3" t="s">
        <v>91</v>
      </c>
    </row>
    <row r="1473" spans="4:4" ht="17.649999999999999" x14ac:dyDescent="0.5">
      <c r="D1473" s="3" t="s">
        <v>96</v>
      </c>
    </row>
    <row r="1474" spans="4:4" ht="17.649999999999999" x14ac:dyDescent="0.5">
      <c r="D1474" s="3" t="s">
        <v>66</v>
      </c>
    </row>
    <row r="1475" spans="4:4" ht="17.649999999999999" x14ac:dyDescent="0.5">
      <c r="D1475" s="3" t="s">
        <v>48</v>
      </c>
    </row>
    <row r="1476" spans="4:4" ht="17.649999999999999" x14ac:dyDescent="0.5">
      <c r="D1476" s="3" t="s">
        <v>61</v>
      </c>
    </row>
    <row r="1477" spans="4:4" ht="17.649999999999999" x14ac:dyDescent="0.5">
      <c r="D1477" s="3" t="s">
        <v>84</v>
      </c>
    </row>
    <row r="1478" spans="4:4" ht="17.649999999999999" x14ac:dyDescent="0.5">
      <c r="D1478" s="3" t="s">
        <v>75</v>
      </c>
    </row>
    <row r="1479" spans="4:4" ht="17.649999999999999" x14ac:dyDescent="0.5">
      <c r="D1479" s="3" t="s">
        <v>48</v>
      </c>
    </row>
    <row r="1480" spans="4:4" ht="17.649999999999999" x14ac:dyDescent="0.5">
      <c r="D1480" s="3" t="s">
        <v>77</v>
      </c>
    </row>
    <row r="1481" spans="4:4" ht="17.649999999999999" x14ac:dyDescent="0.5">
      <c r="D1481" s="3" t="s">
        <v>115</v>
      </c>
    </row>
    <row r="1482" spans="4:4" ht="17.649999999999999" x14ac:dyDescent="0.5">
      <c r="D1482" s="3" t="s">
        <v>50</v>
      </c>
    </row>
    <row r="1483" spans="4:4" ht="17.649999999999999" x14ac:dyDescent="0.5">
      <c r="D1483" s="3" t="s">
        <v>75</v>
      </c>
    </row>
    <row r="1484" spans="4:4" ht="17.649999999999999" x14ac:dyDescent="0.5">
      <c r="D1484" s="3" t="s">
        <v>88</v>
      </c>
    </row>
    <row r="1485" spans="4:4" ht="17.649999999999999" x14ac:dyDescent="0.5">
      <c r="D1485" s="3" t="s">
        <v>54</v>
      </c>
    </row>
    <row r="1486" spans="4:4" ht="17.649999999999999" x14ac:dyDescent="0.5">
      <c r="D1486" s="3" t="s">
        <v>43</v>
      </c>
    </row>
    <row r="1487" spans="4:4" ht="17.649999999999999" x14ac:dyDescent="0.5">
      <c r="D1487" s="3" t="s">
        <v>53</v>
      </c>
    </row>
    <row r="1488" spans="4:4" ht="17.649999999999999" x14ac:dyDescent="0.5">
      <c r="D1488" s="3" t="s">
        <v>101</v>
      </c>
    </row>
    <row r="1489" spans="4:4" ht="17.649999999999999" x14ac:dyDescent="0.5">
      <c r="D1489" s="3" t="s">
        <v>71</v>
      </c>
    </row>
    <row r="1490" spans="4:4" ht="17.649999999999999" x14ac:dyDescent="0.5">
      <c r="D1490" s="3" t="s">
        <v>57</v>
      </c>
    </row>
    <row r="1491" spans="4:4" ht="17.649999999999999" x14ac:dyDescent="0.5">
      <c r="D1491" s="3" t="s">
        <v>106</v>
      </c>
    </row>
    <row r="1492" spans="4:4" ht="17.649999999999999" x14ac:dyDescent="0.5">
      <c r="D1492" s="3" t="s">
        <v>117</v>
      </c>
    </row>
    <row r="1493" spans="4:4" ht="17.649999999999999" x14ac:dyDescent="0.5">
      <c r="D1493" s="3" t="s">
        <v>98</v>
      </c>
    </row>
    <row r="1494" spans="4:4" ht="17.649999999999999" x14ac:dyDescent="0.5">
      <c r="D1494" s="3" t="s">
        <v>113</v>
      </c>
    </row>
    <row r="1495" spans="4:4" ht="17.649999999999999" x14ac:dyDescent="0.5">
      <c r="D1495" s="3" t="s">
        <v>79</v>
      </c>
    </row>
    <row r="1496" spans="4:4" ht="17.649999999999999" x14ac:dyDescent="0.5">
      <c r="D1496" s="3" t="s">
        <v>110</v>
      </c>
    </row>
    <row r="1497" spans="4:4" ht="17.649999999999999" x14ac:dyDescent="0.5">
      <c r="D1497" s="3" t="s">
        <v>85</v>
      </c>
    </row>
    <row r="1498" spans="4:4" ht="17.649999999999999" x14ac:dyDescent="0.5">
      <c r="D1498" s="3" t="s">
        <v>122</v>
      </c>
    </row>
    <row r="1499" spans="4:4" ht="17.649999999999999" x14ac:dyDescent="0.5">
      <c r="D1499" s="3" t="s">
        <v>66</v>
      </c>
    </row>
    <row r="1500" spans="4:4" ht="17.649999999999999" x14ac:dyDescent="0.5">
      <c r="D1500" s="3" t="s">
        <v>103</v>
      </c>
    </row>
    <row r="1501" spans="4:4" ht="17.649999999999999" x14ac:dyDescent="0.5">
      <c r="D1501" s="3" t="s">
        <v>101</v>
      </c>
    </row>
    <row r="1502" spans="4:4" ht="17.649999999999999" x14ac:dyDescent="0.5">
      <c r="D1502" s="3" t="s">
        <v>83</v>
      </c>
    </row>
    <row r="1503" spans="4:4" ht="17.649999999999999" x14ac:dyDescent="0.5">
      <c r="D1503" s="3" t="s">
        <v>59</v>
      </c>
    </row>
    <row r="1504" spans="4:4" ht="17.649999999999999" x14ac:dyDescent="0.5">
      <c r="D1504" s="3" t="s">
        <v>41</v>
      </c>
    </row>
    <row r="1505" spans="4:4" ht="17.649999999999999" x14ac:dyDescent="0.5">
      <c r="D1505" s="3" t="s">
        <v>85</v>
      </c>
    </row>
    <row r="1506" spans="4:4" ht="17.649999999999999" x14ac:dyDescent="0.5">
      <c r="D1506" s="3" t="s">
        <v>74</v>
      </c>
    </row>
    <row r="1507" spans="4:4" ht="17.649999999999999" x14ac:dyDescent="0.5">
      <c r="D1507" s="3" t="s">
        <v>96</v>
      </c>
    </row>
    <row r="1508" spans="4:4" ht="17.649999999999999" x14ac:dyDescent="0.5">
      <c r="D1508" s="3" t="s">
        <v>87</v>
      </c>
    </row>
    <row r="1509" spans="4:4" ht="17.649999999999999" x14ac:dyDescent="0.5">
      <c r="D1509" s="3" t="s">
        <v>135</v>
      </c>
    </row>
    <row r="1510" spans="4:4" ht="17.649999999999999" x14ac:dyDescent="0.5">
      <c r="D1510" s="3" t="s">
        <v>78</v>
      </c>
    </row>
    <row r="1511" spans="4:4" ht="17.649999999999999" x14ac:dyDescent="0.5">
      <c r="D1511" s="3" t="s">
        <v>92</v>
      </c>
    </row>
    <row r="1512" spans="4:4" ht="17.649999999999999" x14ac:dyDescent="0.5">
      <c r="D1512" s="3" t="s">
        <v>91</v>
      </c>
    </row>
    <row r="1513" spans="4:4" ht="17.649999999999999" x14ac:dyDescent="0.5">
      <c r="D1513" s="3" t="s">
        <v>101</v>
      </c>
    </row>
    <row r="1514" spans="4:4" ht="17.649999999999999" x14ac:dyDescent="0.5">
      <c r="D1514" s="3" t="s">
        <v>54</v>
      </c>
    </row>
    <row r="1515" spans="4:4" ht="17.649999999999999" x14ac:dyDescent="0.5">
      <c r="D1515" s="3" t="s">
        <v>117</v>
      </c>
    </row>
    <row r="1516" spans="4:4" ht="17.649999999999999" x14ac:dyDescent="0.5">
      <c r="D1516" s="3" t="s">
        <v>115</v>
      </c>
    </row>
    <row r="1517" spans="4:4" ht="17.649999999999999" x14ac:dyDescent="0.5">
      <c r="D1517" s="3" t="s">
        <v>70</v>
      </c>
    </row>
    <row r="1518" spans="4:4" ht="17.649999999999999" x14ac:dyDescent="0.5">
      <c r="D1518" s="3" t="s">
        <v>117</v>
      </c>
    </row>
    <row r="1519" spans="4:4" ht="17.649999999999999" x14ac:dyDescent="0.5">
      <c r="D1519" s="3" t="s">
        <v>120</v>
      </c>
    </row>
    <row r="1520" spans="4:4" ht="17.649999999999999" x14ac:dyDescent="0.5">
      <c r="D1520" s="3" t="s">
        <v>95</v>
      </c>
    </row>
    <row r="1521" spans="4:4" ht="17.649999999999999" x14ac:dyDescent="0.5">
      <c r="D1521" s="3" t="s">
        <v>127</v>
      </c>
    </row>
    <row r="1522" spans="4:4" ht="17.649999999999999" x14ac:dyDescent="0.5">
      <c r="D1522" s="3" t="s">
        <v>57</v>
      </c>
    </row>
    <row r="1523" spans="4:4" ht="17.649999999999999" x14ac:dyDescent="0.5">
      <c r="D1523" s="3" t="s">
        <v>112</v>
      </c>
    </row>
    <row r="1524" spans="4:4" ht="17.649999999999999" x14ac:dyDescent="0.5">
      <c r="D1524" s="3" t="s">
        <v>67</v>
      </c>
    </row>
    <row r="1525" spans="4:4" ht="17.649999999999999" x14ac:dyDescent="0.5">
      <c r="D1525" s="3" t="s">
        <v>112</v>
      </c>
    </row>
    <row r="1526" spans="4:4" ht="17.649999999999999" x14ac:dyDescent="0.5">
      <c r="D1526" s="3" t="s">
        <v>91</v>
      </c>
    </row>
    <row r="1527" spans="4:4" ht="17.649999999999999" x14ac:dyDescent="0.5">
      <c r="D1527" s="3" t="s">
        <v>48</v>
      </c>
    </row>
    <row r="1528" spans="4:4" ht="17.649999999999999" x14ac:dyDescent="0.5">
      <c r="D1528" s="3" t="s">
        <v>89</v>
      </c>
    </row>
    <row r="1529" spans="4:4" ht="17.649999999999999" x14ac:dyDescent="0.5">
      <c r="D1529" s="3" t="s">
        <v>136</v>
      </c>
    </row>
    <row r="1530" spans="4:4" ht="17.649999999999999" x14ac:dyDescent="0.5">
      <c r="D1530" s="3" t="s">
        <v>116</v>
      </c>
    </row>
    <row r="1531" spans="4:4" ht="17.649999999999999" x14ac:dyDescent="0.5">
      <c r="D1531" s="3" t="s">
        <v>127</v>
      </c>
    </row>
    <row r="1532" spans="4:4" ht="17.649999999999999" x14ac:dyDescent="0.5">
      <c r="D1532" s="3" t="s">
        <v>112</v>
      </c>
    </row>
    <row r="1533" spans="4:4" ht="17.649999999999999" x14ac:dyDescent="0.5">
      <c r="D1533" s="3" t="s">
        <v>56</v>
      </c>
    </row>
    <row r="1534" spans="4:4" ht="17.649999999999999" x14ac:dyDescent="0.5">
      <c r="D1534" s="3" t="s">
        <v>94</v>
      </c>
    </row>
    <row r="1535" spans="4:4" ht="17.649999999999999" x14ac:dyDescent="0.5">
      <c r="D1535" s="3" t="s">
        <v>111</v>
      </c>
    </row>
    <row r="1536" spans="4:4" ht="17.649999999999999" x14ac:dyDescent="0.5">
      <c r="D1536" s="3" t="s">
        <v>106</v>
      </c>
    </row>
    <row r="1537" spans="4:4" ht="17.649999999999999" x14ac:dyDescent="0.5">
      <c r="D1537" s="3" t="s">
        <v>48</v>
      </c>
    </row>
    <row r="1538" spans="4:4" ht="17.649999999999999" x14ac:dyDescent="0.5">
      <c r="D1538" s="3" t="s">
        <v>49</v>
      </c>
    </row>
    <row r="1539" spans="4:4" ht="17.649999999999999" x14ac:dyDescent="0.5">
      <c r="D1539" s="3" t="s">
        <v>69</v>
      </c>
    </row>
    <row r="1540" spans="4:4" ht="17.649999999999999" x14ac:dyDescent="0.5">
      <c r="D1540" s="3" t="s">
        <v>86</v>
      </c>
    </row>
    <row r="1541" spans="4:4" ht="17.649999999999999" x14ac:dyDescent="0.5">
      <c r="D1541" s="3" t="s">
        <v>63</v>
      </c>
    </row>
    <row r="1542" spans="4:4" ht="17.649999999999999" x14ac:dyDescent="0.5">
      <c r="D1542" s="3" t="s">
        <v>74</v>
      </c>
    </row>
    <row r="1543" spans="4:4" ht="17.649999999999999" x14ac:dyDescent="0.5">
      <c r="D1543" s="3" t="s">
        <v>71</v>
      </c>
    </row>
    <row r="1544" spans="4:4" ht="17.649999999999999" x14ac:dyDescent="0.5">
      <c r="D1544" s="3" t="s">
        <v>57</v>
      </c>
    </row>
    <row r="1545" spans="4:4" ht="17.649999999999999" x14ac:dyDescent="0.5">
      <c r="D1545" s="3" t="s">
        <v>122</v>
      </c>
    </row>
    <row r="1546" spans="4:4" ht="17.649999999999999" x14ac:dyDescent="0.5">
      <c r="D1546" s="3" t="s">
        <v>94</v>
      </c>
    </row>
    <row r="1547" spans="4:4" ht="17.649999999999999" x14ac:dyDescent="0.5">
      <c r="D1547" s="3" t="s">
        <v>57</v>
      </c>
    </row>
    <row r="1548" spans="4:4" ht="17.649999999999999" x14ac:dyDescent="0.5">
      <c r="D1548" s="3" t="s">
        <v>98</v>
      </c>
    </row>
    <row r="1549" spans="4:4" ht="17.649999999999999" x14ac:dyDescent="0.5">
      <c r="D1549" s="3" t="s">
        <v>46</v>
      </c>
    </row>
    <row r="1550" spans="4:4" ht="17.649999999999999" x14ac:dyDescent="0.5">
      <c r="D1550" s="3" t="s">
        <v>49</v>
      </c>
    </row>
    <row r="1551" spans="4:4" ht="17.649999999999999" x14ac:dyDescent="0.5">
      <c r="D1551" s="3" t="s">
        <v>92</v>
      </c>
    </row>
    <row r="1552" spans="4:4" ht="17.649999999999999" x14ac:dyDescent="0.5">
      <c r="D1552" s="3" t="s">
        <v>51</v>
      </c>
    </row>
    <row r="1553" spans="4:4" ht="17.649999999999999" x14ac:dyDescent="0.5">
      <c r="D1553" s="3" t="s">
        <v>119</v>
      </c>
    </row>
    <row r="1554" spans="4:4" ht="17.649999999999999" x14ac:dyDescent="0.5">
      <c r="D1554" s="3" t="s">
        <v>71</v>
      </c>
    </row>
    <row r="1555" spans="4:4" ht="17.649999999999999" x14ac:dyDescent="0.5">
      <c r="D1555" s="3" t="s">
        <v>96</v>
      </c>
    </row>
    <row r="1556" spans="4:4" ht="17.649999999999999" x14ac:dyDescent="0.5">
      <c r="D1556" s="3" t="s">
        <v>101</v>
      </c>
    </row>
    <row r="1557" spans="4:4" ht="17.649999999999999" x14ac:dyDescent="0.5">
      <c r="D1557" s="3" t="s">
        <v>74</v>
      </c>
    </row>
    <row r="1558" spans="4:4" ht="17.649999999999999" x14ac:dyDescent="0.5">
      <c r="D1558" s="3" t="s">
        <v>115</v>
      </c>
    </row>
    <row r="1559" spans="4:4" ht="17.649999999999999" x14ac:dyDescent="0.5">
      <c r="D1559" s="3" t="s">
        <v>81</v>
      </c>
    </row>
    <row r="1560" spans="4:4" ht="17.649999999999999" x14ac:dyDescent="0.5">
      <c r="D1560" s="3" t="s">
        <v>92</v>
      </c>
    </row>
    <row r="1561" spans="4:4" ht="17.649999999999999" x14ac:dyDescent="0.5">
      <c r="D1561" s="3" t="s">
        <v>87</v>
      </c>
    </row>
    <row r="1562" spans="4:4" ht="17.649999999999999" x14ac:dyDescent="0.5">
      <c r="D1562" s="3" t="s">
        <v>63</v>
      </c>
    </row>
    <row r="1563" spans="4:4" ht="17.649999999999999" x14ac:dyDescent="0.5">
      <c r="D1563" s="3" t="s">
        <v>89</v>
      </c>
    </row>
    <row r="1564" spans="4:4" ht="17.649999999999999" x14ac:dyDescent="0.5">
      <c r="D1564" s="3" t="s">
        <v>46</v>
      </c>
    </row>
    <row r="1565" spans="4:4" ht="17.649999999999999" x14ac:dyDescent="0.5">
      <c r="D1565" s="3" t="s">
        <v>49</v>
      </c>
    </row>
    <row r="1566" spans="4:4" ht="17.649999999999999" x14ac:dyDescent="0.5">
      <c r="D1566" s="3" t="s">
        <v>85</v>
      </c>
    </row>
    <row r="1567" spans="4:4" ht="17.649999999999999" x14ac:dyDescent="0.5">
      <c r="D1567" s="3" t="s">
        <v>115</v>
      </c>
    </row>
    <row r="1568" spans="4:4" ht="17.649999999999999" x14ac:dyDescent="0.5">
      <c r="D1568" s="3" t="s">
        <v>46</v>
      </c>
    </row>
    <row r="1569" spans="4:4" ht="17.649999999999999" x14ac:dyDescent="0.5">
      <c r="D1569" s="3" t="s">
        <v>129</v>
      </c>
    </row>
    <row r="1570" spans="4:4" ht="17.649999999999999" x14ac:dyDescent="0.5">
      <c r="D1570" s="3" t="s">
        <v>61</v>
      </c>
    </row>
    <row r="1571" spans="4:4" ht="17.649999999999999" x14ac:dyDescent="0.5">
      <c r="D1571" s="3" t="s">
        <v>78</v>
      </c>
    </row>
    <row r="1572" spans="4:4" ht="17.649999999999999" x14ac:dyDescent="0.5">
      <c r="D1572" s="3" t="s">
        <v>45</v>
      </c>
    </row>
    <row r="1573" spans="4:4" ht="17.649999999999999" x14ac:dyDescent="0.5">
      <c r="D1573" s="3" t="s">
        <v>57</v>
      </c>
    </row>
    <row r="1574" spans="4:4" ht="17.649999999999999" x14ac:dyDescent="0.5">
      <c r="D1574" s="3" t="s">
        <v>77</v>
      </c>
    </row>
    <row r="1575" spans="4:4" ht="17.649999999999999" x14ac:dyDescent="0.5">
      <c r="D1575" s="3" t="s">
        <v>56</v>
      </c>
    </row>
    <row r="1576" spans="4:4" ht="17.649999999999999" x14ac:dyDescent="0.5">
      <c r="D1576" s="3" t="s">
        <v>135</v>
      </c>
    </row>
    <row r="1577" spans="4:4" ht="17.649999999999999" x14ac:dyDescent="0.5">
      <c r="D1577" s="3" t="s">
        <v>75</v>
      </c>
    </row>
    <row r="1578" spans="4:4" ht="17.649999999999999" x14ac:dyDescent="0.5">
      <c r="D1578" s="3" t="s">
        <v>108</v>
      </c>
    </row>
    <row r="1579" spans="4:4" ht="17.649999999999999" x14ac:dyDescent="0.5">
      <c r="D1579" s="3" t="s">
        <v>130</v>
      </c>
    </row>
    <row r="1580" spans="4:4" ht="17.649999999999999" x14ac:dyDescent="0.5">
      <c r="D1580" s="3" t="s">
        <v>73</v>
      </c>
    </row>
    <row r="1581" spans="4:4" ht="17.649999999999999" x14ac:dyDescent="0.5">
      <c r="D1581" s="3" t="s">
        <v>64</v>
      </c>
    </row>
    <row r="1582" spans="4:4" ht="17.649999999999999" x14ac:dyDescent="0.5">
      <c r="D1582" s="3" t="s">
        <v>69</v>
      </c>
    </row>
    <row r="1583" spans="4:4" ht="17.649999999999999" x14ac:dyDescent="0.5">
      <c r="D1583" s="3" t="s">
        <v>94</v>
      </c>
    </row>
    <row r="1584" spans="4:4" ht="17.649999999999999" x14ac:dyDescent="0.5">
      <c r="D1584" s="3" t="s">
        <v>68</v>
      </c>
    </row>
    <row r="1585" spans="4:4" ht="17.649999999999999" x14ac:dyDescent="0.5">
      <c r="D1585" s="3" t="s">
        <v>105</v>
      </c>
    </row>
    <row r="1586" spans="4:4" ht="17.649999999999999" x14ac:dyDescent="0.5">
      <c r="D1586" s="3" t="s">
        <v>53</v>
      </c>
    </row>
    <row r="1587" spans="4:4" ht="17.649999999999999" x14ac:dyDescent="0.5">
      <c r="D1587" s="3" t="s">
        <v>80</v>
      </c>
    </row>
    <row r="1588" spans="4:4" ht="17.649999999999999" x14ac:dyDescent="0.5">
      <c r="D1588" s="3" t="s">
        <v>41</v>
      </c>
    </row>
    <row r="1589" spans="4:4" ht="17.649999999999999" x14ac:dyDescent="0.5">
      <c r="D1589" s="3" t="s">
        <v>66</v>
      </c>
    </row>
    <row r="1590" spans="4:4" ht="17.649999999999999" x14ac:dyDescent="0.5">
      <c r="D1590" s="3" t="s">
        <v>83</v>
      </c>
    </row>
    <row r="1591" spans="4:4" ht="17.649999999999999" x14ac:dyDescent="0.5">
      <c r="D1591" s="3" t="s">
        <v>87</v>
      </c>
    </row>
    <row r="1592" spans="4:4" ht="17.649999999999999" x14ac:dyDescent="0.5">
      <c r="D1592" s="3" t="s">
        <v>88</v>
      </c>
    </row>
    <row r="1593" spans="4:4" ht="17.649999999999999" x14ac:dyDescent="0.5">
      <c r="D1593" s="3" t="s">
        <v>71</v>
      </c>
    </row>
    <row r="1594" spans="4:4" ht="17.649999999999999" x14ac:dyDescent="0.5">
      <c r="D1594" s="3" t="s">
        <v>92</v>
      </c>
    </row>
    <row r="1595" spans="4:4" ht="17.649999999999999" x14ac:dyDescent="0.5">
      <c r="D1595" s="3" t="s">
        <v>47</v>
      </c>
    </row>
    <row r="1596" spans="4:4" ht="17.649999999999999" x14ac:dyDescent="0.5">
      <c r="D1596" s="3" t="s">
        <v>102</v>
      </c>
    </row>
    <row r="1597" spans="4:4" ht="17.649999999999999" x14ac:dyDescent="0.5">
      <c r="D1597" s="3" t="s">
        <v>52</v>
      </c>
    </row>
    <row r="1598" spans="4:4" ht="17.649999999999999" x14ac:dyDescent="0.5">
      <c r="D1598" s="3" t="s">
        <v>41</v>
      </c>
    </row>
    <row r="1599" spans="4:4" ht="17.649999999999999" x14ac:dyDescent="0.5">
      <c r="D1599" s="3" t="s">
        <v>91</v>
      </c>
    </row>
    <row r="1600" spans="4:4" ht="17.649999999999999" x14ac:dyDescent="0.5">
      <c r="D1600" s="3" t="s">
        <v>50</v>
      </c>
    </row>
    <row r="1601" spans="4:4" ht="17.649999999999999" x14ac:dyDescent="0.5">
      <c r="D1601" s="3" t="s">
        <v>96</v>
      </c>
    </row>
    <row r="1602" spans="4:4" ht="17.649999999999999" x14ac:dyDescent="0.5">
      <c r="D1602" s="3" t="s">
        <v>99</v>
      </c>
    </row>
    <row r="1603" spans="4:4" ht="17.649999999999999" x14ac:dyDescent="0.5">
      <c r="D1603" s="3" t="s">
        <v>66</v>
      </c>
    </row>
    <row r="1604" spans="4:4" ht="17.649999999999999" x14ac:dyDescent="0.5">
      <c r="D1604" s="3" t="s">
        <v>57</v>
      </c>
    </row>
    <row r="1605" spans="4:4" ht="17.649999999999999" x14ac:dyDescent="0.5">
      <c r="D1605" s="3" t="s">
        <v>92</v>
      </c>
    </row>
    <row r="1606" spans="4:4" ht="17.649999999999999" x14ac:dyDescent="0.5">
      <c r="D1606" s="3" t="s">
        <v>44</v>
      </c>
    </row>
    <row r="1607" spans="4:4" ht="17.649999999999999" x14ac:dyDescent="0.5">
      <c r="D1607" s="3" t="s">
        <v>115</v>
      </c>
    </row>
    <row r="1608" spans="4:4" ht="17.649999999999999" x14ac:dyDescent="0.5">
      <c r="D1608" s="3" t="s">
        <v>74</v>
      </c>
    </row>
    <row r="1609" spans="4:4" ht="17.649999999999999" x14ac:dyDescent="0.5">
      <c r="D1609" s="3" t="s">
        <v>57</v>
      </c>
    </row>
    <row r="1610" spans="4:4" ht="17.649999999999999" x14ac:dyDescent="0.5">
      <c r="D1610" s="3" t="s">
        <v>85</v>
      </c>
    </row>
    <row r="1611" spans="4:4" ht="17.649999999999999" x14ac:dyDescent="0.5">
      <c r="D1611" s="3" t="s">
        <v>80</v>
      </c>
    </row>
    <row r="1612" spans="4:4" ht="17.649999999999999" x14ac:dyDescent="0.5">
      <c r="D1612" s="3" t="s">
        <v>104</v>
      </c>
    </row>
    <row r="1613" spans="4:4" ht="17.649999999999999" x14ac:dyDescent="0.5">
      <c r="D1613" s="3" t="s">
        <v>50</v>
      </c>
    </row>
    <row r="1614" spans="4:4" ht="17.649999999999999" x14ac:dyDescent="0.5">
      <c r="D1614" s="3" t="s">
        <v>49</v>
      </c>
    </row>
    <row r="1615" spans="4:4" ht="17.649999999999999" x14ac:dyDescent="0.5">
      <c r="D1615" s="3" t="s">
        <v>55</v>
      </c>
    </row>
    <row r="1616" spans="4:4" ht="17.649999999999999" x14ac:dyDescent="0.5">
      <c r="D1616" s="3" t="s">
        <v>57</v>
      </c>
    </row>
    <row r="1617" spans="4:4" ht="17.649999999999999" x14ac:dyDescent="0.5">
      <c r="D1617" s="3" t="s">
        <v>103</v>
      </c>
    </row>
    <row r="1618" spans="4:4" ht="17.649999999999999" x14ac:dyDescent="0.5">
      <c r="D1618" s="3" t="s">
        <v>112</v>
      </c>
    </row>
    <row r="1619" spans="4:4" ht="17.649999999999999" x14ac:dyDescent="0.5">
      <c r="D1619" s="3" t="s">
        <v>85</v>
      </c>
    </row>
    <row r="1620" spans="4:4" ht="17.649999999999999" x14ac:dyDescent="0.5">
      <c r="D1620" s="3" t="s">
        <v>101</v>
      </c>
    </row>
    <row r="1621" spans="4:4" ht="17.649999999999999" x14ac:dyDescent="0.5">
      <c r="D1621" s="3" t="s">
        <v>46</v>
      </c>
    </row>
    <row r="1622" spans="4:4" ht="17.649999999999999" x14ac:dyDescent="0.5">
      <c r="D1622" s="3" t="s">
        <v>131</v>
      </c>
    </row>
    <row r="1623" spans="4:4" ht="17.649999999999999" x14ac:dyDescent="0.5">
      <c r="D1623" s="3" t="s">
        <v>69</v>
      </c>
    </row>
    <row r="1624" spans="4:4" ht="17.649999999999999" x14ac:dyDescent="0.5">
      <c r="D1624" s="3" t="s">
        <v>94</v>
      </c>
    </row>
    <row r="1625" spans="4:4" ht="17.649999999999999" x14ac:dyDescent="0.5">
      <c r="D1625" s="3" t="s">
        <v>77</v>
      </c>
    </row>
    <row r="1626" spans="4:4" ht="17.649999999999999" x14ac:dyDescent="0.5">
      <c r="D1626" s="3" t="s">
        <v>60</v>
      </c>
    </row>
    <row r="1627" spans="4:4" ht="17.649999999999999" x14ac:dyDescent="0.5">
      <c r="D1627" s="3" t="s">
        <v>53</v>
      </c>
    </row>
    <row r="1628" spans="4:4" ht="17.649999999999999" x14ac:dyDescent="0.5">
      <c r="D1628" s="3" t="s">
        <v>53</v>
      </c>
    </row>
    <row r="1629" spans="4:4" ht="17.649999999999999" x14ac:dyDescent="0.5">
      <c r="D1629" s="3" t="s">
        <v>84</v>
      </c>
    </row>
    <row r="1630" spans="4:4" ht="17.649999999999999" x14ac:dyDescent="0.5">
      <c r="D1630" s="3" t="s">
        <v>65</v>
      </c>
    </row>
    <row r="1631" spans="4:4" ht="17.649999999999999" x14ac:dyDescent="0.5">
      <c r="D1631" s="3" t="s">
        <v>131</v>
      </c>
    </row>
    <row r="1632" spans="4:4" ht="17.649999999999999" x14ac:dyDescent="0.5">
      <c r="D1632" s="3" t="s">
        <v>90</v>
      </c>
    </row>
    <row r="1633" spans="4:4" ht="17.649999999999999" x14ac:dyDescent="0.5">
      <c r="D1633" s="3" t="s">
        <v>55</v>
      </c>
    </row>
    <row r="1634" spans="4:4" ht="17.649999999999999" x14ac:dyDescent="0.5">
      <c r="D1634" s="3" t="s">
        <v>111</v>
      </c>
    </row>
    <row r="1635" spans="4:4" ht="17.649999999999999" x14ac:dyDescent="0.5">
      <c r="D1635" s="3" t="s">
        <v>64</v>
      </c>
    </row>
    <row r="1636" spans="4:4" ht="17.649999999999999" x14ac:dyDescent="0.5">
      <c r="D1636" s="3" t="s">
        <v>78</v>
      </c>
    </row>
    <row r="1637" spans="4:4" ht="17.649999999999999" x14ac:dyDescent="0.5">
      <c r="D1637" s="3" t="s">
        <v>55</v>
      </c>
    </row>
    <row r="1638" spans="4:4" ht="17.649999999999999" x14ac:dyDescent="0.5">
      <c r="D1638" s="3" t="s">
        <v>107</v>
      </c>
    </row>
    <row r="1639" spans="4:4" ht="17.649999999999999" x14ac:dyDescent="0.5">
      <c r="D1639" s="3" t="s">
        <v>66</v>
      </c>
    </row>
    <row r="1640" spans="4:4" ht="17.649999999999999" x14ac:dyDescent="0.5">
      <c r="D1640" s="3" t="s">
        <v>134</v>
      </c>
    </row>
    <row r="1641" spans="4:4" ht="17.649999999999999" x14ac:dyDescent="0.5">
      <c r="D1641" s="3" t="s">
        <v>54</v>
      </c>
    </row>
    <row r="1642" spans="4:4" ht="17.649999999999999" x14ac:dyDescent="0.5">
      <c r="D1642" s="3" t="s">
        <v>113</v>
      </c>
    </row>
    <row r="1643" spans="4:4" ht="17.649999999999999" x14ac:dyDescent="0.5">
      <c r="D1643" s="3" t="s">
        <v>65</v>
      </c>
    </row>
    <row r="1644" spans="4:4" ht="17.649999999999999" x14ac:dyDescent="0.5">
      <c r="D1644" s="3" t="s">
        <v>66</v>
      </c>
    </row>
    <row r="1645" spans="4:4" ht="17.649999999999999" x14ac:dyDescent="0.5">
      <c r="D1645" s="3" t="s">
        <v>69</v>
      </c>
    </row>
    <row r="1646" spans="4:4" ht="17.649999999999999" x14ac:dyDescent="0.5">
      <c r="D1646" s="3" t="s">
        <v>59</v>
      </c>
    </row>
    <row r="1647" spans="4:4" ht="17.649999999999999" x14ac:dyDescent="0.5">
      <c r="D1647" s="3" t="s">
        <v>67</v>
      </c>
    </row>
    <row r="1648" spans="4:4" ht="17.649999999999999" x14ac:dyDescent="0.5">
      <c r="D1648" s="3" t="s">
        <v>135</v>
      </c>
    </row>
    <row r="1649" spans="4:4" ht="17.649999999999999" x14ac:dyDescent="0.5">
      <c r="D1649" s="3" t="s">
        <v>80</v>
      </c>
    </row>
    <row r="1650" spans="4:4" ht="17.649999999999999" x14ac:dyDescent="0.5">
      <c r="D1650" s="3" t="s">
        <v>96</v>
      </c>
    </row>
    <row r="1651" spans="4:4" ht="17.649999999999999" x14ac:dyDescent="0.5">
      <c r="D1651" s="3" t="s">
        <v>56</v>
      </c>
    </row>
    <row r="1652" spans="4:4" ht="17.649999999999999" x14ac:dyDescent="0.5">
      <c r="D1652" s="3" t="s">
        <v>91</v>
      </c>
    </row>
    <row r="1653" spans="4:4" ht="17.649999999999999" x14ac:dyDescent="0.5">
      <c r="D1653" s="3" t="s">
        <v>83</v>
      </c>
    </row>
    <row r="1654" spans="4:4" ht="17.649999999999999" x14ac:dyDescent="0.5">
      <c r="D1654" s="3" t="s">
        <v>49</v>
      </c>
    </row>
    <row r="1655" spans="4:4" ht="17.649999999999999" x14ac:dyDescent="0.5">
      <c r="D1655" s="3" t="s">
        <v>86</v>
      </c>
    </row>
    <row r="1656" spans="4:4" ht="17.649999999999999" x14ac:dyDescent="0.5">
      <c r="D1656" s="3" t="s">
        <v>41</v>
      </c>
    </row>
    <row r="1657" spans="4:4" ht="17.649999999999999" x14ac:dyDescent="0.5">
      <c r="D1657" s="3" t="s">
        <v>63</v>
      </c>
    </row>
    <row r="1658" spans="4:4" ht="17.649999999999999" x14ac:dyDescent="0.5">
      <c r="D1658" s="3" t="s">
        <v>66</v>
      </c>
    </row>
    <row r="1659" spans="4:4" ht="17.649999999999999" x14ac:dyDescent="0.5">
      <c r="D1659" s="3" t="s">
        <v>85</v>
      </c>
    </row>
    <row r="1660" spans="4:4" ht="17.649999999999999" x14ac:dyDescent="0.5">
      <c r="D1660" s="3" t="s">
        <v>51</v>
      </c>
    </row>
    <row r="1661" spans="4:4" ht="17.649999999999999" x14ac:dyDescent="0.5">
      <c r="D1661" s="3" t="s">
        <v>52</v>
      </c>
    </row>
    <row r="1662" spans="4:4" ht="17.649999999999999" x14ac:dyDescent="0.5">
      <c r="D1662" s="3" t="s">
        <v>105</v>
      </c>
    </row>
    <row r="1663" spans="4:4" ht="17.649999999999999" x14ac:dyDescent="0.5">
      <c r="D1663" s="3" t="s">
        <v>105</v>
      </c>
    </row>
    <row r="1664" spans="4:4" ht="17.649999999999999" x14ac:dyDescent="0.5">
      <c r="D1664" s="3" t="s">
        <v>65</v>
      </c>
    </row>
    <row r="1665" spans="4:4" ht="17.649999999999999" x14ac:dyDescent="0.5">
      <c r="D1665" s="3" t="s">
        <v>94</v>
      </c>
    </row>
    <row r="1666" spans="4:4" ht="17.649999999999999" x14ac:dyDescent="0.5">
      <c r="D1666" s="3" t="s">
        <v>50</v>
      </c>
    </row>
    <row r="1667" spans="4:4" ht="17.649999999999999" x14ac:dyDescent="0.5">
      <c r="D1667" s="3" t="s">
        <v>45</v>
      </c>
    </row>
    <row r="1668" spans="4:4" ht="17.649999999999999" x14ac:dyDescent="0.5">
      <c r="D1668" s="3" t="s">
        <v>98</v>
      </c>
    </row>
    <row r="1669" spans="4:4" ht="17.649999999999999" x14ac:dyDescent="0.5">
      <c r="D1669" s="3" t="s">
        <v>80</v>
      </c>
    </row>
    <row r="1670" spans="4:4" ht="17.649999999999999" x14ac:dyDescent="0.5">
      <c r="D1670" s="3" t="s">
        <v>65</v>
      </c>
    </row>
    <row r="1671" spans="4:4" ht="17.649999999999999" x14ac:dyDescent="0.5">
      <c r="D1671" s="3" t="s">
        <v>106</v>
      </c>
    </row>
    <row r="1672" spans="4:4" ht="17.649999999999999" x14ac:dyDescent="0.5">
      <c r="D1672" s="3" t="s">
        <v>108</v>
      </c>
    </row>
    <row r="1673" spans="4:4" ht="17.649999999999999" x14ac:dyDescent="0.5">
      <c r="D1673" s="3" t="s">
        <v>133</v>
      </c>
    </row>
    <row r="1674" spans="4:4" ht="17.649999999999999" x14ac:dyDescent="0.5">
      <c r="D1674" s="3" t="s">
        <v>75</v>
      </c>
    </row>
    <row r="1675" spans="4:4" ht="17.649999999999999" x14ac:dyDescent="0.5">
      <c r="D1675" s="3" t="s">
        <v>122</v>
      </c>
    </row>
    <row r="1676" spans="4:4" ht="17.649999999999999" x14ac:dyDescent="0.5">
      <c r="D1676" s="3" t="s">
        <v>125</v>
      </c>
    </row>
    <row r="1677" spans="4:4" ht="17.649999999999999" x14ac:dyDescent="0.5">
      <c r="D1677" s="3" t="s">
        <v>135</v>
      </c>
    </row>
    <row r="1678" spans="4:4" ht="17.649999999999999" x14ac:dyDescent="0.5">
      <c r="D1678" s="3" t="s">
        <v>81</v>
      </c>
    </row>
    <row r="1679" spans="4:4" ht="17.649999999999999" x14ac:dyDescent="0.5">
      <c r="D1679" s="3" t="s">
        <v>102</v>
      </c>
    </row>
    <row r="1680" spans="4:4" ht="17.649999999999999" x14ac:dyDescent="0.5">
      <c r="D1680" s="3" t="s">
        <v>120</v>
      </c>
    </row>
    <row r="1681" spans="4:4" ht="17.649999999999999" x14ac:dyDescent="0.5">
      <c r="D1681" s="3" t="s">
        <v>48</v>
      </c>
    </row>
    <row r="1682" spans="4:4" ht="17.649999999999999" x14ac:dyDescent="0.5">
      <c r="D1682" s="3" t="s">
        <v>75</v>
      </c>
    </row>
    <row r="1683" spans="4:4" ht="17.649999999999999" x14ac:dyDescent="0.5">
      <c r="D1683" s="3" t="s">
        <v>128</v>
      </c>
    </row>
    <row r="1684" spans="4:4" ht="17.649999999999999" x14ac:dyDescent="0.5">
      <c r="D1684" s="3" t="s">
        <v>91</v>
      </c>
    </row>
    <row r="1685" spans="4:4" ht="17.649999999999999" x14ac:dyDescent="0.5">
      <c r="D1685" s="3" t="s">
        <v>115</v>
      </c>
    </row>
    <row r="1686" spans="4:4" ht="17.649999999999999" x14ac:dyDescent="0.5">
      <c r="D1686" s="3" t="s">
        <v>91</v>
      </c>
    </row>
    <row r="1687" spans="4:4" ht="17.649999999999999" x14ac:dyDescent="0.5">
      <c r="D1687" s="3" t="s">
        <v>81</v>
      </c>
    </row>
    <row r="1688" spans="4:4" ht="17.649999999999999" x14ac:dyDescent="0.5">
      <c r="D1688" s="3" t="s">
        <v>114</v>
      </c>
    </row>
    <row r="1689" spans="4:4" ht="17.649999999999999" x14ac:dyDescent="0.5">
      <c r="D1689" s="3" t="s">
        <v>132</v>
      </c>
    </row>
    <row r="1690" spans="4:4" ht="17.649999999999999" x14ac:dyDescent="0.5">
      <c r="D1690" s="3" t="s">
        <v>80</v>
      </c>
    </row>
    <row r="1691" spans="4:4" ht="17.649999999999999" x14ac:dyDescent="0.5">
      <c r="D1691" s="3" t="s">
        <v>92</v>
      </c>
    </row>
    <row r="1692" spans="4:4" ht="17.649999999999999" x14ac:dyDescent="0.5">
      <c r="D1692" s="3" t="s">
        <v>44</v>
      </c>
    </row>
    <row r="1693" spans="4:4" ht="17.649999999999999" x14ac:dyDescent="0.5">
      <c r="D1693" s="3" t="s">
        <v>129</v>
      </c>
    </row>
    <row r="1694" spans="4:4" ht="17.649999999999999" x14ac:dyDescent="0.5">
      <c r="D1694" s="3" t="s">
        <v>67</v>
      </c>
    </row>
    <row r="1695" spans="4:4" ht="17.649999999999999" x14ac:dyDescent="0.5">
      <c r="D1695" s="3" t="s">
        <v>48</v>
      </c>
    </row>
    <row r="1696" spans="4:4" ht="17.649999999999999" x14ac:dyDescent="0.5">
      <c r="D1696" s="3" t="s">
        <v>107</v>
      </c>
    </row>
    <row r="1697" spans="4:4" ht="17.649999999999999" x14ac:dyDescent="0.5">
      <c r="D1697" s="3" t="s">
        <v>118</v>
      </c>
    </row>
    <row r="1698" spans="4:4" ht="17.649999999999999" x14ac:dyDescent="0.5">
      <c r="D1698" s="3" t="s">
        <v>61</v>
      </c>
    </row>
    <row r="1699" spans="4:4" ht="17.649999999999999" x14ac:dyDescent="0.5">
      <c r="D1699" s="3" t="s">
        <v>84</v>
      </c>
    </row>
    <row r="1700" spans="4:4" ht="17.649999999999999" x14ac:dyDescent="0.5">
      <c r="D1700" s="3" t="s">
        <v>67</v>
      </c>
    </row>
    <row r="1701" spans="4:4" ht="17.649999999999999" x14ac:dyDescent="0.5">
      <c r="D1701" s="3" t="s">
        <v>98</v>
      </c>
    </row>
    <row r="1702" spans="4:4" ht="17.649999999999999" x14ac:dyDescent="0.5">
      <c r="D1702" s="3" t="s">
        <v>43</v>
      </c>
    </row>
    <row r="1703" spans="4:4" ht="17.649999999999999" x14ac:dyDescent="0.5">
      <c r="D1703" s="3" t="s">
        <v>80</v>
      </c>
    </row>
    <row r="1704" spans="4:4" ht="17.649999999999999" x14ac:dyDescent="0.5">
      <c r="D1704" s="3" t="s">
        <v>104</v>
      </c>
    </row>
    <row r="1705" spans="4:4" ht="17.649999999999999" x14ac:dyDescent="0.5">
      <c r="D1705" s="3" t="s">
        <v>84</v>
      </c>
    </row>
    <row r="1706" spans="4:4" ht="17.649999999999999" x14ac:dyDescent="0.5">
      <c r="D1706" s="3" t="s">
        <v>41</v>
      </c>
    </row>
    <row r="1707" spans="4:4" ht="17.649999999999999" x14ac:dyDescent="0.5">
      <c r="D1707" s="3" t="s">
        <v>100</v>
      </c>
    </row>
    <row r="1708" spans="4:4" ht="17.649999999999999" x14ac:dyDescent="0.5">
      <c r="D1708" s="3" t="s">
        <v>128</v>
      </c>
    </row>
    <row r="1709" spans="4:4" ht="17.649999999999999" x14ac:dyDescent="0.5">
      <c r="D1709" s="3" t="s">
        <v>43</v>
      </c>
    </row>
    <row r="1710" spans="4:4" ht="17.649999999999999" x14ac:dyDescent="0.5">
      <c r="D1710" s="3" t="s">
        <v>46</v>
      </c>
    </row>
    <row r="1711" spans="4:4" ht="17.649999999999999" x14ac:dyDescent="0.5">
      <c r="D1711" s="3" t="s">
        <v>93</v>
      </c>
    </row>
    <row r="1712" spans="4:4" ht="17.649999999999999" x14ac:dyDescent="0.5">
      <c r="D1712" s="3" t="s">
        <v>73</v>
      </c>
    </row>
    <row r="1713" spans="4:4" ht="17.649999999999999" x14ac:dyDescent="0.5">
      <c r="D1713" s="3" t="s">
        <v>64</v>
      </c>
    </row>
    <row r="1714" spans="4:4" ht="17.649999999999999" x14ac:dyDescent="0.5">
      <c r="D1714" s="3" t="s">
        <v>96</v>
      </c>
    </row>
    <row r="1715" spans="4:4" ht="17.649999999999999" x14ac:dyDescent="0.5">
      <c r="D1715" s="3" t="s">
        <v>85</v>
      </c>
    </row>
    <row r="1716" spans="4:4" ht="17.649999999999999" x14ac:dyDescent="0.5">
      <c r="D1716" s="3" t="s">
        <v>52</v>
      </c>
    </row>
    <row r="1717" spans="4:4" ht="17.649999999999999" x14ac:dyDescent="0.5">
      <c r="D1717" s="3" t="s">
        <v>130</v>
      </c>
    </row>
    <row r="1718" spans="4:4" ht="17.649999999999999" x14ac:dyDescent="0.5">
      <c r="D1718" s="3" t="s">
        <v>132</v>
      </c>
    </row>
    <row r="1719" spans="4:4" ht="17.649999999999999" x14ac:dyDescent="0.5">
      <c r="D1719" s="3" t="s">
        <v>47</v>
      </c>
    </row>
    <row r="1720" spans="4:4" ht="17.649999999999999" x14ac:dyDescent="0.5">
      <c r="D1720" s="3" t="s">
        <v>83</v>
      </c>
    </row>
    <row r="1721" spans="4:4" ht="17.649999999999999" x14ac:dyDescent="0.5">
      <c r="D1721" s="3" t="s">
        <v>64</v>
      </c>
    </row>
    <row r="1722" spans="4:4" ht="17.649999999999999" x14ac:dyDescent="0.5">
      <c r="D1722" s="3" t="s">
        <v>43</v>
      </c>
    </row>
    <row r="1723" spans="4:4" ht="17.649999999999999" x14ac:dyDescent="0.5">
      <c r="D1723" s="3" t="s">
        <v>134</v>
      </c>
    </row>
    <row r="1724" spans="4:4" ht="17.649999999999999" x14ac:dyDescent="0.5">
      <c r="D1724" s="3" t="s">
        <v>48</v>
      </c>
    </row>
    <row r="1725" spans="4:4" ht="17.649999999999999" x14ac:dyDescent="0.5">
      <c r="D1725" s="3" t="s">
        <v>52</v>
      </c>
    </row>
    <row r="1726" spans="4:4" ht="17.649999999999999" x14ac:dyDescent="0.5">
      <c r="D1726" s="3" t="s">
        <v>48</v>
      </c>
    </row>
    <row r="1727" spans="4:4" ht="17.649999999999999" x14ac:dyDescent="0.5">
      <c r="D1727" s="3" t="s">
        <v>67</v>
      </c>
    </row>
    <row r="1728" spans="4:4" ht="17.649999999999999" x14ac:dyDescent="0.5">
      <c r="D1728" s="3" t="s">
        <v>120</v>
      </c>
    </row>
    <row r="1729" spans="4:4" ht="17.649999999999999" x14ac:dyDescent="0.5">
      <c r="D1729" s="3" t="s">
        <v>105</v>
      </c>
    </row>
    <row r="1730" spans="4:4" ht="17.649999999999999" x14ac:dyDescent="0.5">
      <c r="D1730" s="3" t="s">
        <v>93</v>
      </c>
    </row>
    <row r="1731" spans="4:4" ht="17.649999999999999" x14ac:dyDescent="0.5">
      <c r="D1731" s="3" t="s">
        <v>82</v>
      </c>
    </row>
    <row r="1732" spans="4:4" ht="17.649999999999999" x14ac:dyDescent="0.5">
      <c r="D1732" s="3" t="s">
        <v>78</v>
      </c>
    </row>
    <row r="1733" spans="4:4" ht="17.649999999999999" x14ac:dyDescent="0.5">
      <c r="D1733" s="3" t="s">
        <v>112</v>
      </c>
    </row>
    <row r="1734" spans="4:4" ht="17.649999999999999" x14ac:dyDescent="0.5">
      <c r="D1734" s="3" t="s">
        <v>57</v>
      </c>
    </row>
    <row r="1735" spans="4:4" ht="17.649999999999999" x14ac:dyDescent="0.5">
      <c r="D1735" s="3" t="s">
        <v>107</v>
      </c>
    </row>
    <row r="1736" spans="4:4" ht="17.649999999999999" x14ac:dyDescent="0.5">
      <c r="D1736" s="3" t="s">
        <v>78</v>
      </c>
    </row>
    <row r="1737" spans="4:4" ht="17.649999999999999" x14ac:dyDescent="0.5">
      <c r="D1737" s="3" t="s">
        <v>67</v>
      </c>
    </row>
    <row r="1738" spans="4:4" ht="17.649999999999999" x14ac:dyDescent="0.5">
      <c r="D1738" s="3" t="s">
        <v>97</v>
      </c>
    </row>
    <row r="1739" spans="4:4" ht="17.649999999999999" x14ac:dyDescent="0.5">
      <c r="D1739" s="3" t="s">
        <v>99</v>
      </c>
    </row>
    <row r="1740" spans="4:4" ht="17.649999999999999" x14ac:dyDescent="0.5">
      <c r="D1740" s="3" t="s">
        <v>127</v>
      </c>
    </row>
    <row r="1741" spans="4:4" ht="17.649999999999999" x14ac:dyDescent="0.5">
      <c r="D1741" s="3" t="s">
        <v>76</v>
      </c>
    </row>
    <row r="1742" spans="4:4" ht="17.649999999999999" x14ac:dyDescent="0.5">
      <c r="D1742" s="3" t="s">
        <v>66</v>
      </c>
    </row>
    <row r="1743" spans="4:4" ht="17.649999999999999" x14ac:dyDescent="0.5">
      <c r="D1743" s="3" t="s">
        <v>101</v>
      </c>
    </row>
    <row r="1744" spans="4:4" ht="17.649999999999999" x14ac:dyDescent="0.5">
      <c r="D1744" s="3" t="s">
        <v>43</v>
      </c>
    </row>
    <row r="1745" spans="4:4" ht="17.649999999999999" x14ac:dyDescent="0.5">
      <c r="D1745" s="3" t="s">
        <v>80</v>
      </c>
    </row>
    <row r="1746" spans="4:4" ht="17.649999999999999" x14ac:dyDescent="0.5">
      <c r="D1746" s="3" t="s">
        <v>68</v>
      </c>
    </row>
    <row r="1747" spans="4:4" ht="17.649999999999999" x14ac:dyDescent="0.5">
      <c r="D1747" s="3" t="s">
        <v>90</v>
      </c>
    </row>
    <row r="1748" spans="4:4" ht="17.649999999999999" x14ac:dyDescent="0.5">
      <c r="D1748" s="3" t="s">
        <v>119</v>
      </c>
    </row>
    <row r="1749" spans="4:4" ht="17.649999999999999" x14ac:dyDescent="0.5">
      <c r="D1749" s="3" t="s">
        <v>90</v>
      </c>
    </row>
    <row r="1750" spans="4:4" ht="17.649999999999999" x14ac:dyDescent="0.5">
      <c r="D1750" s="3" t="s">
        <v>109</v>
      </c>
    </row>
    <row r="1751" spans="4:4" ht="17.649999999999999" x14ac:dyDescent="0.5">
      <c r="D1751" s="3" t="s">
        <v>119</v>
      </c>
    </row>
    <row r="1752" spans="4:4" ht="17.649999999999999" x14ac:dyDescent="0.5">
      <c r="D1752" s="3" t="s">
        <v>132</v>
      </c>
    </row>
    <row r="1753" spans="4:4" ht="17.649999999999999" x14ac:dyDescent="0.5">
      <c r="D1753" s="3" t="s">
        <v>127</v>
      </c>
    </row>
    <row r="1754" spans="4:4" ht="17.649999999999999" x14ac:dyDescent="0.5">
      <c r="D1754" s="3" t="s">
        <v>66</v>
      </c>
    </row>
    <row r="1755" spans="4:4" ht="17.649999999999999" x14ac:dyDescent="0.5">
      <c r="D1755" s="3" t="s">
        <v>51</v>
      </c>
    </row>
    <row r="1756" spans="4:4" ht="17.649999999999999" x14ac:dyDescent="0.5">
      <c r="D1756" s="3" t="s">
        <v>77</v>
      </c>
    </row>
    <row r="1757" spans="4:4" ht="17.649999999999999" x14ac:dyDescent="0.5">
      <c r="D1757" s="3" t="s">
        <v>69</v>
      </c>
    </row>
    <row r="1758" spans="4:4" ht="17.649999999999999" x14ac:dyDescent="0.5">
      <c r="D1758" s="3" t="s">
        <v>110</v>
      </c>
    </row>
    <row r="1759" spans="4:4" ht="17.649999999999999" x14ac:dyDescent="0.5">
      <c r="D1759" s="3" t="s">
        <v>121</v>
      </c>
    </row>
    <row r="1760" spans="4:4" ht="17.649999999999999" x14ac:dyDescent="0.5">
      <c r="D1760" s="3" t="s">
        <v>117</v>
      </c>
    </row>
    <row r="1761" spans="4:4" ht="17.649999999999999" x14ac:dyDescent="0.5">
      <c r="D1761" s="3" t="s">
        <v>85</v>
      </c>
    </row>
    <row r="1762" spans="4:4" ht="17.649999999999999" x14ac:dyDescent="0.5">
      <c r="D1762" s="3" t="s">
        <v>59</v>
      </c>
    </row>
    <row r="1763" spans="4:4" ht="17.649999999999999" x14ac:dyDescent="0.5">
      <c r="D1763" s="3" t="s">
        <v>44</v>
      </c>
    </row>
    <row r="1764" spans="4:4" ht="17.649999999999999" x14ac:dyDescent="0.5">
      <c r="D1764" s="3" t="s">
        <v>65</v>
      </c>
    </row>
    <row r="1765" spans="4:4" ht="17.649999999999999" x14ac:dyDescent="0.5">
      <c r="D1765" s="3" t="s">
        <v>75</v>
      </c>
    </row>
    <row r="1766" spans="4:4" ht="17.649999999999999" x14ac:dyDescent="0.5">
      <c r="D1766" s="3" t="s">
        <v>112</v>
      </c>
    </row>
    <row r="1767" spans="4:4" ht="17.649999999999999" x14ac:dyDescent="0.5">
      <c r="D1767" s="3" t="s">
        <v>70</v>
      </c>
    </row>
    <row r="1768" spans="4:4" ht="17.649999999999999" x14ac:dyDescent="0.5">
      <c r="D1768" s="3" t="s">
        <v>87</v>
      </c>
    </row>
    <row r="1769" spans="4:4" ht="17.649999999999999" x14ac:dyDescent="0.5">
      <c r="D1769" s="3" t="s">
        <v>63</v>
      </c>
    </row>
    <row r="1770" spans="4:4" ht="17.649999999999999" x14ac:dyDescent="0.5">
      <c r="D1770" s="3" t="s">
        <v>67</v>
      </c>
    </row>
    <row r="1771" spans="4:4" ht="17.649999999999999" x14ac:dyDescent="0.5">
      <c r="D1771" s="3" t="s">
        <v>75</v>
      </c>
    </row>
    <row r="1772" spans="4:4" ht="17.649999999999999" x14ac:dyDescent="0.5">
      <c r="D1772" s="3" t="s">
        <v>67</v>
      </c>
    </row>
    <row r="1773" spans="4:4" ht="17.649999999999999" x14ac:dyDescent="0.5">
      <c r="D1773" s="3" t="s">
        <v>123</v>
      </c>
    </row>
    <row r="1774" spans="4:4" ht="17.649999999999999" x14ac:dyDescent="0.5">
      <c r="D1774" s="3" t="s">
        <v>41</v>
      </c>
    </row>
    <row r="1775" spans="4:4" ht="17.649999999999999" x14ac:dyDescent="0.5">
      <c r="D1775" s="3" t="s">
        <v>126</v>
      </c>
    </row>
    <row r="1776" spans="4:4" ht="17.649999999999999" x14ac:dyDescent="0.5">
      <c r="D1776" s="3" t="s">
        <v>105</v>
      </c>
    </row>
    <row r="1777" spans="4:4" ht="17.649999999999999" x14ac:dyDescent="0.5">
      <c r="D1777" s="3" t="s">
        <v>63</v>
      </c>
    </row>
    <row r="1778" spans="4:4" ht="17.649999999999999" x14ac:dyDescent="0.5">
      <c r="D1778" s="3" t="s">
        <v>84</v>
      </c>
    </row>
    <row r="1779" spans="4:4" ht="17.649999999999999" x14ac:dyDescent="0.5">
      <c r="D1779" s="3" t="s">
        <v>115</v>
      </c>
    </row>
    <row r="1780" spans="4:4" ht="17.649999999999999" x14ac:dyDescent="0.5">
      <c r="D1780" s="3" t="s">
        <v>132</v>
      </c>
    </row>
    <row r="1781" spans="4:4" ht="17.649999999999999" x14ac:dyDescent="0.5">
      <c r="D1781" s="3" t="s">
        <v>42</v>
      </c>
    </row>
    <row r="1782" spans="4:4" ht="17.649999999999999" x14ac:dyDescent="0.5">
      <c r="D1782" s="3" t="s">
        <v>49</v>
      </c>
    </row>
    <row r="1783" spans="4:4" ht="17.649999999999999" x14ac:dyDescent="0.5">
      <c r="D1783" s="3" t="s">
        <v>78</v>
      </c>
    </row>
    <row r="1784" spans="4:4" ht="17.649999999999999" x14ac:dyDescent="0.5">
      <c r="D1784" s="3" t="s">
        <v>115</v>
      </c>
    </row>
    <row r="1785" spans="4:4" ht="17.649999999999999" x14ac:dyDescent="0.5">
      <c r="D1785" s="3" t="s">
        <v>59</v>
      </c>
    </row>
    <row r="1786" spans="4:4" ht="17.649999999999999" x14ac:dyDescent="0.5">
      <c r="D1786" s="3" t="s">
        <v>87</v>
      </c>
    </row>
    <row r="1787" spans="4:4" ht="17.649999999999999" x14ac:dyDescent="0.5">
      <c r="D1787" s="3" t="s">
        <v>78</v>
      </c>
    </row>
    <row r="1788" spans="4:4" ht="17.649999999999999" x14ac:dyDescent="0.5">
      <c r="D1788" s="3" t="s">
        <v>97</v>
      </c>
    </row>
    <row r="1789" spans="4:4" ht="17.649999999999999" x14ac:dyDescent="0.5">
      <c r="D1789" s="3" t="s">
        <v>117</v>
      </c>
    </row>
    <row r="1790" spans="4:4" ht="17.649999999999999" x14ac:dyDescent="0.5">
      <c r="D1790" s="3" t="s">
        <v>103</v>
      </c>
    </row>
    <row r="1791" spans="4:4" ht="17.649999999999999" x14ac:dyDescent="0.5">
      <c r="D1791" s="3" t="s">
        <v>41</v>
      </c>
    </row>
    <row r="1792" spans="4:4" ht="17.649999999999999" x14ac:dyDescent="0.5">
      <c r="D1792" s="3" t="s">
        <v>85</v>
      </c>
    </row>
    <row r="1793" spans="4:4" ht="17.649999999999999" x14ac:dyDescent="0.5">
      <c r="D1793" s="3" t="s">
        <v>104</v>
      </c>
    </row>
    <row r="1794" spans="4:4" ht="17.649999999999999" x14ac:dyDescent="0.5">
      <c r="D1794" s="3" t="s">
        <v>75</v>
      </c>
    </row>
    <row r="1795" spans="4:4" ht="17.649999999999999" x14ac:dyDescent="0.5">
      <c r="D1795" s="3" t="s">
        <v>57</v>
      </c>
    </row>
    <row r="1796" spans="4:4" ht="17.649999999999999" x14ac:dyDescent="0.5">
      <c r="D1796" s="3" t="s">
        <v>112</v>
      </c>
    </row>
    <row r="1797" spans="4:4" ht="17.649999999999999" x14ac:dyDescent="0.5">
      <c r="D1797" s="3" t="s">
        <v>50</v>
      </c>
    </row>
    <row r="1798" spans="4:4" ht="17.649999999999999" x14ac:dyDescent="0.5">
      <c r="D1798" s="3" t="s">
        <v>43</v>
      </c>
    </row>
    <row r="1799" spans="4:4" ht="17.649999999999999" x14ac:dyDescent="0.5">
      <c r="D1799" s="3" t="s">
        <v>59</v>
      </c>
    </row>
    <row r="1800" spans="4:4" ht="17.649999999999999" x14ac:dyDescent="0.5">
      <c r="D1800" s="3" t="s">
        <v>112</v>
      </c>
    </row>
    <row r="1801" spans="4:4" ht="17.649999999999999" x14ac:dyDescent="0.5">
      <c r="D1801" s="3" t="s">
        <v>94</v>
      </c>
    </row>
    <row r="1802" spans="4:4" ht="17.649999999999999" x14ac:dyDescent="0.5">
      <c r="D1802" s="3" t="s">
        <v>107</v>
      </c>
    </row>
    <row r="1803" spans="4:4" ht="17.649999999999999" x14ac:dyDescent="0.5">
      <c r="D1803" s="3" t="s">
        <v>68</v>
      </c>
    </row>
    <row r="1804" spans="4:4" ht="17.649999999999999" x14ac:dyDescent="0.5">
      <c r="D1804" s="3" t="s">
        <v>66</v>
      </c>
    </row>
    <row r="1805" spans="4:4" ht="17.649999999999999" x14ac:dyDescent="0.5">
      <c r="D1805" s="3" t="s">
        <v>88</v>
      </c>
    </row>
    <row r="1806" spans="4:4" ht="17.649999999999999" x14ac:dyDescent="0.5">
      <c r="D1806" s="3" t="s">
        <v>87</v>
      </c>
    </row>
    <row r="1807" spans="4:4" ht="17.649999999999999" x14ac:dyDescent="0.5">
      <c r="D1807" s="3" t="s">
        <v>103</v>
      </c>
    </row>
    <row r="1808" spans="4:4" ht="17.649999999999999" x14ac:dyDescent="0.5">
      <c r="D1808" s="3" t="s">
        <v>94</v>
      </c>
    </row>
    <row r="1809" spans="4:4" ht="17.649999999999999" x14ac:dyDescent="0.5">
      <c r="D1809" s="3" t="s">
        <v>44</v>
      </c>
    </row>
    <row r="1810" spans="4:4" ht="17.649999999999999" x14ac:dyDescent="0.5">
      <c r="D1810" s="3" t="s">
        <v>103</v>
      </c>
    </row>
    <row r="1811" spans="4:4" ht="17.649999999999999" x14ac:dyDescent="0.5">
      <c r="D1811" s="3" t="s">
        <v>91</v>
      </c>
    </row>
    <row r="1812" spans="4:4" ht="17.649999999999999" x14ac:dyDescent="0.5">
      <c r="D1812" s="3" t="s">
        <v>128</v>
      </c>
    </row>
    <row r="1813" spans="4:4" ht="17.649999999999999" x14ac:dyDescent="0.5">
      <c r="D1813" s="3" t="s">
        <v>116</v>
      </c>
    </row>
    <row r="1814" spans="4:4" ht="17.649999999999999" x14ac:dyDescent="0.5">
      <c r="D1814" s="3" t="s">
        <v>44</v>
      </c>
    </row>
    <row r="1815" spans="4:4" ht="17.649999999999999" x14ac:dyDescent="0.5">
      <c r="D1815" s="3" t="s">
        <v>127</v>
      </c>
    </row>
    <row r="1816" spans="4:4" ht="17.649999999999999" x14ac:dyDescent="0.5">
      <c r="D1816" s="3" t="s">
        <v>68</v>
      </c>
    </row>
    <row r="1817" spans="4:4" ht="17.649999999999999" x14ac:dyDescent="0.5">
      <c r="D1817" s="3" t="s">
        <v>56</v>
      </c>
    </row>
    <row r="1818" spans="4:4" ht="17.649999999999999" x14ac:dyDescent="0.5">
      <c r="D1818" s="3" t="s">
        <v>45</v>
      </c>
    </row>
    <row r="1819" spans="4:4" ht="17.649999999999999" x14ac:dyDescent="0.5">
      <c r="D1819" s="3" t="s">
        <v>110</v>
      </c>
    </row>
    <row r="1820" spans="4:4" ht="17.649999999999999" x14ac:dyDescent="0.5">
      <c r="D1820" s="3" t="s">
        <v>96</v>
      </c>
    </row>
    <row r="1821" spans="4:4" ht="17.649999999999999" x14ac:dyDescent="0.5">
      <c r="D1821" s="3" t="s">
        <v>105</v>
      </c>
    </row>
    <row r="1822" spans="4:4" ht="17.649999999999999" x14ac:dyDescent="0.5">
      <c r="D1822" s="3" t="s">
        <v>92</v>
      </c>
    </row>
    <row r="1823" spans="4:4" ht="17.649999999999999" x14ac:dyDescent="0.5">
      <c r="D1823" s="3" t="s">
        <v>125</v>
      </c>
    </row>
    <row r="1824" spans="4:4" ht="17.649999999999999" x14ac:dyDescent="0.5">
      <c r="D1824" s="3" t="s">
        <v>55</v>
      </c>
    </row>
    <row r="1825" spans="4:4" ht="17.649999999999999" x14ac:dyDescent="0.5">
      <c r="D1825" s="3" t="s">
        <v>85</v>
      </c>
    </row>
    <row r="1826" spans="4:4" ht="17.649999999999999" x14ac:dyDescent="0.5">
      <c r="D1826" s="3" t="s">
        <v>117</v>
      </c>
    </row>
    <row r="1827" spans="4:4" ht="17.649999999999999" x14ac:dyDescent="0.5">
      <c r="D1827" s="3" t="s">
        <v>112</v>
      </c>
    </row>
    <row r="1828" spans="4:4" ht="17.649999999999999" x14ac:dyDescent="0.5">
      <c r="D1828" s="3" t="s">
        <v>118</v>
      </c>
    </row>
    <row r="1829" spans="4:4" ht="17.649999999999999" x14ac:dyDescent="0.5">
      <c r="D1829" s="3" t="s">
        <v>59</v>
      </c>
    </row>
    <row r="1830" spans="4:4" ht="17.649999999999999" x14ac:dyDescent="0.5">
      <c r="D1830" s="3" t="s">
        <v>98</v>
      </c>
    </row>
    <row r="1831" spans="4:4" ht="17.649999999999999" x14ac:dyDescent="0.5">
      <c r="D1831" s="3" t="s">
        <v>73</v>
      </c>
    </row>
    <row r="1832" spans="4:4" ht="17.649999999999999" x14ac:dyDescent="0.5">
      <c r="D1832" s="3" t="s">
        <v>43</v>
      </c>
    </row>
    <row r="1833" spans="4:4" ht="17.649999999999999" x14ac:dyDescent="0.5">
      <c r="D1833" s="3" t="s">
        <v>67</v>
      </c>
    </row>
    <row r="1834" spans="4:4" ht="17.649999999999999" x14ac:dyDescent="0.5">
      <c r="D1834" s="3" t="s">
        <v>59</v>
      </c>
    </row>
    <row r="1835" spans="4:4" ht="17.649999999999999" x14ac:dyDescent="0.5">
      <c r="D1835" s="3" t="s">
        <v>96</v>
      </c>
    </row>
    <row r="1836" spans="4:4" ht="17.649999999999999" x14ac:dyDescent="0.5">
      <c r="D1836" s="3" t="s">
        <v>65</v>
      </c>
    </row>
    <row r="1837" spans="4:4" ht="17.649999999999999" x14ac:dyDescent="0.5">
      <c r="D1837" s="3" t="s">
        <v>90</v>
      </c>
    </row>
    <row r="1838" spans="4:4" ht="17.649999999999999" x14ac:dyDescent="0.5">
      <c r="D1838" s="3" t="s">
        <v>111</v>
      </c>
    </row>
    <row r="1839" spans="4:4" ht="17.649999999999999" x14ac:dyDescent="0.5">
      <c r="D1839" s="3" t="s">
        <v>56</v>
      </c>
    </row>
    <row r="1840" spans="4:4" ht="17.649999999999999" x14ac:dyDescent="0.5">
      <c r="D1840" s="3" t="s">
        <v>50</v>
      </c>
    </row>
    <row r="1841" spans="4:4" ht="17.649999999999999" x14ac:dyDescent="0.5">
      <c r="D1841" s="3" t="s">
        <v>59</v>
      </c>
    </row>
    <row r="1842" spans="4:4" ht="17.649999999999999" x14ac:dyDescent="0.5">
      <c r="D1842" s="3" t="s">
        <v>49</v>
      </c>
    </row>
    <row r="1843" spans="4:4" ht="17.649999999999999" x14ac:dyDescent="0.5">
      <c r="D1843" s="3" t="s">
        <v>112</v>
      </c>
    </row>
    <row r="1844" spans="4:4" ht="17.649999999999999" x14ac:dyDescent="0.5">
      <c r="D1844" s="3" t="s">
        <v>77</v>
      </c>
    </row>
    <row r="1845" spans="4:4" ht="17.649999999999999" x14ac:dyDescent="0.5">
      <c r="D1845" s="3" t="s">
        <v>117</v>
      </c>
    </row>
    <row r="1846" spans="4:4" ht="17.649999999999999" x14ac:dyDescent="0.5">
      <c r="D1846" s="3" t="s">
        <v>62</v>
      </c>
    </row>
    <row r="1847" spans="4:4" ht="17.649999999999999" x14ac:dyDescent="0.5">
      <c r="D1847" s="3" t="s">
        <v>110</v>
      </c>
    </row>
    <row r="1848" spans="4:4" ht="17.649999999999999" x14ac:dyDescent="0.5">
      <c r="D1848" s="3" t="s">
        <v>105</v>
      </c>
    </row>
    <row r="1849" spans="4:4" ht="17.649999999999999" x14ac:dyDescent="0.5">
      <c r="D1849" s="3" t="s">
        <v>67</v>
      </c>
    </row>
    <row r="1850" spans="4:4" ht="17.649999999999999" x14ac:dyDescent="0.5">
      <c r="D1850" s="3" t="s">
        <v>41</v>
      </c>
    </row>
    <row r="1851" spans="4:4" ht="17.649999999999999" x14ac:dyDescent="0.5">
      <c r="D1851" s="3" t="s">
        <v>136</v>
      </c>
    </row>
    <row r="1852" spans="4:4" ht="17.649999999999999" x14ac:dyDescent="0.5">
      <c r="D1852" s="3" t="s">
        <v>107</v>
      </c>
    </row>
    <row r="1853" spans="4:4" ht="17.649999999999999" x14ac:dyDescent="0.5">
      <c r="D1853" s="3" t="s">
        <v>109</v>
      </c>
    </row>
    <row r="1854" spans="4:4" ht="17.649999999999999" x14ac:dyDescent="0.5">
      <c r="D1854" s="3" t="s">
        <v>66</v>
      </c>
    </row>
    <row r="1855" spans="4:4" ht="17.649999999999999" x14ac:dyDescent="0.5">
      <c r="D1855" s="3" t="s">
        <v>96</v>
      </c>
    </row>
    <row r="1856" spans="4:4" ht="17.649999999999999" x14ac:dyDescent="0.5">
      <c r="D1856" s="3" t="s">
        <v>61</v>
      </c>
    </row>
    <row r="1857" spans="4:4" ht="17.649999999999999" x14ac:dyDescent="0.5">
      <c r="D1857" s="3" t="s">
        <v>55</v>
      </c>
    </row>
    <row r="1858" spans="4:4" ht="17.649999999999999" x14ac:dyDescent="0.5">
      <c r="D1858" s="3" t="s">
        <v>74</v>
      </c>
    </row>
    <row r="1859" spans="4:4" ht="17.649999999999999" x14ac:dyDescent="0.5">
      <c r="D1859" s="3" t="s">
        <v>59</v>
      </c>
    </row>
    <row r="1860" spans="4:4" ht="17.649999999999999" x14ac:dyDescent="0.5">
      <c r="D1860" s="3" t="s">
        <v>46</v>
      </c>
    </row>
    <row r="1861" spans="4:4" ht="17.649999999999999" x14ac:dyDescent="0.5">
      <c r="D1861" s="3" t="s">
        <v>73</v>
      </c>
    </row>
    <row r="1862" spans="4:4" ht="17.649999999999999" x14ac:dyDescent="0.5">
      <c r="D1862" s="3" t="s">
        <v>103</v>
      </c>
    </row>
    <row r="1863" spans="4:4" ht="17.649999999999999" x14ac:dyDescent="0.5">
      <c r="D1863" s="3" t="s">
        <v>43</v>
      </c>
    </row>
    <row r="1864" spans="4:4" ht="17.649999999999999" x14ac:dyDescent="0.5">
      <c r="D1864" s="3" t="s">
        <v>73</v>
      </c>
    </row>
    <row r="1865" spans="4:4" ht="17.649999999999999" x14ac:dyDescent="0.5">
      <c r="D1865" s="3" t="s">
        <v>69</v>
      </c>
    </row>
    <row r="1866" spans="4:4" ht="17.649999999999999" x14ac:dyDescent="0.5">
      <c r="D1866" s="3" t="s">
        <v>64</v>
      </c>
    </row>
    <row r="1867" spans="4:4" ht="17.649999999999999" x14ac:dyDescent="0.5">
      <c r="D1867" s="3" t="s">
        <v>94</v>
      </c>
    </row>
    <row r="1868" spans="4:4" ht="17.649999999999999" x14ac:dyDescent="0.5">
      <c r="D1868" s="3" t="s">
        <v>84</v>
      </c>
    </row>
    <row r="1869" spans="4:4" ht="17.649999999999999" x14ac:dyDescent="0.5">
      <c r="D1869" s="3" t="s">
        <v>73</v>
      </c>
    </row>
    <row r="1870" spans="4:4" ht="17.649999999999999" x14ac:dyDescent="0.5">
      <c r="D1870" s="3" t="s">
        <v>56</v>
      </c>
    </row>
    <row r="1871" spans="4:4" ht="17.649999999999999" x14ac:dyDescent="0.5">
      <c r="D1871" s="3" t="s">
        <v>78</v>
      </c>
    </row>
    <row r="1872" spans="4:4" ht="17.649999999999999" x14ac:dyDescent="0.5">
      <c r="D1872" s="3" t="s">
        <v>134</v>
      </c>
    </row>
    <row r="1873" spans="4:4" ht="17.649999999999999" x14ac:dyDescent="0.5">
      <c r="D1873" s="3" t="s">
        <v>47</v>
      </c>
    </row>
    <row r="1874" spans="4:4" ht="17.649999999999999" x14ac:dyDescent="0.5">
      <c r="D1874" s="3" t="s">
        <v>81</v>
      </c>
    </row>
    <row r="1875" spans="4:4" ht="17.649999999999999" x14ac:dyDescent="0.5">
      <c r="D1875" s="3" t="s">
        <v>68</v>
      </c>
    </row>
    <row r="1876" spans="4:4" ht="17.649999999999999" x14ac:dyDescent="0.5">
      <c r="D1876" s="3" t="s">
        <v>41</v>
      </c>
    </row>
    <row r="1877" spans="4:4" ht="17.649999999999999" x14ac:dyDescent="0.5">
      <c r="D1877" s="3" t="s">
        <v>80</v>
      </c>
    </row>
    <row r="1878" spans="4:4" ht="17.649999999999999" x14ac:dyDescent="0.5">
      <c r="D1878" s="3" t="s">
        <v>78</v>
      </c>
    </row>
    <row r="1879" spans="4:4" ht="17.649999999999999" x14ac:dyDescent="0.5">
      <c r="D1879" s="3" t="s">
        <v>74</v>
      </c>
    </row>
    <row r="1880" spans="4:4" ht="17.649999999999999" x14ac:dyDescent="0.5">
      <c r="D1880" s="3" t="s">
        <v>117</v>
      </c>
    </row>
    <row r="1881" spans="4:4" ht="17.649999999999999" x14ac:dyDescent="0.5">
      <c r="D1881" s="3" t="s">
        <v>54</v>
      </c>
    </row>
    <row r="1882" spans="4:4" ht="17.649999999999999" x14ac:dyDescent="0.5">
      <c r="D1882" s="3" t="s">
        <v>112</v>
      </c>
    </row>
    <row r="1883" spans="4:4" ht="17.649999999999999" x14ac:dyDescent="0.5">
      <c r="D1883" s="3" t="s">
        <v>71</v>
      </c>
    </row>
    <row r="1884" spans="4:4" ht="17.649999999999999" x14ac:dyDescent="0.5">
      <c r="D1884" s="3" t="s">
        <v>66</v>
      </c>
    </row>
    <row r="1885" spans="4:4" ht="17.649999999999999" x14ac:dyDescent="0.5">
      <c r="D1885" s="3" t="s">
        <v>108</v>
      </c>
    </row>
    <row r="1886" spans="4:4" ht="17.649999999999999" x14ac:dyDescent="0.5">
      <c r="D1886" s="3" t="s">
        <v>69</v>
      </c>
    </row>
    <row r="1887" spans="4:4" ht="17.649999999999999" x14ac:dyDescent="0.5">
      <c r="D1887" s="3" t="s">
        <v>67</v>
      </c>
    </row>
    <row r="1888" spans="4:4" ht="17.649999999999999" x14ac:dyDescent="0.5">
      <c r="D1888" s="3" t="s">
        <v>85</v>
      </c>
    </row>
    <row r="1889" spans="4:4" ht="17.649999999999999" x14ac:dyDescent="0.5">
      <c r="D1889" s="3" t="s">
        <v>106</v>
      </c>
    </row>
    <row r="1890" spans="4:4" ht="17.649999999999999" x14ac:dyDescent="0.5">
      <c r="D1890" s="3" t="s">
        <v>68</v>
      </c>
    </row>
    <row r="1891" spans="4:4" ht="17.649999999999999" x14ac:dyDescent="0.5">
      <c r="D1891" s="3" t="s">
        <v>50</v>
      </c>
    </row>
    <row r="1892" spans="4:4" ht="17.649999999999999" x14ac:dyDescent="0.5">
      <c r="D1892" s="3" t="s">
        <v>99</v>
      </c>
    </row>
    <row r="1893" spans="4:4" ht="17.649999999999999" x14ac:dyDescent="0.5">
      <c r="D1893" s="3" t="s">
        <v>112</v>
      </c>
    </row>
    <row r="1894" spans="4:4" ht="17.649999999999999" x14ac:dyDescent="0.5">
      <c r="D1894" s="3" t="s">
        <v>62</v>
      </c>
    </row>
    <row r="1895" spans="4:4" ht="17.649999999999999" x14ac:dyDescent="0.5">
      <c r="D1895" s="3" t="s">
        <v>75</v>
      </c>
    </row>
    <row r="1896" spans="4:4" ht="17.649999999999999" x14ac:dyDescent="0.5">
      <c r="D1896" s="3" t="s">
        <v>112</v>
      </c>
    </row>
    <row r="1897" spans="4:4" ht="17.649999999999999" x14ac:dyDescent="0.5">
      <c r="D1897" s="3" t="s">
        <v>81</v>
      </c>
    </row>
    <row r="1898" spans="4:4" ht="17.649999999999999" x14ac:dyDescent="0.5">
      <c r="D1898" s="3" t="s">
        <v>85</v>
      </c>
    </row>
    <row r="1899" spans="4:4" ht="17.649999999999999" x14ac:dyDescent="0.5">
      <c r="D1899" s="3" t="s">
        <v>47</v>
      </c>
    </row>
    <row r="1900" spans="4:4" ht="17.649999999999999" x14ac:dyDescent="0.5">
      <c r="D1900" s="3" t="s">
        <v>92</v>
      </c>
    </row>
    <row r="1901" spans="4:4" ht="17.649999999999999" x14ac:dyDescent="0.5">
      <c r="D1901" s="3" t="s">
        <v>76</v>
      </c>
    </row>
    <row r="1902" spans="4:4" ht="17.649999999999999" x14ac:dyDescent="0.5">
      <c r="D1902" s="3" t="s">
        <v>80</v>
      </c>
    </row>
    <row r="1903" spans="4:4" ht="17.649999999999999" x14ac:dyDescent="0.5">
      <c r="D1903" s="3" t="s">
        <v>58</v>
      </c>
    </row>
    <row r="1904" spans="4:4" ht="17.649999999999999" x14ac:dyDescent="0.5">
      <c r="D1904" s="3" t="s">
        <v>52</v>
      </c>
    </row>
    <row r="1905" spans="4:4" ht="17.649999999999999" x14ac:dyDescent="0.5">
      <c r="D1905" s="3" t="s">
        <v>44</v>
      </c>
    </row>
    <row r="1906" spans="4:4" ht="17.649999999999999" x14ac:dyDescent="0.5">
      <c r="D1906" s="3" t="s">
        <v>47</v>
      </c>
    </row>
    <row r="1907" spans="4:4" ht="17.649999999999999" x14ac:dyDescent="0.5">
      <c r="D1907" s="3" t="s">
        <v>90</v>
      </c>
    </row>
    <row r="1908" spans="4:4" ht="17.649999999999999" x14ac:dyDescent="0.5">
      <c r="D1908" s="3" t="s">
        <v>83</v>
      </c>
    </row>
    <row r="1909" spans="4:4" ht="17.649999999999999" x14ac:dyDescent="0.5">
      <c r="D1909" s="3" t="s">
        <v>57</v>
      </c>
    </row>
    <row r="1910" spans="4:4" ht="17.649999999999999" x14ac:dyDescent="0.5">
      <c r="D1910" s="3" t="s">
        <v>52</v>
      </c>
    </row>
    <row r="1911" spans="4:4" ht="17.649999999999999" x14ac:dyDescent="0.5">
      <c r="D1911" s="3" t="s">
        <v>83</v>
      </c>
    </row>
    <row r="1912" spans="4:4" ht="17.649999999999999" x14ac:dyDescent="0.5">
      <c r="D1912" s="3" t="s">
        <v>75</v>
      </c>
    </row>
    <row r="1913" spans="4:4" ht="17.649999999999999" x14ac:dyDescent="0.5">
      <c r="D1913" s="3" t="s">
        <v>96</v>
      </c>
    </row>
    <row r="1914" spans="4:4" ht="17.649999999999999" x14ac:dyDescent="0.5">
      <c r="D1914" s="3" t="s">
        <v>105</v>
      </c>
    </row>
    <row r="1915" spans="4:4" ht="17.649999999999999" x14ac:dyDescent="0.5">
      <c r="D1915" s="3" t="s">
        <v>88</v>
      </c>
    </row>
    <row r="1916" spans="4:4" ht="17.649999999999999" x14ac:dyDescent="0.5">
      <c r="D1916" s="3" t="s">
        <v>75</v>
      </c>
    </row>
    <row r="1917" spans="4:4" ht="17.649999999999999" x14ac:dyDescent="0.5">
      <c r="D1917" s="3" t="s">
        <v>135</v>
      </c>
    </row>
    <row r="1918" spans="4:4" ht="17.649999999999999" x14ac:dyDescent="0.5">
      <c r="D1918" s="3" t="s">
        <v>115</v>
      </c>
    </row>
    <row r="1919" spans="4:4" ht="17.649999999999999" x14ac:dyDescent="0.5">
      <c r="D1919" s="3" t="s">
        <v>84</v>
      </c>
    </row>
    <row r="1920" spans="4:4" ht="17.649999999999999" x14ac:dyDescent="0.5">
      <c r="D1920" s="3" t="s">
        <v>103</v>
      </c>
    </row>
    <row r="1921" spans="4:4" ht="17.649999999999999" x14ac:dyDescent="0.5">
      <c r="D1921" s="3" t="s">
        <v>90</v>
      </c>
    </row>
    <row r="1922" spans="4:4" ht="17.649999999999999" x14ac:dyDescent="0.5">
      <c r="D1922" s="3" t="s">
        <v>43</v>
      </c>
    </row>
    <row r="1923" spans="4:4" ht="17.649999999999999" x14ac:dyDescent="0.5">
      <c r="D1923" s="3" t="s">
        <v>51</v>
      </c>
    </row>
    <row r="1924" spans="4:4" ht="17.649999999999999" x14ac:dyDescent="0.5">
      <c r="D1924" s="3" t="s">
        <v>54</v>
      </c>
    </row>
    <row r="1925" spans="4:4" ht="17.649999999999999" x14ac:dyDescent="0.5">
      <c r="D1925" s="3" t="s">
        <v>67</v>
      </c>
    </row>
    <row r="1926" spans="4:4" ht="17.649999999999999" x14ac:dyDescent="0.5">
      <c r="D1926" s="3" t="s">
        <v>73</v>
      </c>
    </row>
    <row r="1927" spans="4:4" ht="17.649999999999999" x14ac:dyDescent="0.5">
      <c r="D1927" s="3" t="s">
        <v>124</v>
      </c>
    </row>
    <row r="1928" spans="4:4" ht="17.649999999999999" x14ac:dyDescent="0.5">
      <c r="D1928" s="3" t="s">
        <v>77</v>
      </c>
    </row>
    <row r="1929" spans="4:4" ht="17.649999999999999" x14ac:dyDescent="0.5">
      <c r="D1929" s="3" t="s">
        <v>53</v>
      </c>
    </row>
    <row r="1930" spans="4:4" ht="17.649999999999999" x14ac:dyDescent="0.5">
      <c r="D1930" s="3" t="s">
        <v>52</v>
      </c>
    </row>
    <row r="1931" spans="4:4" ht="17.649999999999999" x14ac:dyDescent="0.5">
      <c r="D1931" s="3" t="s">
        <v>41</v>
      </c>
    </row>
    <row r="1932" spans="4:4" ht="17.649999999999999" x14ac:dyDescent="0.5">
      <c r="D1932" s="3" t="s">
        <v>85</v>
      </c>
    </row>
    <row r="1933" spans="4:4" ht="17.649999999999999" x14ac:dyDescent="0.5">
      <c r="D1933" s="3" t="s">
        <v>104</v>
      </c>
    </row>
    <row r="1934" spans="4:4" ht="17.649999999999999" x14ac:dyDescent="0.5">
      <c r="D1934" s="3" t="s">
        <v>101</v>
      </c>
    </row>
    <row r="1935" spans="4:4" ht="17.649999999999999" x14ac:dyDescent="0.5">
      <c r="D1935" s="3" t="s">
        <v>98</v>
      </c>
    </row>
    <row r="1936" spans="4:4" ht="17.649999999999999" x14ac:dyDescent="0.5">
      <c r="D1936" s="3" t="s">
        <v>41</v>
      </c>
    </row>
    <row r="1937" spans="4:4" ht="17.649999999999999" x14ac:dyDescent="0.5">
      <c r="D1937" s="3" t="s">
        <v>79</v>
      </c>
    </row>
    <row r="1938" spans="4:4" ht="17.649999999999999" x14ac:dyDescent="0.5">
      <c r="D1938" s="3" t="s">
        <v>46</v>
      </c>
    </row>
    <row r="1939" spans="4:4" ht="17.649999999999999" x14ac:dyDescent="0.5">
      <c r="D1939" s="3" t="s">
        <v>90</v>
      </c>
    </row>
    <row r="1940" spans="4:4" ht="17.649999999999999" x14ac:dyDescent="0.5">
      <c r="D1940" s="3" t="s">
        <v>98</v>
      </c>
    </row>
    <row r="1941" spans="4:4" ht="17.649999999999999" x14ac:dyDescent="0.5">
      <c r="D1941" s="3" t="s">
        <v>62</v>
      </c>
    </row>
    <row r="1942" spans="4:4" ht="17.649999999999999" x14ac:dyDescent="0.5">
      <c r="D1942" s="3" t="s">
        <v>68</v>
      </c>
    </row>
    <row r="1943" spans="4:4" ht="17.649999999999999" x14ac:dyDescent="0.5">
      <c r="D1943" s="3" t="s">
        <v>87</v>
      </c>
    </row>
    <row r="1944" spans="4:4" ht="17.649999999999999" x14ac:dyDescent="0.5">
      <c r="D1944" s="3" t="s">
        <v>75</v>
      </c>
    </row>
    <row r="1945" spans="4:4" ht="17.649999999999999" x14ac:dyDescent="0.5">
      <c r="D1945" s="3" t="s">
        <v>96</v>
      </c>
    </row>
    <row r="1946" spans="4:4" ht="17.649999999999999" x14ac:dyDescent="0.5">
      <c r="D1946" s="3" t="s">
        <v>49</v>
      </c>
    </row>
    <row r="1947" spans="4:4" ht="17.649999999999999" x14ac:dyDescent="0.5">
      <c r="D1947" s="3" t="s">
        <v>92</v>
      </c>
    </row>
    <row r="1948" spans="4:4" ht="17.649999999999999" x14ac:dyDescent="0.5">
      <c r="D1948" s="3" t="s">
        <v>69</v>
      </c>
    </row>
    <row r="1949" spans="4:4" ht="17.649999999999999" x14ac:dyDescent="0.5">
      <c r="D1949" s="3" t="s">
        <v>41</v>
      </c>
    </row>
    <row r="1950" spans="4:4" ht="17.649999999999999" x14ac:dyDescent="0.5">
      <c r="D1950" s="3" t="s">
        <v>117</v>
      </c>
    </row>
    <row r="1951" spans="4:4" ht="17.649999999999999" x14ac:dyDescent="0.5">
      <c r="D1951" s="3" t="s">
        <v>94</v>
      </c>
    </row>
    <row r="1952" spans="4:4" ht="17.649999999999999" x14ac:dyDescent="0.5">
      <c r="D1952" s="3" t="s">
        <v>123</v>
      </c>
    </row>
    <row r="1953" spans="4:4" ht="17.649999999999999" x14ac:dyDescent="0.5">
      <c r="D1953" s="3" t="s">
        <v>111</v>
      </c>
    </row>
    <row r="1954" spans="4:4" ht="17.649999999999999" x14ac:dyDescent="0.5">
      <c r="D1954" s="3" t="s">
        <v>80</v>
      </c>
    </row>
    <row r="1955" spans="4:4" ht="17.649999999999999" x14ac:dyDescent="0.5">
      <c r="D1955" s="3" t="s">
        <v>100</v>
      </c>
    </row>
    <row r="1956" spans="4:4" ht="17.649999999999999" x14ac:dyDescent="0.5">
      <c r="D1956" s="3" t="s">
        <v>78</v>
      </c>
    </row>
    <row r="1957" spans="4:4" ht="17.649999999999999" x14ac:dyDescent="0.5">
      <c r="D1957" s="3" t="s">
        <v>47</v>
      </c>
    </row>
    <row r="1958" spans="4:4" ht="17.649999999999999" x14ac:dyDescent="0.5">
      <c r="D1958" s="3" t="s">
        <v>81</v>
      </c>
    </row>
    <row r="1959" spans="4:4" ht="17.649999999999999" x14ac:dyDescent="0.5">
      <c r="D1959" s="3" t="s">
        <v>78</v>
      </c>
    </row>
    <row r="1960" spans="4:4" ht="17.649999999999999" x14ac:dyDescent="0.5">
      <c r="D1960" s="3" t="s">
        <v>117</v>
      </c>
    </row>
    <row r="1961" spans="4:4" ht="17.649999999999999" x14ac:dyDescent="0.5">
      <c r="D1961" s="3" t="s">
        <v>59</v>
      </c>
    </row>
    <row r="1962" spans="4:4" ht="17.649999999999999" x14ac:dyDescent="0.5">
      <c r="D1962" s="3" t="s">
        <v>52</v>
      </c>
    </row>
    <row r="1963" spans="4:4" ht="17.649999999999999" x14ac:dyDescent="0.5">
      <c r="D1963" s="3" t="s">
        <v>87</v>
      </c>
    </row>
    <row r="1964" spans="4:4" ht="17.649999999999999" x14ac:dyDescent="0.5">
      <c r="D1964" s="3" t="s">
        <v>75</v>
      </c>
    </row>
    <row r="1965" spans="4:4" ht="17.649999999999999" x14ac:dyDescent="0.5">
      <c r="D1965" s="3" t="s">
        <v>114</v>
      </c>
    </row>
    <row r="1966" spans="4:4" ht="17.649999999999999" x14ac:dyDescent="0.5">
      <c r="D1966" s="3" t="s">
        <v>60</v>
      </c>
    </row>
    <row r="1967" spans="4:4" ht="17.649999999999999" x14ac:dyDescent="0.5">
      <c r="D1967" s="3" t="s">
        <v>100</v>
      </c>
    </row>
    <row r="1968" spans="4:4" ht="17.649999999999999" x14ac:dyDescent="0.5">
      <c r="D1968" s="3" t="s">
        <v>54</v>
      </c>
    </row>
    <row r="1969" spans="4:4" ht="17.649999999999999" x14ac:dyDescent="0.5">
      <c r="D1969" s="3" t="s">
        <v>61</v>
      </c>
    </row>
    <row r="1970" spans="4:4" ht="17.649999999999999" x14ac:dyDescent="0.5">
      <c r="D1970" s="3" t="s">
        <v>59</v>
      </c>
    </row>
    <row r="1971" spans="4:4" ht="17.649999999999999" x14ac:dyDescent="0.5">
      <c r="D1971" s="3" t="s">
        <v>104</v>
      </c>
    </row>
    <row r="1972" spans="4:4" ht="17.649999999999999" x14ac:dyDescent="0.5">
      <c r="D1972" s="3" t="s">
        <v>56</v>
      </c>
    </row>
    <row r="1973" spans="4:4" ht="17.649999999999999" x14ac:dyDescent="0.5">
      <c r="D1973" s="3" t="s">
        <v>117</v>
      </c>
    </row>
    <row r="1974" spans="4:4" ht="17.649999999999999" x14ac:dyDescent="0.5">
      <c r="D1974" s="3" t="s">
        <v>67</v>
      </c>
    </row>
    <row r="1975" spans="4:4" ht="17.649999999999999" x14ac:dyDescent="0.5">
      <c r="D1975" s="3" t="s">
        <v>85</v>
      </c>
    </row>
    <row r="1976" spans="4:4" ht="17.649999999999999" x14ac:dyDescent="0.5">
      <c r="D1976" s="3" t="s">
        <v>49</v>
      </c>
    </row>
    <row r="1977" spans="4:4" ht="17.649999999999999" x14ac:dyDescent="0.5">
      <c r="D1977" s="3" t="s">
        <v>113</v>
      </c>
    </row>
    <row r="1978" spans="4:4" ht="17.649999999999999" x14ac:dyDescent="0.5">
      <c r="D1978" s="3" t="s">
        <v>90</v>
      </c>
    </row>
    <row r="1979" spans="4:4" ht="17.649999999999999" x14ac:dyDescent="0.5">
      <c r="D1979" s="3" t="s">
        <v>129</v>
      </c>
    </row>
    <row r="1980" spans="4:4" ht="17.649999999999999" x14ac:dyDescent="0.5">
      <c r="D1980" s="3" t="s">
        <v>101</v>
      </c>
    </row>
    <row r="1981" spans="4:4" ht="17.649999999999999" x14ac:dyDescent="0.5">
      <c r="D1981" s="3" t="s">
        <v>59</v>
      </c>
    </row>
    <row r="1982" spans="4:4" ht="17.649999999999999" x14ac:dyDescent="0.5">
      <c r="D1982" s="3" t="s">
        <v>73</v>
      </c>
    </row>
    <row r="1983" spans="4:4" ht="17.649999999999999" x14ac:dyDescent="0.5">
      <c r="D1983" s="3" t="s">
        <v>69</v>
      </c>
    </row>
    <row r="1984" spans="4:4" ht="17.649999999999999" x14ac:dyDescent="0.5">
      <c r="D1984" s="3" t="s">
        <v>112</v>
      </c>
    </row>
    <row r="1985" spans="4:4" ht="17.649999999999999" x14ac:dyDescent="0.5">
      <c r="D1985" s="3" t="s">
        <v>66</v>
      </c>
    </row>
    <row r="1986" spans="4:4" ht="17.649999999999999" x14ac:dyDescent="0.5">
      <c r="D1986" s="3" t="s">
        <v>98</v>
      </c>
    </row>
    <row r="1987" spans="4:4" ht="17.649999999999999" x14ac:dyDescent="0.5">
      <c r="D1987" s="3" t="s">
        <v>67</v>
      </c>
    </row>
    <row r="1988" spans="4:4" ht="17.649999999999999" x14ac:dyDescent="0.5">
      <c r="D1988" s="3" t="s">
        <v>83</v>
      </c>
    </row>
    <row r="1989" spans="4:4" ht="17.649999999999999" x14ac:dyDescent="0.5">
      <c r="D1989" s="3" t="s">
        <v>125</v>
      </c>
    </row>
    <row r="1990" spans="4:4" ht="17.649999999999999" x14ac:dyDescent="0.5">
      <c r="D1990" s="3" t="s">
        <v>64</v>
      </c>
    </row>
    <row r="1991" spans="4:4" ht="17.649999999999999" x14ac:dyDescent="0.5">
      <c r="D1991" s="3" t="s">
        <v>80</v>
      </c>
    </row>
    <row r="1992" spans="4:4" ht="17.649999999999999" x14ac:dyDescent="0.5">
      <c r="D1992" s="3" t="s">
        <v>53</v>
      </c>
    </row>
    <row r="1993" spans="4:4" ht="17.649999999999999" x14ac:dyDescent="0.5">
      <c r="D1993" s="3" t="s">
        <v>103</v>
      </c>
    </row>
    <row r="1994" spans="4:4" ht="17.649999999999999" x14ac:dyDescent="0.5">
      <c r="D1994" s="3" t="s">
        <v>122</v>
      </c>
    </row>
    <row r="1995" spans="4:4" ht="17.649999999999999" x14ac:dyDescent="0.5">
      <c r="D1995" s="3" t="s">
        <v>47</v>
      </c>
    </row>
    <row r="1996" spans="4:4" ht="17.649999999999999" x14ac:dyDescent="0.5">
      <c r="D1996" s="3" t="s">
        <v>86</v>
      </c>
    </row>
    <row r="1997" spans="4:4" ht="17.649999999999999" x14ac:dyDescent="0.5">
      <c r="D1997" s="3" t="s">
        <v>96</v>
      </c>
    </row>
    <row r="1998" spans="4:4" ht="17.649999999999999" x14ac:dyDescent="0.5">
      <c r="D1998" s="3" t="s">
        <v>108</v>
      </c>
    </row>
    <row r="1999" spans="4:4" ht="17.649999999999999" x14ac:dyDescent="0.5">
      <c r="D1999" s="3" t="s">
        <v>90</v>
      </c>
    </row>
    <row r="2000" spans="4:4" ht="17.649999999999999" x14ac:dyDescent="0.5">
      <c r="D2000" s="3" t="s">
        <v>42</v>
      </c>
    </row>
    <row r="2001" spans="4:4" ht="17.649999999999999" x14ac:dyDescent="0.5">
      <c r="D2001" s="3" t="s">
        <v>50</v>
      </c>
    </row>
    <row r="2002" spans="4:4" ht="17.649999999999999" x14ac:dyDescent="0.5">
      <c r="D2002" s="3" t="s">
        <v>120</v>
      </c>
    </row>
    <row r="2003" spans="4:4" ht="17.649999999999999" x14ac:dyDescent="0.5">
      <c r="D2003" s="3" t="s">
        <v>107</v>
      </c>
    </row>
    <row r="2004" spans="4:4" ht="17.649999999999999" x14ac:dyDescent="0.5">
      <c r="D2004" s="3" t="s">
        <v>107</v>
      </c>
    </row>
    <row r="2005" spans="4:4" ht="17.649999999999999" x14ac:dyDescent="0.5">
      <c r="D2005" s="3" t="s">
        <v>94</v>
      </c>
    </row>
    <row r="2006" spans="4:4" ht="17.649999999999999" x14ac:dyDescent="0.5">
      <c r="D2006" s="3" t="s">
        <v>132</v>
      </c>
    </row>
    <row r="2007" spans="4:4" ht="17.649999999999999" x14ac:dyDescent="0.5">
      <c r="D2007" s="3" t="s">
        <v>125</v>
      </c>
    </row>
    <row r="2008" spans="4:4" ht="17.649999999999999" x14ac:dyDescent="0.5">
      <c r="D2008" s="3" t="s">
        <v>89</v>
      </c>
    </row>
    <row r="2009" spans="4:4" ht="17.649999999999999" x14ac:dyDescent="0.5">
      <c r="D2009" s="3" t="s">
        <v>115</v>
      </c>
    </row>
    <row r="2010" spans="4:4" ht="17.649999999999999" x14ac:dyDescent="0.5">
      <c r="D2010" s="3" t="s">
        <v>83</v>
      </c>
    </row>
    <row r="2011" spans="4:4" ht="17.649999999999999" x14ac:dyDescent="0.5">
      <c r="D2011" s="3" t="s">
        <v>118</v>
      </c>
    </row>
    <row r="2012" spans="4:4" ht="17.649999999999999" x14ac:dyDescent="0.5">
      <c r="D2012" s="3" t="s">
        <v>102</v>
      </c>
    </row>
    <row r="2013" spans="4:4" ht="17.649999999999999" x14ac:dyDescent="0.5">
      <c r="D2013" s="3" t="s">
        <v>98</v>
      </c>
    </row>
    <row r="2014" spans="4:4" ht="17.649999999999999" x14ac:dyDescent="0.5">
      <c r="D2014" s="3" t="s">
        <v>69</v>
      </c>
    </row>
    <row r="2015" spans="4:4" ht="17.649999999999999" x14ac:dyDescent="0.5">
      <c r="D2015" s="3" t="s">
        <v>51</v>
      </c>
    </row>
    <row r="2016" spans="4:4" ht="17.649999999999999" x14ac:dyDescent="0.5">
      <c r="D2016" s="3" t="s">
        <v>56</v>
      </c>
    </row>
    <row r="2017" spans="4:4" ht="17.649999999999999" x14ac:dyDescent="0.5">
      <c r="D2017" s="3" t="s">
        <v>46</v>
      </c>
    </row>
    <row r="2018" spans="4:4" ht="17.649999999999999" x14ac:dyDescent="0.5">
      <c r="D2018" s="3" t="s">
        <v>134</v>
      </c>
    </row>
    <row r="2019" spans="4:4" ht="17.649999999999999" x14ac:dyDescent="0.5">
      <c r="D2019" s="3" t="s">
        <v>48</v>
      </c>
    </row>
    <row r="2020" spans="4:4" ht="17.649999999999999" x14ac:dyDescent="0.5">
      <c r="D2020" s="3" t="s">
        <v>107</v>
      </c>
    </row>
    <row r="2021" spans="4:4" ht="17.649999999999999" x14ac:dyDescent="0.5">
      <c r="D2021" s="3" t="s">
        <v>64</v>
      </c>
    </row>
    <row r="2022" spans="4:4" ht="17.649999999999999" x14ac:dyDescent="0.5">
      <c r="D2022" s="3" t="s">
        <v>92</v>
      </c>
    </row>
    <row r="2023" spans="4:4" ht="17.649999999999999" x14ac:dyDescent="0.5">
      <c r="D2023" s="3" t="s">
        <v>56</v>
      </c>
    </row>
    <row r="2024" spans="4:4" ht="17.649999999999999" x14ac:dyDescent="0.5">
      <c r="D2024" s="3" t="s">
        <v>91</v>
      </c>
    </row>
    <row r="2025" spans="4:4" ht="17.649999999999999" x14ac:dyDescent="0.5">
      <c r="D2025" s="3" t="s">
        <v>115</v>
      </c>
    </row>
    <row r="2026" spans="4:4" ht="17.649999999999999" x14ac:dyDescent="0.5">
      <c r="D2026" s="3" t="s">
        <v>83</v>
      </c>
    </row>
    <row r="2027" spans="4:4" ht="17.649999999999999" x14ac:dyDescent="0.5">
      <c r="D2027" s="3" t="s">
        <v>57</v>
      </c>
    </row>
    <row r="2028" spans="4:4" ht="17.649999999999999" x14ac:dyDescent="0.5">
      <c r="D2028" s="3" t="s">
        <v>63</v>
      </c>
    </row>
    <row r="2029" spans="4:4" ht="17.649999999999999" x14ac:dyDescent="0.5">
      <c r="D2029" s="3" t="s">
        <v>131</v>
      </c>
    </row>
    <row r="2030" spans="4:4" ht="17.649999999999999" x14ac:dyDescent="0.5">
      <c r="D2030" s="3" t="s">
        <v>81</v>
      </c>
    </row>
    <row r="2031" spans="4:4" ht="17.649999999999999" x14ac:dyDescent="0.5">
      <c r="D2031" s="3" t="s">
        <v>41</v>
      </c>
    </row>
    <row r="2032" spans="4:4" ht="17.649999999999999" x14ac:dyDescent="0.5">
      <c r="D2032" s="3" t="s">
        <v>91</v>
      </c>
    </row>
    <row r="2033" spans="4:4" ht="17.649999999999999" x14ac:dyDescent="0.5">
      <c r="D2033" s="3" t="s">
        <v>92</v>
      </c>
    </row>
    <row r="2034" spans="4:4" ht="17.649999999999999" x14ac:dyDescent="0.5">
      <c r="D2034" s="3" t="s">
        <v>56</v>
      </c>
    </row>
    <row r="2035" spans="4:4" ht="17.649999999999999" x14ac:dyDescent="0.5">
      <c r="D2035" s="3" t="s">
        <v>73</v>
      </c>
    </row>
    <row r="2036" spans="4:4" ht="17.649999999999999" x14ac:dyDescent="0.5">
      <c r="D2036" s="3" t="s">
        <v>68</v>
      </c>
    </row>
    <row r="2037" spans="4:4" ht="17.649999999999999" x14ac:dyDescent="0.5">
      <c r="D2037" s="3" t="s">
        <v>87</v>
      </c>
    </row>
    <row r="2038" spans="4:4" ht="17.649999999999999" x14ac:dyDescent="0.5">
      <c r="D2038" s="3" t="s">
        <v>75</v>
      </c>
    </row>
    <row r="2039" spans="4:4" ht="17.649999999999999" x14ac:dyDescent="0.5">
      <c r="D2039" s="3" t="s">
        <v>83</v>
      </c>
    </row>
    <row r="2040" spans="4:4" ht="17.649999999999999" x14ac:dyDescent="0.5">
      <c r="D2040" s="3" t="s">
        <v>65</v>
      </c>
    </row>
    <row r="2041" spans="4:4" ht="17.649999999999999" x14ac:dyDescent="0.5">
      <c r="D2041" s="3" t="s">
        <v>77</v>
      </c>
    </row>
    <row r="2042" spans="4:4" ht="17.649999999999999" x14ac:dyDescent="0.5">
      <c r="D2042" s="3" t="s">
        <v>115</v>
      </c>
    </row>
    <row r="2043" spans="4:4" ht="17.649999999999999" x14ac:dyDescent="0.5">
      <c r="D2043" s="3" t="s">
        <v>71</v>
      </c>
    </row>
    <row r="2044" spans="4:4" ht="17.649999999999999" x14ac:dyDescent="0.5">
      <c r="D2044" s="3" t="s">
        <v>52</v>
      </c>
    </row>
    <row r="2045" spans="4:4" ht="17.649999999999999" x14ac:dyDescent="0.5">
      <c r="D2045" s="3" t="s">
        <v>63</v>
      </c>
    </row>
    <row r="2046" spans="4:4" ht="17.649999999999999" x14ac:dyDescent="0.5">
      <c r="D2046" s="3" t="s">
        <v>43</v>
      </c>
    </row>
    <row r="2047" spans="4:4" ht="17.649999999999999" x14ac:dyDescent="0.5">
      <c r="D2047" s="3" t="s">
        <v>68</v>
      </c>
    </row>
    <row r="2048" spans="4:4" ht="17.649999999999999" x14ac:dyDescent="0.5">
      <c r="D2048" s="3" t="s">
        <v>91</v>
      </c>
    </row>
    <row r="2049" spans="4:4" ht="17.649999999999999" x14ac:dyDescent="0.5">
      <c r="D2049" s="3" t="s">
        <v>46</v>
      </c>
    </row>
    <row r="2050" spans="4:4" ht="17.649999999999999" x14ac:dyDescent="0.5">
      <c r="D2050" s="3" t="s">
        <v>77</v>
      </c>
    </row>
    <row r="2051" spans="4:4" ht="17.649999999999999" x14ac:dyDescent="0.5">
      <c r="D2051" s="3" t="s">
        <v>53</v>
      </c>
    </row>
    <row r="2052" spans="4:4" ht="17.649999999999999" x14ac:dyDescent="0.5">
      <c r="D2052" s="3" t="s">
        <v>118</v>
      </c>
    </row>
    <row r="2053" spans="4:4" ht="17.649999999999999" x14ac:dyDescent="0.5">
      <c r="D2053" s="3" t="s">
        <v>74</v>
      </c>
    </row>
    <row r="2054" spans="4:4" ht="17.649999999999999" x14ac:dyDescent="0.5">
      <c r="D2054" s="3" t="s">
        <v>94</v>
      </c>
    </row>
    <row r="2055" spans="4:4" ht="17.649999999999999" x14ac:dyDescent="0.5">
      <c r="D2055" s="3" t="s">
        <v>100</v>
      </c>
    </row>
    <row r="2056" spans="4:4" ht="17.649999999999999" x14ac:dyDescent="0.5">
      <c r="D2056" s="3" t="s">
        <v>50</v>
      </c>
    </row>
    <row r="2057" spans="4:4" ht="17.649999999999999" x14ac:dyDescent="0.5">
      <c r="D2057" s="3" t="s">
        <v>120</v>
      </c>
    </row>
    <row r="2058" spans="4:4" ht="17.649999999999999" x14ac:dyDescent="0.5">
      <c r="D2058" s="3" t="s">
        <v>105</v>
      </c>
    </row>
    <row r="2059" spans="4:4" ht="17.649999999999999" x14ac:dyDescent="0.5">
      <c r="D2059" s="3" t="s">
        <v>117</v>
      </c>
    </row>
    <row r="2060" spans="4:4" ht="17.649999999999999" x14ac:dyDescent="0.5">
      <c r="D2060" s="3" t="s">
        <v>115</v>
      </c>
    </row>
    <row r="2061" spans="4:4" ht="17.649999999999999" x14ac:dyDescent="0.5">
      <c r="D2061" s="3" t="s">
        <v>118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D1:P2195"/>
  <sheetViews>
    <sheetView topLeftCell="A4" workbookViewId="0">
      <selection activeCell="E2183" sqref="E2183"/>
    </sheetView>
  </sheetViews>
  <sheetFormatPr baseColWidth="10" defaultRowHeight="15.75" x14ac:dyDescent="0.5"/>
  <sheetData>
    <row r="1" spans="4:10" ht="25.15" x14ac:dyDescent="0.7">
      <c r="D1" s="1" t="s">
        <v>313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1</v>
      </c>
      <c r="G4" s="2">
        <v>0</v>
      </c>
      <c r="H4" s="2">
        <v>0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451</v>
      </c>
      <c r="E13" s="2">
        <v>500</v>
      </c>
      <c r="F13" s="2">
        <v>284</v>
      </c>
      <c r="G13" s="2">
        <v>333</v>
      </c>
      <c r="H13" s="2">
        <v>334</v>
      </c>
      <c r="I13" s="2">
        <v>453</v>
      </c>
      <c r="J13" s="2">
        <v>498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951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452</v>
      </c>
      <c r="E23" s="2">
        <v>500</v>
      </c>
      <c r="F23" s="2">
        <v>283</v>
      </c>
      <c r="G23" s="2">
        <v>335</v>
      </c>
      <c r="H23" s="2">
        <v>334</v>
      </c>
      <c r="I23" s="2">
        <v>452</v>
      </c>
      <c r="J23" s="2">
        <v>500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952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38</v>
      </c>
      <c r="F31" s="2">
        <v>29</v>
      </c>
      <c r="G31" s="2">
        <v>41</v>
      </c>
      <c r="H31" s="2">
        <v>36</v>
      </c>
      <c r="I31" s="2">
        <v>37</v>
      </c>
      <c r="J31" s="2">
        <v>40</v>
      </c>
      <c r="K31" s="2">
        <v>33</v>
      </c>
      <c r="L31" s="2">
        <v>44</v>
      </c>
      <c r="M31" s="2">
        <v>44</v>
      </c>
      <c r="N31" s="2">
        <v>49</v>
      </c>
      <c r="O31" s="2">
        <v>37</v>
      </c>
      <c r="P31" s="2">
        <v>44</v>
      </c>
    </row>
    <row r="32" spans="4:16" x14ac:dyDescent="0.5">
      <c r="D32" s="2">
        <v>2</v>
      </c>
      <c r="E32" s="2">
        <v>31</v>
      </c>
      <c r="F32" s="2">
        <v>39</v>
      </c>
      <c r="G32" s="2">
        <v>44</v>
      </c>
      <c r="H32" s="2">
        <v>35</v>
      </c>
      <c r="I32" s="2">
        <v>34</v>
      </c>
      <c r="J32" s="2">
        <v>47</v>
      </c>
      <c r="K32" s="2">
        <v>35</v>
      </c>
      <c r="L32" s="2">
        <v>35</v>
      </c>
      <c r="M32" s="2">
        <v>36</v>
      </c>
      <c r="N32" s="2">
        <v>48</v>
      </c>
      <c r="O32" s="2">
        <v>43</v>
      </c>
      <c r="P32" s="2">
        <v>52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0</v>
      </c>
      <c r="F37" s="2">
        <v>54</v>
      </c>
      <c r="G37" s="2">
        <v>43</v>
      </c>
      <c r="H37" s="2">
        <v>47</v>
      </c>
      <c r="I37" s="2">
        <v>47</v>
      </c>
      <c r="J37" s="2">
        <v>43</v>
      </c>
      <c r="K37" s="2">
        <v>50</v>
      </c>
      <c r="L37" s="2">
        <v>39</v>
      </c>
      <c r="M37" s="2">
        <v>40</v>
      </c>
      <c r="N37" s="2">
        <v>34</v>
      </c>
      <c r="O37" s="2">
        <v>46</v>
      </c>
      <c r="P37" s="2">
        <v>40</v>
      </c>
    </row>
    <row r="38" spans="4:16" x14ac:dyDescent="0.5">
      <c r="D38" s="2">
        <v>2</v>
      </c>
      <c r="E38" s="2">
        <v>0</v>
      </c>
      <c r="F38" s="2">
        <v>44</v>
      </c>
      <c r="G38" s="2">
        <v>40</v>
      </c>
      <c r="H38" s="2">
        <v>48</v>
      </c>
      <c r="I38" s="2">
        <v>50</v>
      </c>
      <c r="J38" s="2">
        <v>36</v>
      </c>
      <c r="K38" s="2">
        <v>48</v>
      </c>
      <c r="L38" s="2">
        <v>48</v>
      </c>
      <c r="M38" s="2">
        <v>48</v>
      </c>
      <c r="N38" s="2">
        <v>35</v>
      </c>
      <c r="O38" s="2">
        <v>40</v>
      </c>
      <c r="P38" s="2">
        <v>32</v>
      </c>
    </row>
    <row r="39" spans="4:16" ht="17.649999999999999" x14ac:dyDescent="0.5">
      <c r="D39" s="3" t="s">
        <v>137</v>
      </c>
      <c r="E39">
        <f t="shared" ref="E39:P39" si="0">E31-E37</f>
        <v>38</v>
      </c>
      <c r="F39">
        <f t="shared" si="0"/>
        <v>-25</v>
      </c>
      <c r="G39">
        <f t="shared" si="0"/>
        <v>-2</v>
      </c>
      <c r="H39">
        <f t="shared" si="0"/>
        <v>-11</v>
      </c>
      <c r="I39">
        <f t="shared" si="0"/>
        <v>-10</v>
      </c>
      <c r="J39">
        <f t="shared" si="0"/>
        <v>-3</v>
      </c>
      <c r="K39">
        <f t="shared" si="0"/>
        <v>-17</v>
      </c>
      <c r="L39">
        <f t="shared" si="0"/>
        <v>5</v>
      </c>
      <c r="M39">
        <f t="shared" si="0"/>
        <v>4</v>
      </c>
      <c r="N39">
        <f t="shared" si="0"/>
        <v>15</v>
      </c>
      <c r="O39">
        <f t="shared" si="0"/>
        <v>-9</v>
      </c>
      <c r="P39">
        <f t="shared" si="0"/>
        <v>4</v>
      </c>
    </row>
    <row r="40" spans="4:16" ht="17.649999999999999" x14ac:dyDescent="0.5">
      <c r="D40" s="3" t="s">
        <v>138</v>
      </c>
      <c r="E40">
        <f t="shared" ref="E40:P40" si="1">E32-E38</f>
        <v>31</v>
      </c>
      <c r="F40">
        <f t="shared" si="1"/>
        <v>-5</v>
      </c>
      <c r="G40">
        <f t="shared" si="1"/>
        <v>4</v>
      </c>
      <c r="H40">
        <f t="shared" si="1"/>
        <v>-13</v>
      </c>
      <c r="I40">
        <f t="shared" si="1"/>
        <v>-16</v>
      </c>
      <c r="J40">
        <f t="shared" si="1"/>
        <v>11</v>
      </c>
      <c r="K40">
        <f t="shared" si="1"/>
        <v>-13</v>
      </c>
      <c r="L40">
        <f t="shared" si="1"/>
        <v>-13</v>
      </c>
      <c r="M40">
        <f t="shared" si="1"/>
        <v>-12</v>
      </c>
      <c r="N40">
        <f t="shared" si="1"/>
        <v>13</v>
      </c>
      <c r="O40">
        <f t="shared" si="1"/>
        <v>3</v>
      </c>
      <c r="P40">
        <f t="shared" si="1"/>
        <v>20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69</v>
      </c>
      <c r="F44" s="2">
        <v>68</v>
      </c>
      <c r="G44" s="2">
        <v>85</v>
      </c>
      <c r="H44" s="2">
        <v>71</v>
      </c>
      <c r="I44" s="2">
        <v>71</v>
      </c>
      <c r="J44" s="2">
        <v>87</v>
      </c>
      <c r="K44" s="2">
        <v>68</v>
      </c>
      <c r="L44" s="2">
        <v>79</v>
      </c>
      <c r="M44" s="2">
        <v>80</v>
      </c>
      <c r="N44" s="2">
        <v>97</v>
      </c>
      <c r="O44" s="2">
        <v>80</v>
      </c>
      <c r="P44" s="2">
        <v>96</v>
      </c>
    </row>
    <row r="45" spans="4:16" x14ac:dyDescent="0.5">
      <c r="D45" s="2" t="s">
        <v>28</v>
      </c>
      <c r="E45" s="2">
        <v>0</v>
      </c>
      <c r="F45" s="2">
        <v>98</v>
      </c>
      <c r="G45" s="2">
        <v>83</v>
      </c>
      <c r="H45" s="2">
        <v>95</v>
      </c>
      <c r="I45" s="2">
        <v>97</v>
      </c>
      <c r="J45" s="2">
        <v>79</v>
      </c>
      <c r="K45" s="2">
        <v>98</v>
      </c>
      <c r="L45" s="2">
        <v>87</v>
      </c>
      <c r="M45" s="2">
        <v>88</v>
      </c>
      <c r="N45" s="2">
        <v>69</v>
      </c>
      <c r="O45" s="2">
        <v>86</v>
      </c>
      <c r="P45" s="2">
        <v>72</v>
      </c>
    </row>
    <row r="46" spans="4:16" x14ac:dyDescent="0.5">
      <c r="D46" s="2" t="s">
        <v>30</v>
      </c>
      <c r="E46" s="2">
        <v>69</v>
      </c>
      <c r="F46" s="2">
        <v>-30</v>
      </c>
      <c r="G46" s="2">
        <v>2</v>
      </c>
      <c r="H46" s="2">
        <v>-24</v>
      </c>
      <c r="I46" s="2">
        <v>-26</v>
      </c>
      <c r="J46" s="2">
        <v>8</v>
      </c>
      <c r="K46" s="2">
        <v>-30</v>
      </c>
      <c r="L46" s="2">
        <v>-8</v>
      </c>
      <c r="M46" s="2">
        <v>-8</v>
      </c>
      <c r="N46" s="2">
        <v>28</v>
      </c>
      <c r="O46" s="2">
        <v>-6</v>
      </c>
      <c r="P46" s="2">
        <v>24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451</v>
      </c>
      <c r="F51" s="2">
        <v>500</v>
      </c>
      <c r="G51" s="2">
        <v>284</v>
      </c>
      <c r="H51" s="2">
        <v>333</v>
      </c>
      <c r="I51" s="2">
        <v>334</v>
      </c>
      <c r="J51" s="2">
        <v>453</v>
      </c>
      <c r="K51" s="2">
        <v>498</v>
      </c>
    </row>
    <row r="52" spans="4:11" x14ac:dyDescent="0.5">
      <c r="D52" s="2" t="s">
        <v>28</v>
      </c>
      <c r="E52" s="2">
        <v>452</v>
      </c>
      <c r="F52" s="2">
        <v>500</v>
      </c>
      <c r="G52" s="2">
        <v>283</v>
      </c>
      <c r="H52" s="2">
        <v>335</v>
      </c>
      <c r="I52" s="2">
        <v>334</v>
      </c>
      <c r="J52" s="2">
        <v>452</v>
      </c>
      <c r="K52" s="2">
        <v>500</v>
      </c>
    </row>
    <row r="53" spans="4:11" x14ac:dyDescent="0.5">
      <c r="D53" s="2" t="s">
        <v>30</v>
      </c>
      <c r="E53" s="2">
        <v>-1</v>
      </c>
      <c r="F53" s="2">
        <v>0</v>
      </c>
      <c r="G53" s="2">
        <v>1</v>
      </c>
      <c r="H53" s="2">
        <v>-2</v>
      </c>
      <c r="I53" s="2">
        <v>0</v>
      </c>
      <c r="J53" s="2">
        <v>1</v>
      </c>
      <c r="K53" s="2">
        <v>-2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6</v>
      </c>
      <c r="F56" s="2">
        <v>109</v>
      </c>
      <c r="G56" s="2">
        <v>495</v>
      </c>
      <c r="H56" s="2">
        <v>759</v>
      </c>
      <c r="I56" s="2">
        <v>446</v>
      </c>
      <c r="J56" s="2">
        <v>83</v>
      </c>
      <c r="K56" s="2">
        <v>5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315</v>
      </c>
    </row>
    <row r="61" spans="4:11" ht="17.649999999999999" x14ac:dyDescent="0.5">
      <c r="D61" s="3" t="s">
        <v>316</v>
      </c>
    </row>
    <row r="62" spans="4:11" ht="17.649999999999999" x14ac:dyDescent="0.5">
      <c r="D62" s="3" t="s">
        <v>170</v>
      </c>
    </row>
    <row r="63" spans="4:11" ht="17.649999999999999" x14ac:dyDescent="0.5">
      <c r="D63" s="3" t="s">
        <v>116</v>
      </c>
    </row>
    <row r="64" spans="4:11" ht="17.649999999999999" x14ac:dyDescent="0.5">
      <c r="D64" s="3" t="s">
        <v>173</v>
      </c>
    </row>
    <row r="65" spans="4:4" ht="17.649999999999999" x14ac:dyDescent="0.5">
      <c r="D65" s="3" t="s">
        <v>136</v>
      </c>
    </row>
    <row r="66" spans="4:4" ht="17.649999999999999" x14ac:dyDescent="0.5">
      <c r="D66" s="3" t="s">
        <v>82</v>
      </c>
    </row>
    <row r="67" spans="4:4" ht="17.649999999999999" x14ac:dyDescent="0.5">
      <c r="D67" s="3" t="s">
        <v>171</v>
      </c>
    </row>
    <row r="68" spans="4:4" ht="17.649999999999999" x14ac:dyDescent="0.5">
      <c r="D68" s="3" t="s">
        <v>57</v>
      </c>
    </row>
    <row r="69" spans="4:4" ht="17.649999999999999" x14ac:dyDescent="0.5">
      <c r="D69" s="3" t="s">
        <v>96</v>
      </c>
    </row>
    <row r="70" spans="4:4" ht="17.649999999999999" x14ac:dyDescent="0.5">
      <c r="D70" s="3" t="s">
        <v>46</v>
      </c>
    </row>
    <row r="71" spans="4:4" ht="17.649999999999999" x14ac:dyDescent="0.5">
      <c r="D71" s="3" t="s">
        <v>55</v>
      </c>
    </row>
    <row r="72" spans="4:4" ht="17.649999999999999" x14ac:dyDescent="0.5">
      <c r="D72" s="3" t="s">
        <v>77</v>
      </c>
    </row>
    <row r="73" spans="4:4" ht="17.649999999999999" x14ac:dyDescent="0.5">
      <c r="D73" s="3" t="s">
        <v>98</v>
      </c>
    </row>
    <row r="74" spans="4:4" ht="17.649999999999999" x14ac:dyDescent="0.5">
      <c r="D74" s="3" t="s">
        <v>106</v>
      </c>
    </row>
    <row r="75" spans="4:4" ht="17.649999999999999" x14ac:dyDescent="0.5">
      <c r="D75" s="3" t="s">
        <v>66</v>
      </c>
    </row>
    <row r="76" spans="4:4" ht="17.649999999999999" x14ac:dyDescent="0.5">
      <c r="D76" s="3" t="s">
        <v>67</v>
      </c>
    </row>
    <row r="77" spans="4:4" ht="17.649999999999999" x14ac:dyDescent="0.5">
      <c r="D77" s="3" t="s">
        <v>79</v>
      </c>
    </row>
    <row r="78" spans="4:4" ht="17.649999999999999" x14ac:dyDescent="0.5">
      <c r="D78" s="3" t="s">
        <v>69</v>
      </c>
    </row>
    <row r="79" spans="4:4" ht="17.649999999999999" x14ac:dyDescent="0.5">
      <c r="D79" s="3" t="s">
        <v>53</v>
      </c>
    </row>
    <row r="80" spans="4:4" ht="17.649999999999999" x14ac:dyDescent="0.5">
      <c r="D80" s="3" t="s">
        <v>83</v>
      </c>
    </row>
    <row r="81" spans="4:4" ht="17.649999999999999" x14ac:dyDescent="0.5">
      <c r="D81" s="3" t="s">
        <v>57</v>
      </c>
    </row>
    <row r="82" spans="4:4" ht="17.649999999999999" x14ac:dyDescent="0.5">
      <c r="D82" s="3" t="s">
        <v>101</v>
      </c>
    </row>
    <row r="83" spans="4:4" ht="17.649999999999999" x14ac:dyDescent="0.5">
      <c r="D83" s="3" t="s">
        <v>98</v>
      </c>
    </row>
    <row r="84" spans="4:4" ht="17.649999999999999" x14ac:dyDescent="0.5">
      <c r="D84" s="3" t="s">
        <v>44</v>
      </c>
    </row>
    <row r="85" spans="4:4" ht="17.649999999999999" x14ac:dyDescent="0.5">
      <c r="D85" s="3" t="s">
        <v>69</v>
      </c>
    </row>
    <row r="86" spans="4:4" ht="17.649999999999999" x14ac:dyDescent="0.5">
      <c r="D86" s="3" t="s">
        <v>98</v>
      </c>
    </row>
    <row r="87" spans="4:4" ht="17.649999999999999" x14ac:dyDescent="0.5">
      <c r="D87" s="3" t="s">
        <v>66</v>
      </c>
    </row>
    <row r="88" spans="4:4" ht="17.649999999999999" x14ac:dyDescent="0.5">
      <c r="D88" s="3" t="s">
        <v>112</v>
      </c>
    </row>
    <row r="89" spans="4:4" ht="17.649999999999999" x14ac:dyDescent="0.5">
      <c r="D89" s="3" t="s">
        <v>45</v>
      </c>
    </row>
    <row r="90" spans="4:4" ht="17.649999999999999" x14ac:dyDescent="0.5">
      <c r="D90" s="3" t="s">
        <v>63</v>
      </c>
    </row>
    <row r="91" spans="4:4" ht="17.649999999999999" x14ac:dyDescent="0.5">
      <c r="D91" s="3" t="s">
        <v>122</v>
      </c>
    </row>
    <row r="92" spans="4:4" ht="17.649999999999999" x14ac:dyDescent="0.5">
      <c r="D92" s="3" t="s">
        <v>174</v>
      </c>
    </row>
    <row r="93" spans="4:4" ht="17.649999999999999" x14ac:dyDescent="0.5">
      <c r="D93" s="3" t="s">
        <v>46</v>
      </c>
    </row>
    <row r="94" spans="4:4" ht="17.649999999999999" x14ac:dyDescent="0.5">
      <c r="D94" s="3" t="s">
        <v>62</v>
      </c>
    </row>
    <row r="95" spans="4:4" ht="17.649999999999999" x14ac:dyDescent="0.5">
      <c r="D95" s="3" t="s">
        <v>41</v>
      </c>
    </row>
    <row r="96" spans="4:4" ht="17.649999999999999" x14ac:dyDescent="0.5">
      <c r="D96" s="3" t="s">
        <v>46</v>
      </c>
    </row>
    <row r="97" spans="4:4" ht="17.649999999999999" x14ac:dyDescent="0.5">
      <c r="D97" s="3" t="s">
        <v>311</v>
      </c>
    </row>
    <row r="98" spans="4:4" ht="17.649999999999999" x14ac:dyDescent="0.5">
      <c r="D98" s="3" t="s">
        <v>175</v>
      </c>
    </row>
    <row r="99" spans="4:4" ht="17.649999999999999" x14ac:dyDescent="0.5">
      <c r="D99" s="3" t="s">
        <v>62</v>
      </c>
    </row>
    <row r="100" spans="4:4" ht="17.649999999999999" x14ac:dyDescent="0.5">
      <c r="D100" s="3" t="s">
        <v>129</v>
      </c>
    </row>
    <row r="101" spans="4:4" ht="17.649999999999999" x14ac:dyDescent="0.5">
      <c r="D101" s="3" t="s">
        <v>259</v>
      </c>
    </row>
    <row r="102" spans="4:4" ht="17.649999999999999" x14ac:dyDescent="0.5">
      <c r="D102" s="3" t="s">
        <v>117</v>
      </c>
    </row>
    <row r="103" spans="4:4" ht="17.649999999999999" x14ac:dyDescent="0.5">
      <c r="D103" s="3" t="s">
        <v>312</v>
      </c>
    </row>
    <row r="104" spans="4:4" ht="17.649999999999999" x14ac:dyDescent="0.5">
      <c r="D104" s="3" t="s">
        <v>187</v>
      </c>
    </row>
    <row r="105" spans="4:4" ht="17.649999999999999" x14ac:dyDescent="0.5">
      <c r="D105" s="3" t="s">
        <v>73</v>
      </c>
    </row>
    <row r="106" spans="4:4" ht="17.649999999999999" x14ac:dyDescent="0.5">
      <c r="D106" s="3" t="s">
        <v>51</v>
      </c>
    </row>
    <row r="107" spans="4:4" ht="17.649999999999999" x14ac:dyDescent="0.5">
      <c r="D107" s="3" t="s">
        <v>41</v>
      </c>
    </row>
    <row r="108" spans="4:4" ht="17.649999999999999" x14ac:dyDescent="0.5">
      <c r="D108" s="3" t="s">
        <v>124</v>
      </c>
    </row>
    <row r="109" spans="4:4" ht="17.649999999999999" x14ac:dyDescent="0.5">
      <c r="D109" s="3" t="s">
        <v>66</v>
      </c>
    </row>
    <row r="110" spans="4:4" ht="17.649999999999999" x14ac:dyDescent="0.5">
      <c r="D110" s="3" t="s">
        <v>103</v>
      </c>
    </row>
    <row r="111" spans="4:4" ht="17.649999999999999" x14ac:dyDescent="0.5">
      <c r="D111" s="3" t="s">
        <v>105</v>
      </c>
    </row>
    <row r="112" spans="4:4" ht="17.649999999999999" x14ac:dyDescent="0.5">
      <c r="D112" s="3" t="s">
        <v>90</v>
      </c>
    </row>
    <row r="113" spans="4:4" ht="17.649999999999999" x14ac:dyDescent="0.5">
      <c r="D113" s="3" t="s">
        <v>46</v>
      </c>
    </row>
    <row r="114" spans="4:4" ht="17.649999999999999" x14ac:dyDescent="0.5">
      <c r="D114" s="3" t="s">
        <v>80</v>
      </c>
    </row>
    <row r="115" spans="4:4" ht="17.649999999999999" x14ac:dyDescent="0.5">
      <c r="D115" s="3" t="s">
        <v>99</v>
      </c>
    </row>
    <row r="116" spans="4:4" ht="17.649999999999999" x14ac:dyDescent="0.5">
      <c r="D116" s="3" t="s">
        <v>88</v>
      </c>
    </row>
    <row r="117" spans="4:4" ht="17.649999999999999" x14ac:dyDescent="0.5">
      <c r="D117" s="3" t="s">
        <v>134</v>
      </c>
    </row>
    <row r="118" spans="4:4" ht="17.649999999999999" x14ac:dyDescent="0.5">
      <c r="D118" s="3" t="s">
        <v>63</v>
      </c>
    </row>
    <row r="119" spans="4:4" ht="17.649999999999999" x14ac:dyDescent="0.5">
      <c r="D119" s="3" t="s">
        <v>68</v>
      </c>
    </row>
    <row r="120" spans="4:4" ht="17.649999999999999" x14ac:dyDescent="0.5">
      <c r="D120" s="3" t="s">
        <v>47</v>
      </c>
    </row>
    <row r="121" spans="4:4" ht="17.649999999999999" x14ac:dyDescent="0.5">
      <c r="D121" s="3" t="s">
        <v>120</v>
      </c>
    </row>
    <row r="122" spans="4:4" ht="17.649999999999999" x14ac:dyDescent="0.5">
      <c r="D122" s="3" t="s">
        <v>127</v>
      </c>
    </row>
    <row r="123" spans="4:4" ht="17.649999999999999" x14ac:dyDescent="0.5">
      <c r="D123" s="3" t="s">
        <v>61</v>
      </c>
    </row>
    <row r="124" spans="4:4" ht="17.649999999999999" x14ac:dyDescent="0.5">
      <c r="D124" s="3" t="s">
        <v>85</v>
      </c>
    </row>
    <row r="125" spans="4:4" ht="17.649999999999999" x14ac:dyDescent="0.5">
      <c r="D125" s="3" t="s">
        <v>97</v>
      </c>
    </row>
    <row r="126" spans="4:4" ht="17.649999999999999" x14ac:dyDescent="0.5">
      <c r="D126" s="3" t="s">
        <v>52</v>
      </c>
    </row>
    <row r="127" spans="4:4" ht="17.649999999999999" x14ac:dyDescent="0.5">
      <c r="D127" s="3" t="s">
        <v>46</v>
      </c>
    </row>
    <row r="128" spans="4:4" ht="17.649999999999999" x14ac:dyDescent="0.5">
      <c r="D128" s="3" t="s">
        <v>106</v>
      </c>
    </row>
    <row r="129" spans="4:4" ht="17.649999999999999" x14ac:dyDescent="0.5">
      <c r="D129" s="3" t="s">
        <v>80</v>
      </c>
    </row>
    <row r="130" spans="4:4" ht="17.649999999999999" x14ac:dyDescent="0.5">
      <c r="D130" s="3" t="s">
        <v>57</v>
      </c>
    </row>
    <row r="131" spans="4:4" ht="17.649999999999999" x14ac:dyDescent="0.5">
      <c r="D131" s="3" t="s">
        <v>176</v>
      </c>
    </row>
    <row r="132" spans="4:4" ht="17.649999999999999" x14ac:dyDescent="0.5">
      <c r="D132" s="3" t="s">
        <v>72</v>
      </c>
    </row>
    <row r="133" spans="4:4" ht="17.649999999999999" x14ac:dyDescent="0.5">
      <c r="D133" s="3" t="s">
        <v>83</v>
      </c>
    </row>
    <row r="134" spans="4:4" ht="17.649999999999999" x14ac:dyDescent="0.5">
      <c r="D134" s="3" t="s">
        <v>260</v>
      </c>
    </row>
    <row r="135" spans="4:4" ht="17.649999999999999" x14ac:dyDescent="0.5">
      <c r="D135" s="3" t="s">
        <v>49</v>
      </c>
    </row>
    <row r="136" spans="4:4" ht="17.649999999999999" x14ac:dyDescent="0.5">
      <c r="D136" s="3" t="s">
        <v>53</v>
      </c>
    </row>
    <row r="137" spans="4:4" ht="17.649999999999999" x14ac:dyDescent="0.5">
      <c r="D137" s="3" t="s">
        <v>178</v>
      </c>
    </row>
    <row r="138" spans="4:4" ht="17.649999999999999" x14ac:dyDescent="0.5">
      <c r="D138" s="3" t="s">
        <v>67</v>
      </c>
    </row>
    <row r="139" spans="4:4" ht="17.649999999999999" x14ac:dyDescent="0.5">
      <c r="D139" s="3" t="s">
        <v>188</v>
      </c>
    </row>
    <row r="140" spans="4:4" ht="17.649999999999999" x14ac:dyDescent="0.5">
      <c r="D140" s="3" t="s">
        <v>54</v>
      </c>
    </row>
    <row r="141" spans="4:4" ht="17.649999999999999" x14ac:dyDescent="0.5">
      <c r="D141" s="3" t="s">
        <v>85</v>
      </c>
    </row>
    <row r="142" spans="4:4" ht="17.649999999999999" x14ac:dyDescent="0.5">
      <c r="D142" s="3" t="s">
        <v>192</v>
      </c>
    </row>
    <row r="143" spans="4:4" ht="17.649999999999999" x14ac:dyDescent="0.5">
      <c r="D143" s="3" t="s">
        <v>73</v>
      </c>
    </row>
    <row r="144" spans="4:4" ht="17.649999999999999" x14ac:dyDescent="0.5">
      <c r="D144" s="3" t="s">
        <v>69</v>
      </c>
    </row>
    <row r="145" spans="4:4" ht="17.649999999999999" x14ac:dyDescent="0.5">
      <c r="D145" s="3" t="s">
        <v>102</v>
      </c>
    </row>
    <row r="146" spans="4:4" ht="17.649999999999999" x14ac:dyDescent="0.5">
      <c r="D146" s="3" t="s">
        <v>108</v>
      </c>
    </row>
    <row r="147" spans="4:4" ht="17.649999999999999" x14ac:dyDescent="0.5">
      <c r="D147" s="3" t="s">
        <v>193</v>
      </c>
    </row>
    <row r="148" spans="4:4" ht="17.649999999999999" x14ac:dyDescent="0.5">
      <c r="D148" s="3" t="s">
        <v>118</v>
      </c>
    </row>
    <row r="149" spans="4:4" ht="17.649999999999999" x14ac:dyDescent="0.5">
      <c r="D149" s="3" t="s">
        <v>177</v>
      </c>
    </row>
    <row r="150" spans="4:4" ht="17.649999999999999" x14ac:dyDescent="0.5">
      <c r="D150" s="3" t="s">
        <v>61</v>
      </c>
    </row>
    <row r="151" spans="4:4" ht="17.649999999999999" x14ac:dyDescent="0.5">
      <c r="D151" s="3" t="s">
        <v>57</v>
      </c>
    </row>
    <row r="152" spans="4:4" ht="17.649999999999999" x14ac:dyDescent="0.5">
      <c r="D152" s="3" t="s">
        <v>112</v>
      </c>
    </row>
    <row r="153" spans="4:4" ht="17.649999999999999" x14ac:dyDescent="0.5">
      <c r="D153" s="3" t="s">
        <v>46</v>
      </c>
    </row>
    <row r="154" spans="4:4" ht="17.649999999999999" x14ac:dyDescent="0.5">
      <c r="D154" s="3" t="s">
        <v>179</v>
      </c>
    </row>
    <row r="155" spans="4:4" ht="17.649999999999999" x14ac:dyDescent="0.5">
      <c r="D155" s="3" t="s">
        <v>54</v>
      </c>
    </row>
    <row r="156" spans="4:4" ht="17.649999999999999" x14ac:dyDescent="0.5">
      <c r="D156" s="3" t="s">
        <v>299</v>
      </c>
    </row>
    <row r="157" spans="4:4" ht="17.649999999999999" x14ac:dyDescent="0.5">
      <c r="D157" s="3" t="s">
        <v>94</v>
      </c>
    </row>
    <row r="158" spans="4:4" ht="17.649999999999999" x14ac:dyDescent="0.5">
      <c r="D158" s="3" t="s">
        <v>51</v>
      </c>
    </row>
    <row r="159" spans="4:4" ht="17.649999999999999" x14ac:dyDescent="0.5">
      <c r="D159" s="3" t="s">
        <v>201</v>
      </c>
    </row>
    <row r="160" spans="4:4" ht="17.649999999999999" x14ac:dyDescent="0.5">
      <c r="D160" s="3" t="s">
        <v>131</v>
      </c>
    </row>
    <row r="161" spans="4:4" ht="17.649999999999999" x14ac:dyDescent="0.5">
      <c r="D161" s="3" t="s">
        <v>59</v>
      </c>
    </row>
    <row r="162" spans="4:4" ht="17.649999999999999" x14ac:dyDescent="0.5">
      <c r="D162" s="3" t="s">
        <v>114</v>
      </c>
    </row>
    <row r="163" spans="4:4" ht="17.649999999999999" x14ac:dyDescent="0.5">
      <c r="D163" s="3" t="s">
        <v>136</v>
      </c>
    </row>
    <row r="164" spans="4:4" ht="17.649999999999999" x14ac:dyDescent="0.5">
      <c r="D164" s="3" t="s">
        <v>47</v>
      </c>
    </row>
    <row r="165" spans="4:4" ht="17.649999999999999" x14ac:dyDescent="0.5">
      <c r="D165" s="3" t="s">
        <v>104</v>
      </c>
    </row>
    <row r="166" spans="4:4" ht="17.649999999999999" x14ac:dyDescent="0.5">
      <c r="D166" s="3" t="s">
        <v>200</v>
      </c>
    </row>
    <row r="167" spans="4:4" ht="17.649999999999999" x14ac:dyDescent="0.5">
      <c r="D167" s="3" t="s">
        <v>53</v>
      </c>
    </row>
    <row r="168" spans="4:4" ht="17.649999999999999" x14ac:dyDescent="0.5">
      <c r="D168" s="3" t="s">
        <v>75</v>
      </c>
    </row>
    <row r="169" spans="4:4" ht="17.649999999999999" x14ac:dyDescent="0.5">
      <c r="D169" s="3" t="s">
        <v>50</v>
      </c>
    </row>
    <row r="170" spans="4:4" ht="17.649999999999999" x14ac:dyDescent="0.5">
      <c r="D170" s="3" t="s">
        <v>77</v>
      </c>
    </row>
    <row r="171" spans="4:4" ht="17.649999999999999" x14ac:dyDescent="0.5">
      <c r="D171" s="3" t="s">
        <v>203</v>
      </c>
    </row>
    <row r="172" spans="4:4" ht="17.649999999999999" x14ac:dyDescent="0.5">
      <c r="D172" s="3" t="s">
        <v>58</v>
      </c>
    </row>
    <row r="173" spans="4:4" ht="17.649999999999999" x14ac:dyDescent="0.5">
      <c r="D173" s="3" t="s">
        <v>66</v>
      </c>
    </row>
    <row r="174" spans="4:4" ht="17.649999999999999" x14ac:dyDescent="0.5">
      <c r="D174" s="3" t="s">
        <v>57</v>
      </c>
    </row>
    <row r="175" spans="4:4" ht="17.649999999999999" x14ac:dyDescent="0.5">
      <c r="D175" s="3" t="s">
        <v>67</v>
      </c>
    </row>
    <row r="176" spans="4:4" ht="17.649999999999999" x14ac:dyDescent="0.5">
      <c r="D176" s="3" t="s">
        <v>49</v>
      </c>
    </row>
    <row r="177" spans="4:4" ht="17.649999999999999" x14ac:dyDescent="0.5">
      <c r="D177" s="3" t="s">
        <v>63</v>
      </c>
    </row>
    <row r="178" spans="4:4" ht="17.649999999999999" x14ac:dyDescent="0.5">
      <c r="D178" s="3" t="s">
        <v>48</v>
      </c>
    </row>
    <row r="179" spans="4:4" ht="17.649999999999999" x14ac:dyDescent="0.5">
      <c r="D179" s="3" t="s">
        <v>105</v>
      </c>
    </row>
    <row r="180" spans="4:4" ht="17.649999999999999" x14ac:dyDescent="0.5">
      <c r="D180" s="3" t="s">
        <v>50</v>
      </c>
    </row>
    <row r="181" spans="4:4" ht="17.649999999999999" x14ac:dyDescent="0.5">
      <c r="D181" s="3" t="s">
        <v>101</v>
      </c>
    </row>
    <row r="182" spans="4:4" ht="17.649999999999999" x14ac:dyDescent="0.5">
      <c r="D182" s="3" t="s">
        <v>70</v>
      </c>
    </row>
    <row r="183" spans="4:4" ht="17.649999999999999" x14ac:dyDescent="0.5">
      <c r="D183" s="3" t="s">
        <v>180</v>
      </c>
    </row>
    <row r="184" spans="4:4" ht="17.649999999999999" x14ac:dyDescent="0.5">
      <c r="D184" s="3" t="s">
        <v>83</v>
      </c>
    </row>
    <row r="185" spans="4:4" ht="17.649999999999999" x14ac:dyDescent="0.5">
      <c r="D185" s="3" t="s">
        <v>47</v>
      </c>
    </row>
    <row r="186" spans="4:4" ht="17.649999999999999" x14ac:dyDescent="0.5">
      <c r="D186" s="3" t="s">
        <v>98</v>
      </c>
    </row>
    <row r="187" spans="4:4" ht="17.649999999999999" x14ac:dyDescent="0.5">
      <c r="D187" s="3" t="s">
        <v>182</v>
      </c>
    </row>
    <row r="188" spans="4:4" ht="17.649999999999999" x14ac:dyDescent="0.5">
      <c r="D188" s="3" t="s">
        <v>94</v>
      </c>
    </row>
    <row r="189" spans="4:4" ht="17.649999999999999" x14ac:dyDescent="0.5">
      <c r="D189" s="3" t="s">
        <v>54</v>
      </c>
    </row>
    <row r="190" spans="4:4" ht="17.649999999999999" x14ac:dyDescent="0.5">
      <c r="D190" s="3" t="s">
        <v>94</v>
      </c>
    </row>
    <row r="191" spans="4:4" ht="17.649999999999999" x14ac:dyDescent="0.5">
      <c r="D191" s="3" t="s">
        <v>44</v>
      </c>
    </row>
    <row r="192" spans="4:4" ht="17.649999999999999" x14ac:dyDescent="0.5">
      <c r="D192" s="3" t="s">
        <v>85</v>
      </c>
    </row>
    <row r="193" spans="4:4" ht="17.649999999999999" x14ac:dyDescent="0.5">
      <c r="D193" s="3" t="s">
        <v>77</v>
      </c>
    </row>
    <row r="194" spans="4:4" ht="17.649999999999999" x14ac:dyDescent="0.5">
      <c r="D194" s="3" t="s">
        <v>122</v>
      </c>
    </row>
    <row r="195" spans="4:4" ht="17.649999999999999" x14ac:dyDescent="0.5">
      <c r="D195" s="3" t="s">
        <v>43</v>
      </c>
    </row>
    <row r="196" spans="4:4" ht="17.649999999999999" x14ac:dyDescent="0.5">
      <c r="D196" s="3" t="s">
        <v>68</v>
      </c>
    </row>
    <row r="197" spans="4:4" ht="17.649999999999999" x14ac:dyDescent="0.5">
      <c r="D197" s="3" t="s">
        <v>91</v>
      </c>
    </row>
    <row r="198" spans="4:4" ht="17.649999999999999" x14ac:dyDescent="0.5">
      <c r="D198" s="3" t="s">
        <v>63</v>
      </c>
    </row>
    <row r="199" spans="4:4" ht="17.649999999999999" x14ac:dyDescent="0.5">
      <c r="D199" s="3" t="s">
        <v>48</v>
      </c>
    </row>
    <row r="200" spans="4:4" ht="17.649999999999999" x14ac:dyDescent="0.5">
      <c r="D200" s="3" t="s">
        <v>52</v>
      </c>
    </row>
    <row r="201" spans="4:4" ht="17.649999999999999" x14ac:dyDescent="0.5">
      <c r="D201" s="3" t="s">
        <v>49</v>
      </c>
    </row>
    <row r="202" spans="4:4" ht="17.649999999999999" x14ac:dyDescent="0.5">
      <c r="D202" s="3" t="s">
        <v>51</v>
      </c>
    </row>
    <row r="203" spans="4:4" ht="17.649999999999999" x14ac:dyDescent="0.5">
      <c r="D203" s="3" t="s">
        <v>50</v>
      </c>
    </row>
    <row r="204" spans="4:4" ht="17.649999999999999" x14ac:dyDescent="0.5">
      <c r="D204" s="3" t="s">
        <v>77</v>
      </c>
    </row>
    <row r="205" spans="4:4" ht="17.649999999999999" x14ac:dyDescent="0.5">
      <c r="D205" s="3" t="s">
        <v>181</v>
      </c>
    </row>
    <row r="206" spans="4:4" ht="17.649999999999999" x14ac:dyDescent="0.5">
      <c r="D206" s="3" t="s">
        <v>57</v>
      </c>
    </row>
    <row r="207" spans="4:4" ht="17.649999999999999" x14ac:dyDescent="0.5">
      <c r="D207" s="3" t="s">
        <v>73</v>
      </c>
    </row>
    <row r="208" spans="4:4" ht="17.649999999999999" x14ac:dyDescent="0.5">
      <c r="D208" s="3" t="s">
        <v>44</v>
      </c>
    </row>
    <row r="209" spans="4:4" ht="17.649999999999999" x14ac:dyDescent="0.5">
      <c r="D209" s="3" t="s">
        <v>94</v>
      </c>
    </row>
    <row r="210" spans="4:4" ht="17.649999999999999" x14ac:dyDescent="0.5">
      <c r="D210" s="3" t="s">
        <v>183</v>
      </c>
    </row>
    <row r="211" spans="4:4" ht="17.649999999999999" x14ac:dyDescent="0.5">
      <c r="D211" s="3" t="s">
        <v>49</v>
      </c>
    </row>
    <row r="212" spans="4:4" ht="17.649999999999999" x14ac:dyDescent="0.5">
      <c r="D212" s="3" t="s">
        <v>46</v>
      </c>
    </row>
    <row r="213" spans="4:4" ht="17.649999999999999" x14ac:dyDescent="0.5">
      <c r="D213" s="3" t="s">
        <v>118</v>
      </c>
    </row>
    <row r="214" spans="4:4" ht="17.649999999999999" x14ac:dyDescent="0.5">
      <c r="D214" s="3" t="s">
        <v>105</v>
      </c>
    </row>
    <row r="215" spans="4:4" ht="17.649999999999999" x14ac:dyDescent="0.5">
      <c r="D215" s="3" t="s">
        <v>65</v>
      </c>
    </row>
    <row r="216" spans="4:4" ht="17.649999999999999" x14ac:dyDescent="0.5">
      <c r="D216" s="3" t="s">
        <v>93</v>
      </c>
    </row>
    <row r="217" spans="4:4" ht="17.649999999999999" x14ac:dyDescent="0.5">
      <c r="D217" s="3" t="s">
        <v>103</v>
      </c>
    </row>
    <row r="218" spans="4:4" ht="17.649999999999999" x14ac:dyDescent="0.5">
      <c r="D218" s="3" t="s">
        <v>121</v>
      </c>
    </row>
    <row r="219" spans="4:4" ht="17.649999999999999" x14ac:dyDescent="0.5">
      <c r="D219" s="3" t="s">
        <v>91</v>
      </c>
    </row>
    <row r="220" spans="4:4" ht="17.649999999999999" x14ac:dyDescent="0.5">
      <c r="D220" s="3" t="s">
        <v>61</v>
      </c>
    </row>
    <row r="221" spans="4:4" ht="17.649999999999999" x14ac:dyDescent="0.5">
      <c r="D221" s="3" t="s">
        <v>107</v>
      </c>
    </row>
    <row r="222" spans="4:4" ht="17.649999999999999" x14ac:dyDescent="0.5">
      <c r="D222" s="3" t="s">
        <v>67</v>
      </c>
    </row>
    <row r="223" spans="4:4" ht="17.649999999999999" x14ac:dyDescent="0.5">
      <c r="D223" s="3" t="s">
        <v>317</v>
      </c>
    </row>
    <row r="224" spans="4:4" ht="17.649999999999999" x14ac:dyDescent="0.5">
      <c r="D224" s="3" t="s">
        <v>101</v>
      </c>
    </row>
    <row r="225" spans="4:4" ht="17.649999999999999" x14ac:dyDescent="0.5">
      <c r="D225" s="3" t="s">
        <v>43</v>
      </c>
    </row>
    <row r="226" spans="4:4" ht="17.649999999999999" x14ac:dyDescent="0.5">
      <c r="D226" s="3" t="s">
        <v>98</v>
      </c>
    </row>
    <row r="227" spans="4:4" ht="17.649999999999999" x14ac:dyDescent="0.5">
      <c r="D227" s="3" t="s">
        <v>63</v>
      </c>
    </row>
    <row r="228" spans="4:4" ht="17.649999999999999" x14ac:dyDescent="0.5">
      <c r="D228" s="3" t="s">
        <v>267</v>
      </c>
    </row>
    <row r="229" spans="4:4" ht="17.649999999999999" x14ac:dyDescent="0.5">
      <c r="D229" s="3" t="s">
        <v>105</v>
      </c>
    </row>
    <row r="230" spans="4:4" ht="17.649999999999999" x14ac:dyDescent="0.5">
      <c r="D230" s="3" t="s">
        <v>94</v>
      </c>
    </row>
    <row r="231" spans="4:4" ht="17.649999999999999" x14ac:dyDescent="0.5">
      <c r="D231" s="3" t="s">
        <v>77</v>
      </c>
    </row>
    <row r="232" spans="4:4" ht="17.649999999999999" x14ac:dyDescent="0.5">
      <c r="D232" s="3" t="s">
        <v>65</v>
      </c>
    </row>
    <row r="233" spans="4:4" ht="17.649999999999999" x14ac:dyDescent="0.5">
      <c r="D233" s="3" t="s">
        <v>117</v>
      </c>
    </row>
    <row r="234" spans="4:4" ht="17.649999999999999" x14ac:dyDescent="0.5">
      <c r="D234" s="3" t="s">
        <v>98</v>
      </c>
    </row>
    <row r="235" spans="4:4" ht="17.649999999999999" x14ac:dyDescent="0.5">
      <c r="D235" s="3" t="s">
        <v>80</v>
      </c>
    </row>
    <row r="236" spans="4:4" ht="17.649999999999999" x14ac:dyDescent="0.5">
      <c r="D236" s="3" t="s">
        <v>88</v>
      </c>
    </row>
    <row r="237" spans="4:4" ht="17.649999999999999" x14ac:dyDescent="0.5">
      <c r="D237" s="3" t="s">
        <v>100</v>
      </c>
    </row>
    <row r="238" spans="4:4" ht="17.649999999999999" x14ac:dyDescent="0.5">
      <c r="D238" s="3" t="s">
        <v>68</v>
      </c>
    </row>
    <row r="239" spans="4:4" ht="17.649999999999999" x14ac:dyDescent="0.5">
      <c r="D239" s="3" t="s">
        <v>129</v>
      </c>
    </row>
    <row r="240" spans="4:4" ht="17.649999999999999" x14ac:dyDescent="0.5">
      <c r="D240" s="3" t="s">
        <v>74</v>
      </c>
    </row>
    <row r="241" spans="4:4" ht="17.649999999999999" x14ac:dyDescent="0.5">
      <c r="D241" s="3" t="s">
        <v>64</v>
      </c>
    </row>
    <row r="242" spans="4:4" ht="17.649999999999999" x14ac:dyDescent="0.5">
      <c r="D242" s="3" t="s">
        <v>271</v>
      </c>
    </row>
    <row r="243" spans="4:4" ht="17.649999999999999" x14ac:dyDescent="0.5">
      <c r="D243" s="3" t="s">
        <v>121</v>
      </c>
    </row>
    <row r="244" spans="4:4" ht="17.649999999999999" x14ac:dyDescent="0.5">
      <c r="D244" s="3" t="s">
        <v>101</v>
      </c>
    </row>
    <row r="245" spans="4:4" ht="17.649999999999999" x14ac:dyDescent="0.5">
      <c r="D245" s="3" t="s">
        <v>95</v>
      </c>
    </row>
    <row r="246" spans="4:4" ht="17.649999999999999" x14ac:dyDescent="0.5">
      <c r="D246" s="3" t="s">
        <v>115</v>
      </c>
    </row>
    <row r="247" spans="4:4" ht="17.649999999999999" x14ac:dyDescent="0.5">
      <c r="D247" s="3" t="s">
        <v>272</v>
      </c>
    </row>
    <row r="248" spans="4:4" ht="17.649999999999999" x14ac:dyDescent="0.5">
      <c r="D248" s="3" t="s">
        <v>43</v>
      </c>
    </row>
    <row r="249" spans="4:4" ht="17.649999999999999" x14ac:dyDescent="0.5">
      <c r="D249" s="3" t="s">
        <v>205</v>
      </c>
    </row>
    <row r="250" spans="4:4" ht="17.649999999999999" x14ac:dyDescent="0.5">
      <c r="D250" s="3" t="s">
        <v>48</v>
      </c>
    </row>
    <row r="251" spans="4:4" ht="17.649999999999999" x14ac:dyDescent="0.5">
      <c r="D251" s="3" t="s">
        <v>42</v>
      </c>
    </row>
    <row r="252" spans="4:4" ht="17.649999999999999" x14ac:dyDescent="0.5">
      <c r="D252" s="3" t="s">
        <v>53</v>
      </c>
    </row>
    <row r="253" spans="4:4" ht="17.649999999999999" x14ac:dyDescent="0.5">
      <c r="D253" s="3" t="s">
        <v>52</v>
      </c>
    </row>
    <row r="254" spans="4:4" ht="17.649999999999999" x14ac:dyDescent="0.5">
      <c r="D254" s="3" t="s">
        <v>206</v>
      </c>
    </row>
    <row r="255" spans="4:4" ht="17.649999999999999" x14ac:dyDescent="0.5">
      <c r="D255" s="3" t="s">
        <v>77</v>
      </c>
    </row>
    <row r="256" spans="4:4" ht="17.649999999999999" x14ac:dyDescent="0.5">
      <c r="D256" s="3" t="s">
        <v>64</v>
      </c>
    </row>
    <row r="257" spans="4:4" ht="17.649999999999999" x14ac:dyDescent="0.5">
      <c r="D257" s="3" t="s">
        <v>108</v>
      </c>
    </row>
    <row r="258" spans="4:4" ht="17.649999999999999" x14ac:dyDescent="0.5">
      <c r="D258" s="3" t="s">
        <v>130</v>
      </c>
    </row>
    <row r="259" spans="4:4" ht="17.649999999999999" x14ac:dyDescent="0.5">
      <c r="D259" s="3" t="s">
        <v>105</v>
      </c>
    </row>
    <row r="260" spans="4:4" ht="17.649999999999999" x14ac:dyDescent="0.5">
      <c r="D260" s="3" t="s">
        <v>51</v>
      </c>
    </row>
    <row r="261" spans="4:4" ht="17.649999999999999" x14ac:dyDescent="0.5">
      <c r="D261" s="3" t="s">
        <v>117</v>
      </c>
    </row>
    <row r="262" spans="4:4" ht="17.649999999999999" x14ac:dyDescent="0.5">
      <c r="D262" s="3" t="s">
        <v>91</v>
      </c>
    </row>
    <row r="263" spans="4:4" ht="17.649999999999999" x14ac:dyDescent="0.5">
      <c r="D263" s="3" t="s">
        <v>105</v>
      </c>
    </row>
    <row r="264" spans="4:4" ht="17.649999999999999" x14ac:dyDescent="0.5">
      <c r="D264" s="3" t="s">
        <v>73</v>
      </c>
    </row>
    <row r="265" spans="4:4" ht="17.649999999999999" x14ac:dyDescent="0.5">
      <c r="D265" s="3" t="s">
        <v>190</v>
      </c>
    </row>
    <row r="266" spans="4:4" ht="17.649999999999999" x14ac:dyDescent="0.5">
      <c r="D266" s="3" t="s">
        <v>82</v>
      </c>
    </row>
    <row r="267" spans="4:4" ht="17.649999999999999" x14ac:dyDescent="0.5">
      <c r="D267" s="3" t="s">
        <v>59</v>
      </c>
    </row>
    <row r="268" spans="4:4" ht="17.649999999999999" x14ac:dyDescent="0.5">
      <c r="D268" s="3" t="s">
        <v>98</v>
      </c>
    </row>
    <row r="269" spans="4:4" ht="17.649999999999999" x14ac:dyDescent="0.5">
      <c r="D269" s="3" t="s">
        <v>114</v>
      </c>
    </row>
    <row r="270" spans="4:4" ht="17.649999999999999" x14ac:dyDescent="0.5">
      <c r="D270" s="3" t="s">
        <v>191</v>
      </c>
    </row>
    <row r="271" spans="4:4" ht="17.649999999999999" x14ac:dyDescent="0.5">
      <c r="D271" s="3" t="s">
        <v>83</v>
      </c>
    </row>
    <row r="272" spans="4:4" ht="17.649999999999999" x14ac:dyDescent="0.5">
      <c r="D272" s="3" t="s">
        <v>66</v>
      </c>
    </row>
    <row r="273" spans="4:4" ht="17.649999999999999" x14ac:dyDescent="0.5">
      <c r="D273" s="3" t="s">
        <v>56</v>
      </c>
    </row>
    <row r="274" spans="4:4" ht="17.649999999999999" x14ac:dyDescent="0.5">
      <c r="D274" s="3" t="s">
        <v>90</v>
      </c>
    </row>
    <row r="275" spans="4:4" ht="17.649999999999999" x14ac:dyDescent="0.5">
      <c r="D275" s="3" t="s">
        <v>101</v>
      </c>
    </row>
    <row r="276" spans="4:4" ht="17.649999999999999" x14ac:dyDescent="0.5">
      <c r="D276" s="3" t="s">
        <v>59</v>
      </c>
    </row>
    <row r="277" spans="4:4" ht="17.649999999999999" x14ac:dyDescent="0.5">
      <c r="D277" s="3" t="s">
        <v>67</v>
      </c>
    </row>
    <row r="278" spans="4:4" ht="17.649999999999999" x14ac:dyDescent="0.5">
      <c r="D278" s="3" t="s">
        <v>127</v>
      </c>
    </row>
    <row r="279" spans="4:4" ht="17.649999999999999" x14ac:dyDescent="0.5">
      <c r="D279" s="3" t="s">
        <v>69</v>
      </c>
    </row>
    <row r="280" spans="4:4" ht="17.649999999999999" x14ac:dyDescent="0.5">
      <c r="D280" s="3" t="s">
        <v>51</v>
      </c>
    </row>
    <row r="281" spans="4:4" ht="17.649999999999999" x14ac:dyDescent="0.5">
      <c r="D281" s="3" t="s">
        <v>56</v>
      </c>
    </row>
    <row r="282" spans="4:4" ht="17.649999999999999" x14ac:dyDescent="0.5">
      <c r="D282" s="3" t="s">
        <v>50</v>
      </c>
    </row>
    <row r="283" spans="4:4" ht="17.649999999999999" x14ac:dyDescent="0.5">
      <c r="D283" s="3" t="s">
        <v>302</v>
      </c>
    </row>
    <row r="284" spans="4:4" ht="17.649999999999999" x14ac:dyDescent="0.5">
      <c r="D284" s="3" t="s">
        <v>63</v>
      </c>
    </row>
    <row r="285" spans="4:4" ht="17.649999999999999" x14ac:dyDescent="0.5">
      <c r="D285" s="3" t="s">
        <v>48</v>
      </c>
    </row>
    <row r="286" spans="4:4" ht="17.649999999999999" x14ac:dyDescent="0.5">
      <c r="D286" s="3" t="s">
        <v>47</v>
      </c>
    </row>
    <row r="287" spans="4:4" ht="17.649999999999999" x14ac:dyDescent="0.5">
      <c r="D287" s="3" t="s">
        <v>44</v>
      </c>
    </row>
    <row r="288" spans="4:4" ht="17.649999999999999" x14ac:dyDescent="0.5">
      <c r="D288" s="3" t="s">
        <v>208</v>
      </c>
    </row>
    <row r="289" spans="4:4" ht="17.649999999999999" x14ac:dyDescent="0.5">
      <c r="D289" s="3" t="s">
        <v>126</v>
      </c>
    </row>
    <row r="290" spans="4:4" ht="17.649999999999999" x14ac:dyDescent="0.5">
      <c r="D290" s="3" t="s">
        <v>75</v>
      </c>
    </row>
    <row r="291" spans="4:4" ht="17.649999999999999" x14ac:dyDescent="0.5">
      <c r="D291" s="3" t="s">
        <v>209</v>
      </c>
    </row>
    <row r="292" spans="4:4" ht="17.649999999999999" x14ac:dyDescent="0.5">
      <c r="D292" s="3" t="s">
        <v>112</v>
      </c>
    </row>
    <row r="293" spans="4:4" ht="17.649999999999999" x14ac:dyDescent="0.5">
      <c r="D293" s="3" t="s">
        <v>87</v>
      </c>
    </row>
    <row r="294" spans="4:4" ht="17.649999999999999" x14ac:dyDescent="0.5">
      <c r="D294" s="3" t="s">
        <v>130</v>
      </c>
    </row>
    <row r="295" spans="4:4" ht="17.649999999999999" x14ac:dyDescent="0.5">
      <c r="D295" s="3" t="s">
        <v>59</v>
      </c>
    </row>
    <row r="296" spans="4:4" ht="17.649999999999999" x14ac:dyDescent="0.5">
      <c r="D296" s="3" t="s">
        <v>132</v>
      </c>
    </row>
    <row r="297" spans="4:4" ht="17.649999999999999" x14ac:dyDescent="0.5">
      <c r="D297" s="3" t="s">
        <v>91</v>
      </c>
    </row>
    <row r="298" spans="4:4" ht="17.649999999999999" x14ac:dyDescent="0.5">
      <c r="D298" s="3" t="s">
        <v>80</v>
      </c>
    </row>
    <row r="299" spans="4:4" ht="17.649999999999999" x14ac:dyDescent="0.5">
      <c r="D299" s="3" t="s">
        <v>56</v>
      </c>
    </row>
    <row r="300" spans="4:4" ht="17.649999999999999" x14ac:dyDescent="0.5">
      <c r="D300" s="3" t="s">
        <v>130</v>
      </c>
    </row>
    <row r="301" spans="4:4" ht="17.649999999999999" x14ac:dyDescent="0.5">
      <c r="D301" s="3" t="s">
        <v>116</v>
      </c>
    </row>
    <row r="302" spans="4:4" ht="17.649999999999999" x14ac:dyDescent="0.5">
      <c r="D302" s="3" t="s">
        <v>194</v>
      </c>
    </row>
    <row r="303" spans="4:4" ht="17.649999999999999" x14ac:dyDescent="0.5">
      <c r="D303" s="3" t="s">
        <v>58</v>
      </c>
    </row>
    <row r="304" spans="4:4" ht="17.649999999999999" x14ac:dyDescent="0.5">
      <c r="D304" s="3" t="s">
        <v>83</v>
      </c>
    </row>
    <row r="305" spans="4:4" ht="17.649999999999999" x14ac:dyDescent="0.5">
      <c r="D305" s="3" t="s">
        <v>120</v>
      </c>
    </row>
    <row r="306" spans="4:4" ht="17.649999999999999" x14ac:dyDescent="0.5">
      <c r="D306" s="3" t="s">
        <v>51</v>
      </c>
    </row>
    <row r="307" spans="4:4" ht="17.649999999999999" x14ac:dyDescent="0.5">
      <c r="D307" s="3" t="s">
        <v>195</v>
      </c>
    </row>
    <row r="308" spans="4:4" ht="17.649999999999999" x14ac:dyDescent="0.5">
      <c r="D308" s="3" t="s">
        <v>119</v>
      </c>
    </row>
    <row r="309" spans="4:4" ht="17.649999999999999" x14ac:dyDescent="0.5">
      <c r="D309" s="3" t="s">
        <v>97</v>
      </c>
    </row>
    <row r="310" spans="4:4" ht="17.649999999999999" x14ac:dyDescent="0.5">
      <c r="D310" s="3" t="s">
        <v>94</v>
      </c>
    </row>
    <row r="311" spans="4:4" ht="17.649999999999999" x14ac:dyDescent="0.5">
      <c r="D311" s="3" t="s">
        <v>41</v>
      </c>
    </row>
    <row r="312" spans="4:4" ht="17.649999999999999" x14ac:dyDescent="0.5">
      <c r="D312" s="3" t="s">
        <v>196</v>
      </c>
    </row>
    <row r="313" spans="4:4" ht="17.649999999999999" x14ac:dyDescent="0.5">
      <c r="D313" s="3" t="s">
        <v>66</v>
      </c>
    </row>
    <row r="314" spans="4:4" ht="17.649999999999999" x14ac:dyDescent="0.5">
      <c r="D314" s="3" t="s">
        <v>112</v>
      </c>
    </row>
    <row r="315" spans="4:4" ht="17.649999999999999" x14ac:dyDescent="0.5">
      <c r="D315" s="3" t="s">
        <v>47</v>
      </c>
    </row>
    <row r="316" spans="4:4" ht="17.649999999999999" x14ac:dyDescent="0.5">
      <c r="D316" s="3" t="s">
        <v>65</v>
      </c>
    </row>
    <row r="317" spans="4:4" ht="17.649999999999999" x14ac:dyDescent="0.5">
      <c r="D317" s="3" t="s">
        <v>75</v>
      </c>
    </row>
    <row r="318" spans="4:4" ht="17.649999999999999" x14ac:dyDescent="0.5">
      <c r="D318" s="3" t="s">
        <v>73</v>
      </c>
    </row>
    <row r="319" spans="4:4" ht="17.649999999999999" x14ac:dyDescent="0.5">
      <c r="D319" s="3" t="s">
        <v>198</v>
      </c>
    </row>
    <row r="320" spans="4:4" ht="17.649999999999999" x14ac:dyDescent="0.5">
      <c r="D320" s="3" t="s">
        <v>83</v>
      </c>
    </row>
    <row r="321" spans="4:4" ht="17.649999999999999" x14ac:dyDescent="0.5">
      <c r="D321" s="3" t="s">
        <v>75</v>
      </c>
    </row>
    <row r="322" spans="4:4" ht="17.649999999999999" x14ac:dyDescent="0.5">
      <c r="D322" s="3" t="s">
        <v>90</v>
      </c>
    </row>
    <row r="323" spans="4:4" ht="17.649999999999999" x14ac:dyDescent="0.5">
      <c r="D323" s="3" t="s">
        <v>69</v>
      </c>
    </row>
    <row r="324" spans="4:4" ht="17.649999999999999" x14ac:dyDescent="0.5">
      <c r="D324" s="3" t="s">
        <v>202</v>
      </c>
    </row>
    <row r="325" spans="4:4" ht="17.649999999999999" x14ac:dyDescent="0.5">
      <c r="D325" s="3" t="s">
        <v>48</v>
      </c>
    </row>
    <row r="326" spans="4:4" ht="17.649999999999999" x14ac:dyDescent="0.5">
      <c r="D326" s="3" t="s">
        <v>80</v>
      </c>
    </row>
    <row r="327" spans="4:4" ht="17.649999999999999" x14ac:dyDescent="0.5">
      <c r="D327" s="3" t="s">
        <v>64</v>
      </c>
    </row>
    <row r="328" spans="4:4" ht="17.649999999999999" x14ac:dyDescent="0.5">
      <c r="D328" s="3" t="s">
        <v>83</v>
      </c>
    </row>
    <row r="329" spans="4:4" ht="17.649999999999999" x14ac:dyDescent="0.5">
      <c r="D329" s="3" t="s">
        <v>301</v>
      </c>
    </row>
    <row r="330" spans="4:4" ht="17.649999999999999" x14ac:dyDescent="0.5">
      <c r="D330" s="3" t="s">
        <v>56</v>
      </c>
    </row>
    <row r="331" spans="4:4" ht="17.649999999999999" x14ac:dyDescent="0.5">
      <c r="D331" s="3" t="s">
        <v>102</v>
      </c>
    </row>
    <row r="332" spans="4:4" ht="17.649999999999999" x14ac:dyDescent="0.5">
      <c r="D332" s="3" t="s">
        <v>74</v>
      </c>
    </row>
    <row r="333" spans="4:4" ht="17.649999999999999" x14ac:dyDescent="0.5">
      <c r="D333" s="3" t="s">
        <v>50</v>
      </c>
    </row>
    <row r="334" spans="4:4" ht="17.649999999999999" x14ac:dyDescent="0.5">
      <c r="D334" s="3" t="s">
        <v>212</v>
      </c>
    </row>
    <row r="335" spans="4:4" ht="17.649999999999999" x14ac:dyDescent="0.5">
      <c r="D335" s="3" t="s">
        <v>59</v>
      </c>
    </row>
    <row r="336" spans="4:4" ht="17.649999999999999" x14ac:dyDescent="0.5">
      <c r="D336" s="3" t="s">
        <v>117</v>
      </c>
    </row>
    <row r="337" spans="4:4" ht="17.649999999999999" x14ac:dyDescent="0.5">
      <c r="D337" s="3" t="s">
        <v>54</v>
      </c>
    </row>
    <row r="338" spans="4:4" ht="17.649999999999999" x14ac:dyDescent="0.5">
      <c r="D338" s="3" t="s">
        <v>55</v>
      </c>
    </row>
    <row r="339" spans="4:4" ht="17.649999999999999" x14ac:dyDescent="0.5">
      <c r="D339" s="3" t="s">
        <v>112</v>
      </c>
    </row>
    <row r="340" spans="4:4" ht="17.649999999999999" x14ac:dyDescent="0.5">
      <c r="D340" s="3" t="s">
        <v>107</v>
      </c>
    </row>
    <row r="341" spans="4:4" ht="17.649999999999999" x14ac:dyDescent="0.5">
      <c r="D341" s="3" t="s">
        <v>57</v>
      </c>
    </row>
    <row r="342" spans="4:4" ht="17.649999999999999" x14ac:dyDescent="0.5">
      <c r="D342" s="3" t="s">
        <v>83</v>
      </c>
    </row>
    <row r="343" spans="4:4" ht="17.649999999999999" x14ac:dyDescent="0.5">
      <c r="D343" s="3" t="s">
        <v>70</v>
      </c>
    </row>
    <row r="344" spans="4:4" ht="17.649999999999999" x14ac:dyDescent="0.5">
      <c r="D344" s="3" t="s">
        <v>113</v>
      </c>
    </row>
    <row r="345" spans="4:4" ht="17.649999999999999" x14ac:dyDescent="0.5">
      <c r="D345" s="3" t="s">
        <v>94</v>
      </c>
    </row>
    <row r="346" spans="4:4" ht="17.649999999999999" x14ac:dyDescent="0.5">
      <c r="D346" s="3" t="s">
        <v>66</v>
      </c>
    </row>
    <row r="347" spans="4:4" ht="17.649999999999999" x14ac:dyDescent="0.5">
      <c r="D347" s="3" t="s">
        <v>96</v>
      </c>
    </row>
    <row r="348" spans="4:4" ht="17.649999999999999" x14ac:dyDescent="0.5">
      <c r="D348" s="3" t="s">
        <v>57</v>
      </c>
    </row>
    <row r="349" spans="4:4" ht="17.649999999999999" x14ac:dyDescent="0.5">
      <c r="D349" s="3" t="s">
        <v>94</v>
      </c>
    </row>
    <row r="350" spans="4:4" ht="17.649999999999999" x14ac:dyDescent="0.5">
      <c r="D350" s="3" t="s">
        <v>120</v>
      </c>
    </row>
    <row r="351" spans="4:4" ht="17.649999999999999" x14ac:dyDescent="0.5">
      <c r="D351" s="3" t="s">
        <v>90</v>
      </c>
    </row>
    <row r="352" spans="4:4" ht="17.649999999999999" x14ac:dyDescent="0.5">
      <c r="D352" s="3" t="s">
        <v>94</v>
      </c>
    </row>
    <row r="353" spans="4:4" ht="17.649999999999999" x14ac:dyDescent="0.5">
      <c r="D353" s="3" t="s">
        <v>57</v>
      </c>
    </row>
    <row r="354" spans="4:4" ht="17.649999999999999" x14ac:dyDescent="0.5">
      <c r="D354" s="3" t="s">
        <v>53</v>
      </c>
    </row>
    <row r="355" spans="4:4" ht="17.649999999999999" x14ac:dyDescent="0.5">
      <c r="D355" s="3" t="s">
        <v>47</v>
      </c>
    </row>
    <row r="356" spans="4:4" ht="17.649999999999999" x14ac:dyDescent="0.5">
      <c r="D356" s="3" t="s">
        <v>55</v>
      </c>
    </row>
    <row r="357" spans="4:4" ht="17.649999999999999" x14ac:dyDescent="0.5">
      <c r="D357" s="3" t="s">
        <v>120</v>
      </c>
    </row>
    <row r="358" spans="4:4" ht="17.649999999999999" x14ac:dyDescent="0.5">
      <c r="D358" s="3" t="s">
        <v>42</v>
      </c>
    </row>
    <row r="359" spans="4:4" ht="17.649999999999999" x14ac:dyDescent="0.5">
      <c r="D359" s="3" t="s">
        <v>214</v>
      </c>
    </row>
    <row r="360" spans="4:4" ht="17.649999999999999" x14ac:dyDescent="0.5">
      <c r="D360" s="3" t="s">
        <v>135</v>
      </c>
    </row>
    <row r="361" spans="4:4" ht="17.649999999999999" x14ac:dyDescent="0.5">
      <c r="D361" s="3" t="s">
        <v>73</v>
      </c>
    </row>
    <row r="362" spans="4:4" ht="17.649999999999999" x14ac:dyDescent="0.5">
      <c r="D362" s="3" t="s">
        <v>46</v>
      </c>
    </row>
    <row r="363" spans="4:4" ht="17.649999999999999" x14ac:dyDescent="0.5">
      <c r="D363" s="3" t="s">
        <v>276</v>
      </c>
    </row>
    <row r="364" spans="4:4" ht="17.649999999999999" x14ac:dyDescent="0.5">
      <c r="D364" s="3" t="s">
        <v>127</v>
      </c>
    </row>
    <row r="365" spans="4:4" ht="17.649999999999999" x14ac:dyDescent="0.5">
      <c r="D365" s="3" t="s">
        <v>56</v>
      </c>
    </row>
    <row r="366" spans="4:4" ht="17.649999999999999" x14ac:dyDescent="0.5">
      <c r="D366" s="3" t="s">
        <v>90</v>
      </c>
    </row>
    <row r="367" spans="4:4" ht="17.649999999999999" x14ac:dyDescent="0.5">
      <c r="D367" s="3" t="s">
        <v>124</v>
      </c>
    </row>
    <row r="368" spans="4:4" ht="17.649999999999999" x14ac:dyDescent="0.5">
      <c r="D368" s="3" t="s">
        <v>77</v>
      </c>
    </row>
    <row r="369" spans="4:4" ht="17.649999999999999" x14ac:dyDescent="0.5">
      <c r="D369" s="3" t="s">
        <v>88</v>
      </c>
    </row>
    <row r="370" spans="4:4" ht="17.649999999999999" x14ac:dyDescent="0.5">
      <c r="D370" s="3" t="s">
        <v>77</v>
      </c>
    </row>
    <row r="371" spans="4:4" ht="17.649999999999999" x14ac:dyDescent="0.5">
      <c r="D371" s="3" t="s">
        <v>122</v>
      </c>
    </row>
    <row r="372" spans="4:4" ht="17.649999999999999" x14ac:dyDescent="0.5">
      <c r="D372" s="3" t="s">
        <v>43</v>
      </c>
    </row>
    <row r="373" spans="4:4" ht="17.649999999999999" x14ac:dyDescent="0.5">
      <c r="D373" s="3" t="s">
        <v>51</v>
      </c>
    </row>
    <row r="374" spans="4:4" ht="17.649999999999999" x14ac:dyDescent="0.5">
      <c r="D374" s="3" t="s">
        <v>46</v>
      </c>
    </row>
    <row r="375" spans="4:4" ht="17.649999999999999" x14ac:dyDescent="0.5">
      <c r="D375" s="3" t="s">
        <v>65</v>
      </c>
    </row>
    <row r="376" spans="4:4" ht="17.649999999999999" x14ac:dyDescent="0.5">
      <c r="D376" s="3" t="s">
        <v>129</v>
      </c>
    </row>
    <row r="377" spans="4:4" ht="17.649999999999999" x14ac:dyDescent="0.5">
      <c r="D377" s="3" t="s">
        <v>54</v>
      </c>
    </row>
    <row r="378" spans="4:4" ht="17.649999999999999" x14ac:dyDescent="0.5">
      <c r="D378" s="3" t="s">
        <v>90</v>
      </c>
    </row>
    <row r="379" spans="4:4" ht="17.649999999999999" x14ac:dyDescent="0.5">
      <c r="D379" s="3" t="s">
        <v>93</v>
      </c>
    </row>
    <row r="380" spans="4:4" ht="17.649999999999999" x14ac:dyDescent="0.5">
      <c r="D380" s="3" t="s">
        <v>80</v>
      </c>
    </row>
    <row r="381" spans="4:4" ht="17.649999999999999" x14ac:dyDescent="0.5">
      <c r="D381" s="3" t="s">
        <v>55</v>
      </c>
    </row>
    <row r="382" spans="4:4" ht="17.649999999999999" x14ac:dyDescent="0.5">
      <c r="D382" s="3" t="s">
        <v>63</v>
      </c>
    </row>
    <row r="383" spans="4:4" ht="17.649999999999999" x14ac:dyDescent="0.5">
      <c r="D383" s="3" t="s">
        <v>215</v>
      </c>
    </row>
    <row r="384" spans="4:4" ht="17.649999999999999" x14ac:dyDescent="0.5">
      <c r="D384" s="3" t="s">
        <v>53</v>
      </c>
    </row>
    <row r="385" spans="4:4" ht="17.649999999999999" x14ac:dyDescent="0.5">
      <c r="D385" s="3" t="s">
        <v>75</v>
      </c>
    </row>
    <row r="386" spans="4:4" ht="17.649999999999999" x14ac:dyDescent="0.5">
      <c r="D386" s="3" t="s">
        <v>57</v>
      </c>
    </row>
    <row r="387" spans="4:4" ht="17.649999999999999" x14ac:dyDescent="0.5">
      <c r="D387" s="3" t="s">
        <v>65</v>
      </c>
    </row>
    <row r="388" spans="4:4" ht="17.649999999999999" x14ac:dyDescent="0.5">
      <c r="D388" s="3" t="s">
        <v>98</v>
      </c>
    </row>
    <row r="389" spans="4:4" ht="17.649999999999999" x14ac:dyDescent="0.5">
      <c r="D389" s="3" t="s">
        <v>51</v>
      </c>
    </row>
    <row r="390" spans="4:4" ht="17.649999999999999" x14ac:dyDescent="0.5">
      <c r="D390" s="3" t="s">
        <v>41</v>
      </c>
    </row>
    <row r="391" spans="4:4" ht="17.649999999999999" x14ac:dyDescent="0.5">
      <c r="D391" s="3" t="s">
        <v>115</v>
      </c>
    </row>
    <row r="392" spans="4:4" ht="17.649999999999999" x14ac:dyDescent="0.5">
      <c r="D392" s="3" t="s">
        <v>61</v>
      </c>
    </row>
    <row r="393" spans="4:4" ht="17.649999999999999" x14ac:dyDescent="0.5">
      <c r="D393" s="3" t="s">
        <v>129</v>
      </c>
    </row>
    <row r="394" spans="4:4" ht="17.649999999999999" x14ac:dyDescent="0.5">
      <c r="D394" s="3" t="s">
        <v>42</v>
      </c>
    </row>
    <row r="395" spans="4:4" ht="17.649999999999999" x14ac:dyDescent="0.5">
      <c r="D395" s="3" t="s">
        <v>133</v>
      </c>
    </row>
    <row r="396" spans="4:4" ht="17.649999999999999" x14ac:dyDescent="0.5">
      <c r="D396" s="3" t="s">
        <v>277</v>
      </c>
    </row>
    <row r="397" spans="4:4" ht="17.649999999999999" x14ac:dyDescent="0.5">
      <c r="D397" s="3" t="s">
        <v>86</v>
      </c>
    </row>
    <row r="398" spans="4:4" ht="17.649999999999999" x14ac:dyDescent="0.5">
      <c r="D398" s="3" t="s">
        <v>75</v>
      </c>
    </row>
    <row r="399" spans="4:4" ht="17.649999999999999" x14ac:dyDescent="0.5">
      <c r="D399" s="3" t="s">
        <v>83</v>
      </c>
    </row>
    <row r="400" spans="4:4" ht="17.649999999999999" x14ac:dyDescent="0.5">
      <c r="D400" s="3" t="s">
        <v>224</v>
      </c>
    </row>
    <row r="401" spans="4:4" ht="17.649999999999999" x14ac:dyDescent="0.5">
      <c r="D401" s="3" t="s">
        <v>318</v>
      </c>
    </row>
    <row r="402" spans="4:4" ht="17.649999999999999" x14ac:dyDescent="0.5">
      <c r="D402" s="3" t="s">
        <v>47</v>
      </c>
    </row>
    <row r="403" spans="4:4" ht="17.649999999999999" x14ac:dyDescent="0.5">
      <c r="D403" s="3" t="s">
        <v>61</v>
      </c>
    </row>
    <row r="404" spans="4:4" ht="17.649999999999999" x14ac:dyDescent="0.5">
      <c r="D404" s="3" t="s">
        <v>226</v>
      </c>
    </row>
    <row r="405" spans="4:4" ht="17.649999999999999" x14ac:dyDescent="0.5">
      <c r="D405" s="3" t="s">
        <v>48</v>
      </c>
    </row>
    <row r="406" spans="4:4" ht="17.649999999999999" x14ac:dyDescent="0.5">
      <c r="D406" s="3" t="s">
        <v>119</v>
      </c>
    </row>
    <row r="407" spans="4:4" ht="17.649999999999999" x14ac:dyDescent="0.5">
      <c r="D407" s="3" t="s">
        <v>303</v>
      </c>
    </row>
    <row r="408" spans="4:4" ht="17.649999999999999" x14ac:dyDescent="0.5">
      <c r="D408" s="3" t="s">
        <v>65</v>
      </c>
    </row>
    <row r="409" spans="4:4" ht="17.649999999999999" x14ac:dyDescent="0.5">
      <c r="D409" s="3" t="s">
        <v>228</v>
      </c>
    </row>
    <row r="410" spans="4:4" ht="17.649999999999999" x14ac:dyDescent="0.5">
      <c r="D410" s="3" t="s">
        <v>319</v>
      </c>
    </row>
    <row r="411" spans="4:4" ht="17.649999999999999" x14ac:dyDescent="0.5">
      <c r="D411" s="3" t="s">
        <v>101</v>
      </c>
    </row>
    <row r="412" spans="4:4" ht="17.649999999999999" x14ac:dyDescent="0.5">
      <c r="D412" s="3" t="s">
        <v>43</v>
      </c>
    </row>
    <row r="413" spans="4:4" ht="17.649999999999999" x14ac:dyDescent="0.5">
      <c r="D413" s="3" t="s">
        <v>133</v>
      </c>
    </row>
    <row r="414" spans="4:4" ht="17.649999999999999" x14ac:dyDescent="0.5">
      <c r="D414" s="3" t="s">
        <v>64</v>
      </c>
    </row>
    <row r="415" spans="4:4" ht="17.649999999999999" x14ac:dyDescent="0.5">
      <c r="D415" s="3" t="s">
        <v>219</v>
      </c>
    </row>
    <row r="416" spans="4:4" ht="17.649999999999999" x14ac:dyDescent="0.5">
      <c r="D416" s="3" t="s">
        <v>96</v>
      </c>
    </row>
    <row r="417" spans="4:4" ht="17.649999999999999" x14ac:dyDescent="0.5">
      <c r="D417" s="3" t="s">
        <v>217</v>
      </c>
    </row>
    <row r="418" spans="4:4" ht="17.649999999999999" x14ac:dyDescent="0.5">
      <c r="D418" s="3" t="s">
        <v>63</v>
      </c>
    </row>
    <row r="419" spans="4:4" ht="17.649999999999999" x14ac:dyDescent="0.5">
      <c r="D419" s="3" t="s">
        <v>66</v>
      </c>
    </row>
    <row r="420" spans="4:4" ht="17.649999999999999" x14ac:dyDescent="0.5">
      <c r="D420" s="3" t="s">
        <v>58</v>
      </c>
    </row>
    <row r="421" spans="4:4" ht="17.649999999999999" x14ac:dyDescent="0.5">
      <c r="D421" s="3" t="s">
        <v>105</v>
      </c>
    </row>
    <row r="422" spans="4:4" ht="17.649999999999999" x14ac:dyDescent="0.5">
      <c r="D422" s="3" t="s">
        <v>221</v>
      </c>
    </row>
    <row r="423" spans="4:4" ht="17.649999999999999" x14ac:dyDescent="0.5">
      <c r="D423" s="3" t="s">
        <v>57</v>
      </c>
    </row>
    <row r="424" spans="4:4" ht="17.649999999999999" x14ac:dyDescent="0.5">
      <c r="D424" s="3" t="s">
        <v>305</v>
      </c>
    </row>
    <row r="425" spans="4:4" ht="17.649999999999999" x14ac:dyDescent="0.5">
      <c r="D425" s="3" t="s">
        <v>130</v>
      </c>
    </row>
    <row r="426" spans="4:4" ht="17.649999999999999" x14ac:dyDescent="0.5">
      <c r="D426" s="3" t="s">
        <v>73</v>
      </c>
    </row>
    <row r="427" spans="4:4" ht="17.649999999999999" x14ac:dyDescent="0.5">
      <c r="D427" s="3" t="s">
        <v>47</v>
      </c>
    </row>
    <row r="428" spans="4:4" ht="17.649999999999999" x14ac:dyDescent="0.5">
      <c r="D428" s="3" t="s">
        <v>88</v>
      </c>
    </row>
    <row r="429" spans="4:4" ht="17.649999999999999" x14ac:dyDescent="0.5">
      <c r="D429" s="3" t="s">
        <v>64</v>
      </c>
    </row>
    <row r="430" spans="4:4" ht="17.649999999999999" x14ac:dyDescent="0.5">
      <c r="D430" s="3" t="s">
        <v>53</v>
      </c>
    </row>
    <row r="431" spans="4:4" ht="17.649999999999999" x14ac:dyDescent="0.5">
      <c r="D431" s="3" t="s">
        <v>57</v>
      </c>
    </row>
    <row r="432" spans="4:4" ht="17.649999999999999" x14ac:dyDescent="0.5">
      <c r="D432" s="3" t="s">
        <v>52</v>
      </c>
    </row>
    <row r="433" spans="4:4" ht="17.649999999999999" x14ac:dyDescent="0.5">
      <c r="D433" s="3" t="s">
        <v>65</v>
      </c>
    </row>
    <row r="434" spans="4:4" ht="17.649999999999999" x14ac:dyDescent="0.5">
      <c r="D434" s="3" t="s">
        <v>83</v>
      </c>
    </row>
    <row r="435" spans="4:4" ht="17.649999999999999" x14ac:dyDescent="0.5">
      <c r="D435" s="3" t="s">
        <v>278</v>
      </c>
    </row>
    <row r="436" spans="4:4" ht="17.649999999999999" x14ac:dyDescent="0.5">
      <c r="D436" s="3" t="s">
        <v>88</v>
      </c>
    </row>
    <row r="437" spans="4:4" ht="17.649999999999999" x14ac:dyDescent="0.5">
      <c r="D437" s="3" t="s">
        <v>227</v>
      </c>
    </row>
    <row r="438" spans="4:4" ht="17.649999999999999" x14ac:dyDescent="0.5">
      <c r="D438" s="3" t="s">
        <v>50</v>
      </c>
    </row>
    <row r="439" spans="4:4" ht="17.649999999999999" x14ac:dyDescent="0.5">
      <c r="D439" s="3" t="s">
        <v>85</v>
      </c>
    </row>
    <row r="440" spans="4:4" ht="17.649999999999999" x14ac:dyDescent="0.5">
      <c r="D440" s="3" t="s">
        <v>51</v>
      </c>
    </row>
    <row r="441" spans="4:4" ht="17.649999999999999" x14ac:dyDescent="0.5">
      <c r="D441" s="3" t="s">
        <v>48</v>
      </c>
    </row>
    <row r="442" spans="4:4" ht="17.649999999999999" x14ac:dyDescent="0.5">
      <c r="D442" s="3" t="s">
        <v>131</v>
      </c>
    </row>
    <row r="443" spans="4:4" ht="17.649999999999999" x14ac:dyDescent="0.5">
      <c r="D443" s="3" t="s">
        <v>54</v>
      </c>
    </row>
    <row r="444" spans="4:4" ht="17.649999999999999" x14ac:dyDescent="0.5">
      <c r="D444" s="3" t="s">
        <v>114</v>
      </c>
    </row>
    <row r="445" spans="4:4" ht="17.649999999999999" x14ac:dyDescent="0.5">
      <c r="D445" s="3" t="s">
        <v>136</v>
      </c>
    </row>
    <row r="446" spans="4:4" ht="17.649999999999999" x14ac:dyDescent="0.5">
      <c r="D446" s="3" t="s">
        <v>64</v>
      </c>
    </row>
    <row r="447" spans="4:4" ht="17.649999999999999" x14ac:dyDescent="0.5">
      <c r="D447" s="3" t="s">
        <v>104</v>
      </c>
    </row>
    <row r="448" spans="4:4" ht="17.649999999999999" x14ac:dyDescent="0.5">
      <c r="D448" s="3" t="s">
        <v>75</v>
      </c>
    </row>
    <row r="449" spans="4:4" ht="17.649999999999999" x14ac:dyDescent="0.5">
      <c r="D449" s="3" t="s">
        <v>73</v>
      </c>
    </row>
    <row r="450" spans="4:4" ht="17.649999999999999" x14ac:dyDescent="0.5">
      <c r="D450" s="3" t="s">
        <v>49</v>
      </c>
    </row>
    <row r="451" spans="4:4" ht="17.649999999999999" x14ac:dyDescent="0.5">
      <c r="D451" s="3" t="s">
        <v>41</v>
      </c>
    </row>
    <row r="452" spans="4:4" ht="17.649999999999999" x14ac:dyDescent="0.5">
      <c r="D452" s="3" t="s">
        <v>43</v>
      </c>
    </row>
    <row r="453" spans="4:4" ht="17.649999999999999" x14ac:dyDescent="0.5">
      <c r="D453" s="3" t="s">
        <v>83</v>
      </c>
    </row>
    <row r="454" spans="4:4" ht="17.649999999999999" x14ac:dyDescent="0.5">
      <c r="D454" s="3" t="s">
        <v>107</v>
      </c>
    </row>
    <row r="455" spans="4:4" ht="17.649999999999999" x14ac:dyDescent="0.5">
      <c r="D455" s="3" t="s">
        <v>114</v>
      </c>
    </row>
    <row r="456" spans="4:4" ht="17.649999999999999" x14ac:dyDescent="0.5">
      <c r="D456" s="3" t="s">
        <v>85</v>
      </c>
    </row>
    <row r="457" spans="4:4" ht="17.649999999999999" x14ac:dyDescent="0.5">
      <c r="D457" s="3" t="s">
        <v>86</v>
      </c>
    </row>
    <row r="458" spans="4:4" ht="17.649999999999999" x14ac:dyDescent="0.5">
      <c r="D458" s="3" t="s">
        <v>51</v>
      </c>
    </row>
    <row r="459" spans="4:4" ht="17.649999999999999" x14ac:dyDescent="0.5">
      <c r="D459" s="3" t="s">
        <v>91</v>
      </c>
    </row>
    <row r="460" spans="4:4" ht="17.649999999999999" x14ac:dyDescent="0.5">
      <c r="D460" s="3" t="s">
        <v>43</v>
      </c>
    </row>
    <row r="461" spans="4:4" ht="17.649999999999999" x14ac:dyDescent="0.5">
      <c r="D461" s="3" t="s">
        <v>52</v>
      </c>
    </row>
    <row r="462" spans="4:4" ht="17.649999999999999" x14ac:dyDescent="0.5">
      <c r="D462" s="3" t="s">
        <v>121</v>
      </c>
    </row>
    <row r="463" spans="4:4" ht="17.649999999999999" x14ac:dyDescent="0.5">
      <c r="D463" s="3" t="s">
        <v>113</v>
      </c>
    </row>
    <row r="464" spans="4:4" ht="17.649999999999999" x14ac:dyDescent="0.5">
      <c r="D464" s="3" t="s">
        <v>59</v>
      </c>
    </row>
    <row r="465" spans="4:4" ht="17.649999999999999" x14ac:dyDescent="0.5">
      <c r="D465" s="3" t="s">
        <v>46</v>
      </c>
    </row>
    <row r="466" spans="4:4" ht="17.649999999999999" x14ac:dyDescent="0.5">
      <c r="D466" s="3" t="s">
        <v>54</v>
      </c>
    </row>
    <row r="467" spans="4:4" ht="17.649999999999999" x14ac:dyDescent="0.5">
      <c r="D467" s="3" t="s">
        <v>112</v>
      </c>
    </row>
    <row r="468" spans="4:4" ht="17.649999999999999" x14ac:dyDescent="0.5">
      <c r="D468" s="3" t="s">
        <v>66</v>
      </c>
    </row>
    <row r="469" spans="4:4" ht="17.649999999999999" x14ac:dyDescent="0.5">
      <c r="D469" s="3" t="s">
        <v>106</v>
      </c>
    </row>
    <row r="470" spans="4:4" ht="17.649999999999999" x14ac:dyDescent="0.5">
      <c r="D470" s="3" t="s">
        <v>44</v>
      </c>
    </row>
    <row r="471" spans="4:4" ht="17.649999999999999" x14ac:dyDescent="0.5">
      <c r="D471" s="3" t="s">
        <v>105</v>
      </c>
    </row>
    <row r="472" spans="4:4" ht="17.649999999999999" x14ac:dyDescent="0.5">
      <c r="D472" s="3" t="s">
        <v>65</v>
      </c>
    </row>
    <row r="473" spans="4:4" ht="17.649999999999999" x14ac:dyDescent="0.5">
      <c r="D473" s="3" t="s">
        <v>133</v>
      </c>
    </row>
    <row r="474" spans="4:4" ht="17.649999999999999" x14ac:dyDescent="0.5">
      <c r="D474" s="3" t="s">
        <v>101</v>
      </c>
    </row>
    <row r="475" spans="4:4" ht="17.649999999999999" x14ac:dyDescent="0.5">
      <c r="D475" s="3" t="s">
        <v>47</v>
      </c>
    </row>
    <row r="476" spans="4:4" ht="17.649999999999999" x14ac:dyDescent="0.5">
      <c r="D476" s="3" t="s">
        <v>50</v>
      </c>
    </row>
    <row r="477" spans="4:4" ht="17.649999999999999" x14ac:dyDescent="0.5">
      <c r="D477" s="3" t="s">
        <v>107</v>
      </c>
    </row>
    <row r="478" spans="4:4" ht="17.649999999999999" x14ac:dyDescent="0.5">
      <c r="D478" s="3" t="s">
        <v>49</v>
      </c>
    </row>
    <row r="479" spans="4:4" ht="17.649999999999999" x14ac:dyDescent="0.5">
      <c r="D479" s="3" t="s">
        <v>46</v>
      </c>
    </row>
    <row r="480" spans="4:4" ht="17.649999999999999" x14ac:dyDescent="0.5">
      <c r="D480" s="3" t="s">
        <v>55</v>
      </c>
    </row>
    <row r="481" spans="4:4" ht="17.649999999999999" x14ac:dyDescent="0.5">
      <c r="D481" s="3" t="s">
        <v>59</v>
      </c>
    </row>
    <row r="482" spans="4:4" ht="17.649999999999999" x14ac:dyDescent="0.5">
      <c r="D482" s="3" t="s">
        <v>91</v>
      </c>
    </row>
    <row r="483" spans="4:4" ht="17.649999999999999" x14ac:dyDescent="0.5">
      <c r="D483" s="3" t="s">
        <v>66</v>
      </c>
    </row>
    <row r="484" spans="4:4" ht="17.649999999999999" x14ac:dyDescent="0.5">
      <c r="D484" s="3" t="s">
        <v>73</v>
      </c>
    </row>
    <row r="485" spans="4:4" ht="17.649999999999999" x14ac:dyDescent="0.5">
      <c r="D485" s="3" t="s">
        <v>280</v>
      </c>
    </row>
    <row r="486" spans="4:4" ht="17.649999999999999" x14ac:dyDescent="0.5">
      <c r="D486" s="3" t="s">
        <v>134</v>
      </c>
    </row>
    <row r="487" spans="4:4" ht="17.649999999999999" x14ac:dyDescent="0.5">
      <c r="D487" s="3" t="s">
        <v>43</v>
      </c>
    </row>
    <row r="488" spans="4:4" ht="17.649999999999999" x14ac:dyDescent="0.5">
      <c r="D488" s="3" t="s">
        <v>96</v>
      </c>
    </row>
    <row r="489" spans="4:4" ht="17.649999999999999" x14ac:dyDescent="0.5">
      <c r="D489" s="3" t="s">
        <v>41</v>
      </c>
    </row>
    <row r="490" spans="4:4" ht="17.649999999999999" x14ac:dyDescent="0.5">
      <c r="D490" s="3" t="s">
        <v>281</v>
      </c>
    </row>
    <row r="491" spans="4:4" ht="17.649999999999999" x14ac:dyDescent="0.5">
      <c r="D491" s="3" t="s">
        <v>87</v>
      </c>
    </row>
    <row r="492" spans="4:4" ht="17.649999999999999" x14ac:dyDescent="0.5">
      <c r="D492" s="3" t="s">
        <v>90</v>
      </c>
    </row>
    <row r="493" spans="4:4" ht="17.649999999999999" x14ac:dyDescent="0.5">
      <c r="D493" s="3" t="s">
        <v>119</v>
      </c>
    </row>
    <row r="494" spans="4:4" ht="17.649999999999999" x14ac:dyDescent="0.5">
      <c r="D494" s="3" t="s">
        <v>64</v>
      </c>
    </row>
    <row r="495" spans="4:4" ht="17.649999999999999" x14ac:dyDescent="0.5">
      <c r="D495" s="3" t="s">
        <v>61</v>
      </c>
    </row>
    <row r="496" spans="4:4" ht="17.649999999999999" x14ac:dyDescent="0.5">
      <c r="D496" s="3" t="s">
        <v>124</v>
      </c>
    </row>
    <row r="497" spans="4:4" ht="17.649999999999999" x14ac:dyDescent="0.5">
      <c r="D497" s="3" t="s">
        <v>68</v>
      </c>
    </row>
    <row r="498" spans="4:4" ht="17.649999999999999" x14ac:dyDescent="0.5">
      <c r="D498" s="3" t="s">
        <v>114</v>
      </c>
    </row>
    <row r="499" spans="4:4" ht="17.649999999999999" x14ac:dyDescent="0.5">
      <c r="D499" s="3" t="s">
        <v>94</v>
      </c>
    </row>
    <row r="500" spans="4:4" ht="17.649999999999999" x14ac:dyDescent="0.5">
      <c r="D500" s="3" t="s">
        <v>95</v>
      </c>
    </row>
    <row r="501" spans="4:4" ht="17.649999999999999" x14ac:dyDescent="0.5">
      <c r="D501" s="3" t="s">
        <v>49</v>
      </c>
    </row>
    <row r="502" spans="4:4" ht="17.649999999999999" x14ac:dyDescent="0.5">
      <c r="D502" s="3" t="s">
        <v>65</v>
      </c>
    </row>
    <row r="503" spans="4:4" ht="17.649999999999999" x14ac:dyDescent="0.5">
      <c r="D503" s="3" t="s">
        <v>70</v>
      </c>
    </row>
    <row r="504" spans="4:4" ht="17.649999999999999" x14ac:dyDescent="0.5">
      <c r="D504" s="3" t="s">
        <v>112</v>
      </c>
    </row>
    <row r="505" spans="4:4" ht="17.649999999999999" x14ac:dyDescent="0.5">
      <c r="D505" s="3" t="s">
        <v>124</v>
      </c>
    </row>
    <row r="506" spans="4:4" ht="17.649999999999999" x14ac:dyDescent="0.5">
      <c r="D506" s="3" t="s">
        <v>94</v>
      </c>
    </row>
    <row r="507" spans="4:4" ht="17.649999999999999" x14ac:dyDescent="0.5">
      <c r="D507" s="3" t="s">
        <v>98</v>
      </c>
    </row>
    <row r="508" spans="4:4" ht="17.649999999999999" x14ac:dyDescent="0.5">
      <c r="D508" s="3" t="s">
        <v>73</v>
      </c>
    </row>
    <row r="509" spans="4:4" ht="17.649999999999999" x14ac:dyDescent="0.5">
      <c r="D509" s="3" t="s">
        <v>126</v>
      </c>
    </row>
    <row r="510" spans="4:4" ht="17.649999999999999" x14ac:dyDescent="0.5">
      <c r="D510" s="3" t="s">
        <v>68</v>
      </c>
    </row>
    <row r="511" spans="4:4" ht="17.649999999999999" x14ac:dyDescent="0.5">
      <c r="D511" s="3" t="s">
        <v>52</v>
      </c>
    </row>
    <row r="512" spans="4:4" ht="17.649999999999999" x14ac:dyDescent="0.5">
      <c r="D512" s="3" t="s">
        <v>73</v>
      </c>
    </row>
    <row r="513" spans="4:4" ht="17.649999999999999" x14ac:dyDescent="0.5">
      <c r="D513" s="3" t="s">
        <v>129</v>
      </c>
    </row>
    <row r="514" spans="4:4" ht="17.649999999999999" x14ac:dyDescent="0.5">
      <c r="D514" s="3" t="s">
        <v>43</v>
      </c>
    </row>
    <row r="515" spans="4:4" ht="17.649999999999999" x14ac:dyDescent="0.5">
      <c r="D515" s="3" t="s">
        <v>74</v>
      </c>
    </row>
    <row r="516" spans="4:4" ht="17.649999999999999" x14ac:dyDescent="0.5">
      <c r="D516" s="3" t="s">
        <v>60</v>
      </c>
    </row>
    <row r="517" spans="4:4" ht="17.649999999999999" x14ac:dyDescent="0.5">
      <c r="D517" s="3" t="s">
        <v>48</v>
      </c>
    </row>
    <row r="518" spans="4:4" ht="17.649999999999999" x14ac:dyDescent="0.5">
      <c r="D518" s="3" t="s">
        <v>61</v>
      </c>
    </row>
    <row r="519" spans="4:4" ht="17.649999999999999" x14ac:dyDescent="0.5">
      <c r="D519" s="3" t="s">
        <v>105</v>
      </c>
    </row>
    <row r="520" spans="4:4" ht="17.649999999999999" x14ac:dyDescent="0.5">
      <c r="D520" s="3" t="s">
        <v>46</v>
      </c>
    </row>
    <row r="521" spans="4:4" ht="17.649999999999999" x14ac:dyDescent="0.5">
      <c r="D521" s="3" t="s">
        <v>103</v>
      </c>
    </row>
    <row r="522" spans="4:4" ht="17.649999999999999" x14ac:dyDescent="0.5">
      <c r="D522" s="3" t="s">
        <v>63</v>
      </c>
    </row>
    <row r="523" spans="4:4" ht="17.649999999999999" x14ac:dyDescent="0.5">
      <c r="D523" s="3" t="s">
        <v>49</v>
      </c>
    </row>
    <row r="524" spans="4:4" ht="17.649999999999999" x14ac:dyDescent="0.5">
      <c r="D524" s="3" t="s">
        <v>234</v>
      </c>
    </row>
    <row r="525" spans="4:4" ht="17.649999999999999" x14ac:dyDescent="0.5">
      <c r="D525" s="3" t="s">
        <v>94</v>
      </c>
    </row>
    <row r="526" spans="4:4" ht="17.649999999999999" x14ac:dyDescent="0.5">
      <c r="D526" s="3" t="s">
        <v>51</v>
      </c>
    </row>
    <row r="527" spans="4:4" ht="17.649999999999999" x14ac:dyDescent="0.5">
      <c r="D527" s="3" t="s">
        <v>236</v>
      </c>
    </row>
    <row r="528" spans="4:4" ht="17.649999999999999" x14ac:dyDescent="0.5">
      <c r="D528" s="3" t="s">
        <v>282</v>
      </c>
    </row>
    <row r="529" spans="4:4" ht="17.649999999999999" x14ac:dyDescent="0.5">
      <c r="D529" s="3" t="s">
        <v>75</v>
      </c>
    </row>
    <row r="530" spans="4:4" ht="17.649999999999999" x14ac:dyDescent="0.5">
      <c r="D530" s="3" t="s">
        <v>88</v>
      </c>
    </row>
    <row r="531" spans="4:4" ht="17.649999999999999" x14ac:dyDescent="0.5">
      <c r="D531" s="3" t="s">
        <v>103</v>
      </c>
    </row>
    <row r="532" spans="4:4" ht="17.649999999999999" x14ac:dyDescent="0.5">
      <c r="D532" s="3" t="s">
        <v>239</v>
      </c>
    </row>
    <row r="533" spans="4:4" ht="17.649999999999999" x14ac:dyDescent="0.5">
      <c r="D533" s="3" t="s">
        <v>100</v>
      </c>
    </row>
    <row r="534" spans="4:4" ht="17.649999999999999" x14ac:dyDescent="0.5">
      <c r="D534" s="3" t="s">
        <v>74</v>
      </c>
    </row>
    <row r="535" spans="4:4" ht="17.649999999999999" x14ac:dyDescent="0.5">
      <c r="D535" s="3" t="s">
        <v>41</v>
      </c>
    </row>
    <row r="536" spans="4:4" ht="17.649999999999999" x14ac:dyDescent="0.5">
      <c r="D536" s="3" t="s">
        <v>116</v>
      </c>
    </row>
    <row r="537" spans="4:4" ht="17.649999999999999" x14ac:dyDescent="0.5">
      <c r="D537" s="3" t="s">
        <v>115</v>
      </c>
    </row>
    <row r="538" spans="4:4" ht="17.649999999999999" x14ac:dyDescent="0.5">
      <c r="D538" s="3" t="s">
        <v>69</v>
      </c>
    </row>
    <row r="539" spans="4:4" ht="17.649999999999999" x14ac:dyDescent="0.5">
      <c r="D539" s="3" t="s">
        <v>96</v>
      </c>
    </row>
    <row r="540" spans="4:4" ht="17.649999999999999" x14ac:dyDescent="0.5">
      <c r="D540" s="3" t="s">
        <v>47</v>
      </c>
    </row>
    <row r="541" spans="4:4" ht="17.649999999999999" x14ac:dyDescent="0.5">
      <c r="D541" s="3" t="s">
        <v>91</v>
      </c>
    </row>
    <row r="542" spans="4:4" ht="17.649999999999999" x14ac:dyDescent="0.5">
      <c r="D542" s="3" t="s">
        <v>53</v>
      </c>
    </row>
    <row r="543" spans="4:4" ht="17.649999999999999" x14ac:dyDescent="0.5">
      <c r="D543" s="3" t="s">
        <v>77</v>
      </c>
    </row>
    <row r="544" spans="4:4" ht="17.649999999999999" x14ac:dyDescent="0.5">
      <c r="D544" s="3" t="s">
        <v>307</v>
      </c>
    </row>
    <row r="545" spans="4:4" ht="17.649999999999999" x14ac:dyDescent="0.5">
      <c r="D545" s="3" t="s">
        <v>82</v>
      </c>
    </row>
    <row r="546" spans="4:4" ht="17.649999999999999" x14ac:dyDescent="0.5">
      <c r="D546" s="3" t="s">
        <v>61</v>
      </c>
    </row>
    <row r="547" spans="4:4" ht="17.649999999999999" x14ac:dyDescent="0.5">
      <c r="D547" s="3" t="s">
        <v>115</v>
      </c>
    </row>
    <row r="548" spans="4:4" ht="17.649999999999999" x14ac:dyDescent="0.5">
      <c r="D548" s="3" t="s">
        <v>127</v>
      </c>
    </row>
    <row r="549" spans="4:4" ht="17.649999999999999" x14ac:dyDescent="0.5">
      <c r="D549" s="3" t="s">
        <v>285</v>
      </c>
    </row>
    <row r="550" spans="4:4" ht="17.649999999999999" x14ac:dyDescent="0.5">
      <c r="D550" s="3" t="s">
        <v>48</v>
      </c>
    </row>
    <row r="551" spans="4:4" ht="17.649999999999999" x14ac:dyDescent="0.5">
      <c r="D551" s="3" t="s">
        <v>66</v>
      </c>
    </row>
    <row r="552" spans="4:4" ht="17.649999999999999" x14ac:dyDescent="0.5">
      <c r="D552" s="3" t="s">
        <v>320</v>
      </c>
    </row>
    <row r="553" spans="4:4" ht="17.649999999999999" x14ac:dyDescent="0.5">
      <c r="D553" s="3" t="s">
        <v>48</v>
      </c>
    </row>
    <row r="554" spans="4:4" ht="17.649999999999999" x14ac:dyDescent="0.5">
      <c r="D554" s="3" t="s">
        <v>59</v>
      </c>
    </row>
    <row r="555" spans="4:4" ht="17.649999999999999" x14ac:dyDescent="0.5">
      <c r="D555" s="3" t="s">
        <v>46</v>
      </c>
    </row>
    <row r="556" spans="4:4" ht="17.649999999999999" x14ac:dyDescent="0.5">
      <c r="D556" s="3" t="s">
        <v>47</v>
      </c>
    </row>
    <row r="557" spans="4:4" ht="17.649999999999999" x14ac:dyDescent="0.5">
      <c r="D557" s="3" t="s">
        <v>233</v>
      </c>
    </row>
    <row r="558" spans="4:4" ht="17.649999999999999" x14ac:dyDescent="0.5">
      <c r="D558" s="3" t="s">
        <v>97</v>
      </c>
    </row>
    <row r="559" spans="4:4" ht="17.649999999999999" x14ac:dyDescent="0.5">
      <c r="D559" s="3" t="s">
        <v>284</v>
      </c>
    </row>
    <row r="560" spans="4:4" ht="17.649999999999999" x14ac:dyDescent="0.5">
      <c r="D560" s="3" t="s">
        <v>83</v>
      </c>
    </row>
    <row r="561" spans="4:4" ht="17.649999999999999" x14ac:dyDescent="0.5">
      <c r="D561" s="3" t="s">
        <v>54</v>
      </c>
    </row>
    <row r="562" spans="4:4" ht="17.649999999999999" x14ac:dyDescent="0.5">
      <c r="D562" s="3" t="s">
        <v>237</v>
      </c>
    </row>
    <row r="563" spans="4:4" ht="17.649999999999999" x14ac:dyDescent="0.5">
      <c r="D563" s="3" t="s">
        <v>53</v>
      </c>
    </row>
    <row r="564" spans="4:4" ht="17.649999999999999" x14ac:dyDescent="0.5">
      <c r="D564" s="3" t="s">
        <v>43</v>
      </c>
    </row>
    <row r="565" spans="4:4" ht="17.649999999999999" x14ac:dyDescent="0.5">
      <c r="D565" s="3" t="s">
        <v>67</v>
      </c>
    </row>
    <row r="566" spans="4:4" ht="17.649999999999999" x14ac:dyDescent="0.5">
      <c r="D566" s="3" t="s">
        <v>119</v>
      </c>
    </row>
    <row r="567" spans="4:4" ht="17.649999999999999" x14ac:dyDescent="0.5">
      <c r="D567" s="3" t="s">
        <v>96</v>
      </c>
    </row>
    <row r="568" spans="4:4" ht="17.649999999999999" x14ac:dyDescent="0.5">
      <c r="D568" s="3" t="s">
        <v>57</v>
      </c>
    </row>
    <row r="569" spans="4:4" ht="17.649999999999999" x14ac:dyDescent="0.5">
      <c r="D569" s="3" t="s">
        <v>132</v>
      </c>
    </row>
    <row r="570" spans="4:4" ht="17.649999999999999" x14ac:dyDescent="0.5">
      <c r="D570" s="3" t="s">
        <v>241</v>
      </c>
    </row>
    <row r="571" spans="4:4" ht="17.649999999999999" x14ac:dyDescent="0.5">
      <c r="D571" s="3" t="s">
        <v>102</v>
      </c>
    </row>
    <row r="572" spans="4:4" ht="17.649999999999999" x14ac:dyDescent="0.5">
      <c r="D572" s="3" t="s">
        <v>112</v>
      </c>
    </row>
    <row r="573" spans="4:4" ht="17.649999999999999" x14ac:dyDescent="0.5">
      <c r="D573" s="3" t="s">
        <v>107</v>
      </c>
    </row>
    <row r="574" spans="4:4" ht="17.649999999999999" x14ac:dyDescent="0.5">
      <c r="D574" s="3" t="s">
        <v>56</v>
      </c>
    </row>
    <row r="575" spans="4:4" ht="17.649999999999999" x14ac:dyDescent="0.5">
      <c r="D575" s="3" t="s">
        <v>130</v>
      </c>
    </row>
    <row r="576" spans="4:4" ht="17.649999999999999" x14ac:dyDescent="0.5">
      <c r="D576" s="3" t="s">
        <v>57</v>
      </c>
    </row>
    <row r="577" spans="4:4" ht="17.649999999999999" x14ac:dyDescent="0.5">
      <c r="D577" s="3" t="s">
        <v>74</v>
      </c>
    </row>
    <row r="578" spans="4:4" ht="17.649999999999999" x14ac:dyDescent="0.5">
      <c r="D578" s="3" t="s">
        <v>67</v>
      </c>
    </row>
    <row r="579" spans="4:4" ht="17.649999999999999" x14ac:dyDescent="0.5">
      <c r="D579" s="3" t="s">
        <v>109</v>
      </c>
    </row>
    <row r="580" spans="4:4" ht="17.649999999999999" x14ac:dyDescent="0.5">
      <c r="D580" s="3" t="s">
        <v>48</v>
      </c>
    </row>
    <row r="581" spans="4:4" ht="17.649999999999999" x14ac:dyDescent="0.5">
      <c r="D581" s="3" t="s">
        <v>75</v>
      </c>
    </row>
    <row r="582" spans="4:4" ht="17.649999999999999" x14ac:dyDescent="0.5">
      <c r="D582" s="3" t="s">
        <v>63</v>
      </c>
    </row>
    <row r="583" spans="4:4" ht="17.649999999999999" x14ac:dyDescent="0.5">
      <c r="D583" s="3" t="s">
        <v>245</v>
      </c>
    </row>
    <row r="584" spans="4:4" ht="17.649999999999999" x14ac:dyDescent="0.5">
      <c r="D584" s="3" t="s">
        <v>68</v>
      </c>
    </row>
    <row r="585" spans="4:4" ht="17.649999999999999" x14ac:dyDescent="0.5">
      <c r="D585" s="3" t="s">
        <v>57</v>
      </c>
    </row>
    <row r="586" spans="4:4" ht="17.649999999999999" x14ac:dyDescent="0.5">
      <c r="D586" s="3" t="s">
        <v>83</v>
      </c>
    </row>
    <row r="587" spans="4:4" ht="17.649999999999999" x14ac:dyDescent="0.5">
      <c r="D587" s="3" t="s">
        <v>246</v>
      </c>
    </row>
    <row r="588" spans="4:4" ht="17.649999999999999" x14ac:dyDescent="0.5">
      <c r="D588" s="3" t="s">
        <v>53</v>
      </c>
    </row>
    <row r="589" spans="4:4" ht="17.649999999999999" x14ac:dyDescent="0.5">
      <c r="D589" s="3" t="s">
        <v>129</v>
      </c>
    </row>
    <row r="590" spans="4:4" ht="17.649999999999999" x14ac:dyDescent="0.5">
      <c r="D590" s="3" t="s">
        <v>64</v>
      </c>
    </row>
    <row r="591" spans="4:4" ht="17.649999999999999" x14ac:dyDescent="0.5">
      <c r="D591" s="3" t="s">
        <v>41</v>
      </c>
    </row>
    <row r="592" spans="4:4" ht="17.649999999999999" x14ac:dyDescent="0.5">
      <c r="D592" s="3" t="s">
        <v>133</v>
      </c>
    </row>
    <row r="593" spans="4:4" ht="17.649999999999999" x14ac:dyDescent="0.5">
      <c r="D593" s="3" t="s">
        <v>85</v>
      </c>
    </row>
    <row r="594" spans="4:4" ht="17.649999999999999" x14ac:dyDescent="0.5">
      <c r="D594" s="3" t="s">
        <v>53</v>
      </c>
    </row>
    <row r="595" spans="4:4" ht="17.649999999999999" x14ac:dyDescent="0.5">
      <c r="D595" s="3" t="s">
        <v>59</v>
      </c>
    </row>
    <row r="596" spans="4:4" ht="17.649999999999999" x14ac:dyDescent="0.5">
      <c r="D596" s="3" t="s">
        <v>113</v>
      </c>
    </row>
    <row r="597" spans="4:4" ht="17.649999999999999" x14ac:dyDescent="0.5">
      <c r="D597" s="3" t="s">
        <v>69</v>
      </c>
    </row>
    <row r="598" spans="4:4" ht="17.649999999999999" x14ac:dyDescent="0.5">
      <c r="D598" s="3" t="s">
        <v>67</v>
      </c>
    </row>
    <row r="599" spans="4:4" ht="17.649999999999999" x14ac:dyDescent="0.5">
      <c r="D599" s="3" t="s">
        <v>115</v>
      </c>
    </row>
    <row r="600" spans="4:4" ht="17.649999999999999" x14ac:dyDescent="0.5">
      <c r="D600" s="3" t="s">
        <v>74</v>
      </c>
    </row>
    <row r="601" spans="4:4" ht="17.649999999999999" x14ac:dyDescent="0.5">
      <c r="D601" s="3" t="s">
        <v>252</v>
      </c>
    </row>
    <row r="602" spans="4:4" ht="17.649999999999999" x14ac:dyDescent="0.5">
      <c r="D602" s="3" t="s">
        <v>101</v>
      </c>
    </row>
    <row r="603" spans="4:4" ht="17.649999999999999" x14ac:dyDescent="0.5">
      <c r="D603" s="3" t="s">
        <v>56</v>
      </c>
    </row>
    <row r="604" spans="4:4" ht="17.649999999999999" x14ac:dyDescent="0.5">
      <c r="D604" s="3" t="s">
        <v>238</v>
      </c>
    </row>
    <row r="605" spans="4:4" ht="17.649999999999999" x14ac:dyDescent="0.5">
      <c r="D605" s="3" t="s">
        <v>90</v>
      </c>
    </row>
    <row r="606" spans="4:4" ht="17.649999999999999" x14ac:dyDescent="0.5">
      <c r="D606" s="3" t="s">
        <v>68</v>
      </c>
    </row>
    <row r="607" spans="4:4" ht="17.649999999999999" x14ac:dyDescent="0.5">
      <c r="D607" s="3" t="s">
        <v>254</v>
      </c>
    </row>
    <row r="608" spans="4:4" ht="17.649999999999999" x14ac:dyDescent="0.5">
      <c r="D608" s="3" t="s">
        <v>66</v>
      </c>
    </row>
    <row r="609" spans="4:4" ht="17.649999999999999" x14ac:dyDescent="0.5">
      <c r="D609" s="3" t="s">
        <v>321</v>
      </c>
    </row>
    <row r="610" spans="4:4" ht="17.649999999999999" x14ac:dyDescent="0.5">
      <c r="D610" s="3" t="s">
        <v>60</v>
      </c>
    </row>
    <row r="611" spans="4:4" ht="17.649999999999999" x14ac:dyDescent="0.5">
      <c r="D611" s="3" t="s">
        <v>255</v>
      </c>
    </row>
    <row r="612" spans="4:4" ht="17.649999999999999" x14ac:dyDescent="0.5">
      <c r="D612" s="3" t="s">
        <v>100</v>
      </c>
    </row>
    <row r="613" spans="4:4" ht="17.649999999999999" x14ac:dyDescent="0.5">
      <c r="D613" s="3" t="s">
        <v>66</v>
      </c>
    </row>
    <row r="614" spans="4:4" ht="17.649999999999999" x14ac:dyDescent="0.5">
      <c r="D614" s="3" t="s">
        <v>132</v>
      </c>
    </row>
    <row r="615" spans="4:4" ht="17.649999999999999" x14ac:dyDescent="0.5">
      <c r="D615" s="3" t="s">
        <v>131</v>
      </c>
    </row>
    <row r="616" spans="4:4" ht="17.649999999999999" x14ac:dyDescent="0.5">
      <c r="D616" s="3" t="s">
        <v>73</v>
      </c>
    </row>
    <row r="617" spans="4:4" ht="17.649999999999999" x14ac:dyDescent="0.5">
      <c r="D617" s="3" t="s">
        <v>83</v>
      </c>
    </row>
    <row r="618" spans="4:4" ht="17.649999999999999" x14ac:dyDescent="0.5">
      <c r="D618" s="3" t="s">
        <v>97</v>
      </c>
    </row>
    <row r="619" spans="4:4" ht="17.649999999999999" x14ac:dyDescent="0.5">
      <c r="D619" s="3" t="s">
        <v>51</v>
      </c>
    </row>
    <row r="620" spans="4:4" ht="17.649999999999999" x14ac:dyDescent="0.5">
      <c r="D620" s="3" t="s">
        <v>136</v>
      </c>
    </row>
    <row r="621" spans="4:4" ht="17.649999999999999" x14ac:dyDescent="0.5">
      <c r="D621" s="3" t="s">
        <v>75</v>
      </c>
    </row>
    <row r="622" spans="4:4" ht="17.649999999999999" x14ac:dyDescent="0.5">
      <c r="D622" s="3" t="s">
        <v>73</v>
      </c>
    </row>
    <row r="623" spans="4:4" ht="17.649999999999999" x14ac:dyDescent="0.5">
      <c r="D623" s="3" t="s">
        <v>95</v>
      </c>
    </row>
    <row r="624" spans="4:4" ht="17.649999999999999" x14ac:dyDescent="0.5">
      <c r="D624" s="3" t="s">
        <v>74</v>
      </c>
    </row>
    <row r="625" spans="4:4" ht="17.649999999999999" x14ac:dyDescent="0.5">
      <c r="D625" s="3" t="s">
        <v>57</v>
      </c>
    </row>
    <row r="626" spans="4:4" ht="17.649999999999999" x14ac:dyDescent="0.5">
      <c r="D626" s="3" t="s">
        <v>61</v>
      </c>
    </row>
    <row r="627" spans="4:4" ht="17.649999999999999" x14ac:dyDescent="0.5">
      <c r="D627" s="3" t="s">
        <v>117</v>
      </c>
    </row>
    <row r="628" spans="4:4" ht="17.649999999999999" x14ac:dyDescent="0.5">
      <c r="D628" s="3" t="s">
        <v>55</v>
      </c>
    </row>
    <row r="629" spans="4:4" ht="17.649999999999999" x14ac:dyDescent="0.5">
      <c r="D629" s="3" t="s">
        <v>49</v>
      </c>
    </row>
    <row r="630" spans="4:4" ht="17.649999999999999" x14ac:dyDescent="0.5">
      <c r="D630" s="3" t="s">
        <v>72</v>
      </c>
    </row>
    <row r="631" spans="4:4" ht="17.649999999999999" x14ac:dyDescent="0.5">
      <c r="D631" s="3" t="s">
        <v>73</v>
      </c>
    </row>
    <row r="632" spans="4:4" ht="17.649999999999999" x14ac:dyDescent="0.5">
      <c r="D632" s="3" t="s">
        <v>98</v>
      </c>
    </row>
    <row r="633" spans="4:4" ht="17.649999999999999" x14ac:dyDescent="0.5">
      <c r="D633" s="3" t="s">
        <v>62</v>
      </c>
    </row>
    <row r="634" spans="4:4" ht="17.649999999999999" x14ac:dyDescent="0.5">
      <c r="D634" s="3" t="s">
        <v>96</v>
      </c>
    </row>
    <row r="635" spans="4:4" ht="17.649999999999999" x14ac:dyDescent="0.5">
      <c r="D635" s="3" t="s">
        <v>103</v>
      </c>
    </row>
    <row r="636" spans="4:4" ht="17.649999999999999" x14ac:dyDescent="0.5">
      <c r="D636" s="3" t="s">
        <v>68</v>
      </c>
    </row>
    <row r="637" spans="4:4" ht="17.649999999999999" x14ac:dyDescent="0.5">
      <c r="D637" s="3" t="s">
        <v>309</v>
      </c>
    </row>
    <row r="638" spans="4:4" ht="17.649999999999999" x14ac:dyDescent="0.5">
      <c r="D638" s="3" t="s">
        <v>54</v>
      </c>
    </row>
    <row r="639" spans="4:4" ht="17.649999999999999" x14ac:dyDescent="0.5">
      <c r="D639" s="3" t="s">
        <v>52</v>
      </c>
    </row>
    <row r="640" spans="4:4" ht="17.649999999999999" x14ac:dyDescent="0.5">
      <c r="D640" s="3" t="s">
        <v>72</v>
      </c>
    </row>
    <row r="641" spans="4:4" ht="17.649999999999999" x14ac:dyDescent="0.5">
      <c r="D641" s="3" t="s">
        <v>91</v>
      </c>
    </row>
    <row r="642" spans="4:4" ht="17.649999999999999" x14ac:dyDescent="0.5">
      <c r="D642" s="3" t="s">
        <v>310</v>
      </c>
    </row>
    <row r="643" spans="4:4" ht="17.649999999999999" x14ac:dyDescent="0.5">
      <c r="D643" s="3" t="s">
        <v>61</v>
      </c>
    </row>
    <row r="644" spans="4:4" ht="17.649999999999999" x14ac:dyDescent="0.5">
      <c r="D644" s="3" t="s">
        <v>288</v>
      </c>
    </row>
    <row r="645" spans="4:4" ht="17.649999999999999" x14ac:dyDescent="0.5">
      <c r="D645" s="3" t="s">
        <v>94</v>
      </c>
    </row>
    <row r="646" spans="4:4" ht="17.649999999999999" x14ac:dyDescent="0.5">
      <c r="D646" s="3" t="s">
        <v>258</v>
      </c>
    </row>
    <row r="647" spans="4:4" ht="17.649999999999999" x14ac:dyDescent="0.5">
      <c r="D647" s="3" t="s">
        <v>55</v>
      </c>
    </row>
    <row r="648" spans="4:4" ht="17.649999999999999" x14ac:dyDescent="0.5">
      <c r="D648" s="3" t="s">
        <v>129</v>
      </c>
    </row>
    <row r="649" spans="4:4" ht="17.649999999999999" x14ac:dyDescent="0.5">
      <c r="D649" s="3" t="s">
        <v>80</v>
      </c>
    </row>
    <row r="650" spans="4:4" ht="17.649999999999999" x14ac:dyDescent="0.5">
      <c r="D650" s="3" t="s">
        <v>116</v>
      </c>
    </row>
    <row r="651" spans="4:4" ht="17.649999999999999" x14ac:dyDescent="0.5">
      <c r="D651" s="3" t="s">
        <v>52</v>
      </c>
    </row>
    <row r="652" spans="4:4" ht="17.649999999999999" x14ac:dyDescent="0.5">
      <c r="D652" s="3" t="s">
        <v>63</v>
      </c>
    </row>
    <row r="653" spans="4:4" ht="17.649999999999999" x14ac:dyDescent="0.5">
      <c r="D653" s="3" t="s">
        <v>68</v>
      </c>
    </row>
    <row r="654" spans="4:4" ht="17.649999999999999" x14ac:dyDescent="0.5">
      <c r="D654" s="3" t="s">
        <v>51</v>
      </c>
    </row>
    <row r="655" spans="4:4" ht="17.649999999999999" x14ac:dyDescent="0.5">
      <c r="D655" s="3" t="s">
        <v>80</v>
      </c>
    </row>
    <row r="656" spans="4:4" ht="17.649999999999999" x14ac:dyDescent="0.5">
      <c r="D656" s="3" t="s">
        <v>66</v>
      </c>
    </row>
    <row r="657" spans="4:4" ht="17.649999999999999" x14ac:dyDescent="0.5">
      <c r="D657" s="3" t="s">
        <v>87</v>
      </c>
    </row>
    <row r="658" spans="4:4" ht="17.649999999999999" x14ac:dyDescent="0.5">
      <c r="D658" s="3" t="s">
        <v>65</v>
      </c>
    </row>
    <row r="659" spans="4:4" ht="17.649999999999999" x14ac:dyDescent="0.5">
      <c r="D659" s="3" t="s">
        <v>69</v>
      </c>
    </row>
    <row r="660" spans="4:4" ht="17.649999999999999" x14ac:dyDescent="0.5">
      <c r="D660" s="3" t="s">
        <v>63</v>
      </c>
    </row>
    <row r="661" spans="4:4" ht="17.649999999999999" x14ac:dyDescent="0.5">
      <c r="D661" s="3" t="s">
        <v>120</v>
      </c>
    </row>
    <row r="662" spans="4:4" ht="17.649999999999999" x14ac:dyDescent="0.5">
      <c r="D662" s="3" t="s">
        <v>134</v>
      </c>
    </row>
    <row r="663" spans="4:4" ht="17.649999999999999" x14ac:dyDescent="0.5">
      <c r="D663" s="3" t="s">
        <v>59</v>
      </c>
    </row>
    <row r="664" spans="4:4" ht="17.649999999999999" x14ac:dyDescent="0.5">
      <c r="D664" s="3" t="s">
        <v>116</v>
      </c>
    </row>
    <row r="665" spans="4:4" ht="17.649999999999999" x14ac:dyDescent="0.5">
      <c r="D665" s="3" t="s">
        <v>64</v>
      </c>
    </row>
    <row r="666" spans="4:4" ht="17.649999999999999" x14ac:dyDescent="0.5">
      <c r="D666" s="3" t="s">
        <v>322</v>
      </c>
    </row>
    <row r="667" spans="4:4" ht="17.649999999999999" x14ac:dyDescent="0.5">
      <c r="D667" s="3" t="s">
        <v>135</v>
      </c>
    </row>
    <row r="668" spans="4:4" ht="17.649999999999999" x14ac:dyDescent="0.5">
      <c r="D668" s="3" t="s">
        <v>263</v>
      </c>
    </row>
    <row r="669" spans="4:4" ht="17.649999999999999" x14ac:dyDescent="0.5">
      <c r="D669" s="3" t="s">
        <v>69</v>
      </c>
    </row>
    <row r="670" spans="4:4" ht="17.649999999999999" x14ac:dyDescent="0.5">
      <c r="D670" s="3" t="s">
        <v>67</v>
      </c>
    </row>
    <row r="671" spans="4:4" ht="17.649999999999999" x14ac:dyDescent="0.5">
      <c r="D671" s="3" t="s">
        <v>112</v>
      </c>
    </row>
    <row r="672" spans="4:4" ht="17.649999999999999" x14ac:dyDescent="0.5">
      <c r="D672" s="3" t="s">
        <v>262</v>
      </c>
    </row>
    <row r="673" spans="4:4" ht="17.649999999999999" x14ac:dyDescent="0.5">
      <c r="D673" s="3" t="s">
        <v>264</v>
      </c>
    </row>
    <row r="674" spans="4:4" ht="17.649999999999999" x14ac:dyDescent="0.5">
      <c r="D674" s="3" t="s">
        <v>59</v>
      </c>
    </row>
    <row r="675" spans="4:4" ht="17.649999999999999" x14ac:dyDescent="0.5">
      <c r="D675" s="3" t="s">
        <v>64</v>
      </c>
    </row>
    <row r="676" spans="4:4" ht="17.649999999999999" x14ac:dyDescent="0.5">
      <c r="D676" s="3" t="s">
        <v>113</v>
      </c>
    </row>
    <row r="677" spans="4:4" ht="17.649999999999999" x14ac:dyDescent="0.5">
      <c r="D677" s="3" t="s">
        <v>69</v>
      </c>
    </row>
    <row r="678" spans="4:4" ht="17.649999999999999" x14ac:dyDescent="0.5">
      <c r="D678" s="3" t="s">
        <v>114</v>
      </c>
    </row>
    <row r="679" spans="4:4" ht="17.649999999999999" x14ac:dyDescent="0.5">
      <c r="D679" s="3" t="s">
        <v>63</v>
      </c>
    </row>
    <row r="680" spans="4:4" ht="17.649999999999999" x14ac:dyDescent="0.5">
      <c r="D680" s="3" t="s">
        <v>66</v>
      </c>
    </row>
    <row r="681" spans="4:4" ht="17.649999999999999" x14ac:dyDescent="0.5">
      <c r="D681" s="3" t="s">
        <v>170</v>
      </c>
    </row>
    <row r="682" spans="4:4" ht="17.649999999999999" x14ac:dyDescent="0.5">
      <c r="D682" s="3" t="s">
        <v>61</v>
      </c>
    </row>
    <row r="683" spans="4:4" ht="17.649999999999999" x14ac:dyDescent="0.5">
      <c r="D683" s="3" t="s">
        <v>49</v>
      </c>
    </row>
    <row r="684" spans="4:4" ht="17.649999999999999" x14ac:dyDescent="0.5">
      <c r="D684" s="3" t="s">
        <v>72</v>
      </c>
    </row>
    <row r="685" spans="4:4" ht="17.649999999999999" x14ac:dyDescent="0.5">
      <c r="D685" s="3" t="s">
        <v>59</v>
      </c>
    </row>
    <row r="686" spans="4:4" ht="17.649999999999999" x14ac:dyDescent="0.5">
      <c r="D686" s="3" t="s">
        <v>171</v>
      </c>
    </row>
    <row r="687" spans="4:4" ht="17.649999999999999" x14ac:dyDescent="0.5">
      <c r="D687" s="3" t="s">
        <v>73</v>
      </c>
    </row>
    <row r="688" spans="4:4" ht="17.649999999999999" x14ac:dyDescent="0.5">
      <c r="D688" s="3" t="s">
        <v>97</v>
      </c>
    </row>
    <row r="689" spans="4:4" ht="17.649999999999999" x14ac:dyDescent="0.5">
      <c r="D689" s="3" t="s">
        <v>48</v>
      </c>
    </row>
    <row r="690" spans="4:4" ht="17.649999999999999" x14ac:dyDescent="0.5">
      <c r="D690" s="3" t="s">
        <v>265</v>
      </c>
    </row>
    <row r="691" spans="4:4" ht="17.649999999999999" x14ac:dyDescent="0.5">
      <c r="D691" s="3" t="s">
        <v>64</v>
      </c>
    </row>
    <row r="692" spans="4:4" ht="17.649999999999999" x14ac:dyDescent="0.5">
      <c r="D692" s="3" t="s">
        <v>46</v>
      </c>
    </row>
    <row r="693" spans="4:4" ht="17.649999999999999" x14ac:dyDescent="0.5">
      <c r="D693" s="3" t="s">
        <v>47</v>
      </c>
    </row>
    <row r="694" spans="4:4" ht="17.649999999999999" x14ac:dyDescent="0.5">
      <c r="D694" s="3" t="s">
        <v>74</v>
      </c>
    </row>
    <row r="695" spans="4:4" ht="17.649999999999999" x14ac:dyDescent="0.5">
      <c r="D695" s="3" t="s">
        <v>48</v>
      </c>
    </row>
    <row r="696" spans="4:4" ht="17.649999999999999" x14ac:dyDescent="0.5">
      <c r="D696" s="3" t="s">
        <v>109</v>
      </c>
    </row>
    <row r="697" spans="4:4" ht="17.649999999999999" x14ac:dyDescent="0.5">
      <c r="D697" s="3" t="s">
        <v>44</v>
      </c>
    </row>
    <row r="698" spans="4:4" ht="17.649999999999999" x14ac:dyDescent="0.5">
      <c r="D698" s="3" t="s">
        <v>55</v>
      </c>
    </row>
    <row r="699" spans="4:4" ht="17.649999999999999" x14ac:dyDescent="0.5">
      <c r="D699" s="3" t="s">
        <v>107</v>
      </c>
    </row>
    <row r="700" spans="4:4" ht="17.649999999999999" x14ac:dyDescent="0.5">
      <c r="D700" s="3" t="s">
        <v>63</v>
      </c>
    </row>
    <row r="701" spans="4:4" ht="17.649999999999999" x14ac:dyDescent="0.5">
      <c r="D701" s="3" t="s">
        <v>118</v>
      </c>
    </row>
    <row r="702" spans="4:4" ht="17.649999999999999" x14ac:dyDescent="0.5">
      <c r="D702" s="3" t="s">
        <v>70</v>
      </c>
    </row>
    <row r="703" spans="4:4" ht="17.649999999999999" x14ac:dyDescent="0.5">
      <c r="D703" s="3" t="s">
        <v>75</v>
      </c>
    </row>
    <row r="704" spans="4:4" ht="17.649999999999999" x14ac:dyDescent="0.5">
      <c r="D704" s="3" t="s">
        <v>83</v>
      </c>
    </row>
    <row r="705" spans="4:4" ht="17.649999999999999" x14ac:dyDescent="0.5">
      <c r="D705" s="3" t="s">
        <v>53</v>
      </c>
    </row>
    <row r="706" spans="4:4" ht="17.649999999999999" x14ac:dyDescent="0.5">
      <c r="D706" s="3" t="s">
        <v>74</v>
      </c>
    </row>
    <row r="707" spans="4:4" ht="17.649999999999999" x14ac:dyDescent="0.5">
      <c r="D707" s="3" t="s">
        <v>44</v>
      </c>
    </row>
    <row r="708" spans="4:4" ht="17.649999999999999" x14ac:dyDescent="0.5">
      <c r="D708" s="3" t="s">
        <v>118</v>
      </c>
    </row>
    <row r="709" spans="4:4" ht="17.649999999999999" x14ac:dyDescent="0.5">
      <c r="D709" s="3" t="s">
        <v>46</v>
      </c>
    </row>
    <row r="710" spans="4:4" ht="17.649999999999999" x14ac:dyDescent="0.5">
      <c r="D710" s="3" t="s">
        <v>87</v>
      </c>
    </row>
    <row r="711" spans="4:4" ht="17.649999999999999" x14ac:dyDescent="0.5">
      <c r="D711" s="3" t="s">
        <v>69</v>
      </c>
    </row>
    <row r="712" spans="4:4" ht="17.649999999999999" x14ac:dyDescent="0.5">
      <c r="D712" s="3" t="s">
        <v>52</v>
      </c>
    </row>
    <row r="713" spans="4:4" ht="17.649999999999999" x14ac:dyDescent="0.5">
      <c r="D713" s="3" t="s">
        <v>117</v>
      </c>
    </row>
    <row r="714" spans="4:4" ht="17.649999999999999" x14ac:dyDescent="0.5">
      <c r="D714" s="3" t="s">
        <v>44</v>
      </c>
    </row>
    <row r="715" spans="4:4" ht="17.649999999999999" x14ac:dyDescent="0.5">
      <c r="D715" s="3" t="s">
        <v>129</v>
      </c>
    </row>
    <row r="716" spans="4:4" ht="17.649999999999999" x14ac:dyDescent="0.5">
      <c r="D716" s="3" t="s">
        <v>109</v>
      </c>
    </row>
    <row r="717" spans="4:4" ht="17.649999999999999" x14ac:dyDescent="0.5">
      <c r="D717" s="3" t="s">
        <v>46</v>
      </c>
    </row>
    <row r="718" spans="4:4" ht="17.649999999999999" x14ac:dyDescent="0.5">
      <c r="D718" s="3" t="s">
        <v>69</v>
      </c>
    </row>
    <row r="719" spans="4:4" ht="17.649999999999999" x14ac:dyDescent="0.5">
      <c r="D719" s="3" t="s">
        <v>41</v>
      </c>
    </row>
    <row r="720" spans="4:4" ht="17.649999999999999" x14ac:dyDescent="0.5">
      <c r="D720" s="3" t="s">
        <v>57</v>
      </c>
    </row>
    <row r="721" spans="4:4" ht="17.649999999999999" x14ac:dyDescent="0.5">
      <c r="D721" s="3" t="s">
        <v>51</v>
      </c>
    </row>
    <row r="722" spans="4:4" ht="17.649999999999999" x14ac:dyDescent="0.5">
      <c r="D722" s="3" t="s">
        <v>62</v>
      </c>
    </row>
    <row r="723" spans="4:4" ht="17.649999999999999" x14ac:dyDescent="0.5">
      <c r="D723" s="3" t="s">
        <v>46</v>
      </c>
    </row>
    <row r="724" spans="4:4" ht="17.649999999999999" x14ac:dyDescent="0.5">
      <c r="D724" s="3" t="s">
        <v>59</v>
      </c>
    </row>
    <row r="725" spans="4:4" ht="17.649999999999999" x14ac:dyDescent="0.5">
      <c r="D725" s="3" t="s">
        <v>124</v>
      </c>
    </row>
    <row r="726" spans="4:4" ht="17.649999999999999" x14ac:dyDescent="0.5">
      <c r="D726" s="3" t="s">
        <v>75</v>
      </c>
    </row>
    <row r="727" spans="4:4" ht="17.649999999999999" x14ac:dyDescent="0.5">
      <c r="D727" s="3" t="s">
        <v>116</v>
      </c>
    </row>
    <row r="728" spans="4:4" ht="17.649999999999999" x14ac:dyDescent="0.5">
      <c r="D728" s="3" t="s">
        <v>115</v>
      </c>
    </row>
    <row r="729" spans="4:4" ht="17.649999999999999" x14ac:dyDescent="0.5">
      <c r="D729" s="3" t="s">
        <v>59</v>
      </c>
    </row>
    <row r="730" spans="4:4" ht="17.649999999999999" x14ac:dyDescent="0.5">
      <c r="D730" s="3" t="s">
        <v>108</v>
      </c>
    </row>
    <row r="731" spans="4:4" ht="17.649999999999999" x14ac:dyDescent="0.5">
      <c r="D731" s="3" t="s">
        <v>55</v>
      </c>
    </row>
    <row r="732" spans="4:4" ht="17.649999999999999" x14ac:dyDescent="0.5">
      <c r="D732" s="3" t="s">
        <v>63</v>
      </c>
    </row>
    <row r="733" spans="4:4" ht="17.649999999999999" x14ac:dyDescent="0.5">
      <c r="D733" s="3" t="s">
        <v>131</v>
      </c>
    </row>
    <row r="734" spans="4:4" ht="17.649999999999999" x14ac:dyDescent="0.5">
      <c r="D734" s="3" t="s">
        <v>176</v>
      </c>
    </row>
    <row r="735" spans="4:4" ht="17.649999999999999" x14ac:dyDescent="0.5">
      <c r="D735" s="3" t="s">
        <v>103</v>
      </c>
    </row>
    <row r="736" spans="4:4" ht="17.649999999999999" x14ac:dyDescent="0.5">
      <c r="D736" s="3" t="s">
        <v>244</v>
      </c>
    </row>
    <row r="737" spans="4:4" ht="17.649999999999999" x14ac:dyDescent="0.5">
      <c r="D737" s="3" t="s">
        <v>67</v>
      </c>
    </row>
    <row r="738" spans="4:4" ht="17.649999999999999" x14ac:dyDescent="0.5">
      <c r="D738" s="3" t="s">
        <v>291</v>
      </c>
    </row>
    <row r="739" spans="4:4" ht="17.649999999999999" x14ac:dyDescent="0.5">
      <c r="D739" s="3" t="s">
        <v>63</v>
      </c>
    </row>
    <row r="740" spans="4:4" ht="17.649999999999999" x14ac:dyDescent="0.5">
      <c r="D740" s="3" t="s">
        <v>178</v>
      </c>
    </row>
    <row r="741" spans="4:4" ht="17.649999999999999" x14ac:dyDescent="0.5">
      <c r="D741" s="3" t="s">
        <v>101</v>
      </c>
    </row>
    <row r="742" spans="4:4" ht="17.649999999999999" x14ac:dyDescent="0.5">
      <c r="D742" s="3" t="s">
        <v>43</v>
      </c>
    </row>
    <row r="743" spans="4:4" ht="17.649999999999999" x14ac:dyDescent="0.5">
      <c r="D743" s="3" t="s">
        <v>45</v>
      </c>
    </row>
    <row r="744" spans="4:4" ht="17.649999999999999" x14ac:dyDescent="0.5">
      <c r="D744" s="3" t="s">
        <v>60</v>
      </c>
    </row>
    <row r="745" spans="4:4" ht="17.649999999999999" x14ac:dyDescent="0.5">
      <c r="D745" s="3" t="s">
        <v>91</v>
      </c>
    </row>
    <row r="746" spans="4:4" ht="17.649999999999999" x14ac:dyDescent="0.5">
      <c r="D746" s="3" t="s">
        <v>101</v>
      </c>
    </row>
    <row r="747" spans="4:4" ht="17.649999999999999" x14ac:dyDescent="0.5">
      <c r="D747" s="3" t="s">
        <v>107</v>
      </c>
    </row>
    <row r="748" spans="4:4" ht="17.649999999999999" x14ac:dyDescent="0.5">
      <c r="D748" s="3" t="s">
        <v>41</v>
      </c>
    </row>
    <row r="749" spans="4:4" ht="17.649999999999999" x14ac:dyDescent="0.5">
      <c r="D749" s="3" t="s">
        <v>85</v>
      </c>
    </row>
    <row r="750" spans="4:4" ht="17.649999999999999" x14ac:dyDescent="0.5">
      <c r="D750" s="3" t="s">
        <v>44</v>
      </c>
    </row>
    <row r="751" spans="4:4" ht="17.649999999999999" x14ac:dyDescent="0.5">
      <c r="D751" s="3" t="s">
        <v>52</v>
      </c>
    </row>
    <row r="752" spans="4:4" ht="17.649999999999999" x14ac:dyDescent="0.5">
      <c r="D752" s="3" t="s">
        <v>57</v>
      </c>
    </row>
    <row r="753" spans="4:4" ht="17.649999999999999" x14ac:dyDescent="0.5">
      <c r="D753" s="3" t="s">
        <v>43</v>
      </c>
    </row>
    <row r="754" spans="4:4" ht="17.649999999999999" x14ac:dyDescent="0.5">
      <c r="D754" s="3" t="s">
        <v>115</v>
      </c>
    </row>
    <row r="755" spans="4:4" ht="17.649999999999999" x14ac:dyDescent="0.5">
      <c r="D755" s="3" t="s">
        <v>109</v>
      </c>
    </row>
    <row r="756" spans="4:4" ht="17.649999999999999" x14ac:dyDescent="0.5">
      <c r="D756" s="3" t="s">
        <v>63</v>
      </c>
    </row>
    <row r="757" spans="4:4" ht="17.649999999999999" x14ac:dyDescent="0.5">
      <c r="D757" s="3" t="s">
        <v>118</v>
      </c>
    </row>
    <row r="758" spans="4:4" ht="17.649999999999999" x14ac:dyDescent="0.5">
      <c r="D758" s="3" t="s">
        <v>47</v>
      </c>
    </row>
    <row r="759" spans="4:4" ht="17.649999999999999" x14ac:dyDescent="0.5">
      <c r="D759" s="3" t="s">
        <v>54</v>
      </c>
    </row>
    <row r="760" spans="4:4" ht="17.649999999999999" x14ac:dyDescent="0.5">
      <c r="D760" s="3" t="s">
        <v>108</v>
      </c>
    </row>
    <row r="761" spans="4:4" ht="17.649999999999999" x14ac:dyDescent="0.5">
      <c r="D761" s="3" t="s">
        <v>46</v>
      </c>
    </row>
    <row r="762" spans="4:4" ht="17.649999999999999" x14ac:dyDescent="0.5">
      <c r="D762" s="3" t="s">
        <v>63</v>
      </c>
    </row>
    <row r="763" spans="4:4" ht="17.649999999999999" x14ac:dyDescent="0.5">
      <c r="D763" s="3" t="s">
        <v>57</v>
      </c>
    </row>
    <row r="764" spans="4:4" ht="17.649999999999999" x14ac:dyDescent="0.5">
      <c r="D764" s="3" t="s">
        <v>49</v>
      </c>
    </row>
    <row r="765" spans="4:4" ht="17.649999999999999" x14ac:dyDescent="0.5">
      <c r="D765" s="3" t="s">
        <v>117</v>
      </c>
    </row>
    <row r="766" spans="4:4" ht="17.649999999999999" x14ac:dyDescent="0.5">
      <c r="D766" s="3" t="s">
        <v>75</v>
      </c>
    </row>
    <row r="767" spans="4:4" ht="17.649999999999999" x14ac:dyDescent="0.5">
      <c r="D767" s="3" t="s">
        <v>67</v>
      </c>
    </row>
    <row r="768" spans="4:4" ht="17.649999999999999" x14ac:dyDescent="0.5">
      <c r="D768" s="3" t="s">
        <v>53</v>
      </c>
    </row>
    <row r="769" spans="4:4" ht="17.649999999999999" x14ac:dyDescent="0.5">
      <c r="D769" s="3" t="s">
        <v>120</v>
      </c>
    </row>
    <row r="770" spans="4:4" ht="17.649999999999999" x14ac:dyDescent="0.5">
      <c r="D770" s="3" t="s">
        <v>77</v>
      </c>
    </row>
    <row r="771" spans="4:4" ht="17.649999999999999" x14ac:dyDescent="0.5">
      <c r="D771" s="3" t="s">
        <v>59</v>
      </c>
    </row>
    <row r="772" spans="4:4" ht="17.649999999999999" x14ac:dyDescent="0.5">
      <c r="D772" s="3" t="s">
        <v>47</v>
      </c>
    </row>
    <row r="773" spans="4:4" ht="17.649999999999999" x14ac:dyDescent="0.5">
      <c r="D773" s="3" t="s">
        <v>108</v>
      </c>
    </row>
    <row r="774" spans="4:4" ht="17.649999999999999" x14ac:dyDescent="0.5">
      <c r="D774" s="3" t="s">
        <v>102</v>
      </c>
    </row>
    <row r="775" spans="4:4" ht="17.649999999999999" x14ac:dyDescent="0.5">
      <c r="D775" s="3" t="s">
        <v>51</v>
      </c>
    </row>
    <row r="776" spans="4:4" ht="17.649999999999999" x14ac:dyDescent="0.5">
      <c r="D776" s="3" t="s">
        <v>75</v>
      </c>
    </row>
    <row r="777" spans="4:4" ht="17.649999999999999" x14ac:dyDescent="0.5">
      <c r="D777" s="3" t="s">
        <v>65</v>
      </c>
    </row>
    <row r="778" spans="4:4" ht="17.649999999999999" x14ac:dyDescent="0.5">
      <c r="D778" s="3" t="s">
        <v>73</v>
      </c>
    </row>
    <row r="779" spans="4:4" ht="17.649999999999999" x14ac:dyDescent="0.5">
      <c r="D779" s="3" t="s">
        <v>57</v>
      </c>
    </row>
    <row r="780" spans="4:4" ht="17.649999999999999" x14ac:dyDescent="0.5">
      <c r="D780" s="3" t="s">
        <v>93</v>
      </c>
    </row>
    <row r="781" spans="4:4" ht="17.649999999999999" x14ac:dyDescent="0.5">
      <c r="D781" s="3" t="s">
        <v>96</v>
      </c>
    </row>
    <row r="782" spans="4:4" ht="17.649999999999999" x14ac:dyDescent="0.5">
      <c r="D782" s="3" t="s">
        <v>94</v>
      </c>
    </row>
    <row r="783" spans="4:4" ht="17.649999999999999" x14ac:dyDescent="0.5">
      <c r="D783" s="3" t="s">
        <v>47</v>
      </c>
    </row>
    <row r="784" spans="4:4" ht="17.649999999999999" x14ac:dyDescent="0.5">
      <c r="D784" s="3" t="s">
        <v>115</v>
      </c>
    </row>
    <row r="785" spans="4:4" ht="17.649999999999999" x14ac:dyDescent="0.5">
      <c r="D785" s="3" t="s">
        <v>103</v>
      </c>
    </row>
    <row r="786" spans="4:4" ht="17.649999999999999" x14ac:dyDescent="0.5">
      <c r="D786" s="3" t="s">
        <v>49</v>
      </c>
    </row>
    <row r="787" spans="4:4" ht="17.649999999999999" x14ac:dyDescent="0.5">
      <c r="D787" s="3" t="s">
        <v>135</v>
      </c>
    </row>
    <row r="788" spans="4:4" ht="17.649999999999999" x14ac:dyDescent="0.5">
      <c r="D788" s="3" t="s">
        <v>268</v>
      </c>
    </row>
    <row r="789" spans="4:4" ht="17.649999999999999" x14ac:dyDescent="0.5">
      <c r="D789" s="3" t="s">
        <v>63</v>
      </c>
    </row>
    <row r="790" spans="4:4" ht="17.649999999999999" x14ac:dyDescent="0.5">
      <c r="D790" s="3" t="s">
        <v>105</v>
      </c>
    </row>
    <row r="791" spans="4:4" ht="17.649999999999999" x14ac:dyDescent="0.5">
      <c r="D791" s="3" t="s">
        <v>69</v>
      </c>
    </row>
    <row r="792" spans="4:4" ht="17.649999999999999" x14ac:dyDescent="0.5">
      <c r="D792" s="3" t="s">
        <v>108</v>
      </c>
    </row>
    <row r="793" spans="4:4" ht="17.649999999999999" x14ac:dyDescent="0.5">
      <c r="D793" s="3" t="s">
        <v>115</v>
      </c>
    </row>
    <row r="794" spans="4:4" ht="17.649999999999999" x14ac:dyDescent="0.5">
      <c r="D794" s="3" t="s">
        <v>43</v>
      </c>
    </row>
    <row r="795" spans="4:4" ht="17.649999999999999" x14ac:dyDescent="0.5">
      <c r="D795" s="3" t="s">
        <v>47</v>
      </c>
    </row>
    <row r="796" spans="4:4" ht="17.649999999999999" x14ac:dyDescent="0.5">
      <c r="D796" s="3" t="s">
        <v>103</v>
      </c>
    </row>
    <row r="797" spans="4:4" ht="17.649999999999999" x14ac:dyDescent="0.5">
      <c r="D797" s="3" t="s">
        <v>82</v>
      </c>
    </row>
    <row r="798" spans="4:4" ht="17.649999999999999" x14ac:dyDescent="0.5">
      <c r="D798" s="3" t="s">
        <v>109</v>
      </c>
    </row>
    <row r="799" spans="4:4" ht="17.649999999999999" x14ac:dyDescent="0.5">
      <c r="D799" s="3" t="s">
        <v>75</v>
      </c>
    </row>
    <row r="800" spans="4:4" ht="17.649999999999999" x14ac:dyDescent="0.5">
      <c r="D800" s="3" t="s">
        <v>88</v>
      </c>
    </row>
    <row r="801" spans="4:4" ht="17.649999999999999" x14ac:dyDescent="0.5">
      <c r="D801" s="3" t="s">
        <v>104</v>
      </c>
    </row>
    <row r="802" spans="4:4" ht="17.649999999999999" x14ac:dyDescent="0.5">
      <c r="D802" s="3" t="s">
        <v>135</v>
      </c>
    </row>
    <row r="803" spans="4:4" ht="17.649999999999999" x14ac:dyDescent="0.5">
      <c r="D803" s="3" t="s">
        <v>107</v>
      </c>
    </row>
    <row r="804" spans="4:4" ht="17.649999999999999" x14ac:dyDescent="0.5">
      <c r="D804" s="3" t="s">
        <v>108</v>
      </c>
    </row>
    <row r="805" spans="4:4" ht="17.649999999999999" x14ac:dyDescent="0.5">
      <c r="D805" s="3" t="s">
        <v>96</v>
      </c>
    </row>
    <row r="806" spans="4:4" ht="17.649999999999999" x14ac:dyDescent="0.5">
      <c r="D806" s="3" t="s">
        <v>45</v>
      </c>
    </row>
    <row r="807" spans="4:4" ht="17.649999999999999" x14ac:dyDescent="0.5">
      <c r="D807" s="3" t="s">
        <v>61</v>
      </c>
    </row>
    <row r="808" spans="4:4" ht="17.649999999999999" x14ac:dyDescent="0.5">
      <c r="D808" s="3" t="s">
        <v>127</v>
      </c>
    </row>
    <row r="809" spans="4:4" ht="17.649999999999999" x14ac:dyDescent="0.5">
      <c r="D809" s="3" t="s">
        <v>323</v>
      </c>
    </row>
    <row r="810" spans="4:4" ht="17.649999999999999" x14ac:dyDescent="0.5">
      <c r="D810" s="3" t="s">
        <v>51</v>
      </c>
    </row>
    <row r="811" spans="4:4" ht="17.649999999999999" x14ac:dyDescent="0.5">
      <c r="D811" s="3" t="s">
        <v>75</v>
      </c>
    </row>
    <row r="812" spans="4:4" ht="17.649999999999999" x14ac:dyDescent="0.5">
      <c r="D812" s="3" t="s">
        <v>91</v>
      </c>
    </row>
    <row r="813" spans="4:4" ht="17.649999999999999" x14ac:dyDescent="0.5">
      <c r="D813" s="3" t="s">
        <v>43</v>
      </c>
    </row>
    <row r="814" spans="4:4" ht="17.649999999999999" x14ac:dyDescent="0.5">
      <c r="D814" s="3" t="s">
        <v>44</v>
      </c>
    </row>
    <row r="815" spans="4:4" ht="17.649999999999999" x14ac:dyDescent="0.5">
      <c r="D815" s="3" t="s">
        <v>75</v>
      </c>
    </row>
    <row r="816" spans="4:4" ht="17.649999999999999" x14ac:dyDescent="0.5">
      <c r="D816" s="3" t="s">
        <v>100</v>
      </c>
    </row>
    <row r="817" spans="4:4" ht="17.649999999999999" x14ac:dyDescent="0.5">
      <c r="D817" s="3" t="s">
        <v>69</v>
      </c>
    </row>
    <row r="818" spans="4:4" ht="17.649999999999999" x14ac:dyDescent="0.5">
      <c r="D818" s="3" t="s">
        <v>41</v>
      </c>
    </row>
    <row r="819" spans="4:4" ht="17.649999999999999" x14ac:dyDescent="0.5">
      <c r="D819" s="3" t="s">
        <v>63</v>
      </c>
    </row>
    <row r="820" spans="4:4" ht="17.649999999999999" x14ac:dyDescent="0.5">
      <c r="D820" s="3" t="s">
        <v>85</v>
      </c>
    </row>
    <row r="821" spans="4:4" ht="17.649999999999999" x14ac:dyDescent="0.5">
      <c r="D821" s="3" t="s">
        <v>130</v>
      </c>
    </row>
    <row r="822" spans="4:4" ht="17.649999999999999" x14ac:dyDescent="0.5">
      <c r="D822" s="3" t="s">
        <v>106</v>
      </c>
    </row>
    <row r="823" spans="4:4" ht="17.649999999999999" x14ac:dyDescent="0.5">
      <c r="D823" s="3" t="s">
        <v>59</v>
      </c>
    </row>
    <row r="824" spans="4:4" ht="17.649999999999999" x14ac:dyDescent="0.5">
      <c r="D824" s="3" t="s">
        <v>112</v>
      </c>
    </row>
    <row r="825" spans="4:4" ht="17.649999999999999" x14ac:dyDescent="0.5">
      <c r="D825" s="3" t="s">
        <v>293</v>
      </c>
    </row>
    <row r="826" spans="4:4" ht="17.649999999999999" x14ac:dyDescent="0.5">
      <c r="D826" s="3" t="s">
        <v>90</v>
      </c>
    </row>
    <row r="827" spans="4:4" ht="17.649999999999999" x14ac:dyDescent="0.5">
      <c r="D827" s="3" t="s">
        <v>47</v>
      </c>
    </row>
    <row r="828" spans="4:4" ht="17.649999999999999" x14ac:dyDescent="0.5">
      <c r="D828" s="3" t="s">
        <v>115</v>
      </c>
    </row>
    <row r="829" spans="4:4" ht="17.649999999999999" x14ac:dyDescent="0.5">
      <c r="D829" s="3" t="s">
        <v>250</v>
      </c>
    </row>
    <row r="830" spans="4:4" ht="17.649999999999999" x14ac:dyDescent="0.5">
      <c r="D830" s="3" t="s">
        <v>96</v>
      </c>
    </row>
    <row r="831" spans="4:4" ht="17.649999999999999" x14ac:dyDescent="0.5">
      <c r="D831" s="3" t="s">
        <v>77</v>
      </c>
    </row>
    <row r="832" spans="4:4" ht="17.649999999999999" x14ac:dyDescent="0.5">
      <c r="D832" s="3" t="s">
        <v>62</v>
      </c>
    </row>
    <row r="833" spans="4:4" ht="17.649999999999999" x14ac:dyDescent="0.5">
      <c r="D833" s="3" t="s">
        <v>74</v>
      </c>
    </row>
    <row r="834" spans="4:4" ht="17.649999999999999" x14ac:dyDescent="0.5">
      <c r="D834" s="3" t="s">
        <v>114</v>
      </c>
    </row>
    <row r="835" spans="4:4" ht="17.649999999999999" x14ac:dyDescent="0.5">
      <c r="D835" s="3" t="s">
        <v>94</v>
      </c>
    </row>
    <row r="836" spans="4:4" ht="17.649999999999999" x14ac:dyDescent="0.5">
      <c r="D836" s="3" t="s">
        <v>294</v>
      </c>
    </row>
    <row r="837" spans="4:4" ht="17.649999999999999" x14ac:dyDescent="0.5">
      <c r="D837" s="3" t="s">
        <v>103</v>
      </c>
    </row>
    <row r="838" spans="4:4" ht="17.649999999999999" x14ac:dyDescent="0.5">
      <c r="D838" s="3" t="s">
        <v>117</v>
      </c>
    </row>
    <row r="839" spans="4:4" ht="17.649999999999999" x14ac:dyDescent="0.5">
      <c r="D839" s="3" t="s">
        <v>90</v>
      </c>
    </row>
    <row r="840" spans="4:4" ht="17.649999999999999" x14ac:dyDescent="0.5">
      <c r="D840" s="3" t="s">
        <v>253</v>
      </c>
    </row>
    <row r="841" spans="4:4" ht="17.649999999999999" x14ac:dyDescent="0.5">
      <c r="D841" s="3" t="s">
        <v>127</v>
      </c>
    </row>
    <row r="842" spans="4:4" ht="17.649999999999999" x14ac:dyDescent="0.5">
      <c r="D842" s="3" t="s">
        <v>112</v>
      </c>
    </row>
    <row r="843" spans="4:4" ht="17.649999999999999" x14ac:dyDescent="0.5">
      <c r="D843" s="3" t="s">
        <v>51</v>
      </c>
    </row>
    <row r="844" spans="4:4" ht="17.649999999999999" x14ac:dyDescent="0.5">
      <c r="D844" s="3" t="s">
        <v>120</v>
      </c>
    </row>
    <row r="845" spans="4:4" ht="17.649999999999999" x14ac:dyDescent="0.5">
      <c r="D845" s="3" t="s">
        <v>89</v>
      </c>
    </row>
    <row r="846" spans="4:4" ht="17.649999999999999" x14ac:dyDescent="0.5">
      <c r="D846" s="3" t="s">
        <v>83</v>
      </c>
    </row>
    <row r="847" spans="4:4" ht="17.649999999999999" x14ac:dyDescent="0.5">
      <c r="D847" s="3" t="s">
        <v>47</v>
      </c>
    </row>
    <row r="848" spans="4:4" ht="17.649999999999999" x14ac:dyDescent="0.5">
      <c r="D848" s="3" t="s">
        <v>117</v>
      </c>
    </row>
    <row r="849" spans="4:4" ht="17.649999999999999" x14ac:dyDescent="0.5">
      <c r="D849" s="3" t="s">
        <v>111</v>
      </c>
    </row>
    <row r="850" spans="4:4" ht="17.649999999999999" x14ac:dyDescent="0.5">
      <c r="D850" s="3" t="s">
        <v>94</v>
      </c>
    </row>
    <row r="851" spans="4:4" ht="17.649999999999999" x14ac:dyDescent="0.5">
      <c r="D851" s="3" t="s">
        <v>90</v>
      </c>
    </row>
    <row r="852" spans="4:4" ht="17.649999999999999" x14ac:dyDescent="0.5">
      <c r="D852" s="3" t="s">
        <v>96</v>
      </c>
    </row>
    <row r="853" spans="4:4" ht="17.649999999999999" x14ac:dyDescent="0.5">
      <c r="D853" s="3" t="s">
        <v>66</v>
      </c>
    </row>
    <row r="854" spans="4:4" ht="17.649999999999999" x14ac:dyDescent="0.5">
      <c r="D854" s="3" t="s">
        <v>47</v>
      </c>
    </row>
    <row r="855" spans="4:4" ht="17.649999999999999" x14ac:dyDescent="0.5">
      <c r="D855" s="3" t="s">
        <v>45</v>
      </c>
    </row>
    <row r="856" spans="4:4" ht="17.649999999999999" x14ac:dyDescent="0.5">
      <c r="D856" s="3" t="s">
        <v>64</v>
      </c>
    </row>
    <row r="857" spans="4:4" ht="17.649999999999999" x14ac:dyDescent="0.5">
      <c r="D857" s="3" t="s">
        <v>87</v>
      </c>
    </row>
    <row r="858" spans="4:4" ht="17.649999999999999" x14ac:dyDescent="0.5">
      <c r="D858" s="3" t="s">
        <v>115</v>
      </c>
    </row>
    <row r="859" spans="4:4" ht="17.649999999999999" x14ac:dyDescent="0.5">
      <c r="D859" s="3" t="s">
        <v>83</v>
      </c>
    </row>
    <row r="860" spans="4:4" ht="17.649999999999999" x14ac:dyDescent="0.5">
      <c r="D860" s="3" t="s">
        <v>132</v>
      </c>
    </row>
    <row r="861" spans="4:4" ht="17.649999999999999" x14ac:dyDescent="0.5">
      <c r="D861" s="3" t="s">
        <v>66</v>
      </c>
    </row>
    <row r="862" spans="4:4" ht="17.649999999999999" x14ac:dyDescent="0.5">
      <c r="D862" s="3" t="s">
        <v>80</v>
      </c>
    </row>
    <row r="863" spans="4:4" ht="17.649999999999999" x14ac:dyDescent="0.5">
      <c r="D863" s="3" t="s">
        <v>43</v>
      </c>
    </row>
    <row r="864" spans="4:4" ht="17.649999999999999" x14ac:dyDescent="0.5">
      <c r="D864" s="3" t="s">
        <v>64</v>
      </c>
    </row>
    <row r="865" spans="4:4" ht="17.649999999999999" x14ac:dyDescent="0.5">
      <c r="D865" s="3" t="s">
        <v>86</v>
      </c>
    </row>
    <row r="866" spans="4:4" ht="17.649999999999999" x14ac:dyDescent="0.5">
      <c r="D866" s="3" t="s">
        <v>106</v>
      </c>
    </row>
    <row r="867" spans="4:4" ht="17.649999999999999" x14ac:dyDescent="0.5">
      <c r="D867" s="3" t="s">
        <v>114</v>
      </c>
    </row>
    <row r="868" spans="4:4" ht="17.649999999999999" x14ac:dyDescent="0.5">
      <c r="D868" s="3" t="s">
        <v>87</v>
      </c>
    </row>
    <row r="869" spans="4:4" ht="17.649999999999999" x14ac:dyDescent="0.5">
      <c r="D869" s="3" t="s">
        <v>90</v>
      </c>
    </row>
    <row r="870" spans="4:4" ht="17.649999999999999" x14ac:dyDescent="0.5">
      <c r="D870" s="3" t="s">
        <v>75</v>
      </c>
    </row>
    <row r="871" spans="4:4" ht="17.649999999999999" x14ac:dyDescent="0.5">
      <c r="D871" s="3" t="s">
        <v>51</v>
      </c>
    </row>
    <row r="872" spans="4:4" ht="17.649999999999999" x14ac:dyDescent="0.5">
      <c r="D872" s="3" t="s">
        <v>55</v>
      </c>
    </row>
    <row r="873" spans="4:4" ht="17.649999999999999" x14ac:dyDescent="0.5">
      <c r="D873" s="3" t="s">
        <v>67</v>
      </c>
    </row>
    <row r="874" spans="4:4" ht="17.649999999999999" x14ac:dyDescent="0.5">
      <c r="D874" s="3" t="s">
        <v>111</v>
      </c>
    </row>
    <row r="875" spans="4:4" ht="17.649999999999999" x14ac:dyDescent="0.5">
      <c r="D875" s="3" t="s">
        <v>131</v>
      </c>
    </row>
    <row r="876" spans="4:4" ht="17.649999999999999" x14ac:dyDescent="0.5">
      <c r="D876" s="3" t="s">
        <v>101</v>
      </c>
    </row>
    <row r="877" spans="4:4" ht="17.649999999999999" x14ac:dyDescent="0.5">
      <c r="D877" s="3" t="s">
        <v>117</v>
      </c>
    </row>
    <row r="878" spans="4:4" ht="17.649999999999999" x14ac:dyDescent="0.5">
      <c r="D878" s="3" t="s">
        <v>66</v>
      </c>
    </row>
    <row r="879" spans="4:4" ht="17.649999999999999" x14ac:dyDescent="0.5">
      <c r="D879" s="3" t="s">
        <v>296</v>
      </c>
    </row>
    <row r="880" spans="4:4" ht="17.649999999999999" x14ac:dyDescent="0.5">
      <c r="D880" s="3" t="s">
        <v>172</v>
      </c>
    </row>
    <row r="881" spans="4:4" ht="17.649999999999999" x14ac:dyDescent="0.5">
      <c r="D881" s="3" t="s">
        <v>108</v>
      </c>
    </row>
    <row r="882" spans="4:4" ht="17.649999999999999" x14ac:dyDescent="0.5">
      <c r="D882" s="3" t="s">
        <v>173</v>
      </c>
    </row>
    <row r="883" spans="4:4" ht="17.649999999999999" x14ac:dyDescent="0.5">
      <c r="D883" s="3" t="s">
        <v>103</v>
      </c>
    </row>
    <row r="884" spans="4:4" ht="17.649999999999999" x14ac:dyDescent="0.5">
      <c r="D884" s="3" t="s">
        <v>117</v>
      </c>
    </row>
    <row r="885" spans="4:4" ht="17.649999999999999" x14ac:dyDescent="0.5">
      <c r="D885" s="3" t="s">
        <v>182</v>
      </c>
    </row>
    <row r="886" spans="4:4" ht="17.649999999999999" x14ac:dyDescent="0.5">
      <c r="D886" s="3" t="s">
        <v>131</v>
      </c>
    </row>
    <row r="887" spans="4:4" ht="17.649999999999999" x14ac:dyDescent="0.5">
      <c r="D887" s="3" t="s">
        <v>74</v>
      </c>
    </row>
    <row r="888" spans="4:4" ht="17.649999999999999" x14ac:dyDescent="0.5">
      <c r="D888" s="3" t="s">
        <v>83</v>
      </c>
    </row>
    <row r="889" spans="4:4" ht="17.649999999999999" x14ac:dyDescent="0.5">
      <c r="D889" s="3" t="s">
        <v>50</v>
      </c>
    </row>
    <row r="890" spans="4:4" ht="17.649999999999999" x14ac:dyDescent="0.5">
      <c r="D890" s="3" t="s">
        <v>111</v>
      </c>
    </row>
    <row r="891" spans="4:4" ht="17.649999999999999" x14ac:dyDescent="0.5">
      <c r="D891" s="3" t="s">
        <v>46</v>
      </c>
    </row>
    <row r="892" spans="4:4" ht="17.649999999999999" x14ac:dyDescent="0.5">
      <c r="D892" s="3" t="s">
        <v>83</v>
      </c>
    </row>
    <row r="893" spans="4:4" ht="17.649999999999999" x14ac:dyDescent="0.5">
      <c r="D893" s="3" t="s">
        <v>91</v>
      </c>
    </row>
    <row r="894" spans="4:4" ht="17.649999999999999" x14ac:dyDescent="0.5">
      <c r="D894" s="3" t="s">
        <v>311</v>
      </c>
    </row>
    <row r="895" spans="4:4" ht="17.649999999999999" x14ac:dyDescent="0.5">
      <c r="D895" s="3" t="s">
        <v>43</v>
      </c>
    </row>
    <row r="896" spans="4:4" ht="17.649999999999999" x14ac:dyDescent="0.5">
      <c r="D896" s="3" t="s">
        <v>127</v>
      </c>
    </row>
    <row r="897" spans="4:4" ht="17.649999999999999" x14ac:dyDescent="0.5">
      <c r="D897" s="3" t="s">
        <v>46</v>
      </c>
    </row>
    <row r="898" spans="4:4" ht="17.649999999999999" x14ac:dyDescent="0.5">
      <c r="D898" s="3" t="s">
        <v>118</v>
      </c>
    </row>
    <row r="899" spans="4:4" ht="17.649999999999999" x14ac:dyDescent="0.5">
      <c r="D899" s="3" t="s">
        <v>312</v>
      </c>
    </row>
    <row r="900" spans="4:4" ht="17.649999999999999" x14ac:dyDescent="0.5">
      <c r="D900" s="3" t="s">
        <v>108</v>
      </c>
    </row>
    <row r="901" spans="4:4" ht="17.649999999999999" x14ac:dyDescent="0.5">
      <c r="D901" s="3" t="s">
        <v>73</v>
      </c>
    </row>
    <row r="902" spans="4:4" ht="17.649999999999999" x14ac:dyDescent="0.5">
      <c r="D902" s="3" t="s">
        <v>117</v>
      </c>
    </row>
    <row r="903" spans="4:4" ht="17.649999999999999" x14ac:dyDescent="0.5">
      <c r="D903" s="3" t="s">
        <v>120</v>
      </c>
    </row>
    <row r="904" spans="4:4" ht="17.649999999999999" x14ac:dyDescent="0.5">
      <c r="D904" s="3" t="s">
        <v>43</v>
      </c>
    </row>
    <row r="905" spans="4:4" ht="17.649999999999999" x14ac:dyDescent="0.5">
      <c r="D905" s="3" t="s">
        <v>126</v>
      </c>
    </row>
    <row r="906" spans="4:4" ht="17.649999999999999" x14ac:dyDescent="0.5">
      <c r="D906" s="3" t="s">
        <v>94</v>
      </c>
    </row>
    <row r="907" spans="4:4" ht="17.649999999999999" x14ac:dyDescent="0.5">
      <c r="D907" s="3" t="s">
        <v>44</v>
      </c>
    </row>
    <row r="908" spans="4:4" ht="17.649999999999999" x14ac:dyDescent="0.5">
      <c r="D908" s="3" t="s">
        <v>69</v>
      </c>
    </row>
    <row r="909" spans="4:4" ht="17.649999999999999" x14ac:dyDescent="0.5">
      <c r="D909" s="3" t="s">
        <v>105</v>
      </c>
    </row>
    <row r="910" spans="4:4" ht="17.649999999999999" x14ac:dyDescent="0.5">
      <c r="D910" s="3" t="s">
        <v>83</v>
      </c>
    </row>
    <row r="911" spans="4:4" ht="17.649999999999999" x14ac:dyDescent="0.5">
      <c r="D911" s="3" t="s">
        <v>101</v>
      </c>
    </row>
    <row r="912" spans="4:4" ht="17.649999999999999" x14ac:dyDescent="0.5">
      <c r="D912" s="3" t="s">
        <v>91</v>
      </c>
    </row>
    <row r="913" spans="4:4" ht="17.649999999999999" x14ac:dyDescent="0.5">
      <c r="D913" s="3" t="s">
        <v>80</v>
      </c>
    </row>
    <row r="914" spans="4:4" ht="17.649999999999999" x14ac:dyDescent="0.5">
      <c r="D914" s="3" t="s">
        <v>67</v>
      </c>
    </row>
    <row r="915" spans="4:4" ht="17.649999999999999" x14ac:dyDescent="0.5">
      <c r="D915" s="3" t="s">
        <v>64</v>
      </c>
    </row>
    <row r="916" spans="4:4" ht="17.649999999999999" x14ac:dyDescent="0.5">
      <c r="D916" s="3" t="s">
        <v>82</v>
      </c>
    </row>
    <row r="917" spans="4:4" ht="17.649999999999999" x14ac:dyDescent="0.5">
      <c r="D917" s="3" t="s">
        <v>63</v>
      </c>
    </row>
    <row r="918" spans="4:4" ht="17.649999999999999" x14ac:dyDescent="0.5">
      <c r="D918" s="3" t="s">
        <v>259</v>
      </c>
    </row>
    <row r="919" spans="4:4" ht="17.649999999999999" x14ac:dyDescent="0.5">
      <c r="D919" s="3" t="s">
        <v>67</v>
      </c>
    </row>
    <row r="920" spans="4:4" ht="17.649999999999999" x14ac:dyDescent="0.5">
      <c r="D920" s="3" t="s">
        <v>187</v>
      </c>
    </row>
    <row r="921" spans="4:4" ht="17.649999999999999" x14ac:dyDescent="0.5">
      <c r="D921" s="3" t="s">
        <v>47</v>
      </c>
    </row>
    <row r="922" spans="4:4" ht="17.649999999999999" x14ac:dyDescent="0.5">
      <c r="D922" s="3" t="s">
        <v>55</v>
      </c>
    </row>
    <row r="923" spans="4:4" ht="17.649999999999999" x14ac:dyDescent="0.5">
      <c r="D923" s="3" t="s">
        <v>49</v>
      </c>
    </row>
    <row r="924" spans="4:4" ht="17.649999999999999" x14ac:dyDescent="0.5">
      <c r="D924" s="3" t="s">
        <v>260</v>
      </c>
    </row>
    <row r="925" spans="4:4" ht="17.649999999999999" x14ac:dyDescent="0.5">
      <c r="D925" s="3" t="s">
        <v>66</v>
      </c>
    </row>
    <row r="926" spans="4:4" ht="17.649999999999999" x14ac:dyDescent="0.5">
      <c r="D926" s="3" t="s">
        <v>73</v>
      </c>
    </row>
    <row r="927" spans="4:4" ht="17.649999999999999" x14ac:dyDescent="0.5">
      <c r="D927" s="3" t="s">
        <v>73</v>
      </c>
    </row>
    <row r="928" spans="4:4" ht="17.649999999999999" x14ac:dyDescent="0.5">
      <c r="D928" s="3" t="s">
        <v>90</v>
      </c>
    </row>
    <row r="929" spans="4:4" ht="17.649999999999999" x14ac:dyDescent="0.5">
      <c r="D929" s="3" t="s">
        <v>188</v>
      </c>
    </row>
    <row r="930" spans="4:4" ht="17.649999999999999" x14ac:dyDescent="0.5">
      <c r="D930" s="3" t="s">
        <v>77</v>
      </c>
    </row>
    <row r="931" spans="4:4" ht="17.649999999999999" x14ac:dyDescent="0.5">
      <c r="D931" s="3" t="s">
        <v>297</v>
      </c>
    </row>
    <row r="932" spans="4:4" ht="17.649999999999999" x14ac:dyDescent="0.5">
      <c r="D932" s="3" t="s">
        <v>75</v>
      </c>
    </row>
    <row r="933" spans="4:4" ht="17.649999999999999" x14ac:dyDescent="0.5">
      <c r="D933" s="3" t="s">
        <v>69</v>
      </c>
    </row>
    <row r="934" spans="4:4" ht="17.649999999999999" x14ac:dyDescent="0.5">
      <c r="D934" s="3" t="s">
        <v>88</v>
      </c>
    </row>
    <row r="935" spans="4:4" ht="17.649999999999999" x14ac:dyDescent="0.5">
      <c r="D935" s="3" t="s">
        <v>46</v>
      </c>
    </row>
    <row r="936" spans="4:4" ht="17.649999999999999" x14ac:dyDescent="0.5">
      <c r="D936" s="3" t="s">
        <v>51</v>
      </c>
    </row>
    <row r="937" spans="4:4" ht="17.649999999999999" x14ac:dyDescent="0.5">
      <c r="D937" s="3" t="s">
        <v>54</v>
      </c>
    </row>
    <row r="938" spans="4:4" ht="17.649999999999999" x14ac:dyDescent="0.5">
      <c r="D938" s="3" t="s">
        <v>59</v>
      </c>
    </row>
    <row r="939" spans="4:4" ht="17.649999999999999" x14ac:dyDescent="0.5">
      <c r="D939" s="3" t="s">
        <v>48</v>
      </c>
    </row>
    <row r="940" spans="4:4" ht="17.649999999999999" x14ac:dyDescent="0.5">
      <c r="D940" s="3" t="s">
        <v>80</v>
      </c>
    </row>
    <row r="941" spans="4:4" ht="17.649999999999999" x14ac:dyDescent="0.5">
      <c r="D941" s="3" t="s">
        <v>56</v>
      </c>
    </row>
    <row r="942" spans="4:4" ht="17.649999999999999" x14ac:dyDescent="0.5">
      <c r="D942" s="3" t="s">
        <v>112</v>
      </c>
    </row>
    <row r="943" spans="4:4" ht="17.649999999999999" x14ac:dyDescent="0.5">
      <c r="D943" s="3" t="s">
        <v>86</v>
      </c>
    </row>
    <row r="944" spans="4:4" ht="17.649999999999999" x14ac:dyDescent="0.5">
      <c r="D944" s="3" t="s">
        <v>65</v>
      </c>
    </row>
    <row r="945" spans="4:4" ht="17.649999999999999" x14ac:dyDescent="0.5">
      <c r="D945" s="3" t="s">
        <v>56</v>
      </c>
    </row>
    <row r="946" spans="4:4" ht="17.649999999999999" x14ac:dyDescent="0.5">
      <c r="D946" s="3" t="s">
        <v>43</v>
      </c>
    </row>
    <row r="947" spans="4:4" ht="17.649999999999999" x14ac:dyDescent="0.5">
      <c r="D947" s="3" t="s">
        <v>76</v>
      </c>
    </row>
    <row r="948" spans="4:4" ht="17.649999999999999" x14ac:dyDescent="0.5">
      <c r="D948" s="3" t="s">
        <v>192</v>
      </c>
    </row>
    <row r="949" spans="4:4" ht="17.649999999999999" x14ac:dyDescent="0.5">
      <c r="D949" s="3" t="s">
        <v>91</v>
      </c>
    </row>
    <row r="950" spans="4:4" ht="17.649999999999999" x14ac:dyDescent="0.5">
      <c r="D950" s="3" t="s">
        <v>48</v>
      </c>
    </row>
    <row r="951" spans="4:4" ht="17.649999999999999" x14ac:dyDescent="0.5">
      <c r="D951" s="3" t="s">
        <v>103</v>
      </c>
    </row>
    <row r="952" spans="4:4" ht="17.649999999999999" x14ac:dyDescent="0.5">
      <c r="D952" s="3" t="s">
        <v>63</v>
      </c>
    </row>
    <row r="953" spans="4:4" ht="17.649999999999999" x14ac:dyDescent="0.5">
      <c r="D953" s="3" t="s">
        <v>193</v>
      </c>
    </row>
    <row r="954" spans="4:4" ht="17.649999999999999" x14ac:dyDescent="0.5">
      <c r="D954" s="3" t="s">
        <v>189</v>
      </c>
    </row>
    <row r="955" spans="4:4" ht="17.649999999999999" x14ac:dyDescent="0.5">
      <c r="D955" s="3" t="s">
        <v>100</v>
      </c>
    </row>
    <row r="956" spans="4:4" ht="17.649999999999999" x14ac:dyDescent="0.5">
      <c r="D956" s="3" t="s">
        <v>48</v>
      </c>
    </row>
    <row r="957" spans="4:4" ht="17.649999999999999" x14ac:dyDescent="0.5">
      <c r="D957" s="3" t="s">
        <v>49</v>
      </c>
    </row>
    <row r="958" spans="4:4" ht="17.649999999999999" x14ac:dyDescent="0.5">
      <c r="D958" s="3" t="s">
        <v>299</v>
      </c>
    </row>
    <row r="959" spans="4:4" ht="17.649999999999999" x14ac:dyDescent="0.5">
      <c r="D959" s="3" t="s">
        <v>96</v>
      </c>
    </row>
    <row r="960" spans="4:4" ht="17.649999999999999" x14ac:dyDescent="0.5">
      <c r="D960" s="3" t="s">
        <v>56</v>
      </c>
    </row>
    <row r="961" spans="4:4" ht="17.649999999999999" x14ac:dyDescent="0.5">
      <c r="D961" s="3" t="s">
        <v>91</v>
      </c>
    </row>
    <row r="962" spans="4:4" ht="17.649999999999999" x14ac:dyDescent="0.5">
      <c r="D962" s="3" t="s">
        <v>113</v>
      </c>
    </row>
    <row r="963" spans="4:4" ht="17.649999999999999" x14ac:dyDescent="0.5">
      <c r="D963" s="3" t="s">
        <v>94</v>
      </c>
    </row>
    <row r="964" spans="4:4" ht="17.649999999999999" x14ac:dyDescent="0.5">
      <c r="D964" s="3" t="s">
        <v>74</v>
      </c>
    </row>
    <row r="965" spans="4:4" ht="17.649999999999999" x14ac:dyDescent="0.5">
      <c r="D965" s="3" t="s">
        <v>76</v>
      </c>
    </row>
    <row r="966" spans="4:4" ht="17.649999999999999" x14ac:dyDescent="0.5">
      <c r="D966" s="3" t="s">
        <v>67</v>
      </c>
    </row>
    <row r="967" spans="4:4" ht="17.649999999999999" x14ac:dyDescent="0.5">
      <c r="D967" s="3" t="s">
        <v>63</v>
      </c>
    </row>
    <row r="968" spans="4:4" ht="17.649999999999999" x14ac:dyDescent="0.5">
      <c r="D968" s="3" t="s">
        <v>74</v>
      </c>
    </row>
    <row r="969" spans="4:4" ht="17.649999999999999" x14ac:dyDescent="0.5">
      <c r="D969" s="3" t="s">
        <v>119</v>
      </c>
    </row>
    <row r="970" spans="4:4" ht="17.649999999999999" x14ac:dyDescent="0.5">
      <c r="D970" s="3" t="s">
        <v>105</v>
      </c>
    </row>
    <row r="971" spans="4:4" ht="17.649999999999999" x14ac:dyDescent="0.5">
      <c r="D971" s="3" t="s">
        <v>41</v>
      </c>
    </row>
    <row r="972" spans="4:4" ht="17.649999999999999" x14ac:dyDescent="0.5">
      <c r="D972" s="3" t="s">
        <v>117</v>
      </c>
    </row>
    <row r="973" spans="4:4" ht="17.649999999999999" x14ac:dyDescent="0.5">
      <c r="D973" s="3" t="s">
        <v>52</v>
      </c>
    </row>
    <row r="974" spans="4:4" ht="17.649999999999999" x14ac:dyDescent="0.5">
      <c r="D974" s="3" t="s">
        <v>105</v>
      </c>
    </row>
    <row r="975" spans="4:4" ht="17.649999999999999" x14ac:dyDescent="0.5">
      <c r="D975" s="3" t="s">
        <v>41</v>
      </c>
    </row>
    <row r="976" spans="4:4" ht="17.649999999999999" x14ac:dyDescent="0.5">
      <c r="D976" s="3" t="s">
        <v>273</v>
      </c>
    </row>
    <row r="977" spans="4:4" ht="17.649999999999999" x14ac:dyDescent="0.5">
      <c r="D977" s="3" t="s">
        <v>66</v>
      </c>
    </row>
    <row r="978" spans="4:4" ht="17.649999999999999" x14ac:dyDescent="0.5">
      <c r="D978" s="3" t="s">
        <v>100</v>
      </c>
    </row>
    <row r="979" spans="4:4" ht="17.649999999999999" x14ac:dyDescent="0.5">
      <c r="D979" s="3" t="s">
        <v>50</v>
      </c>
    </row>
    <row r="980" spans="4:4" ht="17.649999999999999" x14ac:dyDescent="0.5">
      <c r="D980" s="3" t="s">
        <v>98</v>
      </c>
    </row>
    <row r="981" spans="4:4" ht="17.649999999999999" x14ac:dyDescent="0.5">
      <c r="D981" s="3" t="s">
        <v>46</v>
      </c>
    </row>
    <row r="982" spans="4:4" ht="17.649999999999999" x14ac:dyDescent="0.5">
      <c r="D982" s="3" t="s">
        <v>46</v>
      </c>
    </row>
    <row r="983" spans="4:4" ht="17.649999999999999" x14ac:dyDescent="0.5">
      <c r="D983" s="3" t="s">
        <v>77</v>
      </c>
    </row>
    <row r="984" spans="4:4" ht="17.649999999999999" x14ac:dyDescent="0.5">
      <c r="D984" s="3" t="s">
        <v>79</v>
      </c>
    </row>
    <row r="985" spans="4:4" ht="17.649999999999999" x14ac:dyDescent="0.5">
      <c r="D985" s="3" t="s">
        <v>73</v>
      </c>
    </row>
    <row r="986" spans="4:4" ht="17.649999999999999" x14ac:dyDescent="0.5">
      <c r="D986" s="3" t="s">
        <v>83</v>
      </c>
    </row>
    <row r="987" spans="4:4" ht="17.649999999999999" x14ac:dyDescent="0.5">
      <c r="D987" s="3" t="s">
        <v>85</v>
      </c>
    </row>
    <row r="988" spans="4:4" ht="17.649999999999999" x14ac:dyDescent="0.5">
      <c r="D988" s="3" t="s">
        <v>130</v>
      </c>
    </row>
    <row r="989" spans="4:4" ht="17.649999999999999" x14ac:dyDescent="0.5">
      <c r="D989" s="3" t="s">
        <v>200</v>
      </c>
    </row>
    <row r="990" spans="4:4" ht="17.649999999999999" x14ac:dyDescent="0.5">
      <c r="D990" s="3" t="s">
        <v>74</v>
      </c>
    </row>
    <row r="991" spans="4:4" ht="17.649999999999999" x14ac:dyDescent="0.5">
      <c r="D991" s="3" t="s">
        <v>194</v>
      </c>
    </row>
    <row r="992" spans="4:4" ht="17.649999999999999" x14ac:dyDescent="0.5">
      <c r="D992" s="3" t="s">
        <v>41</v>
      </c>
    </row>
    <row r="993" spans="4:4" ht="17.649999999999999" x14ac:dyDescent="0.5">
      <c r="D993" s="3" t="s">
        <v>43</v>
      </c>
    </row>
    <row r="994" spans="4:4" ht="17.649999999999999" x14ac:dyDescent="0.5">
      <c r="D994" s="3" t="s">
        <v>324</v>
      </c>
    </row>
    <row r="995" spans="4:4" ht="17.649999999999999" x14ac:dyDescent="0.5">
      <c r="D995" s="3" t="s">
        <v>59</v>
      </c>
    </row>
    <row r="996" spans="4:4" ht="17.649999999999999" x14ac:dyDescent="0.5">
      <c r="D996" s="3" t="s">
        <v>203</v>
      </c>
    </row>
    <row r="997" spans="4:4" ht="17.649999999999999" x14ac:dyDescent="0.5">
      <c r="D997" s="3" t="s">
        <v>195</v>
      </c>
    </row>
    <row r="998" spans="4:4" ht="17.649999999999999" x14ac:dyDescent="0.5">
      <c r="D998" s="3" t="s">
        <v>65</v>
      </c>
    </row>
    <row r="999" spans="4:4" ht="17.649999999999999" x14ac:dyDescent="0.5">
      <c r="D999" s="3" t="s">
        <v>199</v>
      </c>
    </row>
    <row r="1000" spans="4:4" ht="17.649999999999999" x14ac:dyDescent="0.5">
      <c r="D1000" s="3" t="s">
        <v>80</v>
      </c>
    </row>
    <row r="1001" spans="4:4" ht="17.649999999999999" x14ac:dyDescent="0.5">
      <c r="D1001" s="3" t="s">
        <v>135</v>
      </c>
    </row>
    <row r="1002" spans="4:4" ht="17.649999999999999" x14ac:dyDescent="0.5">
      <c r="D1002" s="3" t="s">
        <v>53</v>
      </c>
    </row>
    <row r="1003" spans="4:4" ht="17.649999999999999" x14ac:dyDescent="0.5">
      <c r="D1003" s="3" t="s">
        <v>74</v>
      </c>
    </row>
    <row r="1004" spans="4:4" ht="17.649999999999999" x14ac:dyDescent="0.5">
      <c r="D1004" s="3" t="s">
        <v>41</v>
      </c>
    </row>
    <row r="1005" spans="4:4" ht="17.649999999999999" x14ac:dyDescent="0.5">
      <c r="D1005" s="3" t="s">
        <v>52</v>
      </c>
    </row>
    <row r="1006" spans="4:4" ht="17.649999999999999" x14ac:dyDescent="0.5">
      <c r="D1006" s="3" t="s">
        <v>204</v>
      </c>
    </row>
    <row r="1007" spans="4:4" ht="17.649999999999999" x14ac:dyDescent="0.5">
      <c r="D1007" s="3" t="s">
        <v>58</v>
      </c>
    </row>
    <row r="1008" spans="4:4" ht="17.649999999999999" x14ac:dyDescent="0.5">
      <c r="D1008" s="3" t="s">
        <v>51</v>
      </c>
    </row>
    <row r="1009" spans="4:4" ht="17.649999999999999" x14ac:dyDescent="0.5">
      <c r="D1009" s="3" t="s">
        <v>52</v>
      </c>
    </row>
    <row r="1010" spans="4:4" ht="17.649999999999999" x14ac:dyDescent="0.5">
      <c r="D1010" s="3" t="s">
        <v>112</v>
      </c>
    </row>
    <row r="1011" spans="4:4" ht="17.649999999999999" x14ac:dyDescent="0.5">
      <c r="D1011" s="3" t="s">
        <v>91</v>
      </c>
    </row>
    <row r="1012" spans="4:4" ht="17.649999999999999" x14ac:dyDescent="0.5">
      <c r="D1012" s="3" t="s">
        <v>73</v>
      </c>
    </row>
    <row r="1013" spans="4:4" ht="17.649999999999999" x14ac:dyDescent="0.5">
      <c r="D1013" s="3" t="s">
        <v>80</v>
      </c>
    </row>
    <row r="1014" spans="4:4" ht="17.649999999999999" x14ac:dyDescent="0.5">
      <c r="D1014" s="3" t="s">
        <v>62</v>
      </c>
    </row>
    <row r="1015" spans="4:4" ht="17.649999999999999" x14ac:dyDescent="0.5">
      <c r="D1015" s="3" t="s">
        <v>94</v>
      </c>
    </row>
    <row r="1016" spans="4:4" ht="17.649999999999999" x14ac:dyDescent="0.5">
      <c r="D1016" s="3" t="s">
        <v>47</v>
      </c>
    </row>
    <row r="1017" spans="4:4" ht="17.649999999999999" x14ac:dyDescent="0.5">
      <c r="D1017" s="3" t="s">
        <v>68</v>
      </c>
    </row>
    <row r="1018" spans="4:4" ht="17.649999999999999" x14ac:dyDescent="0.5">
      <c r="D1018" s="3" t="s">
        <v>50</v>
      </c>
    </row>
    <row r="1019" spans="4:4" ht="17.649999999999999" x14ac:dyDescent="0.5">
      <c r="D1019" s="3" t="s">
        <v>91</v>
      </c>
    </row>
    <row r="1020" spans="4:4" ht="17.649999999999999" x14ac:dyDescent="0.5">
      <c r="D1020" s="3" t="s">
        <v>105</v>
      </c>
    </row>
    <row r="1021" spans="4:4" ht="17.649999999999999" x14ac:dyDescent="0.5">
      <c r="D1021" s="3" t="s">
        <v>96</v>
      </c>
    </row>
    <row r="1022" spans="4:4" ht="17.649999999999999" x14ac:dyDescent="0.5">
      <c r="D1022" s="3" t="s">
        <v>43</v>
      </c>
    </row>
    <row r="1023" spans="4:4" ht="17.649999999999999" x14ac:dyDescent="0.5">
      <c r="D1023" s="3" t="s">
        <v>198</v>
      </c>
    </row>
    <row r="1024" spans="4:4" ht="17.649999999999999" x14ac:dyDescent="0.5">
      <c r="D1024" s="3" t="s">
        <v>48</v>
      </c>
    </row>
    <row r="1025" spans="4:4" ht="17.649999999999999" x14ac:dyDescent="0.5">
      <c r="D1025" s="3" t="s">
        <v>96</v>
      </c>
    </row>
    <row r="1026" spans="4:4" ht="17.649999999999999" x14ac:dyDescent="0.5">
      <c r="D1026" s="3" t="s">
        <v>61</v>
      </c>
    </row>
    <row r="1027" spans="4:4" ht="17.649999999999999" x14ac:dyDescent="0.5">
      <c r="D1027" s="3" t="s">
        <v>43</v>
      </c>
    </row>
    <row r="1028" spans="4:4" ht="17.649999999999999" x14ac:dyDescent="0.5">
      <c r="D1028" s="3" t="s">
        <v>202</v>
      </c>
    </row>
    <row r="1029" spans="4:4" ht="17.649999999999999" x14ac:dyDescent="0.5">
      <c r="D1029" s="3" t="s">
        <v>91</v>
      </c>
    </row>
    <row r="1030" spans="4:4" ht="17.649999999999999" x14ac:dyDescent="0.5">
      <c r="D1030" s="3" t="s">
        <v>119</v>
      </c>
    </row>
    <row r="1031" spans="4:4" ht="17.649999999999999" x14ac:dyDescent="0.5">
      <c r="D1031" s="3" t="s">
        <v>59</v>
      </c>
    </row>
    <row r="1032" spans="4:4" ht="17.649999999999999" x14ac:dyDescent="0.5">
      <c r="D1032" s="3" t="s">
        <v>90</v>
      </c>
    </row>
    <row r="1033" spans="4:4" ht="17.649999999999999" x14ac:dyDescent="0.5">
      <c r="D1033" s="3" t="s">
        <v>60</v>
      </c>
    </row>
    <row r="1034" spans="4:4" ht="17.649999999999999" x14ac:dyDescent="0.5">
      <c r="D1034" s="3" t="s">
        <v>97</v>
      </c>
    </row>
    <row r="1035" spans="4:4" ht="17.649999999999999" x14ac:dyDescent="0.5">
      <c r="D1035" s="3" t="s">
        <v>52</v>
      </c>
    </row>
    <row r="1036" spans="4:4" ht="17.649999999999999" x14ac:dyDescent="0.5">
      <c r="D1036" s="3" t="s">
        <v>122</v>
      </c>
    </row>
    <row r="1037" spans="4:4" ht="17.649999999999999" x14ac:dyDescent="0.5">
      <c r="D1037" s="3" t="s">
        <v>205</v>
      </c>
    </row>
    <row r="1038" spans="4:4" ht="17.649999999999999" x14ac:dyDescent="0.5">
      <c r="D1038" s="3" t="s">
        <v>53</v>
      </c>
    </row>
    <row r="1039" spans="4:4" ht="17.649999999999999" x14ac:dyDescent="0.5">
      <c r="D1039" s="3" t="s">
        <v>115</v>
      </c>
    </row>
    <row r="1040" spans="4:4" ht="17.649999999999999" x14ac:dyDescent="0.5">
      <c r="D1040" s="3" t="s">
        <v>47</v>
      </c>
    </row>
    <row r="1041" spans="4:4" ht="17.649999999999999" x14ac:dyDescent="0.5">
      <c r="D1041" s="3" t="s">
        <v>301</v>
      </c>
    </row>
    <row r="1042" spans="4:4" ht="17.649999999999999" x14ac:dyDescent="0.5">
      <c r="D1042" s="3" t="s">
        <v>56</v>
      </c>
    </row>
    <row r="1043" spans="4:4" ht="17.649999999999999" x14ac:dyDescent="0.5">
      <c r="D1043" s="3" t="s">
        <v>206</v>
      </c>
    </row>
    <row r="1044" spans="4:4" ht="17.649999999999999" x14ac:dyDescent="0.5">
      <c r="D1044" s="3" t="s">
        <v>275</v>
      </c>
    </row>
    <row r="1045" spans="4:4" ht="17.649999999999999" x14ac:dyDescent="0.5">
      <c r="D1045" s="3" t="s">
        <v>51</v>
      </c>
    </row>
    <row r="1046" spans="4:4" ht="17.649999999999999" x14ac:dyDescent="0.5">
      <c r="D1046" s="3" t="s">
        <v>119</v>
      </c>
    </row>
    <row r="1047" spans="4:4" ht="17.649999999999999" x14ac:dyDescent="0.5">
      <c r="D1047" s="3" t="s">
        <v>212</v>
      </c>
    </row>
    <row r="1048" spans="4:4" ht="17.649999999999999" x14ac:dyDescent="0.5">
      <c r="D1048" s="3" t="s">
        <v>101</v>
      </c>
    </row>
    <row r="1049" spans="4:4" ht="17.649999999999999" x14ac:dyDescent="0.5">
      <c r="D1049" s="3" t="s">
        <v>302</v>
      </c>
    </row>
    <row r="1050" spans="4:4" ht="17.649999999999999" x14ac:dyDescent="0.5">
      <c r="D1050" s="3" t="s">
        <v>276</v>
      </c>
    </row>
    <row r="1051" spans="4:4" ht="17.649999999999999" x14ac:dyDescent="0.5">
      <c r="D1051" s="3" t="s">
        <v>61</v>
      </c>
    </row>
    <row r="1052" spans="4:4" ht="17.649999999999999" x14ac:dyDescent="0.5">
      <c r="D1052" s="3" t="s">
        <v>85</v>
      </c>
    </row>
    <row r="1053" spans="4:4" ht="17.649999999999999" x14ac:dyDescent="0.5">
      <c r="D1053" s="3" t="s">
        <v>135</v>
      </c>
    </row>
    <row r="1054" spans="4:4" ht="17.649999999999999" x14ac:dyDescent="0.5">
      <c r="D1054" s="3" t="s">
        <v>270</v>
      </c>
    </row>
    <row r="1055" spans="4:4" ht="17.649999999999999" x14ac:dyDescent="0.5">
      <c r="D1055" s="3" t="s">
        <v>208</v>
      </c>
    </row>
    <row r="1056" spans="4:4" ht="17.649999999999999" x14ac:dyDescent="0.5">
      <c r="D1056" s="3" t="s">
        <v>47</v>
      </c>
    </row>
    <row r="1057" spans="4:4" ht="17.649999999999999" x14ac:dyDescent="0.5">
      <c r="D1057" s="3" t="s">
        <v>80</v>
      </c>
    </row>
    <row r="1058" spans="4:4" ht="17.649999999999999" x14ac:dyDescent="0.5">
      <c r="D1058" s="3" t="s">
        <v>96</v>
      </c>
    </row>
    <row r="1059" spans="4:4" ht="17.649999999999999" x14ac:dyDescent="0.5">
      <c r="D1059" s="3" t="s">
        <v>210</v>
      </c>
    </row>
    <row r="1060" spans="4:4" ht="17.649999999999999" x14ac:dyDescent="0.5">
      <c r="D1060" s="3" t="s">
        <v>74</v>
      </c>
    </row>
    <row r="1061" spans="4:4" ht="17.649999999999999" x14ac:dyDescent="0.5">
      <c r="D1061" s="3" t="s">
        <v>48</v>
      </c>
    </row>
    <row r="1062" spans="4:4" ht="17.649999999999999" x14ac:dyDescent="0.5">
      <c r="D1062" s="3" t="s">
        <v>117</v>
      </c>
    </row>
    <row r="1063" spans="4:4" ht="17.649999999999999" x14ac:dyDescent="0.5">
      <c r="D1063" s="3" t="s">
        <v>50</v>
      </c>
    </row>
    <row r="1064" spans="4:4" ht="17.649999999999999" x14ac:dyDescent="0.5">
      <c r="D1064" s="3" t="s">
        <v>42</v>
      </c>
    </row>
    <row r="1065" spans="4:4" ht="17.649999999999999" x14ac:dyDescent="0.5">
      <c r="D1065" s="3" t="s">
        <v>99</v>
      </c>
    </row>
    <row r="1066" spans="4:4" ht="17.649999999999999" x14ac:dyDescent="0.5">
      <c r="D1066" s="3" t="s">
        <v>101</v>
      </c>
    </row>
    <row r="1067" spans="4:4" ht="17.649999999999999" x14ac:dyDescent="0.5">
      <c r="D1067" s="3" t="s">
        <v>105</v>
      </c>
    </row>
    <row r="1068" spans="4:4" ht="17.649999999999999" x14ac:dyDescent="0.5">
      <c r="D1068" s="3" t="s">
        <v>61</v>
      </c>
    </row>
    <row r="1069" spans="4:4" ht="17.649999999999999" x14ac:dyDescent="0.5">
      <c r="D1069" s="3" t="s">
        <v>41</v>
      </c>
    </row>
    <row r="1070" spans="4:4" ht="17.649999999999999" x14ac:dyDescent="0.5">
      <c r="D1070" s="3" t="s">
        <v>126</v>
      </c>
    </row>
    <row r="1071" spans="4:4" ht="17.649999999999999" x14ac:dyDescent="0.5">
      <c r="D1071" s="3" t="s">
        <v>98</v>
      </c>
    </row>
    <row r="1072" spans="4:4" ht="17.649999999999999" x14ac:dyDescent="0.5">
      <c r="D1072" s="3" t="s">
        <v>68</v>
      </c>
    </row>
    <row r="1073" spans="4:4" ht="17.649999999999999" x14ac:dyDescent="0.5">
      <c r="D1073" s="3" t="s">
        <v>87</v>
      </c>
    </row>
    <row r="1074" spans="4:4" ht="17.649999999999999" x14ac:dyDescent="0.5">
      <c r="D1074" s="3" t="s">
        <v>98</v>
      </c>
    </row>
    <row r="1075" spans="4:4" ht="17.649999999999999" x14ac:dyDescent="0.5">
      <c r="D1075" s="3" t="s">
        <v>52</v>
      </c>
    </row>
    <row r="1076" spans="4:4" ht="17.649999999999999" x14ac:dyDescent="0.5">
      <c r="D1076" s="3" t="s">
        <v>114</v>
      </c>
    </row>
    <row r="1077" spans="4:4" ht="17.649999999999999" x14ac:dyDescent="0.5">
      <c r="D1077" s="3" t="s">
        <v>112</v>
      </c>
    </row>
    <row r="1078" spans="4:4" ht="17.649999999999999" x14ac:dyDescent="0.5">
      <c r="D1078" s="3" t="s">
        <v>85</v>
      </c>
    </row>
    <row r="1079" spans="4:4" ht="17.649999999999999" x14ac:dyDescent="0.5">
      <c r="D1079" s="3" t="s">
        <v>87</v>
      </c>
    </row>
    <row r="1080" spans="4:4" ht="17.649999999999999" x14ac:dyDescent="0.5">
      <c r="D1080" s="3" t="s">
        <v>50</v>
      </c>
    </row>
    <row r="1081" spans="4:4" ht="17.649999999999999" x14ac:dyDescent="0.5">
      <c r="D1081" s="3" t="s">
        <v>130</v>
      </c>
    </row>
    <row r="1082" spans="4:4" ht="17.649999999999999" x14ac:dyDescent="0.5">
      <c r="D1082" s="3" t="s">
        <v>47</v>
      </c>
    </row>
    <row r="1083" spans="4:4" ht="17.649999999999999" x14ac:dyDescent="0.5">
      <c r="D1083" s="3" t="s">
        <v>63</v>
      </c>
    </row>
    <row r="1084" spans="4:4" ht="17.649999999999999" x14ac:dyDescent="0.5">
      <c r="D1084" s="3" t="s">
        <v>325</v>
      </c>
    </row>
    <row r="1085" spans="4:4" ht="17.649999999999999" x14ac:dyDescent="0.5">
      <c r="D1085" s="3" t="s">
        <v>122</v>
      </c>
    </row>
    <row r="1086" spans="4:4" ht="17.649999999999999" x14ac:dyDescent="0.5">
      <c r="D1086" s="3" t="s">
        <v>77</v>
      </c>
    </row>
    <row r="1087" spans="4:4" ht="17.649999999999999" x14ac:dyDescent="0.5">
      <c r="D1087" s="3" t="s">
        <v>105</v>
      </c>
    </row>
    <row r="1088" spans="4:4" ht="17.649999999999999" x14ac:dyDescent="0.5">
      <c r="D1088" s="3" t="s">
        <v>318</v>
      </c>
    </row>
    <row r="1089" spans="4:4" ht="17.649999999999999" x14ac:dyDescent="0.5">
      <c r="D1089" s="3" t="s">
        <v>65</v>
      </c>
    </row>
    <row r="1090" spans="4:4" ht="17.649999999999999" x14ac:dyDescent="0.5">
      <c r="D1090" s="3" t="s">
        <v>218</v>
      </c>
    </row>
    <row r="1091" spans="4:4" ht="17.649999999999999" x14ac:dyDescent="0.5">
      <c r="D1091" s="3" t="s">
        <v>64</v>
      </c>
    </row>
    <row r="1092" spans="4:4" ht="17.649999999999999" x14ac:dyDescent="0.5">
      <c r="D1092" s="3" t="s">
        <v>58</v>
      </c>
    </row>
    <row r="1093" spans="4:4" ht="17.649999999999999" x14ac:dyDescent="0.5">
      <c r="D1093" s="3" t="s">
        <v>303</v>
      </c>
    </row>
    <row r="1094" spans="4:4" ht="17.649999999999999" x14ac:dyDescent="0.5">
      <c r="D1094" s="3" t="s">
        <v>112</v>
      </c>
    </row>
    <row r="1095" spans="4:4" ht="17.649999999999999" x14ac:dyDescent="0.5">
      <c r="D1095" s="3" t="s">
        <v>95</v>
      </c>
    </row>
    <row r="1096" spans="4:4" ht="17.649999999999999" x14ac:dyDescent="0.5">
      <c r="D1096" s="3" t="s">
        <v>319</v>
      </c>
    </row>
    <row r="1097" spans="4:4" ht="17.649999999999999" x14ac:dyDescent="0.5">
      <c r="D1097" s="3" t="s">
        <v>85</v>
      </c>
    </row>
    <row r="1098" spans="4:4" ht="17.649999999999999" x14ac:dyDescent="0.5">
      <c r="D1098" s="3" t="s">
        <v>112</v>
      </c>
    </row>
    <row r="1099" spans="4:4" ht="17.649999999999999" x14ac:dyDescent="0.5">
      <c r="D1099" s="3" t="s">
        <v>65</v>
      </c>
    </row>
    <row r="1100" spans="4:4" ht="17.649999999999999" x14ac:dyDescent="0.5">
      <c r="D1100" s="3" t="s">
        <v>91</v>
      </c>
    </row>
    <row r="1101" spans="4:4" ht="17.649999999999999" x14ac:dyDescent="0.5">
      <c r="D1101" s="3" t="s">
        <v>219</v>
      </c>
    </row>
    <row r="1102" spans="4:4" ht="17.649999999999999" x14ac:dyDescent="0.5">
      <c r="D1102" s="3" t="s">
        <v>115</v>
      </c>
    </row>
    <row r="1103" spans="4:4" ht="17.649999999999999" x14ac:dyDescent="0.5">
      <c r="D1103" s="3" t="s">
        <v>101</v>
      </c>
    </row>
    <row r="1104" spans="4:4" ht="17.649999999999999" x14ac:dyDescent="0.5">
      <c r="D1104" s="3" t="s">
        <v>70</v>
      </c>
    </row>
    <row r="1105" spans="4:4" ht="17.649999999999999" x14ac:dyDescent="0.5">
      <c r="D1105" s="3" t="s">
        <v>41</v>
      </c>
    </row>
    <row r="1106" spans="4:4" ht="17.649999999999999" x14ac:dyDescent="0.5">
      <c r="D1106" s="3" t="s">
        <v>47</v>
      </c>
    </row>
    <row r="1107" spans="4:4" ht="17.649999999999999" x14ac:dyDescent="0.5">
      <c r="D1107" s="3" t="s">
        <v>44</v>
      </c>
    </row>
    <row r="1108" spans="4:4" ht="17.649999999999999" x14ac:dyDescent="0.5">
      <c r="D1108" s="3" t="s">
        <v>87</v>
      </c>
    </row>
    <row r="1109" spans="4:4" ht="17.649999999999999" x14ac:dyDescent="0.5">
      <c r="D1109" s="3" t="s">
        <v>304</v>
      </c>
    </row>
    <row r="1110" spans="4:4" ht="17.649999999999999" x14ac:dyDescent="0.5">
      <c r="D1110" s="3" t="s">
        <v>66</v>
      </c>
    </row>
    <row r="1111" spans="4:4" ht="17.649999999999999" x14ac:dyDescent="0.5">
      <c r="D1111" s="3" t="s">
        <v>68</v>
      </c>
    </row>
    <row r="1112" spans="4:4" ht="17.649999999999999" x14ac:dyDescent="0.5">
      <c r="D1112" s="3" t="s">
        <v>67</v>
      </c>
    </row>
    <row r="1113" spans="4:4" ht="17.649999999999999" x14ac:dyDescent="0.5">
      <c r="D1113" s="3" t="s">
        <v>63</v>
      </c>
    </row>
    <row r="1114" spans="4:4" ht="17.649999999999999" x14ac:dyDescent="0.5">
      <c r="D1114" s="3" t="s">
        <v>105</v>
      </c>
    </row>
    <row r="1115" spans="4:4" ht="17.649999999999999" x14ac:dyDescent="0.5">
      <c r="D1115" s="3" t="s">
        <v>66</v>
      </c>
    </row>
    <row r="1116" spans="4:4" ht="17.649999999999999" x14ac:dyDescent="0.5">
      <c r="D1116" s="3" t="s">
        <v>117</v>
      </c>
    </row>
    <row r="1117" spans="4:4" ht="17.649999999999999" x14ac:dyDescent="0.5">
      <c r="D1117" s="3" t="s">
        <v>42</v>
      </c>
    </row>
    <row r="1118" spans="4:4" ht="17.649999999999999" x14ac:dyDescent="0.5">
      <c r="D1118" s="3" t="s">
        <v>83</v>
      </c>
    </row>
    <row r="1119" spans="4:4" ht="17.649999999999999" x14ac:dyDescent="0.5">
      <c r="D1119" s="3" t="s">
        <v>103</v>
      </c>
    </row>
    <row r="1120" spans="4:4" ht="17.649999999999999" x14ac:dyDescent="0.5">
      <c r="D1120" s="3" t="s">
        <v>99</v>
      </c>
    </row>
    <row r="1121" spans="4:4" ht="17.649999999999999" x14ac:dyDescent="0.5">
      <c r="D1121" s="3" t="s">
        <v>56</v>
      </c>
    </row>
    <row r="1122" spans="4:4" ht="17.649999999999999" x14ac:dyDescent="0.5">
      <c r="D1122" s="3" t="s">
        <v>48</v>
      </c>
    </row>
    <row r="1123" spans="4:4" ht="17.649999999999999" x14ac:dyDescent="0.5">
      <c r="D1123" s="3" t="s">
        <v>48</v>
      </c>
    </row>
    <row r="1124" spans="4:4" ht="17.649999999999999" x14ac:dyDescent="0.5">
      <c r="D1124" s="3" t="s">
        <v>76</v>
      </c>
    </row>
    <row r="1125" spans="4:4" ht="17.649999999999999" x14ac:dyDescent="0.5">
      <c r="D1125" s="3" t="s">
        <v>97</v>
      </c>
    </row>
    <row r="1126" spans="4:4" ht="17.649999999999999" x14ac:dyDescent="0.5">
      <c r="D1126" s="3" t="s">
        <v>124</v>
      </c>
    </row>
    <row r="1127" spans="4:4" ht="17.649999999999999" x14ac:dyDescent="0.5">
      <c r="D1127" s="3" t="s">
        <v>63</v>
      </c>
    </row>
    <row r="1128" spans="4:4" ht="17.649999999999999" x14ac:dyDescent="0.5">
      <c r="D1128" s="3" t="s">
        <v>108</v>
      </c>
    </row>
    <row r="1129" spans="4:4" ht="17.649999999999999" x14ac:dyDescent="0.5">
      <c r="D1129" s="3" t="s">
        <v>124</v>
      </c>
    </row>
    <row r="1130" spans="4:4" ht="17.649999999999999" x14ac:dyDescent="0.5">
      <c r="D1130" s="3" t="s">
        <v>43</v>
      </c>
    </row>
    <row r="1131" spans="4:4" ht="17.649999999999999" x14ac:dyDescent="0.5">
      <c r="D1131" s="3" t="s">
        <v>59</v>
      </c>
    </row>
    <row r="1132" spans="4:4" ht="17.649999999999999" x14ac:dyDescent="0.5">
      <c r="D1132" s="3" t="s">
        <v>109</v>
      </c>
    </row>
    <row r="1133" spans="4:4" ht="17.649999999999999" x14ac:dyDescent="0.5">
      <c r="D1133" s="3" t="s">
        <v>104</v>
      </c>
    </row>
    <row r="1134" spans="4:4" ht="17.649999999999999" x14ac:dyDescent="0.5">
      <c r="D1134" s="3" t="s">
        <v>96</v>
      </c>
    </row>
    <row r="1135" spans="4:4" ht="17.649999999999999" x14ac:dyDescent="0.5">
      <c r="D1135" s="3" t="s">
        <v>59</v>
      </c>
    </row>
    <row r="1136" spans="4:4" ht="17.649999999999999" x14ac:dyDescent="0.5">
      <c r="D1136" s="3" t="s">
        <v>43</v>
      </c>
    </row>
    <row r="1137" spans="4:4" ht="17.649999999999999" x14ac:dyDescent="0.5">
      <c r="D1137" s="3" t="s">
        <v>63</v>
      </c>
    </row>
    <row r="1138" spans="4:4" ht="17.649999999999999" x14ac:dyDescent="0.5">
      <c r="D1138" s="3" t="s">
        <v>305</v>
      </c>
    </row>
    <row r="1139" spans="4:4" ht="17.649999999999999" x14ac:dyDescent="0.5">
      <c r="D1139" s="3" t="s">
        <v>132</v>
      </c>
    </row>
    <row r="1140" spans="4:4" ht="17.649999999999999" x14ac:dyDescent="0.5">
      <c r="D1140" s="3" t="s">
        <v>119</v>
      </c>
    </row>
    <row r="1141" spans="4:4" ht="17.649999999999999" x14ac:dyDescent="0.5">
      <c r="D1141" s="3" t="s">
        <v>87</v>
      </c>
    </row>
    <row r="1142" spans="4:4" ht="17.649999999999999" x14ac:dyDescent="0.5">
      <c r="D1142" s="3" t="s">
        <v>68</v>
      </c>
    </row>
    <row r="1143" spans="4:4" ht="17.649999999999999" x14ac:dyDescent="0.5">
      <c r="D1143" s="3" t="s">
        <v>73</v>
      </c>
    </row>
    <row r="1144" spans="4:4" ht="17.649999999999999" x14ac:dyDescent="0.5">
      <c r="D1144" s="3" t="s">
        <v>88</v>
      </c>
    </row>
    <row r="1145" spans="4:4" ht="17.649999999999999" x14ac:dyDescent="0.5">
      <c r="D1145" s="3" t="s">
        <v>131</v>
      </c>
    </row>
    <row r="1146" spans="4:4" ht="17.649999999999999" x14ac:dyDescent="0.5">
      <c r="D1146" s="3" t="s">
        <v>67</v>
      </c>
    </row>
    <row r="1147" spans="4:4" ht="17.649999999999999" x14ac:dyDescent="0.5">
      <c r="D1147" s="3" t="s">
        <v>85</v>
      </c>
    </row>
    <row r="1148" spans="4:4" ht="17.649999999999999" x14ac:dyDescent="0.5">
      <c r="D1148" s="3" t="s">
        <v>74</v>
      </c>
    </row>
    <row r="1149" spans="4:4" ht="17.649999999999999" x14ac:dyDescent="0.5">
      <c r="D1149" s="3" t="s">
        <v>278</v>
      </c>
    </row>
    <row r="1150" spans="4:4" ht="17.649999999999999" x14ac:dyDescent="0.5">
      <c r="D1150" s="3" t="s">
        <v>68</v>
      </c>
    </row>
    <row r="1151" spans="4:4" ht="17.649999999999999" x14ac:dyDescent="0.5">
      <c r="D1151" s="3" t="s">
        <v>72</v>
      </c>
    </row>
    <row r="1152" spans="4:4" ht="17.649999999999999" x14ac:dyDescent="0.5">
      <c r="D1152" s="3" t="s">
        <v>227</v>
      </c>
    </row>
    <row r="1153" spans="4:4" ht="17.649999999999999" x14ac:dyDescent="0.5">
      <c r="D1153" s="3" t="s">
        <v>124</v>
      </c>
    </row>
    <row r="1154" spans="4:4" ht="17.649999999999999" x14ac:dyDescent="0.5">
      <c r="D1154" s="3" t="s">
        <v>77</v>
      </c>
    </row>
    <row r="1155" spans="4:4" ht="17.649999999999999" x14ac:dyDescent="0.5">
      <c r="D1155" s="3" t="s">
        <v>102</v>
      </c>
    </row>
    <row r="1156" spans="4:4" ht="17.649999999999999" x14ac:dyDescent="0.5">
      <c r="D1156" s="3" t="s">
        <v>122</v>
      </c>
    </row>
    <row r="1157" spans="4:4" ht="17.649999999999999" x14ac:dyDescent="0.5">
      <c r="D1157" s="3" t="s">
        <v>56</v>
      </c>
    </row>
    <row r="1158" spans="4:4" ht="17.649999999999999" x14ac:dyDescent="0.5">
      <c r="D1158" s="3" t="s">
        <v>53</v>
      </c>
    </row>
    <row r="1159" spans="4:4" ht="17.649999999999999" x14ac:dyDescent="0.5">
      <c r="D1159" s="3" t="s">
        <v>49</v>
      </c>
    </row>
    <row r="1160" spans="4:4" ht="17.649999999999999" x14ac:dyDescent="0.5">
      <c r="D1160" s="3" t="s">
        <v>65</v>
      </c>
    </row>
    <row r="1161" spans="4:4" ht="17.649999999999999" x14ac:dyDescent="0.5">
      <c r="D1161" s="3" t="s">
        <v>69</v>
      </c>
    </row>
    <row r="1162" spans="4:4" ht="17.649999999999999" x14ac:dyDescent="0.5">
      <c r="D1162" s="3" t="s">
        <v>48</v>
      </c>
    </row>
    <row r="1163" spans="4:4" ht="17.649999999999999" x14ac:dyDescent="0.5">
      <c r="D1163" s="3" t="s">
        <v>117</v>
      </c>
    </row>
    <row r="1164" spans="4:4" ht="17.649999999999999" x14ac:dyDescent="0.5">
      <c r="D1164" s="3" t="s">
        <v>47</v>
      </c>
    </row>
    <row r="1165" spans="4:4" ht="17.649999999999999" x14ac:dyDescent="0.5">
      <c r="D1165" s="3" t="s">
        <v>135</v>
      </c>
    </row>
    <row r="1166" spans="4:4" ht="17.649999999999999" x14ac:dyDescent="0.5">
      <c r="D1166" s="3" t="s">
        <v>45</v>
      </c>
    </row>
    <row r="1167" spans="4:4" ht="17.649999999999999" x14ac:dyDescent="0.5">
      <c r="D1167" s="3" t="s">
        <v>115</v>
      </c>
    </row>
    <row r="1168" spans="4:4" ht="17.649999999999999" x14ac:dyDescent="0.5">
      <c r="D1168" s="3" t="s">
        <v>107</v>
      </c>
    </row>
    <row r="1169" spans="4:4" ht="17.649999999999999" x14ac:dyDescent="0.5">
      <c r="D1169" s="3" t="s">
        <v>74</v>
      </c>
    </row>
    <row r="1170" spans="4:4" ht="17.649999999999999" x14ac:dyDescent="0.5">
      <c r="D1170" s="3" t="s">
        <v>53</v>
      </c>
    </row>
    <row r="1171" spans="4:4" ht="17.649999999999999" x14ac:dyDescent="0.5">
      <c r="D1171" s="3" t="s">
        <v>112</v>
      </c>
    </row>
    <row r="1172" spans="4:4" ht="17.649999999999999" x14ac:dyDescent="0.5">
      <c r="D1172" s="3" t="s">
        <v>103</v>
      </c>
    </row>
    <row r="1173" spans="4:4" ht="17.649999999999999" x14ac:dyDescent="0.5">
      <c r="D1173" s="3" t="s">
        <v>91</v>
      </c>
    </row>
    <row r="1174" spans="4:4" ht="17.649999999999999" x14ac:dyDescent="0.5">
      <c r="D1174" s="3" t="s">
        <v>48</v>
      </c>
    </row>
    <row r="1175" spans="4:4" ht="17.649999999999999" x14ac:dyDescent="0.5">
      <c r="D1175" s="3" t="s">
        <v>51</v>
      </c>
    </row>
    <row r="1176" spans="4:4" ht="17.649999999999999" x14ac:dyDescent="0.5">
      <c r="D1176" s="3" t="s">
        <v>133</v>
      </c>
    </row>
    <row r="1177" spans="4:4" ht="17.649999999999999" x14ac:dyDescent="0.5">
      <c r="D1177" s="3" t="s">
        <v>64</v>
      </c>
    </row>
    <row r="1178" spans="4:4" ht="17.649999999999999" x14ac:dyDescent="0.5">
      <c r="D1178" s="3" t="s">
        <v>98</v>
      </c>
    </row>
    <row r="1179" spans="4:4" ht="17.649999999999999" x14ac:dyDescent="0.5">
      <c r="D1179" s="3" t="s">
        <v>50</v>
      </c>
    </row>
    <row r="1180" spans="4:4" ht="17.649999999999999" x14ac:dyDescent="0.5">
      <c r="D1180" s="3" t="s">
        <v>44</v>
      </c>
    </row>
    <row r="1181" spans="4:4" ht="17.649999999999999" x14ac:dyDescent="0.5">
      <c r="D1181" s="3" t="s">
        <v>72</v>
      </c>
    </row>
    <row r="1182" spans="4:4" ht="17.649999999999999" x14ac:dyDescent="0.5">
      <c r="D1182" s="3" t="s">
        <v>68</v>
      </c>
    </row>
    <row r="1183" spans="4:4" ht="17.649999999999999" x14ac:dyDescent="0.5">
      <c r="D1183" s="3" t="s">
        <v>99</v>
      </c>
    </row>
    <row r="1184" spans="4:4" ht="17.649999999999999" x14ac:dyDescent="0.5">
      <c r="D1184" s="3" t="s">
        <v>59</v>
      </c>
    </row>
    <row r="1185" spans="4:4" ht="17.649999999999999" x14ac:dyDescent="0.5">
      <c r="D1185" s="3" t="s">
        <v>94</v>
      </c>
    </row>
    <row r="1186" spans="4:4" ht="17.649999999999999" x14ac:dyDescent="0.5">
      <c r="D1186" s="3" t="s">
        <v>229</v>
      </c>
    </row>
    <row r="1187" spans="4:4" ht="17.649999999999999" x14ac:dyDescent="0.5">
      <c r="D1187" s="3" t="s">
        <v>91</v>
      </c>
    </row>
    <row r="1188" spans="4:4" ht="17.649999999999999" x14ac:dyDescent="0.5">
      <c r="D1188" s="3" t="s">
        <v>61</v>
      </c>
    </row>
    <row r="1189" spans="4:4" ht="17.649999999999999" x14ac:dyDescent="0.5">
      <c r="D1189" s="3" t="s">
        <v>281</v>
      </c>
    </row>
    <row r="1190" spans="4:4" ht="17.649999999999999" x14ac:dyDescent="0.5">
      <c r="D1190" s="3" t="s">
        <v>55</v>
      </c>
    </row>
    <row r="1191" spans="4:4" ht="17.649999999999999" x14ac:dyDescent="0.5">
      <c r="D1191" s="3" t="s">
        <v>65</v>
      </c>
    </row>
    <row r="1192" spans="4:4" ht="17.649999999999999" x14ac:dyDescent="0.5">
      <c r="D1192" s="3" t="s">
        <v>49</v>
      </c>
    </row>
    <row r="1193" spans="4:4" ht="17.649999999999999" x14ac:dyDescent="0.5">
      <c r="D1193" s="3" t="s">
        <v>62</v>
      </c>
    </row>
    <row r="1194" spans="4:4" ht="17.649999999999999" x14ac:dyDescent="0.5">
      <c r="D1194" s="3" t="s">
        <v>75</v>
      </c>
    </row>
    <row r="1195" spans="4:4" ht="17.649999999999999" x14ac:dyDescent="0.5">
      <c r="D1195" s="3" t="s">
        <v>107</v>
      </c>
    </row>
    <row r="1196" spans="4:4" ht="17.649999999999999" x14ac:dyDescent="0.5">
      <c r="D1196" s="3" t="s">
        <v>109</v>
      </c>
    </row>
    <row r="1197" spans="4:4" ht="17.649999999999999" x14ac:dyDescent="0.5">
      <c r="D1197" s="3" t="s">
        <v>230</v>
      </c>
    </row>
    <row r="1198" spans="4:4" ht="17.649999999999999" x14ac:dyDescent="0.5">
      <c r="D1198" s="3" t="s">
        <v>87</v>
      </c>
    </row>
    <row r="1199" spans="4:4" ht="17.649999999999999" x14ac:dyDescent="0.5">
      <c r="D1199" s="3" t="s">
        <v>106</v>
      </c>
    </row>
    <row r="1200" spans="4:4" ht="17.649999999999999" x14ac:dyDescent="0.5">
      <c r="D1200" s="3" t="s">
        <v>67</v>
      </c>
    </row>
    <row r="1201" spans="4:4" ht="17.649999999999999" x14ac:dyDescent="0.5">
      <c r="D1201" s="3" t="s">
        <v>49</v>
      </c>
    </row>
    <row r="1202" spans="4:4" ht="17.649999999999999" x14ac:dyDescent="0.5">
      <c r="D1202" s="3" t="s">
        <v>231</v>
      </c>
    </row>
    <row r="1203" spans="4:4" ht="17.649999999999999" x14ac:dyDescent="0.5">
      <c r="D1203" s="3" t="s">
        <v>73</v>
      </c>
    </row>
    <row r="1204" spans="4:4" ht="17.649999999999999" x14ac:dyDescent="0.5">
      <c r="D1204" s="3" t="s">
        <v>320</v>
      </c>
    </row>
    <row r="1205" spans="4:4" ht="17.649999999999999" x14ac:dyDescent="0.5">
      <c r="D1205" s="3" t="s">
        <v>102</v>
      </c>
    </row>
    <row r="1206" spans="4:4" ht="17.649999999999999" x14ac:dyDescent="0.5">
      <c r="D1206" s="3" t="s">
        <v>86</v>
      </c>
    </row>
    <row r="1207" spans="4:4" ht="17.649999999999999" x14ac:dyDescent="0.5">
      <c r="D1207" s="3" t="s">
        <v>45</v>
      </c>
    </row>
    <row r="1208" spans="4:4" ht="17.649999999999999" x14ac:dyDescent="0.5">
      <c r="D1208" s="3" t="s">
        <v>63</v>
      </c>
    </row>
    <row r="1209" spans="4:4" ht="17.649999999999999" x14ac:dyDescent="0.5">
      <c r="D1209" s="3" t="s">
        <v>233</v>
      </c>
    </row>
    <row r="1210" spans="4:4" ht="17.649999999999999" x14ac:dyDescent="0.5">
      <c r="D1210" s="3" t="s">
        <v>133</v>
      </c>
    </row>
    <row r="1211" spans="4:4" ht="17.649999999999999" x14ac:dyDescent="0.5">
      <c r="D1211" s="3" t="s">
        <v>136</v>
      </c>
    </row>
    <row r="1212" spans="4:4" ht="17.649999999999999" x14ac:dyDescent="0.5">
      <c r="D1212" s="3" t="s">
        <v>69</v>
      </c>
    </row>
    <row r="1213" spans="4:4" ht="17.649999999999999" x14ac:dyDescent="0.5">
      <c r="D1213" s="3" t="s">
        <v>90</v>
      </c>
    </row>
    <row r="1214" spans="4:4" ht="17.649999999999999" x14ac:dyDescent="0.5">
      <c r="D1214" s="3" t="s">
        <v>119</v>
      </c>
    </row>
    <row r="1215" spans="4:4" ht="17.649999999999999" x14ac:dyDescent="0.5">
      <c r="D1215" s="3" t="s">
        <v>90</v>
      </c>
    </row>
    <row r="1216" spans="4:4" ht="17.649999999999999" x14ac:dyDescent="0.5">
      <c r="D1216" s="3" t="s">
        <v>127</v>
      </c>
    </row>
    <row r="1217" spans="4:4" ht="17.649999999999999" x14ac:dyDescent="0.5">
      <c r="D1217" s="3" t="s">
        <v>121</v>
      </c>
    </row>
    <row r="1218" spans="4:4" ht="17.649999999999999" x14ac:dyDescent="0.5">
      <c r="D1218" s="3" t="s">
        <v>87</v>
      </c>
    </row>
    <row r="1219" spans="4:4" ht="17.649999999999999" x14ac:dyDescent="0.5">
      <c r="D1219" s="3" t="s">
        <v>112</v>
      </c>
    </row>
    <row r="1220" spans="4:4" ht="17.649999999999999" x14ac:dyDescent="0.5">
      <c r="D1220" s="3" t="s">
        <v>47</v>
      </c>
    </row>
    <row r="1221" spans="4:4" ht="17.649999999999999" x14ac:dyDescent="0.5">
      <c r="D1221" s="3" t="s">
        <v>58</v>
      </c>
    </row>
    <row r="1222" spans="4:4" ht="17.649999999999999" x14ac:dyDescent="0.5">
      <c r="D1222" s="3" t="s">
        <v>73</v>
      </c>
    </row>
    <row r="1223" spans="4:4" ht="17.649999999999999" x14ac:dyDescent="0.5">
      <c r="D1223" s="3" t="s">
        <v>70</v>
      </c>
    </row>
    <row r="1224" spans="4:4" ht="17.649999999999999" x14ac:dyDescent="0.5">
      <c r="D1224" s="3" t="s">
        <v>80</v>
      </c>
    </row>
    <row r="1225" spans="4:4" ht="17.649999999999999" x14ac:dyDescent="0.5">
      <c r="D1225" s="3" t="s">
        <v>63</v>
      </c>
    </row>
    <row r="1226" spans="4:4" ht="17.649999999999999" x14ac:dyDescent="0.5">
      <c r="D1226" s="3" t="s">
        <v>115</v>
      </c>
    </row>
    <row r="1227" spans="4:4" ht="17.649999999999999" x14ac:dyDescent="0.5">
      <c r="D1227" s="3" t="s">
        <v>91</v>
      </c>
    </row>
    <row r="1228" spans="4:4" ht="17.649999999999999" x14ac:dyDescent="0.5">
      <c r="D1228" s="3" t="s">
        <v>94</v>
      </c>
    </row>
    <row r="1229" spans="4:4" ht="17.649999999999999" x14ac:dyDescent="0.5">
      <c r="D1229" s="3" t="s">
        <v>68</v>
      </c>
    </row>
    <row r="1230" spans="4:4" ht="17.649999999999999" x14ac:dyDescent="0.5">
      <c r="D1230" s="3" t="s">
        <v>85</v>
      </c>
    </row>
    <row r="1231" spans="4:4" ht="17.649999999999999" x14ac:dyDescent="0.5">
      <c r="D1231" s="3" t="s">
        <v>91</v>
      </c>
    </row>
    <row r="1232" spans="4:4" ht="17.649999999999999" x14ac:dyDescent="0.5">
      <c r="D1232" s="3" t="s">
        <v>87</v>
      </c>
    </row>
    <row r="1233" spans="4:4" ht="17.649999999999999" x14ac:dyDescent="0.5">
      <c r="D1233" s="3" t="s">
        <v>67</v>
      </c>
    </row>
    <row r="1234" spans="4:4" ht="17.649999999999999" x14ac:dyDescent="0.5">
      <c r="D1234" s="3" t="s">
        <v>223</v>
      </c>
    </row>
    <row r="1235" spans="4:4" ht="17.649999999999999" x14ac:dyDescent="0.5">
      <c r="D1235" s="3" t="s">
        <v>77</v>
      </c>
    </row>
    <row r="1236" spans="4:4" ht="17.649999999999999" x14ac:dyDescent="0.5">
      <c r="D1236" s="3" t="s">
        <v>53</v>
      </c>
    </row>
    <row r="1237" spans="4:4" ht="17.649999999999999" x14ac:dyDescent="0.5">
      <c r="D1237" s="3" t="s">
        <v>48</v>
      </c>
    </row>
    <row r="1238" spans="4:4" ht="17.649999999999999" x14ac:dyDescent="0.5">
      <c r="D1238" s="3" t="s">
        <v>80</v>
      </c>
    </row>
    <row r="1239" spans="4:4" ht="17.649999999999999" x14ac:dyDescent="0.5">
      <c r="D1239" s="3" t="s">
        <v>235</v>
      </c>
    </row>
    <row r="1240" spans="4:4" ht="17.649999999999999" x14ac:dyDescent="0.5">
      <c r="D1240" s="3" t="s">
        <v>224</v>
      </c>
    </row>
    <row r="1241" spans="4:4" ht="17.649999999999999" x14ac:dyDescent="0.5">
      <c r="D1241" s="3" t="s">
        <v>67</v>
      </c>
    </row>
    <row r="1242" spans="4:4" ht="17.649999999999999" x14ac:dyDescent="0.5">
      <c r="D1242" s="3" t="s">
        <v>69</v>
      </c>
    </row>
    <row r="1243" spans="4:4" ht="17.649999999999999" x14ac:dyDescent="0.5">
      <c r="D1243" s="3" t="s">
        <v>279</v>
      </c>
    </row>
    <row r="1244" spans="4:4" ht="17.649999999999999" x14ac:dyDescent="0.5">
      <c r="D1244" s="3" t="s">
        <v>65</v>
      </c>
    </row>
    <row r="1245" spans="4:4" ht="17.649999999999999" x14ac:dyDescent="0.5">
      <c r="D1245" s="3" t="s">
        <v>237</v>
      </c>
    </row>
    <row r="1246" spans="4:4" ht="17.649999999999999" x14ac:dyDescent="0.5">
      <c r="D1246" s="3" t="s">
        <v>228</v>
      </c>
    </row>
    <row r="1247" spans="4:4" ht="17.649999999999999" x14ac:dyDescent="0.5">
      <c r="D1247" s="3" t="s">
        <v>60</v>
      </c>
    </row>
    <row r="1248" spans="4:4" ht="17.649999999999999" x14ac:dyDescent="0.5">
      <c r="D1248" s="3" t="s">
        <v>105</v>
      </c>
    </row>
    <row r="1249" spans="4:4" ht="17.649999999999999" x14ac:dyDescent="0.5">
      <c r="D1249" s="3" t="s">
        <v>74</v>
      </c>
    </row>
    <row r="1250" spans="4:4" ht="17.649999999999999" x14ac:dyDescent="0.5">
      <c r="D1250" s="3" t="s">
        <v>107</v>
      </c>
    </row>
    <row r="1251" spans="4:4" ht="17.649999999999999" x14ac:dyDescent="0.5">
      <c r="D1251" s="3" t="s">
        <v>76</v>
      </c>
    </row>
    <row r="1252" spans="4:4" ht="17.649999999999999" x14ac:dyDescent="0.5">
      <c r="D1252" s="3" t="s">
        <v>132</v>
      </c>
    </row>
    <row r="1253" spans="4:4" ht="17.649999999999999" x14ac:dyDescent="0.5">
      <c r="D1253" s="3" t="s">
        <v>326</v>
      </c>
    </row>
    <row r="1254" spans="4:4" ht="17.649999999999999" x14ac:dyDescent="0.5">
      <c r="D1254" s="3" t="s">
        <v>77</v>
      </c>
    </row>
    <row r="1255" spans="4:4" ht="17.649999999999999" x14ac:dyDescent="0.5">
      <c r="D1255" s="3" t="s">
        <v>101</v>
      </c>
    </row>
    <row r="1256" spans="4:4" ht="17.649999999999999" x14ac:dyDescent="0.5">
      <c r="D1256" s="3" t="s">
        <v>309</v>
      </c>
    </row>
    <row r="1257" spans="4:4" ht="17.649999999999999" x14ac:dyDescent="0.5">
      <c r="D1257" s="3" t="s">
        <v>55</v>
      </c>
    </row>
    <row r="1258" spans="4:4" ht="17.649999999999999" x14ac:dyDescent="0.5">
      <c r="D1258" s="3" t="s">
        <v>115</v>
      </c>
    </row>
    <row r="1259" spans="4:4" ht="17.649999999999999" x14ac:dyDescent="0.5">
      <c r="D1259" s="3" t="s">
        <v>321</v>
      </c>
    </row>
    <row r="1260" spans="4:4" ht="17.649999999999999" x14ac:dyDescent="0.5">
      <c r="D1260" s="3" t="s">
        <v>54</v>
      </c>
    </row>
    <row r="1261" spans="4:4" ht="17.649999999999999" x14ac:dyDescent="0.5">
      <c r="D1261" s="3" t="s">
        <v>310</v>
      </c>
    </row>
    <row r="1262" spans="4:4" ht="17.649999999999999" x14ac:dyDescent="0.5">
      <c r="D1262" s="3" t="s">
        <v>71</v>
      </c>
    </row>
    <row r="1263" spans="4:4" ht="17.649999999999999" x14ac:dyDescent="0.5">
      <c r="D1263" s="3" t="s">
        <v>63</v>
      </c>
    </row>
    <row r="1264" spans="4:4" ht="17.649999999999999" x14ac:dyDescent="0.5">
      <c r="D1264" s="3" t="s">
        <v>70</v>
      </c>
    </row>
    <row r="1265" spans="4:4" ht="17.649999999999999" x14ac:dyDescent="0.5">
      <c r="D1265" s="3" t="s">
        <v>132</v>
      </c>
    </row>
    <row r="1266" spans="4:4" ht="17.649999999999999" x14ac:dyDescent="0.5">
      <c r="D1266" s="3" t="s">
        <v>90</v>
      </c>
    </row>
    <row r="1267" spans="4:4" ht="17.649999999999999" x14ac:dyDescent="0.5">
      <c r="D1267" s="3" t="s">
        <v>79</v>
      </c>
    </row>
    <row r="1268" spans="4:4" ht="17.649999999999999" x14ac:dyDescent="0.5">
      <c r="D1268" s="3" t="s">
        <v>41</v>
      </c>
    </row>
    <row r="1269" spans="4:4" ht="17.649999999999999" x14ac:dyDescent="0.5">
      <c r="D1269" s="3" t="s">
        <v>42</v>
      </c>
    </row>
    <row r="1270" spans="4:4" ht="17.649999999999999" x14ac:dyDescent="0.5">
      <c r="D1270" s="3" t="s">
        <v>46</v>
      </c>
    </row>
    <row r="1271" spans="4:4" ht="17.649999999999999" x14ac:dyDescent="0.5">
      <c r="D1271" s="3" t="s">
        <v>71</v>
      </c>
    </row>
    <row r="1272" spans="4:4" ht="17.649999999999999" x14ac:dyDescent="0.5">
      <c r="D1272" s="3" t="s">
        <v>306</v>
      </c>
    </row>
    <row r="1273" spans="4:4" ht="17.649999999999999" x14ac:dyDescent="0.5">
      <c r="D1273" s="3" t="s">
        <v>124</v>
      </c>
    </row>
    <row r="1274" spans="4:4" ht="17.649999999999999" x14ac:dyDescent="0.5">
      <c r="D1274" s="3" t="s">
        <v>68</v>
      </c>
    </row>
    <row r="1275" spans="4:4" ht="17.649999999999999" x14ac:dyDescent="0.5">
      <c r="D1275" s="3" t="s">
        <v>117</v>
      </c>
    </row>
    <row r="1276" spans="4:4" ht="17.649999999999999" x14ac:dyDescent="0.5">
      <c r="D1276" s="3" t="s">
        <v>99</v>
      </c>
    </row>
    <row r="1277" spans="4:4" ht="17.649999999999999" x14ac:dyDescent="0.5">
      <c r="D1277" s="3" t="s">
        <v>236</v>
      </c>
    </row>
    <row r="1278" spans="4:4" ht="17.649999999999999" x14ac:dyDescent="0.5">
      <c r="D1278" s="3" t="s">
        <v>74</v>
      </c>
    </row>
    <row r="1279" spans="4:4" ht="17.649999999999999" x14ac:dyDescent="0.5">
      <c r="D1279" s="3" t="s">
        <v>135</v>
      </c>
    </row>
    <row r="1280" spans="4:4" ht="17.649999999999999" x14ac:dyDescent="0.5">
      <c r="D1280" s="3" t="s">
        <v>290</v>
      </c>
    </row>
    <row r="1281" spans="4:4" ht="17.649999999999999" x14ac:dyDescent="0.5">
      <c r="D1281" s="3" t="s">
        <v>93</v>
      </c>
    </row>
    <row r="1282" spans="4:4" ht="17.649999999999999" x14ac:dyDescent="0.5">
      <c r="D1282" s="3" t="s">
        <v>105</v>
      </c>
    </row>
    <row r="1283" spans="4:4" ht="17.649999999999999" x14ac:dyDescent="0.5">
      <c r="D1283" s="3" t="s">
        <v>87</v>
      </c>
    </row>
    <row r="1284" spans="4:4" ht="17.649999999999999" x14ac:dyDescent="0.5">
      <c r="D1284" s="3" t="s">
        <v>61</v>
      </c>
    </row>
    <row r="1285" spans="4:4" ht="17.649999999999999" x14ac:dyDescent="0.5">
      <c r="D1285" s="3" t="s">
        <v>291</v>
      </c>
    </row>
    <row r="1286" spans="4:4" ht="17.649999999999999" x14ac:dyDescent="0.5">
      <c r="D1286" s="3" t="s">
        <v>107</v>
      </c>
    </row>
    <row r="1287" spans="4:4" ht="17.649999999999999" x14ac:dyDescent="0.5">
      <c r="D1287" s="3" t="s">
        <v>247</v>
      </c>
    </row>
    <row r="1288" spans="4:4" ht="17.649999999999999" x14ac:dyDescent="0.5">
      <c r="D1288" s="3" t="s">
        <v>41</v>
      </c>
    </row>
    <row r="1289" spans="4:4" ht="17.649999999999999" x14ac:dyDescent="0.5">
      <c r="D1289" s="3" t="s">
        <v>52</v>
      </c>
    </row>
    <row r="1290" spans="4:4" ht="17.649999999999999" x14ac:dyDescent="0.5">
      <c r="D1290" s="3" t="s">
        <v>65</v>
      </c>
    </row>
    <row r="1291" spans="4:4" ht="17.649999999999999" x14ac:dyDescent="0.5">
      <c r="D1291" s="3" t="s">
        <v>109</v>
      </c>
    </row>
    <row r="1292" spans="4:4" ht="17.649999999999999" x14ac:dyDescent="0.5">
      <c r="D1292" s="3" t="s">
        <v>249</v>
      </c>
    </row>
    <row r="1293" spans="4:4" ht="17.649999999999999" x14ac:dyDescent="0.5">
      <c r="D1293" s="3" t="s">
        <v>111</v>
      </c>
    </row>
    <row r="1294" spans="4:4" ht="17.649999999999999" x14ac:dyDescent="0.5">
      <c r="D1294" s="3" t="s">
        <v>55</v>
      </c>
    </row>
    <row r="1295" spans="4:4" ht="17.649999999999999" x14ac:dyDescent="0.5">
      <c r="D1295" s="3" t="s">
        <v>239</v>
      </c>
    </row>
    <row r="1296" spans="4:4" ht="17.649999999999999" x14ac:dyDescent="0.5">
      <c r="D1296" s="3" t="s">
        <v>56</v>
      </c>
    </row>
    <row r="1297" spans="4:4" ht="17.649999999999999" x14ac:dyDescent="0.5">
      <c r="D1297" s="3" t="s">
        <v>82</v>
      </c>
    </row>
    <row r="1298" spans="4:4" ht="17.649999999999999" x14ac:dyDescent="0.5">
      <c r="D1298" s="3" t="s">
        <v>68</v>
      </c>
    </row>
    <row r="1299" spans="4:4" ht="17.649999999999999" x14ac:dyDescent="0.5">
      <c r="D1299" s="3" t="s">
        <v>109</v>
      </c>
    </row>
    <row r="1300" spans="4:4" ht="17.649999999999999" x14ac:dyDescent="0.5">
      <c r="D1300" s="3" t="s">
        <v>107</v>
      </c>
    </row>
    <row r="1301" spans="4:4" ht="17.649999999999999" x14ac:dyDescent="0.5">
      <c r="D1301" s="3" t="s">
        <v>77</v>
      </c>
    </row>
    <row r="1302" spans="4:4" ht="17.649999999999999" x14ac:dyDescent="0.5">
      <c r="D1302" s="3" t="s">
        <v>91</v>
      </c>
    </row>
    <row r="1303" spans="4:4" ht="17.649999999999999" x14ac:dyDescent="0.5">
      <c r="D1303" s="3" t="s">
        <v>102</v>
      </c>
    </row>
    <row r="1304" spans="4:4" ht="17.649999999999999" x14ac:dyDescent="0.5">
      <c r="D1304" s="3" t="s">
        <v>73</v>
      </c>
    </row>
    <row r="1305" spans="4:4" ht="17.649999999999999" x14ac:dyDescent="0.5">
      <c r="D1305" s="3" t="s">
        <v>94</v>
      </c>
    </row>
    <row r="1306" spans="4:4" ht="17.649999999999999" x14ac:dyDescent="0.5">
      <c r="D1306" s="3" t="s">
        <v>42</v>
      </c>
    </row>
    <row r="1307" spans="4:4" ht="17.649999999999999" x14ac:dyDescent="0.5">
      <c r="D1307" s="3" t="s">
        <v>43</v>
      </c>
    </row>
    <row r="1308" spans="4:4" ht="17.649999999999999" x14ac:dyDescent="0.5">
      <c r="D1308" s="3" t="s">
        <v>108</v>
      </c>
    </row>
    <row r="1309" spans="4:4" ht="17.649999999999999" x14ac:dyDescent="0.5">
      <c r="D1309" s="3" t="s">
        <v>96</v>
      </c>
    </row>
    <row r="1310" spans="4:4" ht="17.649999999999999" x14ac:dyDescent="0.5">
      <c r="D1310" s="3" t="s">
        <v>91</v>
      </c>
    </row>
    <row r="1311" spans="4:4" ht="17.649999999999999" x14ac:dyDescent="0.5">
      <c r="D1311" s="3" t="s">
        <v>48</v>
      </c>
    </row>
    <row r="1312" spans="4:4" ht="17.649999999999999" x14ac:dyDescent="0.5">
      <c r="D1312" s="3" t="s">
        <v>111</v>
      </c>
    </row>
    <row r="1313" spans="4:4" ht="17.649999999999999" x14ac:dyDescent="0.5">
      <c r="D1313" s="3" t="s">
        <v>50</v>
      </c>
    </row>
    <row r="1314" spans="4:4" ht="17.649999999999999" x14ac:dyDescent="0.5">
      <c r="D1314" s="3" t="s">
        <v>49</v>
      </c>
    </row>
    <row r="1315" spans="4:4" ht="17.649999999999999" x14ac:dyDescent="0.5">
      <c r="D1315" s="3" t="s">
        <v>103</v>
      </c>
    </row>
    <row r="1316" spans="4:4" ht="17.649999999999999" x14ac:dyDescent="0.5">
      <c r="D1316" s="3" t="s">
        <v>248</v>
      </c>
    </row>
    <row r="1317" spans="4:4" ht="17.649999999999999" x14ac:dyDescent="0.5">
      <c r="D1317" s="3" t="s">
        <v>63</v>
      </c>
    </row>
    <row r="1318" spans="4:4" ht="17.649999999999999" x14ac:dyDescent="0.5">
      <c r="D1318" s="3" t="s">
        <v>68</v>
      </c>
    </row>
    <row r="1319" spans="4:4" ht="17.649999999999999" x14ac:dyDescent="0.5">
      <c r="D1319" s="3" t="s">
        <v>98</v>
      </c>
    </row>
    <row r="1320" spans="4:4" ht="17.649999999999999" x14ac:dyDescent="0.5">
      <c r="D1320" s="3" t="s">
        <v>47</v>
      </c>
    </row>
    <row r="1321" spans="4:4" ht="17.649999999999999" x14ac:dyDescent="0.5">
      <c r="D1321" s="3" t="s">
        <v>250</v>
      </c>
    </row>
    <row r="1322" spans="4:4" ht="17.649999999999999" x14ac:dyDescent="0.5">
      <c r="D1322" s="3" t="s">
        <v>83</v>
      </c>
    </row>
    <row r="1323" spans="4:4" ht="17.649999999999999" x14ac:dyDescent="0.5">
      <c r="D1323" s="3" t="s">
        <v>64</v>
      </c>
    </row>
    <row r="1324" spans="4:4" ht="17.649999999999999" x14ac:dyDescent="0.5">
      <c r="D1324" s="3" t="s">
        <v>86</v>
      </c>
    </row>
    <row r="1325" spans="4:4" ht="17.649999999999999" x14ac:dyDescent="0.5">
      <c r="D1325" s="3" t="s">
        <v>66</v>
      </c>
    </row>
    <row r="1326" spans="4:4" ht="17.649999999999999" x14ac:dyDescent="0.5">
      <c r="D1326" s="3" t="s">
        <v>100</v>
      </c>
    </row>
    <row r="1327" spans="4:4" ht="17.649999999999999" x14ac:dyDescent="0.5">
      <c r="D1327" s="3" t="s">
        <v>108</v>
      </c>
    </row>
    <row r="1328" spans="4:4" ht="17.649999999999999" x14ac:dyDescent="0.5">
      <c r="D1328" s="3" t="s">
        <v>68</v>
      </c>
    </row>
    <row r="1329" spans="4:4" ht="17.649999999999999" x14ac:dyDescent="0.5">
      <c r="D1329" s="3" t="s">
        <v>95</v>
      </c>
    </row>
    <row r="1330" spans="4:4" ht="17.649999999999999" x14ac:dyDescent="0.5">
      <c r="D1330" s="3" t="s">
        <v>79</v>
      </c>
    </row>
    <row r="1331" spans="4:4" ht="17.649999999999999" x14ac:dyDescent="0.5">
      <c r="D1331" s="3" t="s">
        <v>98</v>
      </c>
    </row>
    <row r="1332" spans="4:4" ht="17.649999999999999" x14ac:dyDescent="0.5">
      <c r="D1332" s="3" t="s">
        <v>240</v>
      </c>
    </row>
    <row r="1333" spans="4:4" ht="17.649999999999999" x14ac:dyDescent="0.5">
      <c r="D1333" s="3" t="s">
        <v>41</v>
      </c>
    </row>
    <row r="1334" spans="4:4" ht="17.649999999999999" x14ac:dyDescent="0.5">
      <c r="D1334" s="3" t="s">
        <v>102</v>
      </c>
    </row>
    <row r="1335" spans="4:4" ht="17.649999999999999" x14ac:dyDescent="0.5">
      <c r="D1335" s="3" t="s">
        <v>115</v>
      </c>
    </row>
    <row r="1336" spans="4:4" ht="17.649999999999999" x14ac:dyDescent="0.5">
      <c r="D1336" s="3" t="s">
        <v>71</v>
      </c>
    </row>
    <row r="1337" spans="4:4" ht="17.649999999999999" x14ac:dyDescent="0.5">
      <c r="D1337" s="3" t="s">
        <v>285</v>
      </c>
    </row>
    <row r="1338" spans="4:4" ht="17.649999999999999" x14ac:dyDescent="0.5">
      <c r="D1338" s="3" t="s">
        <v>50</v>
      </c>
    </row>
    <row r="1339" spans="4:4" ht="17.649999999999999" x14ac:dyDescent="0.5">
      <c r="D1339" s="3" t="s">
        <v>87</v>
      </c>
    </row>
    <row r="1340" spans="4:4" ht="17.649999999999999" x14ac:dyDescent="0.5">
      <c r="D1340" s="3" t="s">
        <v>101</v>
      </c>
    </row>
    <row r="1341" spans="4:4" ht="17.649999999999999" x14ac:dyDescent="0.5">
      <c r="D1341" s="3" t="s">
        <v>87</v>
      </c>
    </row>
    <row r="1342" spans="4:4" ht="17.649999999999999" x14ac:dyDescent="0.5">
      <c r="D1342" s="3" t="s">
        <v>69</v>
      </c>
    </row>
    <row r="1343" spans="4:4" ht="17.649999999999999" x14ac:dyDescent="0.5">
      <c r="D1343" s="3" t="s">
        <v>46</v>
      </c>
    </row>
    <row r="1344" spans="4:4" ht="17.649999999999999" x14ac:dyDescent="0.5">
      <c r="D1344" s="3" t="s">
        <v>64</v>
      </c>
    </row>
    <row r="1345" spans="4:4" ht="17.649999999999999" x14ac:dyDescent="0.5">
      <c r="D1345" s="3" t="s">
        <v>90</v>
      </c>
    </row>
    <row r="1346" spans="4:4" ht="17.649999999999999" x14ac:dyDescent="0.5">
      <c r="D1346" s="3" t="s">
        <v>96</v>
      </c>
    </row>
    <row r="1347" spans="4:4" ht="17.649999999999999" x14ac:dyDescent="0.5">
      <c r="D1347" s="3" t="s">
        <v>120</v>
      </c>
    </row>
    <row r="1348" spans="4:4" ht="17.649999999999999" x14ac:dyDescent="0.5">
      <c r="D1348" s="3" t="s">
        <v>52</v>
      </c>
    </row>
    <row r="1349" spans="4:4" ht="17.649999999999999" x14ac:dyDescent="0.5">
      <c r="D1349" s="3" t="s">
        <v>61</v>
      </c>
    </row>
    <row r="1350" spans="4:4" ht="17.649999999999999" x14ac:dyDescent="0.5">
      <c r="D1350" s="3" t="s">
        <v>85</v>
      </c>
    </row>
    <row r="1351" spans="4:4" ht="17.649999999999999" x14ac:dyDescent="0.5">
      <c r="D1351" s="3" t="s">
        <v>61</v>
      </c>
    </row>
    <row r="1352" spans="4:4" ht="17.649999999999999" x14ac:dyDescent="0.5">
      <c r="D1352" s="3" t="s">
        <v>122</v>
      </c>
    </row>
    <row r="1353" spans="4:4" ht="17.649999999999999" x14ac:dyDescent="0.5">
      <c r="D1353" s="3" t="s">
        <v>75</v>
      </c>
    </row>
    <row r="1354" spans="4:4" ht="17.649999999999999" x14ac:dyDescent="0.5">
      <c r="D1354" s="3" t="s">
        <v>122</v>
      </c>
    </row>
    <row r="1355" spans="4:4" ht="17.649999999999999" x14ac:dyDescent="0.5">
      <c r="D1355" s="3" t="s">
        <v>77</v>
      </c>
    </row>
    <row r="1356" spans="4:4" ht="17.649999999999999" x14ac:dyDescent="0.5">
      <c r="D1356" s="3" t="s">
        <v>47</v>
      </c>
    </row>
    <row r="1357" spans="4:4" ht="17.649999999999999" x14ac:dyDescent="0.5">
      <c r="D1357" s="3" t="s">
        <v>55</v>
      </c>
    </row>
    <row r="1358" spans="4:4" ht="17.649999999999999" x14ac:dyDescent="0.5">
      <c r="D1358" s="3" t="s">
        <v>115</v>
      </c>
    </row>
    <row r="1359" spans="4:4" ht="17.649999999999999" x14ac:dyDescent="0.5">
      <c r="D1359" s="3" t="s">
        <v>94</v>
      </c>
    </row>
    <row r="1360" spans="4:4" ht="17.649999999999999" x14ac:dyDescent="0.5">
      <c r="D1360" s="3" t="s">
        <v>42</v>
      </c>
    </row>
    <row r="1361" spans="4:4" ht="17.649999999999999" x14ac:dyDescent="0.5">
      <c r="D1361" s="3" t="s">
        <v>47</v>
      </c>
    </row>
    <row r="1362" spans="4:4" ht="17.649999999999999" x14ac:dyDescent="0.5">
      <c r="D1362" s="3" t="s">
        <v>126</v>
      </c>
    </row>
    <row r="1363" spans="4:4" ht="17.649999999999999" x14ac:dyDescent="0.5">
      <c r="D1363" s="3" t="s">
        <v>251</v>
      </c>
    </row>
    <row r="1364" spans="4:4" ht="17.649999999999999" x14ac:dyDescent="0.5">
      <c r="D1364" s="3" t="s">
        <v>51</v>
      </c>
    </row>
    <row r="1365" spans="4:4" ht="17.649999999999999" x14ac:dyDescent="0.5">
      <c r="D1365" s="3" t="s">
        <v>73</v>
      </c>
    </row>
    <row r="1366" spans="4:4" ht="17.649999999999999" x14ac:dyDescent="0.5">
      <c r="D1366" s="3" t="s">
        <v>64</v>
      </c>
    </row>
    <row r="1367" spans="4:4" ht="17.649999999999999" x14ac:dyDescent="0.5">
      <c r="D1367" s="3" t="s">
        <v>61</v>
      </c>
    </row>
    <row r="1368" spans="4:4" ht="17.649999999999999" x14ac:dyDescent="0.5">
      <c r="D1368" s="3" t="s">
        <v>253</v>
      </c>
    </row>
    <row r="1369" spans="4:4" ht="17.649999999999999" x14ac:dyDescent="0.5">
      <c r="D1369" s="3" t="s">
        <v>286</v>
      </c>
    </row>
    <row r="1370" spans="4:4" ht="17.649999999999999" x14ac:dyDescent="0.5">
      <c r="D1370" s="3" t="s">
        <v>105</v>
      </c>
    </row>
    <row r="1371" spans="4:4" ht="17.649999999999999" x14ac:dyDescent="0.5">
      <c r="D1371" s="3" t="s">
        <v>44</v>
      </c>
    </row>
    <row r="1372" spans="4:4" ht="17.649999999999999" x14ac:dyDescent="0.5">
      <c r="D1372" s="3" t="s">
        <v>70</v>
      </c>
    </row>
    <row r="1373" spans="4:4" ht="17.649999999999999" x14ac:dyDescent="0.5">
      <c r="D1373" s="3" t="s">
        <v>63</v>
      </c>
    </row>
    <row r="1374" spans="4:4" ht="17.649999999999999" x14ac:dyDescent="0.5">
      <c r="D1374" s="3" t="s">
        <v>242</v>
      </c>
    </row>
    <row r="1375" spans="4:4" ht="17.649999999999999" x14ac:dyDescent="0.5">
      <c r="D1375" s="3" t="s">
        <v>90</v>
      </c>
    </row>
    <row r="1376" spans="4:4" ht="17.649999999999999" x14ac:dyDescent="0.5">
      <c r="D1376" s="3" t="s">
        <v>95</v>
      </c>
    </row>
    <row r="1377" spans="4:4" ht="17.649999999999999" x14ac:dyDescent="0.5">
      <c r="D1377" s="3" t="s">
        <v>119</v>
      </c>
    </row>
    <row r="1378" spans="4:4" ht="17.649999999999999" x14ac:dyDescent="0.5">
      <c r="D1378" s="3" t="s">
        <v>98</v>
      </c>
    </row>
    <row r="1379" spans="4:4" ht="17.649999999999999" x14ac:dyDescent="0.5">
      <c r="D1379" s="3" t="s">
        <v>44</v>
      </c>
    </row>
    <row r="1380" spans="4:4" ht="17.649999999999999" x14ac:dyDescent="0.5">
      <c r="D1380" s="3" t="s">
        <v>94</v>
      </c>
    </row>
    <row r="1381" spans="4:4" ht="17.649999999999999" x14ac:dyDescent="0.5">
      <c r="D1381" s="3" t="s">
        <v>103</v>
      </c>
    </row>
    <row r="1382" spans="4:4" ht="17.649999999999999" x14ac:dyDescent="0.5">
      <c r="D1382" s="3" t="s">
        <v>48</v>
      </c>
    </row>
    <row r="1383" spans="4:4" ht="17.649999999999999" x14ac:dyDescent="0.5">
      <c r="D1383" s="3" t="s">
        <v>295</v>
      </c>
    </row>
    <row r="1384" spans="4:4" ht="17.649999999999999" x14ac:dyDescent="0.5">
      <c r="D1384" s="3" t="s">
        <v>80</v>
      </c>
    </row>
    <row r="1385" spans="4:4" ht="17.649999999999999" x14ac:dyDescent="0.5">
      <c r="D1385" s="3" t="s">
        <v>73</v>
      </c>
    </row>
    <row r="1386" spans="4:4" ht="17.649999999999999" x14ac:dyDescent="0.5">
      <c r="D1386" s="3" t="s">
        <v>136</v>
      </c>
    </row>
    <row r="1387" spans="4:4" ht="17.649999999999999" x14ac:dyDescent="0.5">
      <c r="D1387" s="3" t="s">
        <v>55</v>
      </c>
    </row>
    <row r="1388" spans="4:4" ht="17.649999999999999" x14ac:dyDescent="0.5">
      <c r="D1388" s="3" t="s">
        <v>173</v>
      </c>
    </row>
    <row r="1389" spans="4:4" ht="17.649999999999999" x14ac:dyDescent="0.5">
      <c r="D1389" s="3" t="s">
        <v>49</v>
      </c>
    </row>
    <row r="1390" spans="4:4" ht="17.649999999999999" x14ac:dyDescent="0.5">
      <c r="D1390" s="3" t="s">
        <v>103</v>
      </c>
    </row>
    <row r="1391" spans="4:4" ht="17.649999999999999" x14ac:dyDescent="0.5">
      <c r="D1391" s="3" t="s">
        <v>68</v>
      </c>
    </row>
    <row r="1392" spans="4:4" ht="17.649999999999999" x14ac:dyDescent="0.5">
      <c r="D1392" s="3" t="s">
        <v>184</v>
      </c>
    </row>
    <row r="1393" spans="4:4" ht="17.649999999999999" x14ac:dyDescent="0.5">
      <c r="D1393" s="3" t="s">
        <v>112</v>
      </c>
    </row>
    <row r="1394" spans="4:4" ht="17.649999999999999" x14ac:dyDescent="0.5">
      <c r="D1394" s="3" t="s">
        <v>53</v>
      </c>
    </row>
    <row r="1395" spans="4:4" ht="17.649999999999999" x14ac:dyDescent="0.5">
      <c r="D1395" s="3" t="s">
        <v>68</v>
      </c>
    </row>
    <row r="1396" spans="4:4" ht="17.649999999999999" x14ac:dyDescent="0.5">
      <c r="D1396" s="3" t="s">
        <v>71</v>
      </c>
    </row>
    <row r="1397" spans="4:4" ht="17.649999999999999" x14ac:dyDescent="0.5">
      <c r="D1397" s="3" t="s">
        <v>133</v>
      </c>
    </row>
    <row r="1398" spans="4:4" ht="17.649999999999999" x14ac:dyDescent="0.5">
      <c r="D1398" s="3" t="s">
        <v>56</v>
      </c>
    </row>
    <row r="1399" spans="4:4" ht="17.649999999999999" x14ac:dyDescent="0.5">
      <c r="D1399" s="3" t="s">
        <v>48</v>
      </c>
    </row>
    <row r="1400" spans="4:4" ht="17.649999999999999" x14ac:dyDescent="0.5">
      <c r="D1400" s="3" t="s">
        <v>131</v>
      </c>
    </row>
    <row r="1401" spans="4:4" ht="17.649999999999999" x14ac:dyDescent="0.5">
      <c r="D1401" s="3" t="s">
        <v>44</v>
      </c>
    </row>
    <row r="1402" spans="4:4" ht="17.649999999999999" x14ac:dyDescent="0.5">
      <c r="D1402" s="3" t="s">
        <v>65</v>
      </c>
    </row>
    <row r="1403" spans="4:4" ht="17.649999999999999" x14ac:dyDescent="0.5">
      <c r="D1403" s="3" t="s">
        <v>98</v>
      </c>
    </row>
    <row r="1404" spans="4:4" ht="17.649999999999999" x14ac:dyDescent="0.5">
      <c r="D1404" s="3" t="s">
        <v>90</v>
      </c>
    </row>
    <row r="1405" spans="4:4" ht="17.649999999999999" x14ac:dyDescent="0.5">
      <c r="D1405" s="3" t="s">
        <v>74</v>
      </c>
    </row>
    <row r="1406" spans="4:4" ht="17.649999999999999" x14ac:dyDescent="0.5">
      <c r="D1406" s="3" t="s">
        <v>112</v>
      </c>
    </row>
    <row r="1407" spans="4:4" ht="17.649999999999999" x14ac:dyDescent="0.5">
      <c r="D1407" s="3" t="s">
        <v>74</v>
      </c>
    </row>
    <row r="1408" spans="4:4" ht="17.649999999999999" x14ac:dyDescent="0.5">
      <c r="D1408" s="3" t="s">
        <v>112</v>
      </c>
    </row>
    <row r="1409" spans="4:4" ht="17.649999999999999" x14ac:dyDescent="0.5">
      <c r="D1409" s="3" t="s">
        <v>69</v>
      </c>
    </row>
    <row r="1410" spans="4:4" ht="17.649999999999999" x14ac:dyDescent="0.5">
      <c r="D1410" s="3" t="s">
        <v>126</v>
      </c>
    </row>
    <row r="1411" spans="4:4" ht="17.649999999999999" x14ac:dyDescent="0.5">
      <c r="D1411" s="3" t="s">
        <v>67</v>
      </c>
    </row>
    <row r="1412" spans="4:4" ht="17.649999999999999" x14ac:dyDescent="0.5">
      <c r="D1412" s="3" t="s">
        <v>111</v>
      </c>
    </row>
    <row r="1413" spans="4:4" ht="17.649999999999999" x14ac:dyDescent="0.5">
      <c r="D1413" s="3" t="s">
        <v>73</v>
      </c>
    </row>
    <row r="1414" spans="4:4" ht="17.649999999999999" x14ac:dyDescent="0.5">
      <c r="D1414" s="3" t="s">
        <v>55</v>
      </c>
    </row>
    <row r="1415" spans="4:4" ht="17.649999999999999" x14ac:dyDescent="0.5">
      <c r="D1415" s="3" t="s">
        <v>71</v>
      </c>
    </row>
    <row r="1416" spans="4:4" ht="17.649999999999999" x14ac:dyDescent="0.5">
      <c r="D1416" s="3" t="s">
        <v>80</v>
      </c>
    </row>
    <row r="1417" spans="4:4" ht="17.649999999999999" x14ac:dyDescent="0.5">
      <c r="D1417" s="3" t="s">
        <v>58</v>
      </c>
    </row>
    <row r="1418" spans="4:4" ht="17.649999999999999" x14ac:dyDescent="0.5">
      <c r="D1418" s="3" t="s">
        <v>61</v>
      </c>
    </row>
    <row r="1419" spans="4:4" ht="17.649999999999999" x14ac:dyDescent="0.5">
      <c r="D1419" s="3" t="s">
        <v>61</v>
      </c>
    </row>
    <row r="1420" spans="4:4" ht="17.649999999999999" x14ac:dyDescent="0.5">
      <c r="D1420" s="3" t="s">
        <v>74</v>
      </c>
    </row>
    <row r="1421" spans="4:4" ht="17.649999999999999" x14ac:dyDescent="0.5">
      <c r="D1421" s="3" t="s">
        <v>46</v>
      </c>
    </row>
    <row r="1422" spans="4:4" ht="17.649999999999999" x14ac:dyDescent="0.5">
      <c r="D1422" s="3" t="s">
        <v>99</v>
      </c>
    </row>
    <row r="1423" spans="4:4" ht="17.649999999999999" x14ac:dyDescent="0.5">
      <c r="D1423" s="3" t="s">
        <v>77</v>
      </c>
    </row>
    <row r="1424" spans="4:4" ht="17.649999999999999" x14ac:dyDescent="0.5">
      <c r="D1424" s="3" t="s">
        <v>90</v>
      </c>
    </row>
    <row r="1425" spans="4:4" ht="17.649999999999999" x14ac:dyDescent="0.5">
      <c r="D1425" s="3" t="s">
        <v>129</v>
      </c>
    </row>
    <row r="1426" spans="4:4" ht="17.649999999999999" x14ac:dyDescent="0.5">
      <c r="D1426" s="3" t="s">
        <v>46</v>
      </c>
    </row>
    <row r="1427" spans="4:4" ht="17.649999999999999" x14ac:dyDescent="0.5">
      <c r="D1427" s="3" t="s">
        <v>103</v>
      </c>
    </row>
    <row r="1428" spans="4:4" ht="17.649999999999999" x14ac:dyDescent="0.5">
      <c r="D1428" s="3" t="s">
        <v>83</v>
      </c>
    </row>
    <row r="1429" spans="4:4" ht="17.649999999999999" x14ac:dyDescent="0.5">
      <c r="D1429" s="3" t="s">
        <v>127</v>
      </c>
    </row>
    <row r="1430" spans="4:4" ht="17.649999999999999" x14ac:dyDescent="0.5">
      <c r="D1430" s="3" t="s">
        <v>112</v>
      </c>
    </row>
    <row r="1431" spans="4:4" ht="17.649999999999999" x14ac:dyDescent="0.5">
      <c r="D1431" s="3" t="s">
        <v>94</v>
      </c>
    </row>
    <row r="1432" spans="4:4" ht="17.649999999999999" x14ac:dyDescent="0.5">
      <c r="D1432" s="3" t="s">
        <v>93</v>
      </c>
    </row>
    <row r="1433" spans="4:4" ht="17.649999999999999" x14ac:dyDescent="0.5">
      <c r="D1433" s="3" t="s">
        <v>259</v>
      </c>
    </row>
    <row r="1434" spans="4:4" ht="17.649999999999999" x14ac:dyDescent="0.5">
      <c r="D1434" s="3" t="s">
        <v>67</v>
      </c>
    </row>
    <row r="1435" spans="4:4" ht="17.649999999999999" x14ac:dyDescent="0.5">
      <c r="D1435" s="3" t="s">
        <v>45</v>
      </c>
    </row>
    <row r="1436" spans="4:4" ht="17.649999999999999" x14ac:dyDescent="0.5">
      <c r="D1436" s="3" t="s">
        <v>101</v>
      </c>
    </row>
    <row r="1437" spans="4:4" ht="17.649999999999999" x14ac:dyDescent="0.5">
      <c r="D1437" s="3" t="s">
        <v>42</v>
      </c>
    </row>
    <row r="1438" spans="4:4" ht="17.649999999999999" x14ac:dyDescent="0.5">
      <c r="D1438" s="3" t="s">
        <v>51</v>
      </c>
    </row>
    <row r="1439" spans="4:4" ht="17.649999999999999" x14ac:dyDescent="0.5">
      <c r="D1439" s="3" t="s">
        <v>97</v>
      </c>
    </row>
    <row r="1440" spans="4:4" ht="17.649999999999999" x14ac:dyDescent="0.5">
      <c r="D1440" s="3" t="s">
        <v>61</v>
      </c>
    </row>
    <row r="1441" spans="4:4" ht="17.649999999999999" x14ac:dyDescent="0.5">
      <c r="D1441" s="3" t="s">
        <v>103</v>
      </c>
    </row>
    <row r="1442" spans="4:4" ht="17.649999999999999" x14ac:dyDescent="0.5">
      <c r="D1442" s="3" t="s">
        <v>98</v>
      </c>
    </row>
    <row r="1443" spans="4:4" ht="17.649999999999999" x14ac:dyDescent="0.5">
      <c r="D1443" s="3" t="s">
        <v>64</v>
      </c>
    </row>
    <row r="1444" spans="4:4" ht="17.649999999999999" x14ac:dyDescent="0.5">
      <c r="D1444" s="3" t="s">
        <v>135</v>
      </c>
    </row>
    <row r="1445" spans="4:4" ht="17.649999999999999" x14ac:dyDescent="0.5">
      <c r="D1445" s="3" t="s">
        <v>83</v>
      </c>
    </row>
    <row r="1446" spans="4:4" ht="17.649999999999999" x14ac:dyDescent="0.5">
      <c r="D1446" s="3" t="s">
        <v>101</v>
      </c>
    </row>
    <row r="1447" spans="4:4" ht="17.649999999999999" x14ac:dyDescent="0.5">
      <c r="D1447" s="3" t="s">
        <v>95</v>
      </c>
    </row>
    <row r="1448" spans="4:4" ht="17.649999999999999" x14ac:dyDescent="0.5">
      <c r="D1448" s="3" t="s">
        <v>85</v>
      </c>
    </row>
    <row r="1449" spans="4:4" ht="17.649999999999999" x14ac:dyDescent="0.5">
      <c r="D1449" s="3" t="s">
        <v>58</v>
      </c>
    </row>
    <row r="1450" spans="4:4" ht="17.649999999999999" x14ac:dyDescent="0.5">
      <c r="D1450" s="3" t="s">
        <v>327</v>
      </c>
    </row>
    <row r="1451" spans="4:4" ht="17.649999999999999" x14ac:dyDescent="0.5">
      <c r="D1451" s="3" t="s">
        <v>51</v>
      </c>
    </row>
    <row r="1452" spans="4:4" ht="17.649999999999999" x14ac:dyDescent="0.5">
      <c r="D1452" s="3" t="s">
        <v>186</v>
      </c>
    </row>
    <row r="1453" spans="4:4" ht="17.649999999999999" x14ac:dyDescent="0.5">
      <c r="D1453" s="3" t="s">
        <v>54</v>
      </c>
    </row>
    <row r="1454" spans="4:4" ht="17.649999999999999" x14ac:dyDescent="0.5">
      <c r="D1454" s="3" t="s">
        <v>109</v>
      </c>
    </row>
    <row r="1455" spans="4:4" ht="17.649999999999999" x14ac:dyDescent="0.5">
      <c r="D1455" s="3" t="s">
        <v>246</v>
      </c>
    </row>
    <row r="1456" spans="4:4" ht="17.649999999999999" x14ac:dyDescent="0.5">
      <c r="D1456" s="3" t="s">
        <v>103</v>
      </c>
    </row>
    <row r="1457" spans="4:4" ht="17.649999999999999" x14ac:dyDescent="0.5">
      <c r="D1457" s="3" t="s">
        <v>63</v>
      </c>
    </row>
    <row r="1458" spans="4:4" ht="17.649999999999999" x14ac:dyDescent="0.5">
      <c r="D1458" s="3" t="s">
        <v>252</v>
      </c>
    </row>
    <row r="1459" spans="4:4" ht="17.649999999999999" x14ac:dyDescent="0.5">
      <c r="D1459" s="3" t="s">
        <v>51</v>
      </c>
    </row>
    <row r="1460" spans="4:4" ht="17.649999999999999" x14ac:dyDescent="0.5">
      <c r="D1460" s="3" t="s">
        <v>80</v>
      </c>
    </row>
    <row r="1461" spans="4:4" ht="17.649999999999999" x14ac:dyDescent="0.5">
      <c r="D1461" s="3" t="s">
        <v>94</v>
      </c>
    </row>
    <row r="1462" spans="4:4" ht="17.649999999999999" x14ac:dyDescent="0.5">
      <c r="D1462" s="3" t="s">
        <v>46</v>
      </c>
    </row>
    <row r="1463" spans="4:4" ht="17.649999999999999" x14ac:dyDescent="0.5">
      <c r="D1463" s="3" t="s">
        <v>192</v>
      </c>
    </row>
    <row r="1464" spans="4:4" ht="17.649999999999999" x14ac:dyDescent="0.5">
      <c r="D1464" s="3" t="s">
        <v>254</v>
      </c>
    </row>
    <row r="1465" spans="4:4" ht="17.649999999999999" x14ac:dyDescent="0.5">
      <c r="D1465" s="3" t="s">
        <v>70</v>
      </c>
    </row>
    <row r="1466" spans="4:4" ht="17.649999999999999" x14ac:dyDescent="0.5">
      <c r="D1466" s="3" t="s">
        <v>74</v>
      </c>
    </row>
    <row r="1467" spans="4:4" ht="17.649999999999999" x14ac:dyDescent="0.5">
      <c r="D1467" s="3" t="s">
        <v>134</v>
      </c>
    </row>
    <row r="1468" spans="4:4" ht="17.649999999999999" x14ac:dyDescent="0.5">
      <c r="D1468" s="3" t="s">
        <v>193</v>
      </c>
    </row>
    <row r="1469" spans="4:4" ht="17.649999999999999" x14ac:dyDescent="0.5">
      <c r="D1469" s="3" t="s">
        <v>77</v>
      </c>
    </row>
    <row r="1470" spans="4:4" ht="17.649999999999999" x14ac:dyDescent="0.5">
      <c r="D1470" s="3" t="s">
        <v>299</v>
      </c>
    </row>
    <row r="1471" spans="4:4" ht="17.649999999999999" x14ac:dyDescent="0.5">
      <c r="D1471" s="3" t="s">
        <v>113</v>
      </c>
    </row>
    <row r="1472" spans="4:4" ht="17.649999999999999" x14ac:dyDescent="0.5">
      <c r="D1472" s="3" t="s">
        <v>112</v>
      </c>
    </row>
    <row r="1473" spans="4:4" ht="17.649999999999999" x14ac:dyDescent="0.5">
      <c r="D1473" s="3" t="s">
        <v>74</v>
      </c>
    </row>
    <row r="1474" spans="4:4" ht="17.649999999999999" x14ac:dyDescent="0.5">
      <c r="D1474" s="3" t="s">
        <v>69</v>
      </c>
    </row>
    <row r="1475" spans="4:4" ht="17.649999999999999" x14ac:dyDescent="0.5">
      <c r="D1475" s="3" t="s">
        <v>94</v>
      </c>
    </row>
    <row r="1476" spans="4:4" ht="17.649999999999999" x14ac:dyDescent="0.5">
      <c r="D1476" s="3" t="s">
        <v>255</v>
      </c>
    </row>
    <row r="1477" spans="4:4" ht="17.649999999999999" x14ac:dyDescent="0.5">
      <c r="D1477" s="3" t="s">
        <v>61</v>
      </c>
    </row>
    <row r="1478" spans="4:4" ht="17.649999999999999" x14ac:dyDescent="0.5">
      <c r="D1478" s="3" t="s">
        <v>256</v>
      </c>
    </row>
    <row r="1479" spans="4:4" ht="17.649999999999999" x14ac:dyDescent="0.5">
      <c r="D1479" s="3" t="s">
        <v>43</v>
      </c>
    </row>
    <row r="1480" spans="4:4" ht="17.649999999999999" x14ac:dyDescent="0.5">
      <c r="D1480" s="3" t="s">
        <v>122</v>
      </c>
    </row>
    <row r="1481" spans="4:4" ht="17.649999999999999" x14ac:dyDescent="0.5">
      <c r="D1481" s="3" t="s">
        <v>288</v>
      </c>
    </row>
    <row r="1482" spans="4:4" ht="17.649999999999999" x14ac:dyDescent="0.5">
      <c r="D1482" s="3" t="s">
        <v>63</v>
      </c>
    </row>
    <row r="1483" spans="4:4" ht="17.649999999999999" x14ac:dyDescent="0.5">
      <c r="D1483" s="3" t="s">
        <v>258</v>
      </c>
    </row>
    <row r="1484" spans="4:4" ht="17.649999999999999" x14ac:dyDescent="0.5">
      <c r="D1484" s="3" t="s">
        <v>51</v>
      </c>
    </row>
    <row r="1485" spans="4:4" ht="17.649999999999999" x14ac:dyDescent="0.5">
      <c r="D1485" s="3" t="s">
        <v>80</v>
      </c>
    </row>
    <row r="1486" spans="4:4" ht="17.649999999999999" x14ac:dyDescent="0.5">
      <c r="D1486" s="3" t="s">
        <v>322</v>
      </c>
    </row>
    <row r="1487" spans="4:4" ht="17.649999999999999" x14ac:dyDescent="0.5">
      <c r="D1487" s="3" t="s">
        <v>67</v>
      </c>
    </row>
    <row r="1488" spans="4:4" ht="17.649999999999999" x14ac:dyDescent="0.5">
      <c r="D1488" s="3" t="s">
        <v>64</v>
      </c>
    </row>
    <row r="1489" spans="4:4" ht="17.649999999999999" x14ac:dyDescent="0.5">
      <c r="D1489" s="3" t="s">
        <v>94</v>
      </c>
    </row>
    <row r="1490" spans="4:4" ht="17.649999999999999" x14ac:dyDescent="0.5">
      <c r="D1490" s="3" t="s">
        <v>43</v>
      </c>
    </row>
    <row r="1491" spans="4:4" ht="17.649999999999999" x14ac:dyDescent="0.5">
      <c r="D1491" s="3" t="s">
        <v>262</v>
      </c>
    </row>
    <row r="1492" spans="4:4" ht="17.649999999999999" x14ac:dyDescent="0.5">
      <c r="D1492" s="3" t="s">
        <v>44</v>
      </c>
    </row>
    <row r="1493" spans="4:4" ht="17.649999999999999" x14ac:dyDescent="0.5">
      <c r="D1493" s="3" t="s">
        <v>65</v>
      </c>
    </row>
    <row r="1494" spans="4:4" ht="17.649999999999999" x14ac:dyDescent="0.5">
      <c r="D1494" s="3" t="s">
        <v>66</v>
      </c>
    </row>
    <row r="1495" spans="4:4" ht="17.649999999999999" x14ac:dyDescent="0.5">
      <c r="D1495" s="3" t="s">
        <v>61</v>
      </c>
    </row>
    <row r="1496" spans="4:4" ht="17.649999999999999" x14ac:dyDescent="0.5">
      <c r="D1496" s="3" t="s">
        <v>56</v>
      </c>
    </row>
    <row r="1497" spans="4:4" ht="17.649999999999999" x14ac:dyDescent="0.5">
      <c r="D1497" s="3" t="s">
        <v>111</v>
      </c>
    </row>
    <row r="1498" spans="4:4" ht="17.649999999999999" x14ac:dyDescent="0.5">
      <c r="D1498" s="3" t="s">
        <v>45</v>
      </c>
    </row>
    <row r="1499" spans="4:4" ht="17.649999999999999" x14ac:dyDescent="0.5">
      <c r="D1499" s="3" t="s">
        <v>54</v>
      </c>
    </row>
    <row r="1500" spans="4:4" ht="17.649999999999999" x14ac:dyDescent="0.5">
      <c r="D1500" s="3" t="s">
        <v>67</v>
      </c>
    </row>
    <row r="1501" spans="4:4" ht="17.649999999999999" x14ac:dyDescent="0.5">
      <c r="D1501" s="3" t="s">
        <v>263</v>
      </c>
    </row>
    <row r="1502" spans="4:4" ht="17.649999999999999" x14ac:dyDescent="0.5">
      <c r="D1502" s="3" t="s">
        <v>63</v>
      </c>
    </row>
    <row r="1503" spans="4:4" ht="17.649999999999999" x14ac:dyDescent="0.5">
      <c r="D1503" s="3" t="s">
        <v>68</v>
      </c>
    </row>
    <row r="1504" spans="4:4" ht="17.649999999999999" x14ac:dyDescent="0.5">
      <c r="D1504" s="3" t="s">
        <v>120</v>
      </c>
    </row>
    <row r="1505" spans="4:4" ht="17.649999999999999" x14ac:dyDescent="0.5">
      <c r="D1505" s="3" t="s">
        <v>96</v>
      </c>
    </row>
    <row r="1506" spans="4:4" ht="17.649999999999999" x14ac:dyDescent="0.5">
      <c r="D1506" s="3" t="s">
        <v>264</v>
      </c>
    </row>
    <row r="1507" spans="4:4" ht="17.649999999999999" x14ac:dyDescent="0.5">
      <c r="D1507" s="3" t="s">
        <v>170</v>
      </c>
    </row>
    <row r="1508" spans="4:4" ht="17.649999999999999" x14ac:dyDescent="0.5">
      <c r="D1508" s="3" t="s">
        <v>77</v>
      </c>
    </row>
    <row r="1509" spans="4:4" ht="17.649999999999999" x14ac:dyDescent="0.5">
      <c r="D1509" s="3" t="s">
        <v>112</v>
      </c>
    </row>
    <row r="1510" spans="4:4" ht="17.649999999999999" x14ac:dyDescent="0.5">
      <c r="D1510" s="3" t="s">
        <v>65</v>
      </c>
    </row>
    <row r="1511" spans="4:4" ht="17.649999999999999" x14ac:dyDescent="0.5">
      <c r="D1511" s="3" t="s">
        <v>118</v>
      </c>
    </row>
    <row r="1512" spans="4:4" ht="17.649999999999999" x14ac:dyDescent="0.5">
      <c r="D1512" s="3" t="s">
        <v>171</v>
      </c>
    </row>
    <row r="1513" spans="4:4" ht="17.649999999999999" x14ac:dyDescent="0.5">
      <c r="D1513" s="3" t="s">
        <v>69</v>
      </c>
    </row>
    <row r="1514" spans="4:4" ht="17.649999999999999" x14ac:dyDescent="0.5">
      <c r="D1514" s="3" t="s">
        <v>174</v>
      </c>
    </row>
    <row r="1515" spans="4:4" ht="17.649999999999999" x14ac:dyDescent="0.5">
      <c r="D1515" s="3" t="s">
        <v>73</v>
      </c>
    </row>
    <row r="1516" spans="4:4" ht="17.649999999999999" x14ac:dyDescent="0.5">
      <c r="D1516" s="3" t="s">
        <v>107</v>
      </c>
    </row>
    <row r="1517" spans="4:4" ht="17.649999999999999" x14ac:dyDescent="0.5">
      <c r="D1517" s="3" t="s">
        <v>67</v>
      </c>
    </row>
    <row r="1518" spans="4:4" ht="17.649999999999999" x14ac:dyDescent="0.5">
      <c r="D1518" s="3" t="s">
        <v>94</v>
      </c>
    </row>
    <row r="1519" spans="4:4" ht="17.649999999999999" x14ac:dyDescent="0.5">
      <c r="D1519" s="3" t="s">
        <v>175</v>
      </c>
    </row>
    <row r="1520" spans="4:4" ht="17.649999999999999" x14ac:dyDescent="0.5">
      <c r="D1520" s="3" t="s">
        <v>56</v>
      </c>
    </row>
    <row r="1521" spans="4:4" ht="17.649999999999999" x14ac:dyDescent="0.5">
      <c r="D1521" s="3" t="s">
        <v>85</v>
      </c>
    </row>
    <row r="1522" spans="4:4" ht="17.649999999999999" x14ac:dyDescent="0.5">
      <c r="D1522" s="3" t="s">
        <v>63</v>
      </c>
    </row>
    <row r="1523" spans="4:4" ht="17.649999999999999" x14ac:dyDescent="0.5">
      <c r="D1523" s="3" t="s">
        <v>42</v>
      </c>
    </row>
    <row r="1524" spans="4:4" ht="17.649999999999999" x14ac:dyDescent="0.5">
      <c r="D1524" s="3" t="s">
        <v>50</v>
      </c>
    </row>
    <row r="1525" spans="4:4" ht="17.649999999999999" x14ac:dyDescent="0.5">
      <c r="D1525" s="3" t="s">
        <v>70</v>
      </c>
    </row>
    <row r="1526" spans="4:4" ht="17.649999999999999" x14ac:dyDescent="0.5">
      <c r="D1526" s="3" t="s">
        <v>100</v>
      </c>
    </row>
    <row r="1527" spans="4:4" ht="17.649999999999999" x14ac:dyDescent="0.5">
      <c r="D1527" s="3" t="s">
        <v>45</v>
      </c>
    </row>
    <row r="1528" spans="4:4" ht="17.649999999999999" x14ac:dyDescent="0.5">
      <c r="D1528" s="3" t="s">
        <v>79</v>
      </c>
    </row>
    <row r="1529" spans="4:4" ht="17.649999999999999" x14ac:dyDescent="0.5">
      <c r="D1529" s="3" t="s">
        <v>72</v>
      </c>
    </row>
    <row r="1530" spans="4:4" ht="17.649999999999999" x14ac:dyDescent="0.5">
      <c r="D1530" s="3" t="s">
        <v>64</v>
      </c>
    </row>
    <row r="1531" spans="4:4" ht="17.649999999999999" x14ac:dyDescent="0.5">
      <c r="D1531" s="3" t="s">
        <v>74</v>
      </c>
    </row>
    <row r="1532" spans="4:4" ht="17.649999999999999" x14ac:dyDescent="0.5">
      <c r="D1532" s="3" t="s">
        <v>50</v>
      </c>
    </row>
    <row r="1533" spans="4:4" ht="17.649999999999999" x14ac:dyDescent="0.5">
      <c r="D1533" s="3" t="s">
        <v>176</v>
      </c>
    </row>
    <row r="1534" spans="4:4" ht="17.649999999999999" x14ac:dyDescent="0.5">
      <c r="D1534" s="3" t="s">
        <v>112</v>
      </c>
    </row>
    <row r="1535" spans="4:4" ht="17.649999999999999" x14ac:dyDescent="0.5">
      <c r="D1535" s="3" t="s">
        <v>65</v>
      </c>
    </row>
    <row r="1536" spans="4:4" ht="17.649999999999999" x14ac:dyDescent="0.5">
      <c r="D1536" s="3" t="s">
        <v>69</v>
      </c>
    </row>
    <row r="1537" spans="4:4" ht="17.649999999999999" x14ac:dyDescent="0.5">
      <c r="D1537" s="3" t="s">
        <v>76</v>
      </c>
    </row>
    <row r="1538" spans="4:4" ht="17.649999999999999" x14ac:dyDescent="0.5">
      <c r="D1538" s="3" t="s">
        <v>177</v>
      </c>
    </row>
    <row r="1539" spans="4:4" ht="17.649999999999999" x14ac:dyDescent="0.5">
      <c r="D1539" s="3" t="s">
        <v>178</v>
      </c>
    </row>
    <row r="1540" spans="4:4" ht="17.649999999999999" x14ac:dyDescent="0.5">
      <c r="D1540" s="3" t="s">
        <v>126</v>
      </c>
    </row>
    <row r="1541" spans="4:4" ht="17.649999999999999" x14ac:dyDescent="0.5">
      <c r="D1541" s="3" t="s">
        <v>90</v>
      </c>
    </row>
    <row r="1542" spans="4:4" ht="17.649999999999999" x14ac:dyDescent="0.5">
      <c r="D1542" s="3" t="s">
        <v>180</v>
      </c>
    </row>
    <row r="1543" spans="4:4" ht="17.649999999999999" x14ac:dyDescent="0.5">
      <c r="D1543" s="3" t="s">
        <v>122</v>
      </c>
    </row>
    <row r="1544" spans="4:4" ht="17.649999999999999" x14ac:dyDescent="0.5">
      <c r="D1544" s="3" t="s">
        <v>181</v>
      </c>
    </row>
    <row r="1545" spans="4:4" ht="17.649999999999999" x14ac:dyDescent="0.5">
      <c r="D1545" s="3" t="s">
        <v>179</v>
      </c>
    </row>
    <row r="1546" spans="4:4" ht="17.649999999999999" x14ac:dyDescent="0.5">
      <c r="D1546" s="3" t="s">
        <v>83</v>
      </c>
    </row>
    <row r="1547" spans="4:4" ht="17.649999999999999" x14ac:dyDescent="0.5">
      <c r="D1547" s="3" t="s">
        <v>124</v>
      </c>
    </row>
    <row r="1548" spans="4:4" ht="17.649999999999999" x14ac:dyDescent="0.5">
      <c r="D1548" s="3" t="s">
        <v>182</v>
      </c>
    </row>
    <row r="1549" spans="4:4" ht="17.649999999999999" x14ac:dyDescent="0.5">
      <c r="D1549" s="3" t="s">
        <v>183</v>
      </c>
    </row>
    <row r="1550" spans="4:4" ht="17.649999999999999" x14ac:dyDescent="0.5">
      <c r="D1550" s="3" t="s">
        <v>300</v>
      </c>
    </row>
    <row r="1551" spans="4:4" ht="17.649999999999999" x14ac:dyDescent="0.5">
      <c r="D1551" s="3" t="s">
        <v>67</v>
      </c>
    </row>
    <row r="1552" spans="4:4" ht="17.649999999999999" x14ac:dyDescent="0.5">
      <c r="D1552" s="3" t="s">
        <v>77</v>
      </c>
    </row>
    <row r="1553" spans="4:4" ht="17.649999999999999" x14ac:dyDescent="0.5">
      <c r="D1553" s="3" t="s">
        <v>51</v>
      </c>
    </row>
    <row r="1554" spans="4:4" ht="17.649999999999999" x14ac:dyDescent="0.5">
      <c r="D1554" s="3" t="s">
        <v>203</v>
      </c>
    </row>
    <row r="1555" spans="4:4" ht="17.649999999999999" x14ac:dyDescent="0.5">
      <c r="D1555" s="3" t="s">
        <v>105</v>
      </c>
    </row>
    <row r="1556" spans="4:4" ht="17.649999999999999" x14ac:dyDescent="0.5">
      <c r="D1556" s="3" t="s">
        <v>117</v>
      </c>
    </row>
    <row r="1557" spans="4:4" ht="17.649999999999999" x14ac:dyDescent="0.5">
      <c r="D1557" s="3" t="s">
        <v>95</v>
      </c>
    </row>
    <row r="1558" spans="4:4" ht="17.649999999999999" x14ac:dyDescent="0.5">
      <c r="D1558" s="3" t="s">
        <v>65</v>
      </c>
    </row>
    <row r="1559" spans="4:4" ht="17.649999999999999" x14ac:dyDescent="0.5">
      <c r="D1559" s="3" t="s">
        <v>115</v>
      </c>
    </row>
    <row r="1560" spans="4:4" ht="17.649999999999999" x14ac:dyDescent="0.5">
      <c r="D1560" s="3" t="s">
        <v>126</v>
      </c>
    </row>
    <row r="1561" spans="4:4" ht="17.649999999999999" x14ac:dyDescent="0.5">
      <c r="D1561" s="3" t="s">
        <v>94</v>
      </c>
    </row>
    <row r="1562" spans="4:4" ht="17.649999999999999" x14ac:dyDescent="0.5">
      <c r="D1562" s="3" t="s">
        <v>70</v>
      </c>
    </row>
    <row r="1563" spans="4:4" ht="17.649999999999999" x14ac:dyDescent="0.5">
      <c r="D1563" s="3" t="s">
        <v>55</v>
      </c>
    </row>
    <row r="1564" spans="4:4" ht="17.649999999999999" x14ac:dyDescent="0.5">
      <c r="D1564" s="3" t="s">
        <v>57</v>
      </c>
    </row>
    <row r="1565" spans="4:4" ht="17.649999999999999" x14ac:dyDescent="0.5">
      <c r="D1565" s="3" t="s">
        <v>42</v>
      </c>
    </row>
    <row r="1566" spans="4:4" ht="17.649999999999999" x14ac:dyDescent="0.5">
      <c r="D1566" s="3" t="s">
        <v>96</v>
      </c>
    </row>
    <row r="1567" spans="4:4" ht="17.649999999999999" x14ac:dyDescent="0.5">
      <c r="D1567" s="3" t="s">
        <v>66</v>
      </c>
    </row>
    <row r="1568" spans="4:4" ht="17.649999999999999" x14ac:dyDescent="0.5">
      <c r="D1568" s="3" t="s">
        <v>98</v>
      </c>
    </row>
    <row r="1569" spans="4:4" ht="17.649999999999999" x14ac:dyDescent="0.5">
      <c r="D1569" s="3" t="s">
        <v>61</v>
      </c>
    </row>
    <row r="1570" spans="4:4" ht="17.649999999999999" x14ac:dyDescent="0.5">
      <c r="D1570" s="3" t="s">
        <v>189</v>
      </c>
    </row>
    <row r="1571" spans="4:4" ht="17.649999999999999" x14ac:dyDescent="0.5">
      <c r="D1571" s="3" t="s">
        <v>68</v>
      </c>
    </row>
    <row r="1572" spans="4:4" ht="17.649999999999999" x14ac:dyDescent="0.5">
      <c r="D1572" s="3" t="s">
        <v>98</v>
      </c>
    </row>
    <row r="1573" spans="4:4" ht="17.649999999999999" x14ac:dyDescent="0.5">
      <c r="D1573" s="3" t="s">
        <v>65</v>
      </c>
    </row>
    <row r="1574" spans="4:4" ht="17.649999999999999" x14ac:dyDescent="0.5">
      <c r="D1574" s="3" t="s">
        <v>115</v>
      </c>
    </row>
    <row r="1575" spans="4:4" ht="17.649999999999999" x14ac:dyDescent="0.5">
      <c r="D1575" s="3" t="s">
        <v>59</v>
      </c>
    </row>
    <row r="1576" spans="4:4" ht="17.649999999999999" x14ac:dyDescent="0.5">
      <c r="D1576" s="3" t="s">
        <v>75</v>
      </c>
    </row>
    <row r="1577" spans="4:4" ht="17.649999999999999" x14ac:dyDescent="0.5">
      <c r="D1577" s="3" t="s">
        <v>67</v>
      </c>
    </row>
    <row r="1578" spans="4:4" ht="17.649999999999999" x14ac:dyDescent="0.5">
      <c r="D1578" s="3" t="s">
        <v>54</v>
      </c>
    </row>
    <row r="1579" spans="4:4" ht="17.649999999999999" x14ac:dyDescent="0.5">
      <c r="D1579" s="3" t="s">
        <v>76</v>
      </c>
    </row>
    <row r="1580" spans="4:4" ht="17.649999999999999" x14ac:dyDescent="0.5">
      <c r="D1580" s="3" t="s">
        <v>57</v>
      </c>
    </row>
    <row r="1581" spans="4:4" ht="17.649999999999999" x14ac:dyDescent="0.5">
      <c r="D1581" s="3" t="s">
        <v>101</v>
      </c>
    </row>
    <row r="1582" spans="4:4" ht="17.649999999999999" x14ac:dyDescent="0.5">
      <c r="D1582" s="3" t="s">
        <v>85</v>
      </c>
    </row>
    <row r="1583" spans="4:4" ht="17.649999999999999" x14ac:dyDescent="0.5">
      <c r="D1583" s="3" t="s">
        <v>53</v>
      </c>
    </row>
    <row r="1584" spans="4:4" ht="17.649999999999999" x14ac:dyDescent="0.5">
      <c r="D1584" s="3" t="s">
        <v>98</v>
      </c>
    </row>
    <row r="1585" spans="4:4" ht="17.649999999999999" x14ac:dyDescent="0.5">
      <c r="D1585" s="3" t="s">
        <v>105</v>
      </c>
    </row>
    <row r="1586" spans="4:4" ht="17.649999999999999" x14ac:dyDescent="0.5">
      <c r="D1586" s="3" t="s">
        <v>106</v>
      </c>
    </row>
    <row r="1587" spans="4:4" ht="17.649999999999999" x14ac:dyDescent="0.5">
      <c r="D1587" s="3" t="s">
        <v>65</v>
      </c>
    </row>
    <row r="1588" spans="4:4" ht="17.649999999999999" x14ac:dyDescent="0.5">
      <c r="D1588" s="3" t="s">
        <v>63</v>
      </c>
    </row>
    <row r="1589" spans="4:4" ht="17.649999999999999" x14ac:dyDescent="0.5">
      <c r="D1589" s="3" t="s">
        <v>204</v>
      </c>
    </row>
    <row r="1590" spans="4:4" ht="17.649999999999999" x14ac:dyDescent="0.5">
      <c r="D1590" s="3" t="s">
        <v>134</v>
      </c>
    </row>
    <row r="1591" spans="4:4" ht="17.649999999999999" x14ac:dyDescent="0.5">
      <c r="D1591" s="3" t="s">
        <v>52</v>
      </c>
    </row>
    <row r="1592" spans="4:4" ht="17.649999999999999" x14ac:dyDescent="0.5">
      <c r="D1592" s="3" t="s">
        <v>55</v>
      </c>
    </row>
    <row r="1593" spans="4:4" ht="17.649999999999999" x14ac:dyDescent="0.5">
      <c r="D1593" s="3" t="s">
        <v>103</v>
      </c>
    </row>
    <row r="1594" spans="4:4" ht="17.649999999999999" x14ac:dyDescent="0.5">
      <c r="D1594" s="3" t="s">
        <v>91</v>
      </c>
    </row>
    <row r="1595" spans="4:4" ht="17.649999999999999" x14ac:dyDescent="0.5">
      <c r="D1595" s="3" t="s">
        <v>83</v>
      </c>
    </row>
    <row r="1596" spans="4:4" ht="17.649999999999999" x14ac:dyDescent="0.5">
      <c r="D1596" s="3" t="s">
        <v>50</v>
      </c>
    </row>
    <row r="1597" spans="4:4" ht="17.649999999999999" x14ac:dyDescent="0.5">
      <c r="D1597" s="3" t="s">
        <v>85</v>
      </c>
    </row>
    <row r="1598" spans="4:4" ht="17.649999999999999" x14ac:dyDescent="0.5">
      <c r="D1598" s="3" t="s">
        <v>41</v>
      </c>
    </row>
    <row r="1599" spans="4:4" ht="17.649999999999999" x14ac:dyDescent="0.5">
      <c r="D1599" s="3" t="s">
        <v>205</v>
      </c>
    </row>
    <row r="1600" spans="4:4" ht="17.649999999999999" x14ac:dyDescent="0.5">
      <c r="D1600" s="3" t="s">
        <v>74</v>
      </c>
    </row>
    <row r="1601" spans="4:4" ht="17.649999999999999" x14ac:dyDescent="0.5">
      <c r="D1601" s="3" t="s">
        <v>273</v>
      </c>
    </row>
    <row r="1602" spans="4:4" ht="17.649999999999999" x14ac:dyDescent="0.5">
      <c r="D1602" s="3" t="s">
        <v>76</v>
      </c>
    </row>
    <row r="1603" spans="4:4" ht="17.649999999999999" x14ac:dyDescent="0.5">
      <c r="D1603" s="3" t="s">
        <v>63</v>
      </c>
    </row>
    <row r="1604" spans="4:4" ht="17.649999999999999" x14ac:dyDescent="0.5">
      <c r="D1604" s="3" t="s">
        <v>47</v>
      </c>
    </row>
    <row r="1605" spans="4:4" ht="17.649999999999999" x14ac:dyDescent="0.5">
      <c r="D1605" s="3" t="s">
        <v>206</v>
      </c>
    </row>
    <row r="1606" spans="4:4" ht="17.649999999999999" x14ac:dyDescent="0.5">
      <c r="D1606" s="3" t="s">
        <v>191</v>
      </c>
    </row>
    <row r="1607" spans="4:4" ht="17.649999999999999" x14ac:dyDescent="0.5">
      <c r="D1607" s="3" t="s">
        <v>101</v>
      </c>
    </row>
    <row r="1608" spans="4:4" ht="17.649999999999999" x14ac:dyDescent="0.5">
      <c r="D1608" s="3" t="s">
        <v>91</v>
      </c>
    </row>
    <row r="1609" spans="4:4" ht="17.649999999999999" x14ac:dyDescent="0.5">
      <c r="D1609" s="3" t="s">
        <v>54</v>
      </c>
    </row>
    <row r="1610" spans="4:4" ht="17.649999999999999" x14ac:dyDescent="0.5">
      <c r="D1610" s="3" t="s">
        <v>117</v>
      </c>
    </row>
    <row r="1611" spans="4:4" ht="17.649999999999999" x14ac:dyDescent="0.5">
      <c r="D1611" s="3" t="s">
        <v>115</v>
      </c>
    </row>
    <row r="1612" spans="4:4" ht="17.649999999999999" x14ac:dyDescent="0.5">
      <c r="D1612" s="3" t="s">
        <v>103</v>
      </c>
    </row>
    <row r="1613" spans="4:4" ht="17.649999999999999" x14ac:dyDescent="0.5">
      <c r="D1613" s="3" t="s">
        <v>105</v>
      </c>
    </row>
    <row r="1614" spans="4:4" ht="17.649999999999999" x14ac:dyDescent="0.5">
      <c r="D1614" s="3" t="s">
        <v>94</v>
      </c>
    </row>
    <row r="1615" spans="4:4" ht="17.649999999999999" x14ac:dyDescent="0.5">
      <c r="D1615" s="3" t="s">
        <v>96</v>
      </c>
    </row>
    <row r="1616" spans="4:4" ht="17.649999999999999" x14ac:dyDescent="0.5">
      <c r="D1616" s="3" t="s">
        <v>64</v>
      </c>
    </row>
    <row r="1617" spans="4:4" ht="17.649999999999999" x14ac:dyDescent="0.5">
      <c r="D1617" s="3" t="s">
        <v>118</v>
      </c>
    </row>
    <row r="1618" spans="4:4" ht="17.649999999999999" x14ac:dyDescent="0.5">
      <c r="D1618" s="3" t="s">
        <v>112</v>
      </c>
    </row>
    <row r="1619" spans="4:4" ht="17.649999999999999" x14ac:dyDescent="0.5">
      <c r="D1619" s="3" t="s">
        <v>88</v>
      </c>
    </row>
    <row r="1620" spans="4:4" ht="17.649999999999999" x14ac:dyDescent="0.5">
      <c r="D1620" s="3" t="s">
        <v>103</v>
      </c>
    </row>
    <row r="1621" spans="4:4" ht="17.649999999999999" x14ac:dyDescent="0.5">
      <c r="D1621" s="3" t="s">
        <v>101</v>
      </c>
    </row>
    <row r="1622" spans="4:4" ht="17.649999999999999" x14ac:dyDescent="0.5">
      <c r="D1622" s="3" t="s">
        <v>98</v>
      </c>
    </row>
    <row r="1623" spans="4:4" ht="17.649999999999999" x14ac:dyDescent="0.5">
      <c r="D1623" s="3" t="s">
        <v>69</v>
      </c>
    </row>
    <row r="1624" spans="4:4" ht="17.649999999999999" x14ac:dyDescent="0.5">
      <c r="D1624" s="3" t="s">
        <v>83</v>
      </c>
    </row>
    <row r="1625" spans="4:4" ht="17.649999999999999" x14ac:dyDescent="0.5">
      <c r="D1625" s="3" t="s">
        <v>87</v>
      </c>
    </row>
    <row r="1626" spans="4:4" ht="17.649999999999999" x14ac:dyDescent="0.5">
      <c r="D1626" s="3" t="s">
        <v>90</v>
      </c>
    </row>
    <row r="1627" spans="4:4" ht="17.649999999999999" x14ac:dyDescent="0.5">
      <c r="D1627" s="3" t="s">
        <v>112</v>
      </c>
    </row>
    <row r="1628" spans="4:4" ht="17.649999999999999" x14ac:dyDescent="0.5">
      <c r="D1628" s="3" t="s">
        <v>56</v>
      </c>
    </row>
    <row r="1629" spans="4:4" ht="17.649999999999999" x14ac:dyDescent="0.5">
      <c r="D1629" s="3" t="s">
        <v>54</v>
      </c>
    </row>
    <row r="1630" spans="4:4" ht="17.649999999999999" x14ac:dyDescent="0.5">
      <c r="D1630" s="3" t="s">
        <v>61</v>
      </c>
    </row>
    <row r="1631" spans="4:4" ht="17.649999999999999" x14ac:dyDescent="0.5">
      <c r="D1631" s="3" t="s">
        <v>98</v>
      </c>
    </row>
    <row r="1632" spans="4:4" ht="17.649999999999999" x14ac:dyDescent="0.5">
      <c r="D1632" s="3" t="s">
        <v>48</v>
      </c>
    </row>
    <row r="1633" spans="4:4" ht="17.649999999999999" x14ac:dyDescent="0.5">
      <c r="D1633" s="3" t="s">
        <v>46</v>
      </c>
    </row>
    <row r="1634" spans="4:4" ht="17.649999999999999" x14ac:dyDescent="0.5">
      <c r="D1634" s="3" t="s">
        <v>73</v>
      </c>
    </row>
    <row r="1635" spans="4:4" ht="17.649999999999999" x14ac:dyDescent="0.5">
      <c r="D1635" s="3" t="s">
        <v>99</v>
      </c>
    </row>
    <row r="1636" spans="4:4" ht="17.649999999999999" x14ac:dyDescent="0.5">
      <c r="D1636" s="3" t="s">
        <v>63</v>
      </c>
    </row>
    <row r="1637" spans="4:4" ht="17.649999999999999" x14ac:dyDescent="0.5">
      <c r="D1637" s="3" t="s">
        <v>74</v>
      </c>
    </row>
    <row r="1638" spans="4:4" ht="17.649999999999999" x14ac:dyDescent="0.5">
      <c r="D1638" s="3" t="s">
        <v>85</v>
      </c>
    </row>
    <row r="1639" spans="4:4" ht="17.649999999999999" x14ac:dyDescent="0.5">
      <c r="D1639" s="3" t="s">
        <v>57</v>
      </c>
    </row>
    <row r="1640" spans="4:4" ht="17.649999999999999" x14ac:dyDescent="0.5">
      <c r="D1640" s="3" t="s">
        <v>51</v>
      </c>
    </row>
    <row r="1641" spans="4:4" ht="17.649999999999999" x14ac:dyDescent="0.5">
      <c r="D1641" s="3" t="s">
        <v>94</v>
      </c>
    </row>
    <row r="1642" spans="4:4" ht="17.649999999999999" x14ac:dyDescent="0.5">
      <c r="D1642" s="3" t="s">
        <v>194</v>
      </c>
    </row>
    <row r="1643" spans="4:4" ht="17.649999999999999" x14ac:dyDescent="0.5">
      <c r="D1643" s="3" t="s">
        <v>57</v>
      </c>
    </row>
    <row r="1644" spans="4:4" ht="17.649999999999999" x14ac:dyDescent="0.5">
      <c r="D1644" s="3" t="s">
        <v>98</v>
      </c>
    </row>
    <row r="1645" spans="4:4" ht="17.649999999999999" x14ac:dyDescent="0.5">
      <c r="D1645" s="3" t="s">
        <v>46</v>
      </c>
    </row>
    <row r="1646" spans="4:4" ht="17.649999999999999" x14ac:dyDescent="0.5">
      <c r="D1646" s="3" t="s">
        <v>49</v>
      </c>
    </row>
    <row r="1647" spans="4:4" ht="17.649999999999999" x14ac:dyDescent="0.5">
      <c r="D1647" s="3" t="s">
        <v>195</v>
      </c>
    </row>
    <row r="1648" spans="4:4" ht="17.649999999999999" x14ac:dyDescent="0.5">
      <c r="D1648" s="3" t="s">
        <v>52</v>
      </c>
    </row>
    <row r="1649" spans="4:4" ht="17.649999999999999" x14ac:dyDescent="0.5">
      <c r="D1649" s="3" t="s">
        <v>65</v>
      </c>
    </row>
    <row r="1650" spans="4:4" ht="17.649999999999999" x14ac:dyDescent="0.5">
      <c r="D1650" s="3" t="s">
        <v>41</v>
      </c>
    </row>
    <row r="1651" spans="4:4" ht="17.649999999999999" x14ac:dyDescent="0.5">
      <c r="D1651" s="3" t="s">
        <v>302</v>
      </c>
    </row>
    <row r="1652" spans="4:4" ht="17.649999999999999" x14ac:dyDescent="0.5">
      <c r="D1652" s="3" t="s">
        <v>76</v>
      </c>
    </row>
    <row r="1653" spans="4:4" ht="17.649999999999999" x14ac:dyDescent="0.5">
      <c r="D1653" s="3" t="s">
        <v>324</v>
      </c>
    </row>
    <row r="1654" spans="4:4" ht="17.649999999999999" x14ac:dyDescent="0.5">
      <c r="D1654" s="3" t="s">
        <v>101</v>
      </c>
    </row>
    <row r="1655" spans="4:4" ht="17.649999999999999" x14ac:dyDescent="0.5">
      <c r="D1655" s="3" t="s">
        <v>131</v>
      </c>
    </row>
    <row r="1656" spans="4:4" ht="17.649999999999999" x14ac:dyDescent="0.5">
      <c r="D1656" s="3" t="s">
        <v>74</v>
      </c>
    </row>
    <row r="1657" spans="4:4" ht="17.649999999999999" x14ac:dyDescent="0.5">
      <c r="D1657" s="3" t="s">
        <v>208</v>
      </c>
    </row>
    <row r="1658" spans="4:4" ht="17.649999999999999" x14ac:dyDescent="0.5">
      <c r="D1658" s="3" t="s">
        <v>199</v>
      </c>
    </row>
    <row r="1659" spans="4:4" ht="17.649999999999999" x14ac:dyDescent="0.5">
      <c r="D1659" s="3" t="s">
        <v>87</v>
      </c>
    </row>
    <row r="1660" spans="4:4" ht="17.649999999999999" x14ac:dyDescent="0.5">
      <c r="D1660" s="3" t="s">
        <v>116</v>
      </c>
    </row>
    <row r="1661" spans="4:4" ht="17.649999999999999" x14ac:dyDescent="0.5">
      <c r="D1661" s="3" t="s">
        <v>73</v>
      </c>
    </row>
    <row r="1662" spans="4:4" ht="17.649999999999999" x14ac:dyDescent="0.5">
      <c r="D1662" s="3" t="s">
        <v>46</v>
      </c>
    </row>
    <row r="1663" spans="4:4" ht="17.649999999999999" x14ac:dyDescent="0.5">
      <c r="D1663" s="3" t="s">
        <v>99</v>
      </c>
    </row>
    <row r="1664" spans="4:4" ht="17.649999999999999" x14ac:dyDescent="0.5">
      <c r="D1664" s="3" t="s">
        <v>85</v>
      </c>
    </row>
    <row r="1665" spans="4:4" ht="17.649999999999999" x14ac:dyDescent="0.5">
      <c r="D1665" s="3" t="s">
        <v>115</v>
      </c>
    </row>
    <row r="1666" spans="4:4" ht="17.649999999999999" x14ac:dyDescent="0.5">
      <c r="D1666" s="3" t="s">
        <v>49</v>
      </c>
    </row>
    <row r="1667" spans="4:4" ht="17.649999999999999" x14ac:dyDescent="0.5">
      <c r="D1667" s="3" t="s">
        <v>59</v>
      </c>
    </row>
    <row r="1668" spans="4:4" ht="17.649999999999999" x14ac:dyDescent="0.5">
      <c r="D1668" s="3" t="s">
        <v>61</v>
      </c>
    </row>
    <row r="1669" spans="4:4" ht="17.649999999999999" x14ac:dyDescent="0.5">
      <c r="D1669" s="3" t="s">
        <v>209</v>
      </c>
    </row>
    <row r="1670" spans="4:4" ht="17.649999999999999" x14ac:dyDescent="0.5">
      <c r="D1670" s="3" t="s">
        <v>117</v>
      </c>
    </row>
    <row r="1671" spans="4:4" ht="17.649999999999999" x14ac:dyDescent="0.5">
      <c r="D1671" s="3" t="s">
        <v>53</v>
      </c>
    </row>
    <row r="1672" spans="4:4" ht="17.649999999999999" x14ac:dyDescent="0.5">
      <c r="D1672" s="3" t="s">
        <v>77</v>
      </c>
    </row>
    <row r="1673" spans="4:4" ht="17.649999999999999" x14ac:dyDescent="0.5">
      <c r="D1673" s="3" t="s">
        <v>83</v>
      </c>
    </row>
    <row r="1674" spans="4:4" ht="17.649999999999999" x14ac:dyDescent="0.5">
      <c r="D1674" s="3" t="s">
        <v>62</v>
      </c>
    </row>
    <row r="1675" spans="4:4" ht="17.649999999999999" x14ac:dyDescent="0.5">
      <c r="D1675" s="3" t="s">
        <v>68</v>
      </c>
    </row>
    <row r="1676" spans="4:4" ht="17.649999999999999" x14ac:dyDescent="0.5">
      <c r="D1676" s="3" t="s">
        <v>66</v>
      </c>
    </row>
    <row r="1677" spans="4:4" ht="17.649999999999999" x14ac:dyDescent="0.5">
      <c r="D1677" s="3" t="s">
        <v>90</v>
      </c>
    </row>
    <row r="1678" spans="4:4" ht="17.649999999999999" x14ac:dyDescent="0.5">
      <c r="D1678" s="3" t="s">
        <v>69</v>
      </c>
    </row>
    <row r="1679" spans="4:4" ht="17.649999999999999" x14ac:dyDescent="0.5">
      <c r="D1679" s="3" t="s">
        <v>64</v>
      </c>
    </row>
    <row r="1680" spans="4:4" ht="17.649999999999999" x14ac:dyDescent="0.5">
      <c r="D1680" s="3" t="s">
        <v>73</v>
      </c>
    </row>
    <row r="1681" spans="4:4" ht="17.649999999999999" x14ac:dyDescent="0.5">
      <c r="D1681" s="3" t="s">
        <v>54</v>
      </c>
    </row>
    <row r="1682" spans="4:4" ht="17.649999999999999" x14ac:dyDescent="0.5">
      <c r="D1682" s="3" t="s">
        <v>68</v>
      </c>
    </row>
    <row r="1683" spans="4:4" ht="17.649999999999999" x14ac:dyDescent="0.5">
      <c r="D1683" s="3" t="s">
        <v>114</v>
      </c>
    </row>
    <row r="1684" spans="4:4" ht="17.649999999999999" x14ac:dyDescent="0.5">
      <c r="D1684" s="3" t="s">
        <v>57</v>
      </c>
    </row>
    <row r="1685" spans="4:4" ht="17.649999999999999" x14ac:dyDescent="0.5">
      <c r="D1685" s="3" t="s">
        <v>80</v>
      </c>
    </row>
    <row r="1686" spans="4:4" ht="17.649999999999999" x14ac:dyDescent="0.5">
      <c r="D1686" s="3" t="s">
        <v>85</v>
      </c>
    </row>
    <row r="1687" spans="4:4" ht="17.649999999999999" x14ac:dyDescent="0.5">
      <c r="D1687" s="3" t="s">
        <v>108</v>
      </c>
    </row>
    <row r="1688" spans="4:4" ht="17.649999999999999" x14ac:dyDescent="0.5">
      <c r="D1688" s="3" t="s">
        <v>56</v>
      </c>
    </row>
    <row r="1689" spans="4:4" ht="17.649999999999999" x14ac:dyDescent="0.5">
      <c r="D1689" s="3" t="s">
        <v>116</v>
      </c>
    </row>
    <row r="1690" spans="4:4" ht="17.649999999999999" x14ac:dyDescent="0.5">
      <c r="D1690" s="3" t="s">
        <v>88</v>
      </c>
    </row>
    <row r="1691" spans="4:4" ht="17.649999999999999" x14ac:dyDescent="0.5">
      <c r="D1691" s="3" t="s">
        <v>41</v>
      </c>
    </row>
    <row r="1692" spans="4:4" ht="17.649999999999999" x14ac:dyDescent="0.5">
      <c r="D1692" s="3" t="s">
        <v>328</v>
      </c>
    </row>
    <row r="1693" spans="4:4" ht="17.649999999999999" x14ac:dyDescent="0.5">
      <c r="D1693" s="3" t="s">
        <v>47</v>
      </c>
    </row>
    <row r="1694" spans="4:4" ht="17.649999999999999" x14ac:dyDescent="0.5">
      <c r="D1694" s="3" t="s">
        <v>50</v>
      </c>
    </row>
    <row r="1695" spans="4:4" ht="17.649999999999999" x14ac:dyDescent="0.5">
      <c r="D1695" s="3" t="s">
        <v>51</v>
      </c>
    </row>
    <row r="1696" spans="4:4" ht="17.649999999999999" x14ac:dyDescent="0.5">
      <c r="D1696" s="3" t="s">
        <v>71</v>
      </c>
    </row>
    <row r="1697" spans="4:4" ht="17.649999999999999" x14ac:dyDescent="0.5">
      <c r="D1697" s="3" t="s">
        <v>101</v>
      </c>
    </row>
    <row r="1698" spans="4:4" ht="17.649999999999999" x14ac:dyDescent="0.5">
      <c r="D1698" s="3" t="s">
        <v>59</v>
      </c>
    </row>
    <row r="1699" spans="4:4" ht="17.649999999999999" x14ac:dyDescent="0.5">
      <c r="D1699" s="3" t="s">
        <v>43</v>
      </c>
    </row>
    <row r="1700" spans="4:4" ht="17.649999999999999" x14ac:dyDescent="0.5">
      <c r="D1700" s="3" t="s">
        <v>46</v>
      </c>
    </row>
    <row r="1701" spans="4:4" ht="17.649999999999999" x14ac:dyDescent="0.5">
      <c r="D1701" s="3" t="s">
        <v>211</v>
      </c>
    </row>
    <row r="1702" spans="4:4" ht="17.649999999999999" x14ac:dyDescent="0.5">
      <c r="D1702" s="3" t="s">
        <v>55</v>
      </c>
    </row>
    <row r="1703" spans="4:4" ht="17.649999999999999" x14ac:dyDescent="0.5">
      <c r="D1703" s="3" t="s">
        <v>53</v>
      </c>
    </row>
    <row r="1704" spans="4:4" ht="17.649999999999999" x14ac:dyDescent="0.5">
      <c r="D1704" s="3" t="s">
        <v>212</v>
      </c>
    </row>
    <row r="1705" spans="4:4" ht="17.649999999999999" x14ac:dyDescent="0.5">
      <c r="D1705" s="3" t="s">
        <v>47</v>
      </c>
    </row>
    <row r="1706" spans="4:4" ht="17.649999999999999" x14ac:dyDescent="0.5">
      <c r="D1706" s="3" t="s">
        <v>74</v>
      </c>
    </row>
    <row r="1707" spans="4:4" ht="17.649999999999999" x14ac:dyDescent="0.5">
      <c r="D1707" s="3" t="s">
        <v>74</v>
      </c>
    </row>
    <row r="1708" spans="4:4" ht="17.649999999999999" x14ac:dyDescent="0.5">
      <c r="D1708" s="3" t="s">
        <v>53</v>
      </c>
    </row>
    <row r="1709" spans="4:4" ht="17.649999999999999" x14ac:dyDescent="0.5">
      <c r="D1709" s="3" t="s">
        <v>134</v>
      </c>
    </row>
    <row r="1710" spans="4:4" ht="17.649999999999999" x14ac:dyDescent="0.5">
      <c r="D1710" s="3" t="s">
        <v>61</v>
      </c>
    </row>
    <row r="1711" spans="4:4" ht="17.649999999999999" x14ac:dyDescent="0.5">
      <c r="D1711" s="3" t="s">
        <v>104</v>
      </c>
    </row>
    <row r="1712" spans="4:4" ht="17.649999999999999" x14ac:dyDescent="0.5">
      <c r="D1712" s="3" t="s">
        <v>129</v>
      </c>
    </row>
    <row r="1713" spans="4:4" ht="17.649999999999999" x14ac:dyDescent="0.5">
      <c r="D1713" s="3" t="s">
        <v>46</v>
      </c>
    </row>
    <row r="1714" spans="4:4" ht="17.649999999999999" x14ac:dyDescent="0.5">
      <c r="D1714" s="3" t="s">
        <v>66</v>
      </c>
    </row>
    <row r="1715" spans="4:4" ht="17.649999999999999" x14ac:dyDescent="0.5">
      <c r="D1715" s="3" t="s">
        <v>53</v>
      </c>
    </row>
    <row r="1716" spans="4:4" ht="17.649999999999999" x14ac:dyDescent="0.5">
      <c r="D1716" s="3" t="s">
        <v>112</v>
      </c>
    </row>
    <row r="1717" spans="4:4" ht="17.649999999999999" x14ac:dyDescent="0.5">
      <c r="D1717" s="3" t="s">
        <v>103</v>
      </c>
    </row>
    <row r="1718" spans="4:4" ht="17.649999999999999" x14ac:dyDescent="0.5">
      <c r="D1718" s="3" t="s">
        <v>41</v>
      </c>
    </row>
    <row r="1719" spans="4:4" ht="17.649999999999999" x14ac:dyDescent="0.5">
      <c r="D1719" s="3" t="s">
        <v>91</v>
      </c>
    </row>
    <row r="1720" spans="4:4" ht="17.649999999999999" x14ac:dyDescent="0.5">
      <c r="D1720" s="3" t="s">
        <v>49</v>
      </c>
    </row>
    <row r="1721" spans="4:4" ht="17.649999999999999" x14ac:dyDescent="0.5">
      <c r="D1721" s="3" t="s">
        <v>72</v>
      </c>
    </row>
    <row r="1722" spans="4:4" ht="17.649999999999999" x14ac:dyDescent="0.5">
      <c r="D1722" s="3" t="s">
        <v>69</v>
      </c>
    </row>
    <row r="1723" spans="4:4" ht="17.649999999999999" x14ac:dyDescent="0.5">
      <c r="D1723" s="3" t="s">
        <v>54</v>
      </c>
    </row>
    <row r="1724" spans="4:4" ht="17.649999999999999" x14ac:dyDescent="0.5">
      <c r="D1724" s="3" t="s">
        <v>119</v>
      </c>
    </row>
    <row r="1725" spans="4:4" ht="17.649999999999999" x14ac:dyDescent="0.5">
      <c r="D1725" s="3" t="s">
        <v>214</v>
      </c>
    </row>
    <row r="1726" spans="4:4" ht="17.649999999999999" x14ac:dyDescent="0.5">
      <c r="D1726" s="3" t="s">
        <v>60</v>
      </c>
    </row>
    <row r="1727" spans="4:4" ht="17.649999999999999" x14ac:dyDescent="0.5">
      <c r="D1727" s="3" t="s">
        <v>53</v>
      </c>
    </row>
    <row r="1728" spans="4:4" ht="17.649999999999999" x14ac:dyDescent="0.5">
      <c r="D1728" s="3" t="s">
        <v>57</v>
      </c>
    </row>
    <row r="1729" spans="4:4" ht="17.649999999999999" x14ac:dyDescent="0.5">
      <c r="D1729" s="3" t="s">
        <v>276</v>
      </c>
    </row>
    <row r="1730" spans="4:4" ht="17.649999999999999" x14ac:dyDescent="0.5">
      <c r="D1730" s="3" t="s">
        <v>113</v>
      </c>
    </row>
    <row r="1731" spans="4:4" ht="17.649999999999999" x14ac:dyDescent="0.5">
      <c r="D1731" s="3" t="s">
        <v>115</v>
      </c>
    </row>
    <row r="1732" spans="4:4" ht="17.649999999999999" x14ac:dyDescent="0.5">
      <c r="D1732" s="3" t="s">
        <v>213</v>
      </c>
    </row>
    <row r="1733" spans="4:4" ht="17.649999999999999" x14ac:dyDescent="0.5">
      <c r="D1733" s="3" t="s">
        <v>90</v>
      </c>
    </row>
    <row r="1734" spans="4:4" ht="17.649999999999999" x14ac:dyDescent="0.5">
      <c r="D1734" s="3" t="s">
        <v>66</v>
      </c>
    </row>
    <row r="1735" spans="4:4" ht="17.649999999999999" x14ac:dyDescent="0.5">
      <c r="D1735" s="3" t="s">
        <v>61</v>
      </c>
    </row>
    <row r="1736" spans="4:4" ht="17.649999999999999" x14ac:dyDescent="0.5">
      <c r="D1736" s="3" t="s">
        <v>127</v>
      </c>
    </row>
    <row r="1737" spans="4:4" ht="17.649999999999999" x14ac:dyDescent="0.5">
      <c r="D1737" s="3" t="s">
        <v>303</v>
      </c>
    </row>
    <row r="1738" spans="4:4" ht="17.649999999999999" x14ac:dyDescent="0.5">
      <c r="D1738" s="3" t="s">
        <v>55</v>
      </c>
    </row>
    <row r="1739" spans="4:4" ht="17.649999999999999" x14ac:dyDescent="0.5">
      <c r="D1739" s="3" t="s">
        <v>107</v>
      </c>
    </row>
    <row r="1740" spans="4:4" ht="17.649999999999999" x14ac:dyDescent="0.5">
      <c r="D1740" s="3" t="s">
        <v>66</v>
      </c>
    </row>
    <row r="1741" spans="4:4" ht="17.649999999999999" x14ac:dyDescent="0.5">
      <c r="D1741" s="3" t="s">
        <v>41</v>
      </c>
    </row>
    <row r="1742" spans="4:4" ht="17.649999999999999" x14ac:dyDescent="0.5">
      <c r="D1742" s="3" t="s">
        <v>94</v>
      </c>
    </row>
    <row r="1743" spans="4:4" ht="17.649999999999999" x14ac:dyDescent="0.5">
      <c r="D1743" s="3" t="s">
        <v>77</v>
      </c>
    </row>
    <row r="1744" spans="4:4" ht="17.649999999999999" x14ac:dyDescent="0.5">
      <c r="D1744" s="3" t="s">
        <v>77</v>
      </c>
    </row>
    <row r="1745" spans="4:4" ht="17.649999999999999" x14ac:dyDescent="0.5">
      <c r="D1745" s="3" t="s">
        <v>66</v>
      </c>
    </row>
    <row r="1746" spans="4:4" ht="17.649999999999999" x14ac:dyDescent="0.5">
      <c r="D1746" s="3" t="s">
        <v>69</v>
      </c>
    </row>
    <row r="1747" spans="4:4" ht="17.649999999999999" x14ac:dyDescent="0.5">
      <c r="D1747" s="3" t="s">
        <v>102</v>
      </c>
    </row>
    <row r="1748" spans="4:4" ht="17.649999999999999" x14ac:dyDescent="0.5">
      <c r="D1748" s="3" t="s">
        <v>88</v>
      </c>
    </row>
    <row r="1749" spans="4:4" ht="17.649999999999999" x14ac:dyDescent="0.5">
      <c r="D1749" s="3" t="s">
        <v>47</v>
      </c>
    </row>
    <row r="1750" spans="4:4" ht="17.649999999999999" x14ac:dyDescent="0.5">
      <c r="D1750" s="3" t="s">
        <v>61</v>
      </c>
    </row>
    <row r="1751" spans="4:4" ht="17.649999999999999" x14ac:dyDescent="0.5">
      <c r="D1751" s="3" t="s">
        <v>76</v>
      </c>
    </row>
    <row r="1752" spans="4:4" ht="17.649999999999999" x14ac:dyDescent="0.5">
      <c r="D1752" s="3" t="s">
        <v>83</v>
      </c>
    </row>
    <row r="1753" spans="4:4" ht="17.649999999999999" x14ac:dyDescent="0.5">
      <c r="D1753" s="3" t="s">
        <v>91</v>
      </c>
    </row>
    <row r="1754" spans="4:4" ht="17.649999999999999" x14ac:dyDescent="0.5">
      <c r="D1754" s="3" t="s">
        <v>83</v>
      </c>
    </row>
    <row r="1755" spans="4:4" ht="17.649999999999999" x14ac:dyDescent="0.5">
      <c r="D1755" s="3" t="s">
        <v>46</v>
      </c>
    </row>
    <row r="1756" spans="4:4" ht="17.649999999999999" x14ac:dyDescent="0.5">
      <c r="D1756" s="3" t="s">
        <v>99</v>
      </c>
    </row>
    <row r="1757" spans="4:4" ht="17.649999999999999" x14ac:dyDescent="0.5">
      <c r="D1757" s="3" t="s">
        <v>85</v>
      </c>
    </row>
    <row r="1758" spans="4:4" ht="17.649999999999999" x14ac:dyDescent="0.5">
      <c r="D1758" s="3" t="s">
        <v>79</v>
      </c>
    </row>
    <row r="1759" spans="4:4" ht="17.649999999999999" x14ac:dyDescent="0.5">
      <c r="D1759" s="3" t="s">
        <v>55</v>
      </c>
    </row>
    <row r="1760" spans="4:4" ht="17.649999999999999" x14ac:dyDescent="0.5">
      <c r="D1760" s="3" t="s">
        <v>85</v>
      </c>
    </row>
    <row r="1761" spans="4:4" ht="17.649999999999999" x14ac:dyDescent="0.5">
      <c r="D1761" s="3" t="s">
        <v>52</v>
      </c>
    </row>
    <row r="1762" spans="4:4" ht="17.649999999999999" x14ac:dyDescent="0.5">
      <c r="D1762" s="3" t="s">
        <v>122</v>
      </c>
    </row>
    <row r="1763" spans="4:4" ht="17.649999999999999" x14ac:dyDescent="0.5">
      <c r="D1763" s="3" t="s">
        <v>117</v>
      </c>
    </row>
    <row r="1764" spans="4:4" ht="17.649999999999999" x14ac:dyDescent="0.5">
      <c r="D1764" s="3" t="s">
        <v>105</v>
      </c>
    </row>
    <row r="1765" spans="4:4" ht="17.649999999999999" x14ac:dyDescent="0.5">
      <c r="D1765" s="3" t="s">
        <v>65</v>
      </c>
    </row>
    <row r="1766" spans="4:4" ht="17.649999999999999" x14ac:dyDescent="0.5">
      <c r="D1766" s="3" t="s">
        <v>94</v>
      </c>
    </row>
    <row r="1767" spans="4:4" ht="17.649999999999999" x14ac:dyDescent="0.5">
      <c r="D1767" s="3" t="s">
        <v>59</v>
      </c>
    </row>
    <row r="1768" spans="4:4" ht="17.649999999999999" x14ac:dyDescent="0.5">
      <c r="D1768" s="3" t="s">
        <v>117</v>
      </c>
    </row>
    <row r="1769" spans="4:4" ht="17.649999999999999" x14ac:dyDescent="0.5">
      <c r="D1769" s="3" t="s">
        <v>98</v>
      </c>
    </row>
    <row r="1770" spans="4:4" ht="17.649999999999999" x14ac:dyDescent="0.5">
      <c r="D1770" s="3" t="s">
        <v>80</v>
      </c>
    </row>
    <row r="1771" spans="4:4" ht="17.649999999999999" x14ac:dyDescent="0.5">
      <c r="D1771" s="3" t="s">
        <v>65</v>
      </c>
    </row>
    <row r="1772" spans="4:4" ht="17.649999999999999" x14ac:dyDescent="0.5">
      <c r="D1772" s="3" t="s">
        <v>48</v>
      </c>
    </row>
    <row r="1773" spans="4:4" ht="17.649999999999999" x14ac:dyDescent="0.5">
      <c r="D1773" s="3" t="s">
        <v>325</v>
      </c>
    </row>
    <row r="1774" spans="4:4" ht="17.649999999999999" x14ac:dyDescent="0.5">
      <c r="D1774" s="3" t="s">
        <v>66</v>
      </c>
    </row>
    <row r="1775" spans="4:4" ht="17.649999999999999" x14ac:dyDescent="0.5">
      <c r="D1775" s="3" t="s">
        <v>75</v>
      </c>
    </row>
    <row r="1776" spans="4:4" ht="17.649999999999999" x14ac:dyDescent="0.5">
      <c r="D1776" s="3" t="s">
        <v>319</v>
      </c>
    </row>
    <row r="1777" spans="4:4" ht="17.649999999999999" x14ac:dyDescent="0.5">
      <c r="D1777" s="3" t="s">
        <v>58</v>
      </c>
    </row>
    <row r="1778" spans="4:4" ht="17.649999999999999" x14ac:dyDescent="0.5">
      <c r="D1778" s="3" t="s">
        <v>51</v>
      </c>
    </row>
    <row r="1779" spans="4:4" ht="17.649999999999999" x14ac:dyDescent="0.5">
      <c r="D1779" s="3" t="s">
        <v>218</v>
      </c>
    </row>
    <row r="1780" spans="4:4" ht="17.649999999999999" x14ac:dyDescent="0.5">
      <c r="D1780" s="3" t="s">
        <v>135</v>
      </c>
    </row>
    <row r="1781" spans="4:4" ht="17.649999999999999" x14ac:dyDescent="0.5">
      <c r="D1781" s="3" t="s">
        <v>219</v>
      </c>
    </row>
    <row r="1782" spans="4:4" ht="17.649999999999999" x14ac:dyDescent="0.5">
      <c r="D1782" s="3" t="s">
        <v>129</v>
      </c>
    </row>
    <row r="1783" spans="4:4" ht="17.649999999999999" x14ac:dyDescent="0.5">
      <c r="D1783" s="3" t="s">
        <v>54</v>
      </c>
    </row>
    <row r="1784" spans="4:4" ht="17.649999999999999" x14ac:dyDescent="0.5">
      <c r="D1784" s="3" t="s">
        <v>98</v>
      </c>
    </row>
    <row r="1785" spans="4:4" ht="17.649999999999999" x14ac:dyDescent="0.5">
      <c r="D1785" s="3" t="s">
        <v>277</v>
      </c>
    </row>
    <row r="1786" spans="4:4" ht="17.649999999999999" x14ac:dyDescent="0.5">
      <c r="D1786" s="3" t="s">
        <v>58</v>
      </c>
    </row>
    <row r="1787" spans="4:4" ht="17.649999999999999" x14ac:dyDescent="0.5">
      <c r="D1787" s="3" t="s">
        <v>217</v>
      </c>
    </row>
    <row r="1788" spans="4:4" ht="17.649999999999999" x14ac:dyDescent="0.5">
      <c r="D1788" s="3" t="s">
        <v>224</v>
      </c>
    </row>
    <row r="1789" spans="4:4" ht="17.649999999999999" x14ac:dyDescent="0.5">
      <c r="D1789" s="3" t="s">
        <v>101</v>
      </c>
    </row>
    <row r="1790" spans="4:4" ht="17.649999999999999" x14ac:dyDescent="0.5">
      <c r="D1790" s="3" t="s">
        <v>74</v>
      </c>
    </row>
    <row r="1791" spans="4:4" ht="17.649999999999999" x14ac:dyDescent="0.5">
      <c r="D1791" s="3" t="s">
        <v>101</v>
      </c>
    </row>
    <row r="1792" spans="4:4" ht="17.649999999999999" x14ac:dyDescent="0.5">
      <c r="D1792" s="3" t="s">
        <v>221</v>
      </c>
    </row>
    <row r="1793" spans="4:4" ht="17.649999999999999" x14ac:dyDescent="0.5">
      <c r="D1793" s="3" t="s">
        <v>114</v>
      </c>
    </row>
    <row r="1794" spans="4:4" ht="17.649999999999999" x14ac:dyDescent="0.5">
      <c r="D1794" s="3" t="s">
        <v>279</v>
      </c>
    </row>
    <row r="1795" spans="4:4" ht="17.649999999999999" x14ac:dyDescent="0.5">
      <c r="D1795" s="3" t="s">
        <v>132</v>
      </c>
    </row>
    <row r="1796" spans="4:4" ht="17.649999999999999" x14ac:dyDescent="0.5">
      <c r="D1796" s="3" t="s">
        <v>61</v>
      </c>
    </row>
    <row r="1797" spans="4:4" ht="17.649999999999999" x14ac:dyDescent="0.5">
      <c r="D1797" s="3" t="s">
        <v>228</v>
      </c>
    </row>
    <row r="1798" spans="4:4" ht="17.649999999999999" x14ac:dyDescent="0.5">
      <c r="D1798" s="3" t="s">
        <v>62</v>
      </c>
    </row>
    <row r="1799" spans="4:4" ht="17.649999999999999" x14ac:dyDescent="0.5">
      <c r="D1799" s="3" t="s">
        <v>59</v>
      </c>
    </row>
    <row r="1800" spans="4:4" ht="17.649999999999999" x14ac:dyDescent="0.5">
      <c r="D1800" s="3" t="s">
        <v>67</v>
      </c>
    </row>
    <row r="1801" spans="4:4" ht="17.649999999999999" x14ac:dyDescent="0.5">
      <c r="D1801" s="3" t="s">
        <v>124</v>
      </c>
    </row>
    <row r="1802" spans="4:4" ht="17.649999999999999" x14ac:dyDescent="0.5">
      <c r="D1802" s="3" t="s">
        <v>107</v>
      </c>
    </row>
    <row r="1803" spans="4:4" ht="17.649999999999999" x14ac:dyDescent="0.5">
      <c r="D1803" s="3" t="s">
        <v>53</v>
      </c>
    </row>
    <row r="1804" spans="4:4" ht="17.649999999999999" x14ac:dyDescent="0.5">
      <c r="D1804" s="3" t="s">
        <v>234</v>
      </c>
    </row>
    <row r="1805" spans="4:4" ht="17.649999999999999" x14ac:dyDescent="0.5">
      <c r="D1805" s="3" t="s">
        <v>61</v>
      </c>
    </row>
    <row r="1806" spans="4:4" ht="17.649999999999999" x14ac:dyDescent="0.5">
      <c r="D1806" s="3" t="s">
        <v>236</v>
      </c>
    </row>
    <row r="1807" spans="4:4" ht="17.649999999999999" x14ac:dyDescent="0.5">
      <c r="D1807" s="3" t="s">
        <v>107</v>
      </c>
    </row>
    <row r="1808" spans="4:4" ht="17.649999999999999" x14ac:dyDescent="0.5">
      <c r="D1808" s="3" t="s">
        <v>48</v>
      </c>
    </row>
    <row r="1809" spans="4:4" ht="17.649999999999999" x14ac:dyDescent="0.5">
      <c r="D1809" s="3" t="s">
        <v>96</v>
      </c>
    </row>
    <row r="1810" spans="4:4" ht="17.649999999999999" x14ac:dyDescent="0.5">
      <c r="D1810" s="3" t="s">
        <v>239</v>
      </c>
    </row>
    <row r="1811" spans="4:4" ht="17.649999999999999" x14ac:dyDescent="0.5">
      <c r="D1811" s="3" t="s">
        <v>132</v>
      </c>
    </row>
    <row r="1812" spans="4:4" ht="17.649999999999999" x14ac:dyDescent="0.5">
      <c r="D1812" s="3" t="s">
        <v>42</v>
      </c>
    </row>
    <row r="1813" spans="4:4" ht="17.649999999999999" x14ac:dyDescent="0.5">
      <c r="D1813" s="3" t="s">
        <v>283</v>
      </c>
    </row>
    <row r="1814" spans="4:4" ht="17.649999999999999" x14ac:dyDescent="0.5">
      <c r="D1814" s="3" t="s">
        <v>41</v>
      </c>
    </row>
    <row r="1815" spans="4:4" ht="17.649999999999999" x14ac:dyDescent="0.5">
      <c r="D1815" s="3" t="s">
        <v>240</v>
      </c>
    </row>
    <row r="1816" spans="4:4" ht="17.649999999999999" x14ac:dyDescent="0.5">
      <c r="D1816" s="3" t="s">
        <v>83</v>
      </c>
    </row>
    <row r="1817" spans="4:4" ht="17.649999999999999" x14ac:dyDescent="0.5">
      <c r="D1817" s="3" t="s">
        <v>285</v>
      </c>
    </row>
    <row r="1818" spans="4:4" ht="17.649999999999999" x14ac:dyDescent="0.5">
      <c r="D1818" s="3" t="s">
        <v>43</v>
      </c>
    </row>
    <row r="1819" spans="4:4" ht="17.649999999999999" x14ac:dyDescent="0.5">
      <c r="D1819" s="3" t="s">
        <v>46</v>
      </c>
    </row>
    <row r="1820" spans="4:4" ht="17.649999999999999" x14ac:dyDescent="0.5">
      <c r="D1820" s="3" t="s">
        <v>93</v>
      </c>
    </row>
    <row r="1821" spans="4:4" ht="17.649999999999999" x14ac:dyDescent="0.5">
      <c r="D1821" s="3" t="s">
        <v>73</v>
      </c>
    </row>
    <row r="1822" spans="4:4" ht="17.649999999999999" x14ac:dyDescent="0.5">
      <c r="D1822" s="3" t="s">
        <v>64</v>
      </c>
    </row>
    <row r="1823" spans="4:4" ht="17.649999999999999" x14ac:dyDescent="0.5">
      <c r="D1823" s="3" t="s">
        <v>43</v>
      </c>
    </row>
    <row r="1824" spans="4:4" ht="17.649999999999999" x14ac:dyDescent="0.5">
      <c r="D1824" s="3" t="s">
        <v>41</v>
      </c>
    </row>
    <row r="1825" spans="4:4" ht="17.649999999999999" x14ac:dyDescent="0.5">
      <c r="D1825" s="3" t="s">
        <v>51</v>
      </c>
    </row>
    <row r="1826" spans="4:4" ht="17.649999999999999" x14ac:dyDescent="0.5">
      <c r="D1826" s="3" t="s">
        <v>90</v>
      </c>
    </row>
    <row r="1827" spans="4:4" ht="17.649999999999999" x14ac:dyDescent="0.5">
      <c r="D1827" s="3" t="s">
        <v>111</v>
      </c>
    </row>
    <row r="1828" spans="4:4" ht="17.649999999999999" x14ac:dyDescent="0.5">
      <c r="D1828" s="3" t="s">
        <v>47</v>
      </c>
    </row>
    <row r="1829" spans="4:4" ht="17.649999999999999" x14ac:dyDescent="0.5">
      <c r="D1829" s="3" t="s">
        <v>56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96</v>
      </c>
    </row>
    <row r="1832" spans="4:4" ht="17.649999999999999" x14ac:dyDescent="0.5">
      <c r="D1832" s="3" t="s">
        <v>85</v>
      </c>
    </row>
    <row r="1833" spans="4:4" ht="17.649999999999999" x14ac:dyDescent="0.5">
      <c r="D1833" s="3" t="s">
        <v>98</v>
      </c>
    </row>
    <row r="1834" spans="4:4" ht="17.649999999999999" x14ac:dyDescent="0.5">
      <c r="D1834" s="3" t="s">
        <v>51</v>
      </c>
    </row>
    <row r="1835" spans="4:4" ht="17.649999999999999" x14ac:dyDescent="0.5">
      <c r="D1835" s="3" t="s">
        <v>98</v>
      </c>
    </row>
    <row r="1836" spans="4:4" ht="17.649999999999999" x14ac:dyDescent="0.5">
      <c r="D1836" s="3" t="s">
        <v>88</v>
      </c>
    </row>
    <row r="1837" spans="4:4" ht="17.649999999999999" x14ac:dyDescent="0.5">
      <c r="D1837" s="3" t="s">
        <v>220</v>
      </c>
    </row>
    <row r="1838" spans="4:4" ht="17.649999999999999" x14ac:dyDescent="0.5">
      <c r="D1838" s="3" t="s">
        <v>54</v>
      </c>
    </row>
    <row r="1839" spans="4:4" ht="17.649999999999999" x14ac:dyDescent="0.5">
      <c r="D1839" s="3" t="s">
        <v>117</v>
      </c>
    </row>
    <row r="1840" spans="4:4" ht="17.649999999999999" x14ac:dyDescent="0.5">
      <c r="D1840" s="3" t="s">
        <v>55</v>
      </c>
    </row>
    <row r="1841" spans="4:4" ht="17.649999999999999" x14ac:dyDescent="0.5">
      <c r="D1841" s="3" t="s">
        <v>94</v>
      </c>
    </row>
    <row r="1842" spans="4:4" ht="17.649999999999999" x14ac:dyDescent="0.5">
      <c r="D1842" s="3" t="s">
        <v>222</v>
      </c>
    </row>
    <row r="1843" spans="4:4" ht="17.649999999999999" x14ac:dyDescent="0.5">
      <c r="D1843" s="3" t="s">
        <v>103</v>
      </c>
    </row>
    <row r="1844" spans="4:4" ht="17.649999999999999" x14ac:dyDescent="0.5">
      <c r="D1844" s="3" t="s">
        <v>118</v>
      </c>
    </row>
    <row r="1845" spans="4:4" ht="17.649999999999999" x14ac:dyDescent="0.5">
      <c r="D1845" s="3" t="s">
        <v>107</v>
      </c>
    </row>
    <row r="1846" spans="4:4" ht="17.649999999999999" x14ac:dyDescent="0.5">
      <c r="D1846" s="3" t="s">
        <v>278</v>
      </c>
    </row>
    <row r="1847" spans="4:4" ht="17.649999999999999" x14ac:dyDescent="0.5">
      <c r="D1847" s="3" t="s">
        <v>88</v>
      </c>
    </row>
    <row r="1848" spans="4:4" ht="17.649999999999999" x14ac:dyDescent="0.5">
      <c r="D1848" s="3" t="s">
        <v>51</v>
      </c>
    </row>
    <row r="1849" spans="4:4" ht="17.649999999999999" x14ac:dyDescent="0.5">
      <c r="D1849" s="3" t="s">
        <v>46</v>
      </c>
    </row>
    <row r="1850" spans="4:4" ht="17.649999999999999" x14ac:dyDescent="0.5">
      <c r="D1850" s="3" t="s">
        <v>127</v>
      </c>
    </row>
    <row r="1851" spans="4:4" ht="17.649999999999999" x14ac:dyDescent="0.5">
      <c r="D1851" s="3" t="s">
        <v>96</v>
      </c>
    </row>
    <row r="1852" spans="4:4" ht="17.649999999999999" x14ac:dyDescent="0.5">
      <c r="D1852" s="3" t="s">
        <v>66</v>
      </c>
    </row>
    <row r="1853" spans="4:4" ht="17.649999999999999" x14ac:dyDescent="0.5">
      <c r="D1853" s="3" t="s">
        <v>91</v>
      </c>
    </row>
    <row r="1854" spans="4:4" ht="17.649999999999999" x14ac:dyDescent="0.5">
      <c r="D1854" s="3" t="s">
        <v>43</v>
      </c>
    </row>
    <row r="1855" spans="4:4" ht="17.649999999999999" x14ac:dyDescent="0.5">
      <c r="D1855" s="3" t="s">
        <v>61</v>
      </c>
    </row>
    <row r="1856" spans="4:4" ht="17.649999999999999" x14ac:dyDescent="0.5">
      <c r="D1856" s="3" t="s">
        <v>58</v>
      </c>
    </row>
    <row r="1857" spans="4:4" ht="17.649999999999999" x14ac:dyDescent="0.5">
      <c r="D1857" s="3" t="s">
        <v>64</v>
      </c>
    </row>
    <row r="1858" spans="4:4" ht="17.649999999999999" x14ac:dyDescent="0.5">
      <c r="D1858" s="3" t="s">
        <v>65</v>
      </c>
    </row>
    <row r="1859" spans="4:4" ht="17.649999999999999" x14ac:dyDescent="0.5">
      <c r="D1859" s="3" t="s">
        <v>64</v>
      </c>
    </row>
    <row r="1860" spans="4:4" ht="17.649999999999999" x14ac:dyDescent="0.5">
      <c r="D1860" s="3" t="s">
        <v>53</v>
      </c>
    </row>
    <row r="1861" spans="4:4" ht="17.649999999999999" x14ac:dyDescent="0.5">
      <c r="D1861" s="3" t="s">
        <v>65</v>
      </c>
    </row>
    <row r="1862" spans="4:4" ht="17.649999999999999" x14ac:dyDescent="0.5">
      <c r="D1862" s="3" t="s">
        <v>111</v>
      </c>
    </row>
    <row r="1863" spans="4:4" ht="17.649999999999999" x14ac:dyDescent="0.5">
      <c r="D1863" s="3" t="s">
        <v>64</v>
      </c>
    </row>
    <row r="1864" spans="4:4" ht="17.649999999999999" x14ac:dyDescent="0.5">
      <c r="D1864" s="3" t="s">
        <v>280</v>
      </c>
    </row>
    <row r="1865" spans="4:4" ht="17.649999999999999" x14ac:dyDescent="0.5">
      <c r="D1865" s="3" t="s">
        <v>108</v>
      </c>
    </row>
    <row r="1866" spans="4:4" ht="17.649999999999999" x14ac:dyDescent="0.5">
      <c r="D1866" s="3" t="s">
        <v>52</v>
      </c>
    </row>
    <row r="1867" spans="4:4" ht="17.649999999999999" x14ac:dyDescent="0.5">
      <c r="D1867" s="3" t="s">
        <v>65</v>
      </c>
    </row>
    <row r="1868" spans="4:4" ht="17.649999999999999" x14ac:dyDescent="0.5">
      <c r="D1868" s="3" t="s">
        <v>73</v>
      </c>
    </row>
    <row r="1869" spans="4:4" ht="17.649999999999999" x14ac:dyDescent="0.5">
      <c r="D1869" s="3" t="s">
        <v>281</v>
      </c>
    </row>
    <row r="1870" spans="4:4" ht="17.649999999999999" x14ac:dyDescent="0.5">
      <c r="D1870" s="3" t="s">
        <v>103</v>
      </c>
    </row>
    <row r="1871" spans="4:4" ht="17.649999999999999" x14ac:dyDescent="0.5">
      <c r="D1871" s="3" t="s">
        <v>105</v>
      </c>
    </row>
    <row r="1872" spans="4:4" ht="17.649999999999999" x14ac:dyDescent="0.5">
      <c r="D1872" s="3" t="s">
        <v>134</v>
      </c>
    </row>
    <row r="1873" spans="4:4" ht="17.649999999999999" x14ac:dyDescent="0.5">
      <c r="D1873" s="3" t="s">
        <v>50</v>
      </c>
    </row>
    <row r="1874" spans="4:4" ht="17.649999999999999" x14ac:dyDescent="0.5">
      <c r="D1874" s="3" t="s">
        <v>47</v>
      </c>
    </row>
    <row r="1875" spans="4:4" ht="17.649999999999999" x14ac:dyDescent="0.5">
      <c r="D1875" s="3" t="s">
        <v>77</v>
      </c>
    </row>
    <row r="1876" spans="4:4" ht="17.649999999999999" x14ac:dyDescent="0.5">
      <c r="D1876" s="3" t="s">
        <v>68</v>
      </c>
    </row>
    <row r="1877" spans="4:4" ht="17.649999999999999" x14ac:dyDescent="0.5">
      <c r="D1877" s="3" t="s">
        <v>112</v>
      </c>
    </row>
    <row r="1878" spans="4:4" ht="17.649999999999999" x14ac:dyDescent="0.5">
      <c r="D1878" s="3" t="s">
        <v>103</v>
      </c>
    </row>
    <row r="1879" spans="4:4" ht="17.649999999999999" x14ac:dyDescent="0.5">
      <c r="D1879" s="3" t="s">
        <v>63</v>
      </c>
    </row>
    <row r="1880" spans="4:4" ht="17.649999999999999" x14ac:dyDescent="0.5">
      <c r="D1880" s="3" t="s">
        <v>230</v>
      </c>
    </row>
    <row r="1881" spans="4:4" ht="17.649999999999999" x14ac:dyDescent="0.5">
      <c r="D1881" s="3" t="s">
        <v>79</v>
      </c>
    </row>
    <row r="1882" spans="4:4" ht="17.649999999999999" x14ac:dyDescent="0.5">
      <c r="D1882" s="3" t="s">
        <v>67</v>
      </c>
    </row>
    <row r="1883" spans="4:4" ht="17.649999999999999" x14ac:dyDescent="0.5">
      <c r="D1883" s="3" t="s">
        <v>68</v>
      </c>
    </row>
    <row r="1884" spans="4:4" ht="17.649999999999999" x14ac:dyDescent="0.5">
      <c r="D1884" s="3" t="s">
        <v>126</v>
      </c>
    </row>
    <row r="1885" spans="4:4" ht="17.649999999999999" x14ac:dyDescent="0.5">
      <c r="D1885" s="3" t="s">
        <v>231</v>
      </c>
    </row>
    <row r="1886" spans="4:4" ht="17.649999999999999" x14ac:dyDescent="0.5">
      <c r="D1886" s="3" t="s">
        <v>71</v>
      </c>
    </row>
    <row r="1887" spans="4:4" ht="17.649999999999999" x14ac:dyDescent="0.5">
      <c r="D1887" s="3" t="s">
        <v>241</v>
      </c>
    </row>
    <row r="1888" spans="4:4" ht="17.649999999999999" x14ac:dyDescent="0.5">
      <c r="D1888" s="3" t="s">
        <v>88</v>
      </c>
    </row>
    <row r="1889" spans="4:4" ht="17.649999999999999" x14ac:dyDescent="0.5">
      <c r="D1889" s="3" t="s">
        <v>117</v>
      </c>
    </row>
    <row r="1890" spans="4:4" ht="17.649999999999999" x14ac:dyDescent="0.5">
      <c r="D1890" s="3" t="s">
        <v>63</v>
      </c>
    </row>
    <row r="1891" spans="4:4" ht="17.649999999999999" x14ac:dyDescent="0.5">
      <c r="D1891" s="3" t="s">
        <v>242</v>
      </c>
    </row>
    <row r="1892" spans="4:4" ht="17.649999999999999" x14ac:dyDescent="0.5">
      <c r="D1892" s="3" t="s">
        <v>320</v>
      </c>
    </row>
    <row r="1893" spans="4:4" ht="17.649999999999999" x14ac:dyDescent="0.5">
      <c r="D1893" s="3" t="s">
        <v>74</v>
      </c>
    </row>
    <row r="1894" spans="4:4" ht="17.649999999999999" x14ac:dyDescent="0.5">
      <c r="D1894" s="3" t="s">
        <v>111</v>
      </c>
    </row>
    <row r="1895" spans="4:4" ht="17.649999999999999" x14ac:dyDescent="0.5">
      <c r="D1895" s="3" t="s">
        <v>91</v>
      </c>
    </row>
    <row r="1896" spans="4:4" ht="17.649999999999999" x14ac:dyDescent="0.5">
      <c r="D1896" s="3" t="s">
        <v>46</v>
      </c>
    </row>
    <row r="1897" spans="4:4" ht="17.649999999999999" x14ac:dyDescent="0.5">
      <c r="D1897" s="3" t="s">
        <v>235</v>
      </c>
    </row>
    <row r="1898" spans="4:4" ht="17.649999999999999" x14ac:dyDescent="0.5">
      <c r="D1898" s="3" t="s">
        <v>233</v>
      </c>
    </row>
    <row r="1899" spans="4:4" ht="17.649999999999999" x14ac:dyDescent="0.5">
      <c r="D1899" s="3" t="s">
        <v>115</v>
      </c>
    </row>
    <row r="1900" spans="4:4" ht="17.649999999999999" x14ac:dyDescent="0.5">
      <c r="D1900" s="3" t="s">
        <v>129</v>
      </c>
    </row>
    <row r="1901" spans="4:4" ht="17.649999999999999" x14ac:dyDescent="0.5">
      <c r="D1901" s="3" t="s">
        <v>87</v>
      </c>
    </row>
    <row r="1902" spans="4:4" ht="17.649999999999999" x14ac:dyDescent="0.5">
      <c r="D1902" s="3" t="s">
        <v>237</v>
      </c>
    </row>
    <row r="1903" spans="4:4" ht="17.649999999999999" x14ac:dyDescent="0.5">
      <c r="D1903" s="3" t="s">
        <v>52</v>
      </c>
    </row>
    <row r="1904" spans="4:4" ht="17.649999999999999" x14ac:dyDescent="0.5">
      <c r="D1904" s="3" t="s">
        <v>114</v>
      </c>
    </row>
    <row r="1905" spans="4:4" ht="17.649999999999999" x14ac:dyDescent="0.5">
      <c r="D1905" s="3" t="s">
        <v>121</v>
      </c>
    </row>
    <row r="1906" spans="4:4" ht="17.649999999999999" x14ac:dyDescent="0.5">
      <c r="D1906" s="3" t="s">
        <v>41</v>
      </c>
    </row>
    <row r="1907" spans="4:4" ht="17.649999999999999" x14ac:dyDescent="0.5">
      <c r="D1907" s="3" t="s">
        <v>85</v>
      </c>
    </row>
    <row r="1908" spans="4:4" ht="17.649999999999999" x14ac:dyDescent="0.5">
      <c r="D1908" s="3" t="s">
        <v>91</v>
      </c>
    </row>
    <row r="1909" spans="4:4" ht="17.649999999999999" x14ac:dyDescent="0.5">
      <c r="D1909" s="3" t="s">
        <v>58</v>
      </c>
    </row>
    <row r="1910" spans="4:4" ht="17.649999999999999" x14ac:dyDescent="0.5">
      <c r="D1910" s="3" t="s">
        <v>57</v>
      </c>
    </row>
    <row r="1911" spans="4:4" ht="17.649999999999999" x14ac:dyDescent="0.5">
      <c r="D1911" s="3" t="s">
        <v>112</v>
      </c>
    </row>
    <row r="1912" spans="4:4" ht="17.649999999999999" x14ac:dyDescent="0.5">
      <c r="D1912" s="3" t="s">
        <v>59</v>
      </c>
    </row>
    <row r="1913" spans="4:4" ht="17.649999999999999" x14ac:dyDescent="0.5">
      <c r="D1913" s="3" t="s">
        <v>76</v>
      </c>
    </row>
    <row r="1914" spans="4:4" ht="17.649999999999999" x14ac:dyDescent="0.5">
      <c r="D1914" s="3" t="s">
        <v>50</v>
      </c>
    </row>
    <row r="1915" spans="4:4" ht="17.649999999999999" x14ac:dyDescent="0.5">
      <c r="D1915" s="3" t="s">
        <v>70</v>
      </c>
    </row>
    <row r="1916" spans="4:4" ht="17.649999999999999" x14ac:dyDescent="0.5">
      <c r="D1916" s="3" t="s">
        <v>54</v>
      </c>
    </row>
    <row r="1917" spans="4:4" ht="17.649999999999999" x14ac:dyDescent="0.5">
      <c r="D1917" s="3" t="s">
        <v>67</v>
      </c>
    </row>
    <row r="1918" spans="4:4" ht="17.649999999999999" x14ac:dyDescent="0.5">
      <c r="D1918" s="3" t="s">
        <v>75</v>
      </c>
    </row>
    <row r="1919" spans="4:4" ht="17.649999999999999" x14ac:dyDescent="0.5">
      <c r="D1919" s="3" t="s">
        <v>55</v>
      </c>
    </row>
    <row r="1920" spans="4:4" ht="17.649999999999999" x14ac:dyDescent="0.5">
      <c r="D1920" s="3" t="s">
        <v>126</v>
      </c>
    </row>
    <row r="1921" spans="4:4" ht="17.649999999999999" x14ac:dyDescent="0.5">
      <c r="D1921" s="3" t="s">
        <v>116</v>
      </c>
    </row>
    <row r="1922" spans="4:4" ht="17.649999999999999" x14ac:dyDescent="0.5">
      <c r="D1922" s="3" t="s">
        <v>103</v>
      </c>
    </row>
    <row r="1923" spans="4:4" ht="17.649999999999999" x14ac:dyDescent="0.5">
      <c r="D1923" s="3" t="s">
        <v>94</v>
      </c>
    </row>
    <row r="1924" spans="4:4" ht="17.649999999999999" x14ac:dyDescent="0.5">
      <c r="D1924" s="3" t="s">
        <v>44</v>
      </c>
    </row>
    <row r="1925" spans="4:4" ht="17.649999999999999" x14ac:dyDescent="0.5">
      <c r="D1925" s="3" t="s">
        <v>103</v>
      </c>
    </row>
    <row r="1926" spans="4:4" ht="17.649999999999999" x14ac:dyDescent="0.5">
      <c r="D1926" s="3" t="s">
        <v>91</v>
      </c>
    </row>
    <row r="1927" spans="4:4" ht="17.649999999999999" x14ac:dyDescent="0.5">
      <c r="D1927" s="3" t="s">
        <v>245</v>
      </c>
    </row>
    <row r="1928" spans="4:4" ht="17.649999999999999" x14ac:dyDescent="0.5">
      <c r="D1928" s="3" t="s">
        <v>63</v>
      </c>
    </row>
    <row r="1929" spans="4:4" ht="17.649999999999999" x14ac:dyDescent="0.5">
      <c r="D1929" s="3" t="s">
        <v>44</v>
      </c>
    </row>
    <row r="1930" spans="4:4" ht="17.649999999999999" x14ac:dyDescent="0.5">
      <c r="D1930" s="3" t="s">
        <v>90</v>
      </c>
    </row>
    <row r="1931" spans="4:4" ht="17.649999999999999" x14ac:dyDescent="0.5">
      <c r="D1931" s="3" t="s">
        <v>238</v>
      </c>
    </row>
    <row r="1932" spans="4:4" ht="17.649999999999999" x14ac:dyDescent="0.5">
      <c r="D1932" s="3" t="s">
        <v>68</v>
      </c>
    </row>
    <row r="1933" spans="4:4" ht="17.649999999999999" x14ac:dyDescent="0.5">
      <c r="D1933" s="3" t="s">
        <v>83</v>
      </c>
    </row>
    <row r="1934" spans="4:4" ht="17.649999999999999" x14ac:dyDescent="0.5">
      <c r="D1934" s="3" t="s">
        <v>252</v>
      </c>
    </row>
    <row r="1935" spans="4:4" ht="17.649999999999999" x14ac:dyDescent="0.5">
      <c r="D1935" s="3" t="s">
        <v>45</v>
      </c>
    </row>
    <row r="1936" spans="4:4" ht="17.649999999999999" x14ac:dyDescent="0.5">
      <c r="D1936" s="3" t="s">
        <v>308</v>
      </c>
    </row>
    <row r="1937" spans="4:4" ht="17.649999999999999" x14ac:dyDescent="0.5">
      <c r="D1937" s="3" t="s">
        <v>321</v>
      </c>
    </row>
    <row r="1938" spans="4:4" ht="17.649999999999999" x14ac:dyDescent="0.5">
      <c r="D1938" s="3" t="s">
        <v>43</v>
      </c>
    </row>
    <row r="1939" spans="4:4" ht="17.649999999999999" x14ac:dyDescent="0.5">
      <c r="D1939" s="3" t="s">
        <v>117</v>
      </c>
    </row>
    <row r="1940" spans="4:4" ht="17.649999999999999" x14ac:dyDescent="0.5">
      <c r="D1940" s="3" t="s">
        <v>254</v>
      </c>
    </row>
    <row r="1941" spans="4:4" ht="17.649999999999999" x14ac:dyDescent="0.5">
      <c r="D1941" s="3" t="s">
        <v>256</v>
      </c>
    </row>
    <row r="1942" spans="4:4" ht="17.649999999999999" x14ac:dyDescent="0.5">
      <c r="D1942" s="3" t="s">
        <v>66</v>
      </c>
    </row>
    <row r="1943" spans="4:4" ht="17.649999999999999" x14ac:dyDescent="0.5">
      <c r="D1943" s="3" t="s">
        <v>41</v>
      </c>
    </row>
    <row r="1944" spans="4:4" ht="17.649999999999999" x14ac:dyDescent="0.5">
      <c r="D1944" s="3" t="s">
        <v>105</v>
      </c>
    </row>
    <row r="1945" spans="4:4" ht="17.649999999999999" x14ac:dyDescent="0.5">
      <c r="D1945" s="3" t="s">
        <v>112</v>
      </c>
    </row>
    <row r="1946" spans="4:4" ht="17.649999999999999" x14ac:dyDescent="0.5">
      <c r="D1946" s="3" t="s">
        <v>53</v>
      </c>
    </row>
    <row r="1947" spans="4:4" ht="17.649999999999999" x14ac:dyDescent="0.5">
      <c r="D1947" s="3" t="s">
        <v>129</v>
      </c>
    </row>
    <row r="1948" spans="4:4" ht="17.649999999999999" x14ac:dyDescent="0.5">
      <c r="D1948" s="3" t="s">
        <v>124</v>
      </c>
    </row>
    <row r="1949" spans="4:4" ht="17.649999999999999" x14ac:dyDescent="0.5">
      <c r="D1949" s="3" t="s">
        <v>73</v>
      </c>
    </row>
    <row r="1950" spans="4:4" ht="17.649999999999999" x14ac:dyDescent="0.5">
      <c r="D1950" s="3" t="s">
        <v>95</v>
      </c>
    </row>
    <row r="1951" spans="4:4" ht="17.649999999999999" x14ac:dyDescent="0.5">
      <c r="D1951" s="3" t="s">
        <v>67</v>
      </c>
    </row>
    <row r="1952" spans="4:4" ht="17.649999999999999" x14ac:dyDescent="0.5">
      <c r="D1952" s="3" t="s">
        <v>59</v>
      </c>
    </row>
    <row r="1953" spans="4:4" ht="17.649999999999999" x14ac:dyDescent="0.5">
      <c r="D1953" s="3" t="s">
        <v>96</v>
      </c>
    </row>
    <row r="1954" spans="4:4" ht="17.649999999999999" x14ac:dyDescent="0.5">
      <c r="D1954" s="3" t="s">
        <v>77</v>
      </c>
    </row>
    <row r="1955" spans="4:4" ht="17.649999999999999" x14ac:dyDescent="0.5">
      <c r="D1955" s="3" t="s">
        <v>64</v>
      </c>
    </row>
    <row r="1956" spans="4:4" ht="17.649999999999999" x14ac:dyDescent="0.5">
      <c r="D1956" s="3" t="s">
        <v>132</v>
      </c>
    </row>
    <row r="1957" spans="4:4" ht="17.649999999999999" x14ac:dyDescent="0.5">
      <c r="D1957" s="3" t="s">
        <v>56</v>
      </c>
    </row>
    <row r="1958" spans="4:4" ht="17.649999999999999" x14ac:dyDescent="0.5">
      <c r="D1958" s="3" t="s">
        <v>50</v>
      </c>
    </row>
    <row r="1959" spans="4:4" ht="17.649999999999999" x14ac:dyDescent="0.5">
      <c r="D1959" s="3" t="s">
        <v>129</v>
      </c>
    </row>
    <row r="1960" spans="4:4" ht="17.649999999999999" x14ac:dyDescent="0.5">
      <c r="D1960" s="3" t="s">
        <v>86</v>
      </c>
    </row>
    <row r="1961" spans="4:4" ht="17.649999999999999" x14ac:dyDescent="0.5">
      <c r="D1961" s="3" t="s">
        <v>309</v>
      </c>
    </row>
    <row r="1962" spans="4:4" ht="17.649999999999999" x14ac:dyDescent="0.5">
      <c r="D1962" s="3" t="s">
        <v>103</v>
      </c>
    </row>
    <row r="1963" spans="4:4" ht="17.649999999999999" x14ac:dyDescent="0.5">
      <c r="D1963" s="3" t="s">
        <v>65</v>
      </c>
    </row>
    <row r="1964" spans="4:4" ht="17.649999999999999" x14ac:dyDescent="0.5">
      <c r="D1964" s="3" t="s">
        <v>105</v>
      </c>
    </row>
    <row r="1965" spans="4:4" ht="17.649999999999999" x14ac:dyDescent="0.5">
      <c r="D1965" s="3" t="s">
        <v>135</v>
      </c>
    </row>
    <row r="1966" spans="4:4" ht="17.649999999999999" x14ac:dyDescent="0.5">
      <c r="D1966" s="3" t="s">
        <v>310</v>
      </c>
    </row>
    <row r="1967" spans="4:4" ht="17.649999999999999" x14ac:dyDescent="0.5">
      <c r="D1967" s="3" t="s">
        <v>105</v>
      </c>
    </row>
    <row r="1968" spans="4:4" ht="17.649999999999999" x14ac:dyDescent="0.5">
      <c r="D1968" s="3" t="s">
        <v>67</v>
      </c>
    </row>
    <row r="1969" spans="4:4" ht="17.649999999999999" x14ac:dyDescent="0.5">
      <c r="D1969" s="3" t="s">
        <v>41</v>
      </c>
    </row>
    <row r="1970" spans="4:4" ht="17.649999999999999" x14ac:dyDescent="0.5">
      <c r="D1970" s="3" t="s">
        <v>136</v>
      </c>
    </row>
    <row r="1971" spans="4:4" ht="17.649999999999999" x14ac:dyDescent="0.5">
      <c r="D1971" s="3" t="s">
        <v>107</v>
      </c>
    </row>
    <row r="1972" spans="4:4" ht="17.649999999999999" x14ac:dyDescent="0.5">
      <c r="D1972" s="3" t="s">
        <v>109</v>
      </c>
    </row>
    <row r="1973" spans="4:4" ht="17.649999999999999" x14ac:dyDescent="0.5">
      <c r="D1973" s="3" t="s">
        <v>66</v>
      </c>
    </row>
    <row r="1974" spans="4:4" ht="17.649999999999999" x14ac:dyDescent="0.5">
      <c r="D1974" s="3" t="s">
        <v>96</v>
      </c>
    </row>
    <row r="1975" spans="4:4" ht="17.649999999999999" x14ac:dyDescent="0.5">
      <c r="D1975" s="3" t="s">
        <v>61</v>
      </c>
    </row>
    <row r="1976" spans="4:4" ht="17.649999999999999" x14ac:dyDescent="0.5">
      <c r="D1976" s="3" t="s">
        <v>55</v>
      </c>
    </row>
    <row r="1977" spans="4:4" ht="17.649999999999999" x14ac:dyDescent="0.5">
      <c r="D1977" s="3" t="s">
        <v>74</v>
      </c>
    </row>
    <row r="1978" spans="4:4" ht="17.649999999999999" x14ac:dyDescent="0.5">
      <c r="D1978" s="3" t="s">
        <v>59</v>
      </c>
    </row>
    <row r="1979" spans="4:4" ht="17.649999999999999" x14ac:dyDescent="0.5">
      <c r="D1979" s="3" t="s">
        <v>46</v>
      </c>
    </row>
    <row r="1980" spans="4:4" ht="17.649999999999999" x14ac:dyDescent="0.5">
      <c r="D1980" s="3" t="s">
        <v>73</v>
      </c>
    </row>
    <row r="1981" spans="4:4" ht="17.649999999999999" x14ac:dyDescent="0.5">
      <c r="D1981" s="3" t="s">
        <v>103</v>
      </c>
    </row>
    <row r="1982" spans="4:4" ht="17.649999999999999" x14ac:dyDescent="0.5">
      <c r="D1982" s="3" t="s">
        <v>43</v>
      </c>
    </row>
    <row r="1983" spans="4:4" ht="17.649999999999999" x14ac:dyDescent="0.5">
      <c r="D1983" s="3" t="s">
        <v>257</v>
      </c>
    </row>
    <row r="1984" spans="4:4" ht="17.649999999999999" x14ac:dyDescent="0.5">
      <c r="D1984" s="3" t="s">
        <v>73</v>
      </c>
    </row>
    <row r="1985" spans="4:4" ht="17.649999999999999" x14ac:dyDescent="0.5">
      <c r="D1985" s="3" t="s">
        <v>69</v>
      </c>
    </row>
    <row r="1986" spans="4:4" ht="17.649999999999999" x14ac:dyDescent="0.5">
      <c r="D1986" s="3" t="s">
        <v>64</v>
      </c>
    </row>
    <row r="1987" spans="4:4" ht="17.649999999999999" x14ac:dyDescent="0.5">
      <c r="D1987" s="3" t="s">
        <v>290</v>
      </c>
    </row>
    <row r="1988" spans="4:4" ht="17.649999999999999" x14ac:dyDescent="0.5">
      <c r="D1988" s="3" t="s">
        <v>94</v>
      </c>
    </row>
    <row r="1989" spans="4:4" ht="17.649999999999999" x14ac:dyDescent="0.5">
      <c r="D1989" s="3" t="s">
        <v>258</v>
      </c>
    </row>
    <row r="1990" spans="4:4" ht="17.649999999999999" x14ac:dyDescent="0.5">
      <c r="D1990" s="3" t="s">
        <v>73</v>
      </c>
    </row>
    <row r="1991" spans="4:4" ht="17.649999999999999" x14ac:dyDescent="0.5">
      <c r="D1991" s="3" t="s">
        <v>247</v>
      </c>
    </row>
    <row r="1992" spans="4:4" ht="17.649999999999999" x14ac:dyDescent="0.5">
      <c r="D1992" s="3" t="s">
        <v>56</v>
      </c>
    </row>
    <row r="1993" spans="4:4" ht="17.649999999999999" x14ac:dyDescent="0.5">
      <c r="D1993" s="3" t="s">
        <v>291</v>
      </c>
    </row>
    <row r="1994" spans="4:4" ht="17.649999999999999" x14ac:dyDescent="0.5">
      <c r="D1994" s="3" t="s">
        <v>134</v>
      </c>
    </row>
    <row r="1995" spans="4:4" ht="17.649999999999999" x14ac:dyDescent="0.5">
      <c r="D1995" s="3" t="s">
        <v>47</v>
      </c>
    </row>
    <row r="1996" spans="4:4" ht="17.649999999999999" x14ac:dyDescent="0.5">
      <c r="D1996" s="3" t="s">
        <v>248</v>
      </c>
    </row>
    <row r="1997" spans="4:4" ht="17.649999999999999" x14ac:dyDescent="0.5">
      <c r="D1997" s="3" t="s">
        <v>249</v>
      </c>
    </row>
    <row r="1998" spans="4:4" ht="17.649999999999999" x14ac:dyDescent="0.5">
      <c r="D1998" s="3" t="s">
        <v>68</v>
      </c>
    </row>
    <row r="1999" spans="4:4" ht="17.649999999999999" x14ac:dyDescent="0.5">
      <c r="D1999" s="3" t="s">
        <v>41</v>
      </c>
    </row>
    <row r="2000" spans="4:4" ht="17.649999999999999" x14ac:dyDescent="0.5">
      <c r="D2000" s="3" t="s">
        <v>111</v>
      </c>
    </row>
    <row r="2001" spans="4:4" ht="17.649999999999999" x14ac:dyDescent="0.5">
      <c r="D2001" s="3" t="s">
        <v>250</v>
      </c>
    </row>
    <row r="2002" spans="4:4" ht="17.649999999999999" x14ac:dyDescent="0.5">
      <c r="D2002" s="3" t="s">
        <v>74</v>
      </c>
    </row>
    <row r="2003" spans="4:4" ht="17.649999999999999" x14ac:dyDescent="0.5">
      <c r="D2003" s="3" t="s">
        <v>117</v>
      </c>
    </row>
    <row r="2004" spans="4:4" ht="17.649999999999999" x14ac:dyDescent="0.5">
      <c r="D2004" s="3" t="s">
        <v>54</v>
      </c>
    </row>
    <row r="2005" spans="4:4" ht="17.649999999999999" x14ac:dyDescent="0.5">
      <c r="D2005" s="3" t="s">
        <v>112</v>
      </c>
    </row>
    <row r="2006" spans="4:4" ht="17.649999999999999" x14ac:dyDescent="0.5">
      <c r="D2006" s="3" t="s">
        <v>71</v>
      </c>
    </row>
    <row r="2007" spans="4:4" ht="17.649999999999999" x14ac:dyDescent="0.5">
      <c r="D2007" s="3" t="s">
        <v>66</v>
      </c>
    </row>
    <row r="2008" spans="4:4" ht="17.649999999999999" x14ac:dyDescent="0.5">
      <c r="D2008" s="3" t="s">
        <v>108</v>
      </c>
    </row>
    <row r="2009" spans="4:4" ht="17.649999999999999" x14ac:dyDescent="0.5">
      <c r="D2009" s="3" t="s">
        <v>69</v>
      </c>
    </row>
    <row r="2010" spans="4:4" ht="17.649999999999999" x14ac:dyDescent="0.5">
      <c r="D2010" s="3" t="s">
        <v>107</v>
      </c>
    </row>
    <row r="2011" spans="4:4" ht="17.649999999999999" x14ac:dyDescent="0.5">
      <c r="D2011" s="3" t="s">
        <v>134</v>
      </c>
    </row>
    <row r="2012" spans="4:4" ht="17.649999999999999" x14ac:dyDescent="0.5">
      <c r="D2012" s="3" t="s">
        <v>48</v>
      </c>
    </row>
    <row r="2013" spans="4:4" ht="17.649999999999999" x14ac:dyDescent="0.5">
      <c r="D2013" s="3" t="s">
        <v>75</v>
      </c>
    </row>
    <row r="2014" spans="4:4" ht="17.649999999999999" x14ac:dyDescent="0.5">
      <c r="D2014" s="3" t="s">
        <v>50</v>
      </c>
    </row>
    <row r="2015" spans="4:4" ht="17.649999999999999" x14ac:dyDescent="0.5">
      <c r="D2015" s="3" t="s">
        <v>46</v>
      </c>
    </row>
    <row r="2016" spans="4:4" ht="17.649999999999999" x14ac:dyDescent="0.5">
      <c r="D2016" s="3" t="s">
        <v>251</v>
      </c>
    </row>
    <row r="2017" spans="4:4" ht="17.649999999999999" x14ac:dyDescent="0.5">
      <c r="D2017" s="3" t="s">
        <v>103</v>
      </c>
    </row>
    <row r="2018" spans="4:4" ht="17.649999999999999" x14ac:dyDescent="0.5">
      <c r="D2018" s="3" t="s">
        <v>47</v>
      </c>
    </row>
    <row r="2019" spans="4:4" ht="17.649999999999999" x14ac:dyDescent="0.5">
      <c r="D2019" s="3" t="s">
        <v>68</v>
      </c>
    </row>
    <row r="2020" spans="4:4" ht="17.649999999999999" x14ac:dyDescent="0.5">
      <c r="D2020" s="3" t="s">
        <v>121</v>
      </c>
    </row>
    <row r="2021" spans="4:4" ht="17.649999999999999" x14ac:dyDescent="0.5">
      <c r="D2021" s="3" t="s">
        <v>253</v>
      </c>
    </row>
    <row r="2022" spans="4:4" ht="17.649999999999999" x14ac:dyDescent="0.5">
      <c r="D2022" s="3" t="s">
        <v>261</v>
      </c>
    </row>
    <row r="2023" spans="4:4" ht="17.649999999999999" x14ac:dyDescent="0.5">
      <c r="D2023" s="3" t="s">
        <v>41</v>
      </c>
    </row>
    <row r="2024" spans="4:4" ht="17.649999999999999" x14ac:dyDescent="0.5">
      <c r="D2024" s="3" t="s">
        <v>47</v>
      </c>
    </row>
    <row r="2025" spans="4:4" ht="17.649999999999999" x14ac:dyDescent="0.5">
      <c r="D2025" s="3" t="s">
        <v>262</v>
      </c>
    </row>
    <row r="2026" spans="4:4" ht="17.649999999999999" x14ac:dyDescent="0.5">
      <c r="D2026" s="3" t="s">
        <v>96</v>
      </c>
    </row>
    <row r="2027" spans="4:4" ht="17.649999999999999" x14ac:dyDescent="0.5">
      <c r="D2027" s="3" t="s">
        <v>80</v>
      </c>
    </row>
    <row r="2028" spans="4:4" ht="17.649999999999999" x14ac:dyDescent="0.5">
      <c r="D2028" s="3" t="s">
        <v>75</v>
      </c>
    </row>
    <row r="2029" spans="4:4" ht="17.649999999999999" x14ac:dyDescent="0.5">
      <c r="D2029" s="3" t="s">
        <v>51</v>
      </c>
    </row>
    <row r="2030" spans="4:4" ht="17.649999999999999" x14ac:dyDescent="0.5">
      <c r="D2030" s="3" t="s">
        <v>47</v>
      </c>
    </row>
    <row r="2031" spans="4:4" ht="17.649999999999999" x14ac:dyDescent="0.5">
      <c r="D2031" s="3" t="s">
        <v>135</v>
      </c>
    </row>
    <row r="2032" spans="4:4" ht="17.649999999999999" x14ac:dyDescent="0.5">
      <c r="D2032" s="3" t="s">
        <v>90</v>
      </c>
    </row>
    <row r="2033" spans="4:4" ht="17.649999999999999" x14ac:dyDescent="0.5">
      <c r="D2033" s="3" t="s">
        <v>136</v>
      </c>
    </row>
    <row r="2034" spans="4:4" ht="17.649999999999999" x14ac:dyDescent="0.5">
      <c r="D2034" s="3" t="s">
        <v>57</v>
      </c>
    </row>
    <row r="2035" spans="4:4" ht="17.649999999999999" x14ac:dyDescent="0.5">
      <c r="D2035" s="3" t="s">
        <v>51</v>
      </c>
    </row>
    <row r="2036" spans="4:4" ht="17.649999999999999" x14ac:dyDescent="0.5">
      <c r="D2036" s="3" t="s">
        <v>56</v>
      </c>
    </row>
    <row r="2037" spans="4:4" ht="17.649999999999999" x14ac:dyDescent="0.5">
      <c r="D2037" s="3" t="s">
        <v>75</v>
      </c>
    </row>
    <row r="2038" spans="4:4" ht="17.649999999999999" x14ac:dyDescent="0.5">
      <c r="D2038" s="3" t="s">
        <v>76</v>
      </c>
    </row>
    <row r="2039" spans="4:4" ht="17.649999999999999" x14ac:dyDescent="0.5">
      <c r="D2039" s="3" t="s">
        <v>117</v>
      </c>
    </row>
    <row r="2040" spans="4:4" ht="17.649999999999999" x14ac:dyDescent="0.5">
      <c r="D2040" s="3" t="s">
        <v>263</v>
      </c>
    </row>
    <row r="2041" spans="4:4" ht="17.649999999999999" x14ac:dyDescent="0.5">
      <c r="D2041" s="3" t="s">
        <v>67</v>
      </c>
    </row>
    <row r="2042" spans="4:4" ht="17.649999999999999" x14ac:dyDescent="0.5">
      <c r="D2042" s="3" t="s">
        <v>68</v>
      </c>
    </row>
    <row r="2043" spans="4:4" ht="17.649999999999999" x14ac:dyDescent="0.5">
      <c r="D2043" s="3" t="s">
        <v>62</v>
      </c>
    </row>
    <row r="2044" spans="4:4" ht="17.649999999999999" x14ac:dyDescent="0.5">
      <c r="D2044" s="3" t="s">
        <v>74</v>
      </c>
    </row>
    <row r="2045" spans="4:4" ht="17.649999999999999" x14ac:dyDescent="0.5">
      <c r="D2045" s="3" t="s">
        <v>264</v>
      </c>
    </row>
    <row r="2046" spans="4:4" ht="17.649999999999999" x14ac:dyDescent="0.5">
      <c r="D2046" s="3" t="s">
        <v>112</v>
      </c>
    </row>
    <row r="2047" spans="4:4" ht="17.649999999999999" x14ac:dyDescent="0.5">
      <c r="D2047" s="3" t="s">
        <v>64</v>
      </c>
    </row>
    <row r="2048" spans="4:4" ht="17.649999999999999" x14ac:dyDescent="0.5">
      <c r="D2048" s="3" t="s">
        <v>43</v>
      </c>
    </row>
    <row r="2049" spans="4:4" ht="17.649999999999999" x14ac:dyDescent="0.5">
      <c r="D2049" s="3" t="s">
        <v>51</v>
      </c>
    </row>
    <row r="2050" spans="4:4" ht="17.649999999999999" x14ac:dyDescent="0.5">
      <c r="D2050" s="3" t="s">
        <v>94</v>
      </c>
    </row>
    <row r="2051" spans="4:4" ht="17.649999999999999" x14ac:dyDescent="0.5">
      <c r="D2051" s="3" t="s">
        <v>126</v>
      </c>
    </row>
    <row r="2052" spans="4:4" ht="17.649999999999999" x14ac:dyDescent="0.5">
      <c r="D2052" s="3" t="s">
        <v>69</v>
      </c>
    </row>
    <row r="2053" spans="4:4" ht="17.649999999999999" x14ac:dyDescent="0.5">
      <c r="D2053" s="3" t="s">
        <v>98</v>
      </c>
    </row>
    <row r="2054" spans="4:4" ht="17.649999999999999" x14ac:dyDescent="0.5">
      <c r="D2054" s="3" t="s">
        <v>65</v>
      </c>
    </row>
    <row r="2055" spans="4:4" ht="17.649999999999999" x14ac:dyDescent="0.5">
      <c r="D2055" s="3" t="s">
        <v>53</v>
      </c>
    </row>
    <row r="2056" spans="4:4" ht="17.649999999999999" x14ac:dyDescent="0.5">
      <c r="D2056" s="3" t="s">
        <v>51</v>
      </c>
    </row>
    <row r="2057" spans="4:4" ht="17.649999999999999" x14ac:dyDescent="0.5">
      <c r="D2057" s="3" t="s">
        <v>41</v>
      </c>
    </row>
    <row r="2058" spans="4:4" ht="17.649999999999999" x14ac:dyDescent="0.5">
      <c r="D2058" s="3" t="s">
        <v>71</v>
      </c>
    </row>
    <row r="2059" spans="4:4" ht="17.649999999999999" x14ac:dyDescent="0.5">
      <c r="D2059" s="3" t="s">
        <v>101</v>
      </c>
    </row>
    <row r="2060" spans="4:4" ht="17.649999999999999" x14ac:dyDescent="0.5">
      <c r="D2060" s="3" t="s">
        <v>91</v>
      </c>
    </row>
    <row r="2061" spans="4:4" ht="17.649999999999999" x14ac:dyDescent="0.5">
      <c r="D2061" s="3" t="s">
        <v>98</v>
      </c>
    </row>
    <row r="2062" spans="4:4" ht="17.649999999999999" x14ac:dyDescent="0.5">
      <c r="D2062" s="3" t="s">
        <v>41</v>
      </c>
    </row>
    <row r="2063" spans="4:4" ht="17.649999999999999" x14ac:dyDescent="0.5">
      <c r="D2063" s="3" t="s">
        <v>79</v>
      </c>
    </row>
    <row r="2064" spans="4:4" ht="17.649999999999999" x14ac:dyDescent="0.5">
      <c r="D2064" s="3" t="s">
        <v>49</v>
      </c>
    </row>
    <row r="2065" spans="4:4" ht="17.649999999999999" x14ac:dyDescent="0.5">
      <c r="D2065" s="3" t="s">
        <v>64</v>
      </c>
    </row>
    <row r="2066" spans="4:4" ht="17.649999999999999" x14ac:dyDescent="0.5">
      <c r="D2066" s="3" t="s">
        <v>106</v>
      </c>
    </row>
    <row r="2067" spans="4:4" ht="17.649999999999999" x14ac:dyDescent="0.5">
      <c r="D2067" s="3" t="s">
        <v>47</v>
      </c>
    </row>
    <row r="2068" spans="4:4" ht="17.649999999999999" x14ac:dyDescent="0.5">
      <c r="D2068" s="3" t="s">
        <v>58</v>
      </c>
    </row>
    <row r="2069" spans="4:4" ht="17.649999999999999" x14ac:dyDescent="0.5">
      <c r="D2069" s="3" t="s">
        <v>170</v>
      </c>
    </row>
    <row r="2070" spans="4:4" ht="17.649999999999999" x14ac:dyDescent="0.5">
      <c r="D2070" s="3" t="s">
        <v>116</v>
      </c>
    </row>
    <row r="2071" spans="4:4" ht="17.649999999999999" x14ac:dyDescent="0.5">
      <c r="D2071" s="3" t="s">
        <v>75</v>
      </c>
    </row>
    <row r="2072" spans="4:4" ht="17.649999999999999" x14ac:dyDescent="0.5">
      <c r="D2072" s="3" t="s">
        <v>76</v>
      </c>
    </row>
    <row r="2073" spans="4:4" ht="17.649999999999999" x14ac:dyDescent="0.5">
      <c r="D2073" s="3" t="s">
        <v>49</v>
      </c>
    </row>
    <row r="2074" spans="4:4" ht="17.649999999999999" x14ac:dyDescent="0.5">
      <c r="D2074" s="3" t="s">
        <v>171</v>
      </c>
    </row>
    <row r="2075" spans="4:4" ht="17.649999999999999" x14ac:dyDescent="0.5">
      <c r="D2075" s="3" t="s">
        <v>295</v>
      </c>
    </row>
    <row r="2076" spans="4:4" ht="17.649999999999999" x14ac:dyDescent="0.5">
      <c r="D2076" s="3" t="s">
        <v>73</v>
      </c>
    </row>
    <row r="2077" spans="4:4" ht="17.649999999999999" x14ac:dyDescent="0.5">
      <c r="D2077" s="3" t="s">
        <v>85</v>
      </c>
    </row>
    <row r="2078" spans="4:4" ht="17.649999999999999" x14ac:dyDescent="0.5">
      <c r="D2078" s="3" t="s">
        <v>114</v>
      </c>
    </row>
    <row r="2079" spans="4:4" ht="17.649999999999999" x14ac:dyDescent="0.5">
      <c r="D2079" s="3" t="s">
        <v>94</v>
      </c>
    </row>
    <row r="2080" spans="4:4" ht="17.649999999999999" x14ac:dyDescent="0.5">
      <c r="D2080" s="3" t="s">
        <v>311</v>
      </c>
    </row>
    <row r="2081" spans="4:4" ht="17.649999999999999" x14ac:dyDescent="0.5">
      <c r="D2081" s="3" t="s">
        <v>173</v>
      </c>
    </row>
    <row r="2082" spans="4:4" ht="17.649999999999999" x14ac:dyDescent="0.5">
      <c r="D2082" s="3" t="s">
        <v>80</v>
      </c>
    </row>
    <row r="2083" spans="4:4" ht="17.649999999999999" x14ac:dyDescent="0.5">
      <c r="D2083" s="3" t="s">
        <v>185</v>
      </c>
    </row>
    <row r="2084" spans="4:4" ht="17.649999999999999" x14ac:dyDescent="0.5">
      <c r="D2084" s="3" t="s">
        <v>61</v>
      </c>
    </row>
    <row r="2085" spans="4:4" ht="17.649999999999999" x14ac:dyDescent="0.5">
      <c r="D2085" s="3" t="s">
        <v>260</v>
      </c>
    </row>
    <row r="2086" spans="4:4" ht="17.649999999999999" x14ac:dyDescent="0.5">
      <c r="D2086" s="3" t="s">
        <v>83</v>
      </c>
    </row>
    <row r="2087" spans="4:4" ht="17.649999999999999" x14ac:dyDescent="0.5">
      <c r="D2087" s="3" t="s">
        <v>312</v>
      </c>
    </row>
    <row r="2088" spans="4:4" ht="17.649999999999999" x14ac:dyDescent="0.5">
      <c r="D2088" s="3" t="s">
        <v>47</v>
      </c>
    </row>
    <row r="2089" spans="4:4" ht="17.649999999999999" x14ac:dyDescent="0.5">
      <c r="D2089" s="3" t="s">
        <v>187</v>
      </c>
    </row>
    <row r="2090" spans="4:4" ht="17.649999999999999" x14ac:dyDescent="0.5">
      <c r="D2090" s="3" t="s">
        <v>188</v>
      </c>
    </row>
    <row r="2091" spans="4:4" ht="17.649999999999999" x14ac:dyDescent="0.5">
      <c r="D2091" s="3" t="s">
        <v>105</v>
      </c>
    </row>
    <row r="2092" spans="4:4" ht="17.649999999999999" x14ac:dyDescent="0.5">
      <c r="D2092" s="3" t="s">
        <v>102</v>
      </c>
    </row>
    <row r="2093" spans="4:4" ht="17.649999999999999" x14ac:dyDescent="0.5">
      <c r="D2093" s="3" t="s">
        <v>97</v>
      </c>
    </row>
    <row r="2094" spans="4:4" ht="17.649999999999999" x14ac:dyDescent="0.5">
      <c r="D2094" s="3" t="s">
        <v>79</v>
      </c>
    </row>
    <row r="2095" spans="4:4" ht="17.649999999999999" x14ac:dyDescent="0.5">
      <c r="D2095" s="3" t="s">
        <v>58</v>
      </c>
    </row>
    <row r="2096" spans="4:4" ht="17.649999999999999" x14ac:dyDescent="0.5">
      <c r="D2096" s="3" t="s">
        <v>117</v>
      </c>
    </row>
    <row r="2097" spans="4:4" ht="17.649999999999999" x14ac:dyDescent="0.5">
      <c r="D2097" s="3" t="s">
        <v>69</v>
      </c>
    </row>
    <row r="2098" spans="4:4" ht="17.649999999999999" x14ac:dyDescent="0.5">
      <c r="D2098" s="3" t="s">
        <v>56</v>
      </c>
    </row>
    <row r="2099" spans="4:4" ht="17.649999999999999" x14ac:dyDescent="0.5">
      <c r="D2099" s="3" t="s">
        <v>94</v>
      </c>
    </row>
    <row r="2100" spans="4:4" ht="17.649999999999999" x14ac:dyDescent="0.5">
      <c r="D2100" s="3" t="s">
        <v>80</v>
      </c>
    </row>
    <row r="2101" spans="4:4" ht="17.649999999999999" x14ac:dyDescent="0.5">
      <c r="D2101" s="3" t="s">
        <v>59</v>
      </c>
    </row>
    <row r="2102" spans="4:4" ht="17.649999999999999" x14ac:dyDescent="0.5">
      <c r="D2102" s="3" t="s">
        <v>104</v>
      </c>
    </row>
    <row r="2103" spans="4:4" ht="17.649999999999999" x14ac:dyDescent="0.5">
      <c r="D2103" s="3" t="s">
        <v>83</v>
      </c>
    </row>
    <row r="2104" spans="4:4" ht="17.649999999999999" x14ac:dyDescent="0.5">
      <c r="D2104" s="3" t="s">
        <v>117</v>
      </c>
    </row>
    <row r="2105" spans="4:4" ht="17.649999999999999" x14ac:dyDescent="0.5">
      <c r="D2105" s="3" t="s">
        <v>107</v>
      </c>
    </row>
    <row r="2106" spans="4:4" ht="17.649999999999999" x14ac:dyDescent="0.5">
      <c r="D2106" s="3" t="s">
        <v>134</v>
      </c>
    </row>
    <row r="2107" spans="4:4" ht="17.649999999999999" x14ac:dyDescent="0.5">
      <c r="D2107" s="3" t="s">
        <v>49</v>
      </c>
    </row>
    <row r="2108" spans="4:4" ht="17.649999999999999" x14ac:dyDescent="0.5">
      <c r="D2108" s="3" t="s">
        <v>65</v>
      </c>
    </row>
    <row r="2109" spans="4:4" ht="17.649999999999999" x14ac:dyDescent="0.5">
      <c r="D2109" s="3" t="s">
        <v>64</v>
      </c>
    </row>
    <row r="2110" spans="4:4" ht="17.649999999999999" x14ac:dyDescent="0.5">
      <c r="D2110" s="3" t="s">
        <v>50</v>
      </c>
    </row>
    <row r="2111" spans="4:4" ht="17.649999999999999" x14ac:dyDescent="0.5">
      <c r="D2111" s="3" t="s">
        <v>91</v>
      </c>
    </row>
    <row r="2112" spans="4:4" ht="17.649999999999999" x14ac:dyDescent="0.5">
      <c r="D2112" s="3" t="s">
        <v>59</v>
      </c>
    </row>
    <row r="2113" spans="4:4" ht="17.649999999999999" x14ac:dyDescent="0.5">
      <c r="D2113" s="3" t="s">
        <v>73</v>
      </c>
    </row>
    <row r="2114" spans="4:4" ht="17.649999999999999" x14ac:dyDescent="0.5">
      <c r="D2114" s="3" t="s">
        <v>89</v>
      </c>
    </row>
    <row r="2115" spans="4:4" ht="17.649999999999999" x14ac:dyDescent="0.5">
      <c r="D2115" s="3" t="s">
        <v>112</v>
      </c>
    </row>
    <row r="2116" spans="4:4" ht="17.649999999999999" x14ac:dyDescent="0.5">
      <c r="D2116" s="3" t="s">
        <v>66</v>
      </c>
    </row>
    <row r="2117" spans="4:4" ht="17.649999999999999" x14ac:dyDescent="0.5">
      <c r="D2117" s="3" t="s">
        <v>48</v>
      </c>
    </row>
    <row r="2118" spans="4:4" ht="17.649999999999999" x14ac:dyDescent="0.5">
      <c r="D2118" s="3" t="s">
        <v>67</v>
      </c>
    </row>
    <row r="2119" spans="4:4" ht="17.649999999999999" x14ac:dyDescent="0.5">
      <c r="D2119" s="3" t="s">
        <v>136</v>
      </c>
    </row>
    <row r="2120" spans="4:4" ht="17.649999999999999" x14ac:dyDescent="0.5">
      <c r="D2120" s="3" t="s">
        <v>265</v>
      </c>
    </row>
    <row r="2121" spans="4:4" ht="17.649999999999999" x14ac:dyDescent="0.5">
      <c r="D2121" s="3" t="s">
        <v>90</v>
      </c>
    </row>
    <row r="2122" spans="4:4" ht="17.649999999999999" x14ac:dyDescent="0.5">
      <c r="D2122" s="3" t="s">
        <v>80</v>
      </c>
    </row>
    <row r="2123" spans="4:4" ht="17.649999999999999" x14ac:dyDescent="0.5">
      <c r="D2123" s="3" t="s">
        <v>53</v>
      </c>
    </row>
    <row r="2124" spans="4:4" ht="17.649999999999999" x14ac:dyDescent="0.5">
      <c r="D2124" s="3" t="s">
        <v>103</v>
      </c>
    </row>
    <row r="2125" spans="4:4" ht="17.649999999999999" x14ac:dyDescent="0.5">
      <c r="D2125" s="3" t="s">
        <v>51</v>
      </c>
    </row>
    <row r="2126" spans="4:4" ht="17.649999999999999" x14ac:dyDescent="0.5">
      <c r="D2126" s="3" t="s">
        <v>44</v>
      </c>
    </row>
    <row r="2127" spans="4:4" ht="17.649999999999999" x14ac:dyDescent="0.5">
      <c r="D2127" s="3" t="s">
        <v>49</v>
      </c>
    </row>
    <row r="2128" spans="4:4" ht="17.649999999999999" x14ac:dyDescent="0.5">
      <c r="D2128" s="3" t="s">
        <v>43</v>
      </c>
    </row>
    <row r="2129" spans="4:4" ht="17.649999999999999" x14ac:dyDescent="0.5">
      <c r="D2129" s="3" t="s">
        <v>66</v>
      </c>
    </row>
    <row r="2130" spans="4:4" ht="17.649999999999999" x14ac:dyDescent="0.5">
      <c r="D2130" s="3" t="s">
        <v>90</v>
      </c>
    </row>
    <row r="2131" spans="4:4" ht="17.649999999999999" x14ac:dyDescent="0.5">
      <c r="D2131" s="3" t="s">
        <v>101</v>
      </c>
    </row>
    <row r="2132" spans="4:4" ht="17.649999999999999" x14ac:dyDescent="0.5">
      <c r="D2132" s="3" t="s">
        <v>59</v>
      </c>
    </row>
    <row r="2133" spans="4:4" ht="17.649999999999999" x14ac:dyDescent="0.5">
      <c r="D2133" s="3" t="s">
        <v>94</v>
      </c>
    </row>
    <row r="2134" spans="4:4" ht="17.649999999999999" x14ac:dyDescent="0.5">
      <c r="D2134" s="3" t="s">
        <v>67</v>
      </c>
    </row>
    <row r="2135" spans="4:4" ht="17.649999999999999" x14ac:dyDescent="0.5">
      <c r="D2135" s="3" t="s">
        <v>107</v>
      </c>
    </row>
    <row r="2136" spans="4:4" ht="17.649999999999999" x14ac:dyDescent="0.5">
      <c r="D2136" s="3" t="s">
        <v>54</v>
      </c>
    </row>
    <row r="2137" spans="4:4" ht="17.649999999999999" x14ac:dyDescent="0.5">
      <c r="D2137" s="3" t="s">
        <v>132</v>
      </c>
    </row>
    <row r="2138" spans="4:4" ht="17.649999999999999" x14ac:dyDescent="0.5">
      <c r="D2138" s="3" t="s">
        <v>266</v>
      </c>
    </row>
    <row r="2139" spans="4:4" ht="17.649999999999999" x14ac:dyDescent="0.5">
      <c r="D2139" s="3" t="s">
        <v>73</v>
      </c>
    </row>
    <row r="2140" spans="4:4" ht="17.649999999999999" x14ac:dyDescent="0.5">
      <c r="D2140" s="3" t="s">
        <v>131</v>
      </c>
    </row>
    <row r="2141" spans="4:4" ht="17.649999999999999" x14ac:dyDescent="0.5">
      <c r="D2141" s="3" t="s">
        <v>83</v>
      </c>
    </row>
    <row r="2142" spans="4:4" ht="17.649999999999999" x14ac:dyDescent="0.5">
      <c r="D2142" s="3" t="s">
        <v>53</v>
      </c>
    </row>
    <row r="2143" spans="4:4" ht="17.649999999999999" x14ac:dyDescent="0.5">
      <c r="D2143" s="3" t="s">
        <v>50</v>
      </c>
    </row>
    <row r="2144" spans="4:4" ht="17.649999999999999" x14ac:dyDescent="0.5">
      <c r="D2144" s="3" t="s">
        <v>124</v>
      </c>
    </row>
    <row r="2145" spans="4:4" ht="17.649999999999999" x14ac:dyDescent="0.5">
      <c r="D2145" s="3" t="s">
        <v>89</v>
      </c>
    </row>
    <row r="2146" spans="4:4" ht="17.649999999999999" x14ac:dyDescent="0.5">
      <c r="D2146" s="3" t="s">
        <v>52</v>
      </c>
    </row>
    <row r="2147" spans="4:4" ht="17.649999999999999" x14ac:dyDescent="0.5">
      <c r="D2147" s="3" t="s">
        <v>100</v>
      </c>
    </row>
    <row r="2148" spans="4:4" ht="17.649999999999999" x14ac:dyDescent="0.5">
      <c r="D2148" s="3" t="s">
        <v>49</v>
      </c>
    </row>
    <row r="2149" spans="4:4" ht="17.649999999999999" x14ac:dyDescent="0.5">
      <c r="D2149" s="3" t="s">
        <v>41</v>
      </c>
    </row>
    <row r="2150" spans="4:4" ht="17.649999999999999" x14ac:dyDescent="0.5">
      <c r="D2150" s="3" t="s">
        <v>268</v>
      </c>
    </row>
    <row r="2151" spans="4:4" ht="17.649999999999999" x14ac:dyDescent="0.5">
      <c r="D2151" s="3" t="s">
        <v>48</v>
      </c>
    </row>
    <row r="2152" spans="4:4" ht="17.649999999999999" x14ac:dyDescent="0.5">
      <c r="D2152" s="3" t="s">
        <v>107</v>
      </c>
    </row>
    <row r="2153" spans="4:4" ht="17.649999999999999" x14ac:dyDescent="0.5">
      <c r="D2153" s="3" t="s">
        <v>90</v>
      </c>
    </row>
    <row r="2154" spans="4:4" ht="17.649999999999999" x14ac:dyDescent="0.5">
      <c r="D2154" s="3" t="s">
        <v>179</v>
      </c>
    </row>
    <row r="2155" spans="4:4" ht="17.649999999999999" x14ac:dyDescent="0.5">
      <c r="D2155" s="3" t="s">
        <v>56</v>
      </c>
    </row>
    <row r="2156" spans="4:4" ht="17.649999999999999" x14ac:dyDescent="0.5">
      <c r="D2156" s="3" t="s">
        <v>91</v>
      </c>
    </row>
    <row r="2157" spans="4:4" ht="17.649999999999999" x14ac:dyDescent="0.5">
      <c r="D2157" s="3" t="s">
        <v>72</v>
      </c>
    </row>
    <row r="2158" spans="4:4" ht="17.649999999999999" x14ac:dyDescent="0.5">
      <c r="D2158" s="3" t="s">
        <v>83</v>
      </c>
    </row>
    <row r="2159" spans="4:4" ht="17.649999999999999" x14ac:dyDescent="0.5">
      <c r="D2159" s="3" t="s">
        <v>53</v>
      </c>
    </row>
    <row r="2160" spans="4:4" ht="17.649999999999999" x14ac:dyDescent="0.5">
      <c r="D2160" s="3" t="s">
        <v>298</v>
      </c>
    </row>
    <row r="2161" spans="4:4" ht="17.649999999999999" x14ac:dyDescent="0.5">
      <c r="D2161" s="3" t="s">
        <v>63</v>
      </c>
    </row>
    <row r="2162" spans="4:4" ht="17.649999999999999" x14ac:dyDescent="0.5">
      <c r="D2162" s="3" t="s">
        <v>296</v>
      </c>
    </row>
    <row r="2163" spans="4:4" ht="17.649999999999999" x14ac:dyDescent="0.5">
      <c r="D2163" s="3" t="s">
        <v>131</v>
      </c>
    </row>
    <row r="2164" spans="4:4" ht="17.649999999999999" x14ac:dyDescent="0.5">
      <c r="D2164" s="3" t="s">
        <v>193</v>
      </c>
    </row>
    <row r="2165" spans="4:4" ht="17.649999999999999" x14ac:dyDescent="0.5">
      <c r="D2165" s="3" t="s">
        <v>41</v>
      </c>
    </row>
    <row r="2166" spans="4:4" ht="17.649999999999999" x14ac:dyDescent="0.5">
      <c r="D2166" s="3" t="s">
        <v>91</v>
      </c>
    </row>
    <row r="2167" spans="4:4" ht="17.649999999999999" x14ac:dyDescent="0.5">
      <c r="D2167" s="3" t="s">
        <v>182</v>
      </c>
    </row>
    <row r="2168" spans="4:4" ht="17.649999999999999" x14ac:dyDescent="0.5">
      <c r="D2168" s="3" t="s">
        <v>56</v>
      </c>
    </row>
    <row r="2169" spans="4:4" ht="17.649999999999999" x14ac:dyDescent="0.5">
      <c r="D2169" s="3" t="s">
        <v>73</v>
      </c>
    </row>
    <row r="2170" spans="4:4" ht="17.649999999999999" x14ac:dyDescent="0.5">
      <c r="D2170" s="3" t="s">
        <v>68</v>
      </c>
    </row>
    <row r="2171" spans="4:4" ht="17.649999999999999" x14ac:dyDescent="0.5">
      <c r="D2171" s="3" t="s">
        <v>87</v>
      </c>
    </row>
    <row r="2172" spans="4:4" ht="17.649999999999999" x14ac:dyDescent="0.5">
      <c r="D2172" s="3" t="s">
        <v>75</v>
      </c>
    </row>
    <row r="2173" spans="4:4" ht="17.649999999999999" x14ac:dyDescent="0.5">
      <c r="D2173" s="3" t="s">
        <v>83</v>
      </c>
    </row>
    <row r="2174" spans="4:4" ht="17.649999999999999" x14ac:dyDescent="0.5">
      <c r="D2174" s="3" t="s">
        <v>65</v>
      </c>
    </row>
    <row r="2175" spans="4:4" ht="17.649999999999999" x14ac:dyDescent="0.5">
      <c r="D2175" s="3" t="s">
        <v>77</v>
      </c>
    </row>
    <row r="2176" spans="4:4" ht="17.649999999999999" x14ac:dyDescent="0.5">
      <c r="D2176" s="3" t="s">
        <v>115</v>
      </c>
    </row>
    <row r="2177" spans="4:4" ht="17.649999999999999" x14ac:dyDescent="0.5">
      <c r="D2177" s="3" t="s">
        <v>71</v>
      </c>
    </row>
    <row r="2178" spans="4:4" ht="17.649999999999999" x14ac:dyDescent="0.5">
      <c r="D2178" s="3" t="s">
        <v>52</v>
      </c>
    </row>
    <row r="2179" spans="4:4" ht="17.649999999999999" x14ac:dyDescent="0.5">
      <c r="D2179" s="3" t="s">
        <v>63</v>
      </c>
    </row>
    <row r="2180" spans="4:4" ht="17.649999999999999" x14ac:dyDescent="0.5">
      <c r="D2180" s="3" t="s">
        <v>43</v>
      </c>
    </row>
    <row r="2181" spans="4:4" ht="17.649999999999999" x14ac:dyDescent="0.5">
      <c r="D2181" s="3" t="s">
        <v>68</v>
      </c>
    </row>
    <row r="2182" spans="4:4" ht="17.649999999999999" x14ac:dyDescent="0.5">
      <c r="D2182" s="3" t="s">
        <v>91</v>
      </c>
    </row>
    <row r="2183" spans="4:4" ht="17.649999999999999" x14ac:dyDescent="0.5">
      <c r="D2183" s="3" t="s">
        <v>46</v>
      </c>
    </row>
    <row r="2184" spans="4:4" ht="17.649999999999999" x14ac:dyDescent="0.5">
      <c r="D2184" s="3" t="s">
        <v>77</v>
      </c>
    </row>
    <row r="2185" spans="4:4" ht="17.649999999999999" x14ac:dyDescent="0.5">
      <c r="D2185" s="3" t="s">
        <v>53</v>
      </c>
    </row>
    <row r="2186" spans="4:4" ht="17.649999999999999" x14ac:dyDescent="0.5">
      <c r="D2186" s="3" t="s">
        <v>118</v>
      </c>
    </row>
    <row r="2187" spans="4:4" ht="17.649999999999999" x14ac:dyDescent="0.5">
      <c r="D2187" s="3" t="s">
        <v>74</v>
      </c>
    </row>
    <row r="2188" spans="4:4" ht="17.649999999999999" x14ac:dyDescent="0.5">
      <c r="D2188" s="3" t="s">
        <v>94</v>
      </c>
    </row>
    <row r="2189" spans="4:4" ht="17.649999999999999" x14ac:dyDescent="0.5">
      <c r="D2189" s="3" t="s">
        <v>100</v>
      </c>
    </row>
    <row r="2190" spans="4:4" ht="17.649999999999999" x14ac:dyDescent="0.5">
      <c r="D2190" s="3" t="s">
        <v>50</v>
      </c>
    </row>
    <row r="2191" spans="4:4" ht="17.649999999999999" x14ac:dyDescent="0.5">
      <c r="D2191" s="3" t="s">
        <v>120</v>
      </c>
    </row>
    <row r="2192" spans="4:4" ht="17.649999999999999" x14ac:dyDescent="0.5">
      <c r="D2192" s="3" t="s">
        <v>105</v>
      </c>
    </row>
    <row r="2193" spans="4:4" ht="17.649999999999999" x14ac:dyDescent="0.5">
      <c r="D2193" s="3" t="s">
        <v>117</v>
      </c>
    </row>
    <row r="2194" spans="4:4" ht="17.649999999999999" x14ac:dyDescent="0.5">
      <c r="D2194" s="3" t="s">
        <v>115</v>
      </c>
    </row>
    <row r="2195" spans="4:4" ht="17.649999999999999" x14ac:dyDescent="0.5">
      <c r="D2195" s="3" t="s">
        <v>118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D1:P2061"/>
  <sheetViews>
    <sheetView tabSelected="1" topLeftCell="A15" workbookViewId="0">
      <selection activeCell="F2053" sqref="F2053"/>
    </sheetView>
  </sheetViews>
  <sheetFormatPr baseColWidth="10" defaultRowHeight="15.75" x14ac:dyDescent="0.5"/>
  <sheetData>
    <row r="1" spans="4:10" ht="25.15" x14ac:dyDescent="0.7">
      <c r="D1" s="1" t="s">
        <v>141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0</v>
      </c>
      <c r="E4" s="2">
        <v>1</v>
      </c>
      <c r="F4" s="2">
        <v>0</v>
      </c>
      <c r="G4" s="2">
        <v>1</v>
      </c>
      <c r="H4" s="2">
        <v>0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334</v>
      </c>
      <c r="H13" s="2">
        <v>334</v>
      </c>
      <c r="I13" s="2">
        <v>502</v>
      </c>
      <c r="J13" s="2">
        <v>498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334</v>
      </c>
      <c r="H23" s="2">
        <v>334</v>
      </c>
      <c r="I23" s="2">
        <v>500</v>
      </c>
      <c r="J23" s="2">
        <v>500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36</v>
      </c>
      <c r="F31" s="2">
        <v>43</v>
      </c>
      <c r="G31" s="2">
        <v>49</v>
      </c>
      <c r="H31" s="2">
        <v>41</v>
      </c>
      <c r="I31" s="2">
        <v>40</v>
      </c>
      <c r="J31" s="2">
        <v>43</v>
      </c>
      <c r="K31" s="2">
        <v>39</v>
      </c>
      <c r="L31" s="2">
        <v>47</v>
      </c>
      <c r="M31" s="2">
        <v>38</v>
      </c>
      <c r="N31" s="2">
        <v>39</v>
      </c>
      <c r="O31" s="2">
        <v>46</v>
      </c>
      <c r="P31" s="2">
        <v>38</v>
      </c>
    </row>
    <row r="32" spans="4:16" x14ac:dyDescent="0.5">
      <c r="D32" s="2">
        <v>2</v>
      </c>
      <c r="E32" s="2">
        <v>40</v>
      </c>
      <c r="F32" s="2">
        <v>38</v>
      </c>
      <c r="G32" s="2">
        <v>45</v>
      </c>
      <c r="H32" s="2">
        <v>42</v>
      </c>
      <c r="I32" s="2">
        <v>45</v>
      </c>
      <c r="J32" s="2">
        <v>38</v>
      </c>
      <c r="K32" s="2">
        <v>40</v>
      </c>
      <c r="L32" s="2">
        <v>49</v>
      </c>
      <c r="M32" s="2">
        <v>44</v>
      </c>
      <c r="N32" s="2">
        <v>36</v>
      </c>
      <c r="O32" s="2">
        <v>40</v>
      </c>
      <c r="P32" s="2">
        <v>44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47</v>
      </c>
      <c r="F37" s="2">
        <v>40</v>
      </c>
      <c r="G37" s="2">
        <v>35</v>
      </c>
      <c r="H37" s="2">
        <v>42</v>
      </c>
      <c r="I37" s="2">
        <v>44</v>
      </c>
      <c r="J37" s="2">
        <v>40</v>
      </c>
      <c r="K37" s="2">
        <v>44</v>
      </c>
      <c r="L37" s="2">
        <v>36</v>
      </c>
      <c r="M37" s="2">
        <v>46</v>
      </c>
      <c r="N37" s="2">
        <v>44</v>
      </c>
      <c r="O37" s="2">
        <v>37</v>
      </c>
      <c r="P37" s="2">
        <v>46</v>
      </c>
    </row>
    <row r="38" spans="4:16" x14ac:dyDescent="0.5">
      <c r="D38" s="2">
        <v>2</v>
      </c>
      <c r="E38" s="2">
        <v>43</v>
      </c>
      <c r="F38" s="2">
        <v>45</v>
      </c>
      <c r="G38" s="2">
        <v>39</v>
      </c>
      <c r="H38" s="2">
        <v>41</v>
      </c>
      <c r="I38" s="2">
        <v>39</v>
      </c>
      <c r="J38" s="2">
        <v>45</v>
      </c>
      <c r="K38" s="2">
        <v>43</v>
      </c>
      <c r="L38" s="2">
        <v>34</v>
      </c>
      <c r="M38" s="2">
        <v>40</v>
      </c>
      <c r="N38" s="2">
        <v>47</v>
      </c>
      <c r="O38" s="2">
        <v>43</v>
      </c>
      <c r="P38" s="2">
        <v>40</v>
      </c>
    </row>
    <row r="39" spans="4:16" ht="17.649999999999999" x14ac:dyDescent="0.5">
      <c r="D39" s="3" t="s">
        <v>137</v>
      </c>
      <c r="E39">
        <f t="shared" ref="E39:P39" si="0">E31-E37</f>
        <v>-11</v>
      </c>
      <c r="F39">
        <f t="shared" si="0"/>
        <v>3</v>
      </c>
      <c r="G39">
        <f t="shared" si="0"/>
        <v>14</v>
      </c>
      <c r="H39">
        <f t="shared" si="0"/>
        <v>-1</v>
      </c>
      <c r="I39">
        <f t="shared" si="0"/>
        <v>-4</v>
      </c>
      <c r="J39">
        <f t="shared" si="0"/>
        <v>3</v>
      </c>
      <c r="K39">
        <f t="shared" si="0"/>
        <v>-5</v>
      </c>
      <c r="L39">
        <f t="shared" si="0"/>
        <v>11</v>
      </c>
      <c r="M39">
        <f t="shared" si="0"/>
        <v>-8</v>
      </c>
      <c r="N39">
        <f t="shared" si="0"/>
        <v>-5</v>
      </c>
      <c r="O39">
        <f t="shared" si="0"/>
        <v>9</v>
      </c>
      <c r="P39">
        <f t="shared" si="0"/>
        <v>-8</v>
      </c>
    </row>
    <row r="40" spans="4:16" ht="17.649999999999999" x14ac:dyDescent="0.5">
      <c r="D40" s="3" t="s">
        <v>138</v>
      </c>
      <c r="E40">
        <f t="shared" ref="E40:P40" si="1">E32-E38</f>
        <v>-3</v>
      </c>
      <c r="F40">
        <f t="shared" si="1"/>
        <v>-7</v>
      </c>
      <c r="G40">
        <f t="shared" si="1"/>
        <v>6</v>
      </c>
      <c r="H40">
        <f t="shared" si="1"/>
        <v>1</v>
      </c>
      <c r="I40">
        <f t="shared" si="1"/>
        <v>6</v>
      </c>
      <c r="J40">
        <f t="shared" si="1"/>
        <v>-7</v>
      </c>
      <c r="K40">
        <f t="shared" si="1"/>
        <v>-3</v>
      </c>
      <c r="L40">
        <f t="shared" si="1"/>
        <v>15</v>
      </c>
      <c r="M40">
        <f t="shared" si="1"/>
        <v>4</v>
      </c>
      <c r="N40">
        <f t="shared" si="1"/>
        <v>-11</v>
      </c>
      <c r="O40">
        <f t="shared" si="1"/>
        <v>-3</v>
      </c>
      <c r="P40">
        <f t="shared" si="1"/>
        <v>4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76</v>
      </c>
      <c r="F44" s="2">
        <v>81</v>
      </c>
      <c r="G44" s="2">
        <v>94</v>
      </c>
      <c r="H44" s="2">
        <v>83</v>
      </c>
      <c r="I44" s="2">
        <v>85</v>
      </c>
      <c r="J44" s="2">
        <v>81</v>
      </c>
      <c r="K44" s="2">
        <v>79</v>
      </c>
      <c r="L44" s="2">
        <v>96</v>
      </c>
      <c r="M44" s="2">
        <v>82</v>
      </c>
      <c r="N44" s="2">
        <v>75</v>
      </c>
      <c r="O44" s="2">
        <v>86</v>
      </c>
      <c r="P44" s="2">
        <v>82</v>
      </c>
    </row>
    <row r="45" spans="4:16" x14ac:dyDescent="0.5">
      <c r="D45" s="2" t="s">
        <v>28</v>
      </c>
      <c r="E45" s="2">
        <v>90</v>
      </c>
      <c r="F45" s="2">
        <v>85</v>
      </c>
      <c r="G45" s="2">
        <v>74</v>
      </c>
      <c r="H45" s="2">
        <v>83</v>
      </c>
      <c r="I45" s="2">
        <v>83</v>
      </c>
      <c r="J45" s="2">
        <v>85</v>
      </c>
      <c r="K45" s="2">
        <v>87</v>
      </c>
      <c r="L45" s="2">
        <v>70</v>
      </c>
      <c r="M45" s="2">
        <v>86</v>
      </c>
      <c r="N45" s="2">
        <v>91</v>
      </c>
      <c r="O45" s="2">
        <v>80</v>
      </c>
      <c r="P45" s="2">
        <v>86</v>
      </c>
    </row>
    <row r="46" spans="4:16" x14ac:dyDescent="0.5">
      <c r="D46" s="2" t="s">
        <v>30</v>
      </c>
      <c r="E46" s="2">
        <v>-14</v>
      </c>
      <c r="F46" s="2">
        <v>-4</v>
      </c>
      <c r="G46" s="2">
        <v>20</v>
      </c>
      <c r="H46" s="2">
        <v>0</v>
      </c>
      <c r="I46" s="2">
        <v>2</v>
      </c>
      <c r="J46" s="2">
        <v>-4</v>
      </c>
      <c r="K46" s="2">
        <v>-8</v>
      </c>
      <c r="L46" s="2">
        <v>26</v>
      </c>
      <c r="M46" s="2">
        <v>-4</v>
      </c>
      <c r="N46" s="2">
        <v>-16</v>
      </c>
      <c r="O46" s="2">
        <v>6</v>
      </c>
      <c r="P46" s="2">
        <v>-4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334</v>
      </c>
      <c r="I51" s="2">
        <v>334</v>
      </c>
      <c r="J51" s="2">
        <v>502</v>
      </c>
      <c r="K51" s="2">
        <v>498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334</v>
      </c>
      <c r="I52" s="2">
        <v>334</v>
      </c>
      <c r="J52" s="2">
        <v>500</v>
      </c>
      <c r="K52" s="2">
        <v>500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2</v>
      </c>
      <c r="K53" s="2">
        <v>-2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5</v>
      </c>
      <c r="F56" s="2">
        <v>116</v>
      </c>
      <c r="G56" s="2">
        <v>519</v>
      </c>
      <c r="H56" s="2">
        <v>790</v>
      </c>
      <c r="I56" s="2">
        <v>472</v>
      </c>
      <c r="J56" s="2">
        <v>94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329</v>
      </c>
    </row>
    <row r="61" spans="4:11" ht="17.649999999999999" x14ac:dyDescent="0.5">
      <c r="D61" s="3" t="s">
        <v>330</v>
      </c>
    </row>
    <row r="62" spans="4:11" ht="17.649999999999999" x14ac:dyDescent="0.5">
      <c r="D62" s="3" t="s">
        <v>75</v>
      </c>
    </row>
    <row r="63" spans="4:11" ht="17.649999999999999" x14ac:dyDescent="0.5">
      <c r="D63" s="3" t="s">
        <v>82</v>
      </c>
    </row>
    <row r="64" spans="4:11" ht="17.649999999999999" x14ac:dyDescent="0.5">
      <c r="D64" s="3" t="s">
        <v>105</v>
      </c>
    </row>
    <row r="65" spans="4:4" ht="17.649999999999999" x14ac:dyDescent="0.5">
      <c r="D65" s="3" t="s">
        <v>53</v>
      </c>
    </row>
    <row r="66" spans="4:4" ht="17.649999999999999" x14ac:dyDescent="0.5">
      <c r="D66" s="3" t="s">
        <v>96</v>
      </c>
    </row>
    <row r="67" spans="4:4" ht="17.649999999999999" x14ac:dyDescent="0.5">
      <c r="D67" s="3" t="s">
        <v>43</v>
      </c>
    </row>
    <row r="68" spans="4:4" ht="17.649999999999999" x14ac:dyDescent="0.5">
      <c r="D68" s="3" t="s">
        <v>77</v>
      </c>
    </row>
    <row r="69" spans="4:4" ht="17.649999999999999" x14ac:dyDescent="0.5">
      <c r="D69" s="3" t="s">
        <v>83</v>
      </c>
    </row>
    <row r="70" spans="4:4" ht="17.649999999999999" x14ac:dyDescent="0.5">
      <c r="D70" s="3" t="s">
        <v>43</v>
      </c>
    </row>
    <row r="71" spans="4:4" ht="17.649999999999999" x14ac:dyDescent="0.5">
      <c r="D71" s="3" t="s">
        <v>84</v>
      </c>
    </row>
    <row r="72" spans="4:4" ht="17.649999999999999" x14ac:dyDescent="0.5">
      <c r="D72" s="3" t="s">
        <v>78</v>
      </c>
    </row>
    <row r="73" spans="4:4" ht="17.649999999999999" x14ac:dyDescent="0.5">
      <c r="D73" s="3" t="s">
        <v>55</v>
      </c>
    </row>
    <row r="74" spans="4:4" ht="17.649999999999999" x14ac:dyDescent="0.5">
      <c r="D74" s="3" t="s">
        <v>136</v>
      </c>
    </row>
    <row r="75" spans="4:4" ht="17.649999999999999" x14ac:dyDescent="0.5">
      <c r="D75" s="3" t="s">
        <v>53</v>
      </c>
    </row>
    <row r="76" spans="4:4" ht="17.649999999999999" x14ac:dyDescent="0.5">
      <c r="D76" s="3" t="s">
        <v>80</v>
      </c>
    </row>
    <row r="77" spans="4:4" ht="17.649999999999999" x14ac:dyDescent="0.5">
      <c r="D77" s="3" t="s">
        <v>41</v>
      </c>
    </row>
    <row r="78" spans="4:4" ht="17.649999999999999" x14ac:dyDescent="0.5">
      <c r="D78" s="3" t="s">
        <v>112</v>
      </c>
    </row>
    <row r="79" spans="4:4" ht="17.649999999999999" x14ac:dyDescent="0.5">
      <c r="D79" s="3" t="s">
        <v>97</v>
      </c>
    </row>
    <row r="80" spans="4:4" ht="17.649999999999999" x14ac:dyDescent="0.5">
      <c r="D80" s="3" t="s">
        <v>44</v>
      </c>
    </row>
    <row r="81" spans="4:4" ht="17.649999999999999" x14ac:dyDescent="0.5">
      <c r="D81" s="3" t="s">
        <v>107</v>
      </c>
    </row>
    <row r="82" spans="4:4" ht="17.649999999999999" x14ac:dyDescent="0.5">
      <c r="D82" s="3" t="s">
        <v>61</v>
      </c>
    </row>
    <row r="83" spans="4:4" ht="17.649999999999999" x14ac:dyDescent="0.5">
      <c r="D83" s="3" t="s">
        <v>129</v>
      </c>
    </row>
    <row r="84" spans="4:4" ht="17.649999999999999" x14ac:dyDescent="0.5">
      <c r="D84" s="3" t="s">
        <v>90</v>
      </c>
    </row>
    <row r="85" spans="4:4" ht="17.649999999999999" x14ac:dyDescent="0.5">
      <c r="D85" s="3" t="s">
        <v>81</v>
      </c>
    </row>
    <row r="86" spans="4:4" ht="17.649999999999999" x14ac:dyDescent="0.5">
      <c r="D86" s="3" t="s">
        <v>66</v>
      </c>
    </row>
    <row r="87" spans="4:4" ht="17.649999999999999" x14ac:dyDescent="0.5">
      <c r="D87" s="3" t="s">
        <v>63</v>
      </c>
    </row>
    <row r="88" spans="4:4" ht="17.649999999999999" x14ac:dyDescent="0.5">
      <c r="D88" s="3" t="s">
        <v>115</v>
      </c>
    </row>
    <row r="89" spans="4:4" ht="17.649999999999999" x14ac:dyDescent="0.5">
      <c r="D89" s="3" t="s">
        <v>61</v>
      </c>
    </row>
    <row r="90" spans="4:4" ht="17.649999999999999" x14ac:dyDescent="0.5">
      <c r="D90" s="3" t="s">
        <v>77</v>
      </c>
    </row>
    <row r="91" spans="4:4" ht="17.649999999999999" x14ac:dyDescent="0.5">
      <c r="D91" s="3" t="s">
        <v>78</v>
      </c>
    </row>
    <row r="92" spans="4:4" ht="17.649999999999999" x14ac:dyDescent="0.5">
      <c r="D92" s="3" t="s">
        <v>77</v>
      </c>
    </row>
    <row r="93" spans="4:4" ht="17.649999999999999" x14ac:dyDescent="0.5">
      <c r="D93" s="3" t="s">
        <v>54</v>
      </c>
    </row>
    <row r="94" spans="4:4" ht="17.649999999999999" x14ac:dyDescent="0.5">
      <c r="D94" s="3" t="s">
        <v>59</v>
      </c>
    </row>
    <row r="95" spans="4:4" ht="17.649999999999999" x14ac:dyDescent="0.5">
      <c r="D95" s="3" t="s">
        <v>117</v>
      </c>
    </row>
    <row r="96" spans="4:4" ht="17.649999999999999" x14ac:dyDescent="0.5">
      <c r="D96" s="3" t="s">
        <v>74</v>
      </c>
    </row>
    <row r="97" spans="4:4" ht="17.649999999999999" x14ac:dyDescent="0.5">
      <c r="D97" s="3" t="s">
        <v>43</v>
      </c>
    </row>
    <row r="98" spans="4:4" ht="17.649999999999999" x14ac:dyDescent="0.5">
      <c r="D98" s="3" t="s">
        <v>51</v>
      </c>
    </row>
    <row r="99" spans="4:4" ht="17.649999999999999" x14ac:dyDescent="0.5">
      <c r="D99" s="3" t="s">
        <v>68</v>
      </c>
    </row>
    <row r="100" spans="4:4" ht="17.649999999999999" x14ac:dyDescent="0.5">
      <c r="D100" s="3" t="s">
        <v>80</v>
      </c>
    </row>
    <row r="101" spans="4:4" ht="17.649999999999999" x14ac:dyDescent="0.5">
      <c r="D101" s="3" t="s">
        <v>116</v>
      </c>
    </row>
    <row r="102" spans="4:4" ht="17.649999999999999" x14ac:dyDescent="0.5">
      <c r="D102" s="3" t="s">
        <v>78</v>
      </c>
    </row>
    <row r="103" spans="4:4" ht="17.649999999999999" x14ac:dyDescent="0.5">
      <c r="D103" s="3" t="s">
        <v>95</v>
      </c>
    </row>
    <row r="104" spans="4:4" ht="17.649999999999999" x14ac:dyDescent="0.5">
      <c r="D104" s="3" t="s">
        <v>82</v>
      </c>
    </row>
    <row r="105" spans="4:4" ht="17.649999999999999" x14ac:dyDescent="0.5">
      <c r="D105" s="3" t="s">
        <v>54</v>
      </c>
    </row>
    <row r="106" spans="4:4" ht="17.649999999999999" x14ac:dyDescent="0.5">
      <c r="D106" s="3" t="s">
        <v>65</v>
      </c>
    </row>
    <row r="107" spans="4:4" ht="17.649999999999999" x14ac:dyDescent="0.5">
      <c r="D107" s="3" t="s">
        <v>112</v>
      </c>
    </row>
    <row r="108" spans="4:4" ht="17.649999999999999" x14ac:dyDescent="0.5">
      <c r="D108" s="3" t="s">
        <v>91</v>
      </c>
    </row>
    <row r="109" spans="4:4" ht="17.649999999999999" x14ac:dyDescent="0.5">
      <c r="D109" s="3" t="s">
        <v>75</v>
      </c>
    </row>
    <row r="110" spans="4:4" ht="17.649999999999999" x14ac:dyDescent="0.5">
      <c r="D110" s="3" t="s">
        <v>44</v>
      </c>
    </row>
    <row r="111" spans="4:4" ht="17.649999999999999" x14ac:dyDescent="0.5">
      <c r="D111" s="3" t="s">
        <v>97</v>
      </c>
    </row>
    <row r="112" spans="4:4" ht="17.649999999999999" x14ac:dyDescent="0.5">
      <c r="D112" s="3" t="s">
        <v>45</v>
      </c>
    </row>
    <row r="113" spans="4:4" ht="17.649999999999999" x14ac:dyDescent="0.5">
      <c r="D113" s="3" t="s">
        <v>90</v>
      </c>
    </row>
    <row r="114" spans="4:4" ht="17.649999999999999" x14ac:dyDescent="0.5">
      <c r="D114" s="3" t="s">
        <v>123</v>
      </c>
    </row>
    <row r="115" spans="4:4" ht="17.649999999999999" x14ac:dyDescent="0.5">
      <c r="D115" s="3" t="s">
        <v>53</v>
      </c>
    </row>
    <row r="116" spans="4:4" ht="17.649999999999999" x14ac:dyDescent="0.5">
      <c r="D116" s="3" t="s">
        <v>106</v>
      </c>
    </row>
    <row r="117" spans="4:4" ht="17.649999999999999" x14ac:dyDescent="0.5">
      <c r="D117" s="3" t="s">
        <v>64</v>
      </c>
    </row>
    <row r="118" spans="4:4" ht="17.649999999999999" x14ac:dyDescent="0.5">
      <c r="D118" s="3" t="s">
        <v>101</v>
      </c>
    </row>
    <row r="119" spans="4:4" ht="17.649999999999999" x14ac:dyDescent="0.5">
      <c r="D119" s="3" t="s">
        <v>90</v>
      </c>
    </row>
    <row r="120" spans="4:4" ht="17.649999999999999" x14ac:dyDescent="0.5">
      <c r="D120" s="3" t="s">
        <v>70</v>
      </c>
    </row>
    <row r="121" spans="4:4" ht="17.649999999999999" x14ac:dyDescent="0.5">
      <c r="D121" s="3" t="s">
        <v>56</v>
      </c>
    </row>
    <row r="122" spans="4:4" ht="17.649999999999999" x14ac:dyDescent="0.5">
      <c r="D122" s="3" t="s">
        <v>47</v>
      </c>
    </row>
    <row r="123" spans="4:4" ht="17.649999999999999" x14ac:dyDescent="0.5">
      <c r="D123" s="3" t="s">
        <v>50</v>
      </c>
    </row>
    <row r="124" spans="4:4" ht="17.649999999999999" x14ac:dyDescent="0.5">
      <c r="D124" s="3" t="s">
        <v>80</v>
      </c>
    </row>
    <row r="125" spans="4:4" ht="17.649999999999999" x14ac:dyDescent="0.5">
      <c r="D125" s="3" t="s">
        <v>106</v>
      </c>
    </row>
    <row r="126" spans="4:4" ht="17.649999999999999" x14ac:dyDescent="0.5">
      <c r="D126" s="3" t="s">
        <v>74</v>
      </c>
    </row>
    <row r="127" spans="4:4" ht="17.649999999999999" x14ac:dyDescent="0.5">
      <c r="D127" s="3" t="s">
        <v>76</v>
      </c>
    </row>
    <row r="128" spans="4:4" ht="17.649999999999999" x14ac:dyDescent="0.5">
      <c r="D128" s="3" t="s">
        <v>44</v>
      </c>
    </row>
    <row r="129" spans="4:4" ht="17.649999999999999" x14ac:dyDescent="0.5">
      <c r="D129" s="3" t="s">
        <v>52</v>
      </c>
    </row>
    <row r="130" spans="4:4" ht="17.649999999999999" x14ac:dyDescent="0.5">
      <c r="D130" s="3" t="s">
        <v>41</v>
      </c>
    </row>
    <row r="131" spans="4:4" ht="17.649999999999999" x14ac:dyDescent="0.5">
      <c r="D131" s="3" t="s">
        <v>84</v>
      </c>
    </row>
    <row r="132" spans="4:4" ht="17.649999999999999" x14ac:dyDescent="0.5">
      <c r="D132" s="3" t="s">
        <v>92</v>
      </c>
    </row>
    <row r="133" spans="4:4" ht="17.649999999999999" x14ac:dyDescent="0.5">
      <c r="D133" s="3" t="s">
        <v>91</v>
      </c>
    </row>
    <row r="134" spans="4:4" ht="17.649999999999999" x14ac:dyDescent="0.5">
      <c r="D134" s="3" t="s">
        <v>68</v>
      </c>
    </row>
    <row r="135" spans="4:4" ht="17.649999999999999" x14ac:dyDescent="0.5">
      <c r="D135" s="3" t="s">
        <v>57</v>
      </c>
    </row>
    <row r="136" spans="4:4" ht="17.649999999999999" x14ac:dyDescent="0.5">
      <c r="D136" s="3" t="s">
        <v>80</v>
      </c>
    </row>
    <row r="137" spans="4:4" ht="17.649999999999999" x14ac:dyDescent="0.5">
      <c r="D137" s="3" t="s">
        <v>94</v>
      </c>
    </row>
    <row r="138" spans="4:4" ht="17.649999999999999" x14ac:dyDescent="0.5">
      <c r="D138" s="3" t="s">
        <v>75</v>
      </c>
    </row>
    <row r="139" spans="4:4" ht="17.649999999999999" x14ac:dyDescent="0.5">
      <c r="D139" s="3" t="s">
        <v>68</v>
      </c>
    </row>
    <row r="140" spans="4:4" ht="17.649999999999999" x14ac:dyDescent="0.5">
      <c r="D140" s="3" t="s">
        <v>54</v>
      </c>
    </row>
    <row r="141" spans="4:4" ht="17.649999999999999" x14ac:dyDescent="0.5">
      <c r="D141" s="3" t="s">
        <v>66</v>
      </c>
    </row>
    <row r="142" spans="4:4" ht="17.649999999999999" x14ac:dyDescent="0.5">
      <c r="D142" s="3" t="s">
        <v>132</v>
      </c>
    </row>
    <row r="143" spans="4:4" ht="17.649999999999999" x14ac:dyDescent="0.5">
      <c r="D143" s="3" t="s">
        <v>76</v>
      </c>
    </row>
    <row r="144" spans="4:4" ht="17.649999999999999" x14ac:dyDescent="0.5">
      <c r="D144" s="3" t="s">
        <v>73</v>
      </c>
    </row>
    <row r="145" spans="4:4" ht="17.649999999999999" x14ac:dyDescent="0.5">
      <c r="D145" s="3" t="s">
        <v>50</v>
      </c>
    </row>
    <row r="146" spans="4:4" ht="17.649999999999999" x14ac:dyDescent="0.5">
      <c r="D146" s="3" t="s">
        <v>84</v>
      </c>
    </row>
    <row r="147" spans="4:4" ht="17.649999999999999" x14ac:dyDescent="0.5">
      <c r="D147" s="3" t="s">
        <v>66</v>
      </c>
    </row>
    <row r="148" spans="4:4" ht="17.649999999999999" x14ac:dyDescent="0.5">
      <c r="D148" s="3" t="s">
        <v>83</v>
      </c>
    </row>
    <row r="149" spans="4:4" ht="17.649999999999999" x14ac:dyDescent="0.5">
      <c r="D149" s="3" t="s">
        <v>54</v>
      </c>
    </row>
    <row r="150" spans="4:4" ht="17.649999999999999" x14ac:dyDescent="0.5">
      <c r="D150" s="3" t="s">
        <v>91</v>
      </c>
    </row>
    <row r="151" spans="4:4" ht="17.649999999999999" x14ac:dyDescent="0.5">
      <c r="D151" s="3" t="s">
        <v>58</v>
      </c>
    </row>
    <row r="152" spans="4:4" ht="17.649999999999999" x14ac:dyDescent="0.5">
      <c r="D152" s="3" t="s">
        <v>46</v>
      </c>
    </row>
    <row r="153" spans="4:4" ht="17.649999999999999" x14ac:dyDescent="0.5">
      <c r="D153" s="3" t="s">
        <v>41</v>
      </c>
    </row>
    <row r="154" spans="4:4" ht="17.649999999999999" x14ac:dyDescent="0.5">
      <c r="D154" s="3" t="s">
        <v>57</v>
      </c>
    </row>
    <row r="155" spans="4:4" ht="17.649999999999999" x14ac:dyDescent="0.5">
      <c r="D155" s="3" t="s">
        <v>97</v>
      </c>
    </row>
    <row r="156" spans="4:4" ht="17.649999999999999" x14ac:dyDescent="0.5">
      <c r="D156" s="3" t="s">
        <v>46</v>
      </c>
    </row>
    <row r="157" spans="4:4" ht="17.649999999999999" x14ac:dyDescent="0.5">
      <c r="D157" s="3" t="s">
        <v>49</v>
      </c>
    </row>
    <row r="158" spans="4:4" ht="17.649999999999999" x14ac:dyDescent="0.5">
      <c r="D158" s="3" t="s">
        <v>103</v>
      </c>
    </row>
    <row r="159" spans="4:4" ht="17.649999999999999" x14ac:dyDescent="0.5">
      <c r="D159" s="3" t="s">
        <v>50</v>
      </c>
    </row>
    <row r="160" spans="4:4" ht="17.649999999999999" x14ac:dyDescent="0.5">
      <c r="D160" s="3" t="s">
        <v>51</v>
      </c>
    </row>
    <row r="161" spans="4:4" ht="17.649999999999999" x14ac:dyDescent="0.5">
      <c r="D161" s="3" t="s">
        <v>81</v>
      </c>
    </row>
    <row r="162" spans="4:4" ht="17.649999999999999" x14ac:dyDescent="0.5">
      <c r="D162" s="3" t="s">
        <v>85</v>
      </c>
    </row>
    <row r="163" spans="4:4" ht="17.649999999999999" x14ac:dyDescent="0.5">
      <c r="D163" s="3" t="s">
        <v>53</v>
      </c>
    </row>
    <row r="164" spans="4:4" ht="17.649999999999999" x14ac:dyDescent="0.5">
      <c r="D164" s="3" t="s">
        <v>103</v>
      </c>
    </row>
    <row r="165" spans="4:4" ht="17.649999999999999" x14ac:dyDescent="0.5">
      <c r="D165" s="3" t="s">
        <v>112</v>
      </c>
    </row>
    <row r="166" spans="4:4" ht="17.649999999999999" x14ac:dyDescent="0.5">
      <c r="D166" s="3" t="s">
        <v>80</v>
      </c>
    </row>
    <row r="167" spans="4:4" ht="17.649999999999999" x14ac:dyDescent="0.5">
      <c r="D167" s="3" t="s">
        <v>47</v>
      </c>
    </row>
    <row r="168" spans="4:4" ht="17.649999999999999" x14ac:dyDescent="0.5">
      <c r="D168" s="3" t="s">
        <v>115</v>
      </c>
    </row>
    <row r="169" spans="4:4" ht="17.649999999999999" x14ac:dyDescent="0.5">
      <c r="D169" s="3" t="s">
        <v>53</v>
      </c>
    </row>
    <row r="170" spans="4:4" ht="17.649999999999999" x14ac:dyDescent="0.5">
      <c r="D170" s="3" t="s">
        <v>95</v>
      </c>
    </row>
    <row r="171" spans="4:4" ht="17.649999999999999" x14ac:dyDescent="0.5">
      <c r="D171" s="3" t="s">
        <v>77</v>
      </c>
    </row>
    <row r="172" spans="4:4" ht="17.649999999999999" x14ac:dyDescent="0.5">
      <c r="D172" s="3" t="s">
        <v>100</v>
      </c>
    </row>
    <row r="173" spans="4:4" ht="17.649999999999999" x14ac:dyDescent="0.5">
      <c r="D173" s="3" t="s">
        <v>110</v>
      </c>
    </row>
    <row r="174" spans="4:4" ht="17.649999999999999" x14ac:dyDescent="0.5">
      <c r="D174" s="3" t="s">
        <v>101</v>
      </c>
    </row>
    <row r="175" spans="4:4" ht="17.649999999999999" x14ac:dyDescent="0.5">
      <c r="D175" s="3" t="s">
        <v>66</v>
      </c>
    </row>
    <row r="176" spans="4:4" ht="17.649999999999999" x14ac:dyDescent="0.5">
      <c r="D176" s="3" t="s">
        <v>90</v>
      </c>
    </row>
    <row r="177" spans="4:4" ht="17.649999999999999" x14ac:dyDescent="0.5">
      <c r="D177" s="3" t="s">
        <v>125</v>
      </c>
    </row>
    <row r="178" spans="4:4" ht="17.649999999999999" x14ac:dyDescent="0.5">
      <c r="D178" s="3" t="s">
        <v>95</v>
      </c>
    </row>
    <row r="179" spans="4:4" ht="17.649999999999999" x14ac:dyDescent="0.5">
      <c r="D179" s="3" t="s">
        <v>100</v>
      </c>
    </row>
    <row r="180" spans="4:4" ht="17.649999999999999" x14ac:dyDescent="0.5">
      <c r="D180" s="3" t="s">
        <v>131</v>
      </c>
    </row>
    <row r="181" spans="4:4" ht="17.649999999999999" x14ac:dyDescent="0.5">
      <c r="D181" s="3" t="s">
        <v>64</v>
      </c>
    </row>
    <row r="182" spans="4:4" ht="17.649999999999999" x14ac:dyDescent="0.5">
      <c r="D182" s="3" t="s">
        <v>135</v>
      </c>
    </row>
    <row r="183" spans="4:4" ht="17.649999999999999" x14ac:dyDescent="0.5">
      <c r="D183" s="3" t="s">
        <v>51</v>
      </c>
    </row>
    <row r="184" spans="4:4" ht="17.649999999999999" x14ac:dyDescent="0.5">
      <c r="D184" s="3" t="s">
        <v>65</v>
      </c>
    </row>
    <row r="185" spans="4:4" ht="17.649999999999999" x14ac:dyDescent="0.5">
      <c r="D185" s="3" t="s">
        <v>59</v>
      </c>
    </row>
    <row r="186" spans="4:4" ht="17.649999999999999" x14ac:dyDescent="0.5">
      <c r="D186" s="3" t="s">
        <v>88</v>
      </c>
    </row>
    <row r="187" spans="4:4" ht="17.649999999999999" x14ac:dyDescent="0.5">
      <c r="D187" s="3" t="s">
        <v>124</v>
      </c>
    </row>
    <row r="188" spans="4:4" ht="17.649999999999999" x14ac:dyDescent="0.5">
      <c r="D188" s="3" t="s">
        <v>81</v>
      </c>
    </row>
    <row r="189" spans="4:4" ht="17.649999999999999" x14ac:dyDescent="0.5">
      <c r="D189" s="3" t="s">
        <v>68</v>
      </c>
    </row>
    <row r="190" spans="4:4" ht="17.649999999999999" x14ac:dyDescent="0.5">
      <c r="D190" s="3" t="s">
        <v>91</v>
      </c>
    </row>
    <row r="191" spans="4:4" ht="17.649999999999999" x14ac:dyDescent="0.5">
      <c r="D191" s="3" t="s">
        <v>132</v>
      </c>
    </row>
    <row r="192" spans="4:4" ht="17.649999999999999" x14ac:dyDescent="0.5">
      <c r="D192" s="3" t="s">
        <v>81</v>
      </c>
    </row>
    <row r="193" spans="4:4" ht="17.649999999999999" x14ac:dyDescent="0.5">
      <c r="D193" s="3" t="s">
        <v>74</v>
      </c>
    </row>
    <row r="194" spans="4:4" ht="17.649999999999999" x14ac:dyDescent="0.5">
      <c r="D194" s="3" t="s">
        <v>83</v>
      </c>
    </row>
    <row r="195" spans="4:4" ht="17.649999999999999" x14ac:dyDescent="0.5">
      <c r="D195" s="3" t="s">
        <v>72</v>
      </c>
    </row>
    <row r="196" spans="4:4" ht="17.649999999999999" x14ac:dyDescent="0.5">
      <c r="D196" s="3" t="s">
        <v>46</v>
      </c>
    </row>
    <row r="197" spans="4:4" ht="17.649999999999999" x14ac:dyDescent="0.5">
      <c r="D197" s="3" t="s">
        <v>107</v>
      </c>
    </row>
    <row r="198" spans="4:4" ht="17.649999999999999" x14ac:dyDescent="0.5">
      <c r="D198" s="3" t="s">
        <v>46</v>
      </c>
    </row>
    <row r="199" spans="4:4" ht="17.649999999999999" x14ac:dyDescent="0.5">
      <c r="D199" s="3" t="s">
        <v>55</v>
      </c>
    </row>
    <row r="200" spans="4:4" ht="17.649999999999999" x14ac:dyDescent="0.5">
      <c r="D200" s="3" t="s">
        <v>70</v>
      </c>
    </row>
    <row r="201" spans="4:4" ht="17.649999999999999" x14ac:dyDescent="0.5">
      <c r="D201" s="3" t="s">
        <v>67</v>
      </c>
    </row>
    <row r="202" spans="4:4" ht="17.649999999999999" x14ac:dyDescent="0.5">
      <c r="D202" s="3" t="s">
        <v>120</v>
      </c>
    </row>
    <row r="203" spans="4:4" ht="17.649999999999999" x14ac:dyDescent="0.5">
      <c r="D203" s="3" t="s">
        <v>127</v>
      </c>
    </row>
    <row r="204" spans="4:4" ht="17.649999999999999" x14ac:dyDescent="0.5">
      <c r="D204" s="3" t="s">
        <v>112</v>
      </c>
    </row>
    <row r="205" spans="4:4" ht="17.649999999999999" x14ac:dyDescent="0.5">
      <c r="D205" s="3" t="s">
        <v>107</v>
      </c>
    </row>
    <row r="206" spans="4:4" ht="17.649999999999999" x14ac:dyDescent="0.5">
      <c r="D206" s="3" t="s">
        <v>95</v>
      </c>
    </row>
    <row r="207" spans="4:4" ht="17.649999999999999" x14ac:dyDescent="0.5">
      <c r="D207" s="3" t="s">
        <v>98</v>
      </c>
    </row>
    <row r="208" spans="4:4" ht="17.649999999999999" x14ac:dyDescent="0.5">
      <c r="D208" s="3" t="s">
        <v>115</v>
      </c>
    </row>
    <row r="209" spans="4:4" ht="17.649999999999999" x14ac:dyDescent="0.5">
      <c r="D209" s="3" t="s">
        <v>69</v>
      </c>
    </row>
    <row r="210" spans="4:4" ht="17.649999999999999" x14ac:dyDescent="0.5">
      <c r="D210" s="3" t="s">
        <v>115</v>
      </c>
    </row>
    <row r="211" spans="4:4" ht="17.649999999999999" x14ac:dyDescent="0.5">
      <c r="D211" s="3" t="s">
        <v>94</v>
      </c>
    </row>
    <row r="212" spans="4:4" ht="17.649999999999999" x14ac:dyDescent="0.5">
      <c r="D212" s="3" t="s">
        <v>51</v>
      </c>
    </row>
    <row r="213" spans="4:4" ht="17.649999999999999" x14ac:dyDescent="0.5">
      <c r="D213" s="3" t="s">
        <v>57</v>
      </c>
    </row>
    <row r="214" spans="4:4" ht="17.649999999999999" x14ac:dyDescent="0.5">
      <c r="D214" s="3" t="s">
        <v>110</v>
      </c>
    </row>
    <row r="215" spans="4:4" ht="17.649999999999999" x14ac:dyDescent="0.5">
      <c r="D215" s="3" t="s">
        <v>69</v>
      </c>
    </row>
    <row r="216" spans="4:4" ht="17.649999999999999" x14ac:dyDescent="0.5">
      <c r="D216" s="3" t="s">
        <v>102</v>
      </c>
    </row>
    <row r="217" spans="4:4" ht="17.649999999999999" x14ac:dyDescent="0.5">
      <c r="D217" s="3" t="s">
        <v>103</v>
      </c>
    </row>
    <row r="218" spans="4:4" ht="17.649999999999999" x14ac:dyDescent="0.5">
      <c r="D218" s="3" t="s">
        <v>51</v>
      </c>
    </row>
    <row r="219" spans="4:4" ht="17.649999999999999" x14ac:dyDescent="0.5">
      <c r="D219" s="3" t="s">
        <v>42</v>
      </c>
    </row>
    <row r="220" spans="4:4" ht="17.649999999999999" x14ac:dyDescent="0.5">
      <c r="D220" s="3" t="s">
        <v>84</v>
      </c>
    </row>
    <row r="221" spans="4:4" ht="17.649999999999999" x14ac:dyDescent="0.5">
      <c r="D221" s="3" t="s">
        <v>60</v>
      </c>
    </row>
    <row r="222" spans="4:4" ht="17.649999999999999" x14ac:dyDescent="0.5">
      <c r="D222" s="3" t="s">
        <v>94</v>
      </c>
    </row>
    <row r="223" spans="4:4" ht="17.649999999999999" x14ac:dyDescent="0.5">
      <c r="D223" s="3" t="s">
        <v>46</v>
      </c>
    </row>
    <row r="224" spans="4:4" ht="17.649999999999999" x14ac:dyDescent="0.5">
      <c r="D224" s="3" t="s">
        <v>87</v>
      </c>
    </row>
    <row r="225" spans="4:4" ht="17.649999999999999" x14ac:dyDescent="0.5">
      <c r="D225" s="3" t="s">
        <v>42</v>
      </c>
    </row>
    <row r="226" spans="4:4" ht="17.649999999999999" x14ac:dyDescent="0.5">
      <c r="D226" s="3" t="s">
        <v>124</v>
      </c>
    </row>
    <row r="227" spans="4:4" ht="17.649999999999999" x14ac:dyDescent="0.5">
      <c r="D227" s="3" t="s">
        <v>64</v>
      </c>
    </row>
    <row r="228" spans="4:4" ht="17.649999999999999" x14ac:dyDescent="0.5">
      <c r="D228" s="3" t="s">
        <v>101</v>
      </c>
    </row>
    <row r="229" spans="4:4" ht="17.649999999999999" x14ac:dyDescent="0.5">
      <c r="D229" s="3" t="s">
        <v>117</v>
      </c>
    </row>
    <row r="230" spans="4:4" ht="17.649999999999999" x14ac:dyDescent="0.5">
      <c r="D230" s="3" t="s">
        <v>56</v>
      </c>
    </row>
    <row r="231" spans="4:4" ht="17.649999999999999" x14ac:dyDescent="0.5">
      <c r="D231" s="3" t="s">
        <v>63</v>
      </c>
    </row>
    <row r="232" spans="4:4" ht="17.649999999999999" x14ac:dyDescent="0.5">
      <c r="D232" s="3" t="s">
        <v>73</v>
      </c>
    </row>
    <row r="233" spans="4:4" ht="17.649999999999999" x14ac:dyDescent="0.5">
      <c r="D233" s="3" t="s">
        <v>118</v>
      </c>
    </row>
    <row r="234" spans="4:4" ht="17.649999999999999" x14ac:dyDescent="0.5">
      <c r="D234" s="3" t="s">
        <v>47</v>
      </c>
    </row>
    <row r="235" spans="4:4" ht="17.649999999999999" x14ac:dyDescent="0.5">
      <c r="D235" s="3" t="s">
        <v>128</v>
      </c>
    </row>
    <row r="236" spans="4:4" ht="17.649999999999999" x14ac:dyDescent="0.5">
      <c r="D236" s="3" t="s">
        <v>57</v>
      </c>
    </row>
    <row r="237" spans="4:4" ht="17.649999999999999" x14ac:dyDescent="0.5">
      <c r="D237" s="3" t="s">
        <v>108</v>
      </c>
    </row>
    <row r="238" spans="4:4" ht="17.649999999999999" x14ac:dyDescent="0.5">
      <c r="D238" s="3" t="s">
        <v>75</v>
      </c>
    </row>
    <row r="239" spans="4:4" ht="17.649999999999999" x14ac:dyDescent="0.5">
      <c r="D239" s="3" t="s">
        <v>92</v>
      </c>
    </row>
    <row r="240" spans="4:4" ht="17.649999999999999" x14ac:dyDescent="0.5">
      <c r="D240" s="3" t="s">
        <v>48</v>
      </c>
    </row>
    <row r="241" spans="4:4" ht="17.649999999999999" x14ac:dyDescent="0.5">
      <c r="D241" s="3" t="s">
        <v>59</v>
      </c>
    </row>
    <row r="242" spans="4:4" ht="17.649999999999999" x14ac:dyDescent="0.5">
      <c r="D242" s="3" t="s">
        <v>73</v>
      </c>
    </row>
    <row r="243" spans="4:4" ht="17.649999999999999" x14ac:dyDescent="0.5">
      <c r="D243" s="3" t="s">
        <v>81</v>
      </c>
    </row>
    <row r="244" spans="4:4" ht="17.649999999999999" x14ac:dyDescent="0.5">
      <c r="D244" s="3" t="s">
        <v>92</v>
      </c>
    </row>
    <row r="245" spans="4:4" ht="17.649999999999999" x14ac:dyDescent="0.5">
      <c r="D245" s="3" t="s">
        <v>53</v>
      </c>
    </row>
    <row r="246" spans="4:4" ht="17.649999999999999" x14ac:dyDescent="0.5">
      <c r="D246" s="3" t="s">
        <v>47</v>
      </c>
    </row>
    <row r="247" spans="4:4" ht="17.649999999999999" x14ac:dyDescent="0.5">
      <c r="D247" s="3" t="s">
        <v>43</v>
      </c>
    </row>
    <row r="248" spans="4:4" ht="17.649999999999999" x14ac:dyDescent="0.5">
      <c r="D248" s="3" t="s">
        <v>119</v>
      </c>
    </row>
    <row r="249" spans="4:4" ht="17.649999999999999" x14ac:dyDescent="0.5">
      <c r="D249" s="3" t="s">
        <v>46</v>
      </c>
    </row>
    <row r="250" spans="4:4" ht="17.649999999999999" x14ac:dyDescent="0.5">
      <c r="D250" s="3" t="s">
        <v>115</v>
      </c>
    </row>
    <row r="251" spans="4:4" ht="17.649999999999999" x14ac:dyDescent="0.5">
      <c r="D251" s="3" t="s">
        <v>131</v>
      </c>
    </row>
    <row r="252" spans="4:4" ht="17.649999999999999" x14ac:dyDescent="0.5">
      <c r="D252" s="3" t="s">
        <v>135</v>
      </c>
    </row>
    <row r="253" spans="4:4" ht="17.649999999999999" x14ac:dyDescent="0.5">
      <c r="D253" s="3" t="s">
        <v>73</v>
      </c>
    </row>
    <row r="254" spans="4:4" ht="17.649999999999999" x14ac:dyDescent="0.5">
      <c r="D254" s="3" t="s">
        <v>98</v>
      </c>
    </row>
    <row r="255" spans="4:4" ht="17.649999999999999" x14ac:dyDescent="0.5">
      <c r="D255" s="3" t="s">
        <v>48</v>
      </c>
    </row>
    <row r="256" spans="4:4" ht="17.649999999999999" x14ac:dyDescent="0.5">
      <c r="D256" s="3" t="s">
        <v>129</v>
      </c>
    </row>
    <row r="257" spans="4:4" ht="17.649999999999999" x14ac:dyDescent="0.5">
      <c r="D257" s="3" t="s">
        <v>50</v>
      </c>
    </row>
    <row r="258" spans="4:4" ht="17.649999999999999" x14ac:dyDescent="0.5">
      <c r="D258" s="3" t="s">
        <v>123</v>
      </c>
    </row>
    <row r="259" spans="4:4" ht="17.649999999999999" x14ac:dyDescent="0.5">
      <c r="D259" s="3" t="s">
        <v>70</v>
      </c>
    </row>
    <row r="260" spans="4:4" ht="17.649999999999999" x14ac:dyDescent="0.5">
      <c r="D260" s="3" t="s">
        <v>75</v>
      </c>
    </row>
    <row r="261" spans="4:4" ht="17.649999999999999" x14ac:dyDescent="0.5">
      <c r="D261" s="3" t="s">
        <v>57</v>
      </c>
    </row>
    <row r="262" spans="4:4" ht="17.649999999999999" x14ac:dyDescent="0.5">
      <c r="D262" s="3" t="s">
        <v>106</v>
      </c>
    </row>
    <row r="263" spans="4:4" ht="17.649999999999999" x14ac:dyDescent="0.5">
      <c r="D263" s="3" t="s">
        <v>115</v>
      </c>
    </row>
    <row r="264" spans="4:4" ht="17.649999999999999" x14ac:dyDescent="0.5">
      <c r="D264" s="3" t="s">
        <v>90</v>
      </c>
    </row>
    <row r="265" spans="4:4" ht="17.649999999999999" x14ac:dyDescent="0.5">
      <c r="D265" s="3" t="s">
        <v>99</v>
      </c>
    </row>
    <row r="266" spans="4:4" ht="17.649999999999999" x14ac:dyDescent="0.5">
      <c r="D266" s="3" t="s">
        <v>42</v>
      </c>
    </row>
    <row r="267" spans="4:4" ht="17.649999999999999" x14ac:dyDescent="0.5">
      <c r="D267" s="3" t="s">
        <v>101</v>
      </c>
    </row>
    <row r="268" spans="4:4" ht="17.649999999999999" x14ac:dyDescent="0.5">
      <c r="D268" s="3" t="s">
        <v>69</v>
      </c>
    </row>
    <row r="269" spans="4:4" ht="17.649999999999999" x14ac:dyDescent="0.5">
      <c r="D269" s="3" t="s">
        <v>41</v>
      </c>
    </row>
    <row r="270" spans="4:4" ht="17.649999999999999" x14ac:dyDescent="0.5">
      <c r="D270" s="3" t="s">
        <v>127</v>
      </c>
    </row>
    <row r="271" spans="4:4" ht="17.649999999999999" x14ac:dyDescent="0.5">
      <c r="D271" s="3" t="s">
        <v>132</v>
      </c>
    </row>
    <row r="272" spans="4:4" ht="17.649999999999999" x14ac:dyDescent="0.5">
      <c r="D272" s="3" t="s">
        <v>116</v>
      </c>
    </row>
    <row r="273" spans="4:4" ht="17.649999999999999" x14ac:dyDescent="0.5">
      <c r="D273" s="3" t="s">
        <v>81</v>
      </c>
    </row>
    <row r="274" spans="4:4" ht="17.649999999999999" x14ac:dyDescent="0.5">
      <c r="D274" s="3" t="s">
        <v>74</v>
      </c>
    </row>
    <row r="275" spans="4:4" ht="17.649999999999999" x14ac:dyDescent="0.5">
      <c r="D275" s="3" t="s">
        <v>78</v>
      </c>
    </row>
    <row r="276" spans="4:4" ht="17.649999999999999" x14ac:dyDescent="0.5">
      <c r="D276" s="3" t="s">
        <v>52</v>
      </c>
    </row>
    <row r="277" spans="4:4" ht="17.649999999999999" x14ac:dyDescent="0.5">
      <c r="D277" s="3" t="s">
        <v>55</v>
      </c>
    </row>
    <row r="278" spans="4:4" ht="17.649999999999999" x14ac:dyDescent="0.5">
      <c r="D278" s="3" t="s">
        <v>64</v>
      </c>
    </row>
    <row r="279" spans="4:4" ht="17.649999999999999" x14ac:dyDescent="0.5">
      <c r="D279" s="3" t="s">
        <v>85</v>
      </c>
    </row>
    <row r="280" spans="4:4" ht="17.649999999999999" x14ac:dyDescent="0.5">
      <c r="D280" s="3" t="s">
        <v>122</v>
      </c>
    </row>
    <row r="281" spans="4:4" ht="17.649999999999999" x14ac:dyDescent="0.5">
      <c r="D281" s="3" t="s">
        <v>65</v>
      </c>
    </row>
    <row r="282" spans="4:4" ht="17.649999999999999" x14ac:dyDescent="0.5">
      <c r="D282" s="3" t="s">
        <v>75</v>
      </c>
    </row>
    <row r="283" spans="4:4" ht="17.649999999999999" x14ac:dyDescent="0.5">
      <c r="D283" s="3" t="s">
        <v>112</v>
      </c>
    </row>
    <row r="284" spans="4:4" ht="17.649999999999999" x14ac:dyDescent="0.5">
      <c r="D284" s="3" t="s">
        <v>115</v>
      </c>
    </row>
    <row r="285" spans="4:4" ht="17.649999999999999" x14ac:dyDescent="0.5">
      <c r="D285" s="3" t="s">
        <v>78</v>
      </c>
    </row>
    <row r="286" spans="4:4" ht="17.649999999999999" x14ac:dyDescent="0.5">
      <c r="D286" s="3" t="s">
        <v>71</v>
      </c>
    </row>
    <row r="287" spans="4:4" ht="17.649999999999999" x14ac:dyDescent="0.5">
      <c r="D287" s="3" t="s">
        <v>47</v>
      </c>
    </row>
    <row r="288" spans="4:4" ht="17.649999999999999" x14ac:dyDescent="0.5">
      <c r="D288" s="3" t="s">
        <v>81</v>
      </c>
    </row>
    <row r="289" spans="4:4" ht="17.649999999999999" x14ac:dyDescent="0.5">
      <c r="D289" s="3" t="s">
        <v>44</v>
      </c>
    </row>
    <row r="290" spans="4:4" ht="17.649999999999999" x14ac:dyDescent="0.5">
      <c r="D290" s="3" t="s">
        <v>55</v>
      </c>
    </row>
    <row r="291" spans="4:4" ht="17.649999999999999" x14ac:dyDescent="0.5">
      <c r="D291" s="3" t="s">
        <v>64</v>
      </c>
    </row>
    <row r="292" spans="4:4" ht="17.649999999999999" x14ac:dyDescent="0.5">
      <c r="D292" s="3" t="s">
        <v>78</v>
      </c>
    </row>
    <row r="293" spans="4:4" ht="17.649999999999999" x14ac:dyDescent="0.5">
      <c r="D293" s="3" t="s">
        <v>75</v>
      </c>
    </row>
    <row r="294" spans="4:4" ht="17.649999999999999" x14ac:dyDescent="0.5">
      <c r="D294" s="3" t="s">
        <v>87</v>
      </c>
    </row>
    <row r="295" spans="4:4" ht="17.649999999999999" x14ac:dyDescent="0.5">
      <c r="D295" s="3" t="s">
        <v>58</v>
      </c>
    </row>
    <row r="296" spans="4:4" ht="17.649999999999999" x14ac:dyDescent="0.5">
      <c r="D296" s="3" t="s">
        <v>90</v>
      </c>
    </row>
    <row r="297" spans="4:4" ht="17.649999999999999" x14ac:dyDescent="0.5">
      <c r="D297" s="3" t="s">
        <v>103</v>
      </c>
    </row>
    <row r="298" spans="4:4" ht="17.649999999999999" x14ac:dyDescent="0.5">
      <c r="D298" s="3" t="s">
        <v>85</v>
      </c>
    </row>
    <row r="299" spans="4:4" ht="17.649999999999999" x14ac:dyDescent="0.5">
      <c r="D299" s="3" t="s">
        <v>80</v>
      </c>
    </row>
    <row r="300" spans="4:4" ht="17.649999999999999" x14ac:dyDescent="0.5">
      <c r="D300" s="3" t="s">
        <v>83</v>
      </c>
    </row>
    <row r="301" spans="4:4" ht="17.649999999999999" x14ac:dyDescent="0.5">
      <c r="D301" s="3" t="s">
        <v>94</v>
      </c>
    </row>
    <row r="302" spans="4:4" ht="17.649999999999999" x14ac:dyDescent="0.5">
      <c r="D302" s="3" t="s">
        <v>53</v>
      </c>
    </row>
    <row r="303" spans="4:4" ht="17.649999999999999" x14ac:dyDescent="0.5">
      <c r="D303" s="3" t="s">
        <v>125</v>
      </c>
    </row>
    <row r="304" spans="4:4" ht="17.649999999999999" x14ac:dyDescent="0.5">
      <c r="D304" s="3" t="s">
        <v>57</v>
      </c>
    </row>
    <row r="305" spans="4:4" ht="17.649999999999999" x14ac:dyDescent="0.5">
      <c r="D305" s="3" t="s">
        <v>74</v>
      </c>
    </row>
    <row r="306" spans="4:4" ht="17.649999999999999" x14ac:dyDescent="0.5">
      <c r="D306" s="3" t="s">
        <v>51</v>
      </c>
    </row>
    <row r="307" spans="4:4" ht="17.649999999999999" x14ac:dyDescent="0.5">
      <c r="D307" s="3" t="s">
        <v>41</v>
      </c>
    </row>
    <row r="308" spans="4:4" ht="17.649999999999999" x14ac:dyDescent="0.5">
      <c r="D308" s="3" t="s">
        <v>115</v>
      </c>
    </row>
    <row r="309" spans="4:4" ht="17.649999999999999" x14ac:dyDescent="0.5">
      <c r="D309" s="3" t="s">
        <v>103</v>
      </c>
    </row>
    <row r="310" spans="4:4" ht="17.649999999999999" x14ac:dyDescent="0.5">
      <c r="D310" s="3" t="s">
        <v>43</v>
      </c>
    </row>
    <row r="311" spans="4:4" ht="17.649999999999999" x14ac:dyDescent="0.5">
      <c r="D311" s="3" t="s">
        <v>56</v>
      </c>
    </row>
    <row r="312" spans="4:4" ht="17.649999999999999" x14ac:dyDescent="0.5">
      <c r="D312" s="3" t="s">
        <v>108</v>
      </c>
    </row>
    <row r="313" spans="4:4" ht="17.649999999999999" x14ac:dyDescent="0.5">
      <c r="D313" s="3" t="s">
        <v>74</v>
      </c>
    </row>
    <row r="314" spans="4:4" ht="17.649999999999999" x14ac:dyDescent="0.5">
      <c r="D314" s="3" t="s">
        <v>72</v>
      </c>
    </row>
    <row r="315" spans="4:4" ht="17.649999999999999" x14ac:dyDescent="0.5">
      <c r="D315" s="3" t="s">
        <v>61</v>
      </c>
    </row>
    <row r="316" spans="4:4" ht="17.649999999999999" x14ac:dyDescent="0.5">
      <c r="D316" s="3" t="s">
        <v>115</v>
      </c>
    </row>
    <row r="317" spans="4:4" ht="17.649999999999999" x14ac:dyDescent="0.5">
      <c r="D317" s="3" t="s">
        <v>53</v>
      </c>
    </row>
    <row r="318" spans="4:4" ht="17.649999999999999" x14ac:dyDescent="0.5">
      <c r="D318" s="3" t="s">
        <v>123</v>
      </c>
    </row>
    <row r="319" spans="4:4" ht="17.649999999999999" x14ac:dyDescent="0.5">
      <c r="D319" s="3" t="s">
        <v>52</v>
      </c>
    </row>
    <row r="320" spans="4:4" ht="17.649999999999999" x14ac:dyDescent="0.5">
      <c r="D320" s="3" t="s">
        <v>83</v>
      </c>
    </row>
    <row r="321" spans="4:4" ht="17.649999999999999" x14ac:dyDescent="0.5">
      <c r="D321" s="3" t="s">
        <v>107</v>
      </c>
    </row>
    <row r="322" spans="4:4" ht="17.649999999999999" x14ac:dyDescent="0.5">
      <c r="D322" s="3" t="s">
        <v>42</v>
      </c>
    </row>
    <row r="323" spans="4:4" ht="17.649999999999999" x14ac:dyDescent="0.5">
      <c r="D323" s="3" t="s">
        <v>98</v>
      </c>
    </row>
    <row r="324" spans="4:4" ht="17.649999999999999" x14ac:dyDescent="0.5">
      <c r="D324" s="3" t="s">
        <v>46</v>
      </c>
    </row>
    <row r="325" spans="4:4" ht="17.649999999999999" x14ac:dyDescent="0.5">
      <c r="D325" s="3" t="s">
        <v>92</v>
      </c>
    </row>
    <row r="326" spans="4:4" ht="17.649999999999999" x14ac:dyDescent="0.5">
      <c r="D326" s="3" t="s">
        <v>83</v>
      </c>
    </row>
    <row r="327" spans="4:4" ht="17.649999999999999" x14ac:dyDescent="0.5">
      <c r="D327" s="3" t="s">
        <v>112</v>
      </c>
    </row>
    <row r="328" spans="4:4" ht="17.649999999999999" x14ac:dyDescent="0.5">
      <c r="D328" s="3" t="s">
        <v>79</v>
      </c>
    </row>
    <row r="329" spans="4:4" ht="17.649999999999999" x14ac:dyDescent="0.5">
      <c r="D329" s="3" t="s">
        <v>74</v>
      </c>
    </row>
    <row r="330" spans="4:4" ht="17.649999999999999" x14ac:dyDescent="0.5">
      <c r="D330" s="3" t="s">
        <v>115</v>
      </c>
    </row>
    <row r="331" spans="4:4" ht="17.649999999999999" x14ac:dyDescent="0.5">
      <c r="D331" s="3" t="s">
        <v>54</v>
      </c>
    </row>
    <row r="332" spans="4:4" ht="17.649999999999999" x14ac:dyDescent="0.5">
      <c r="D332" s="3" t="s">
        <v>78</v>
      </c>
    </row>
    <row r="333" spans="4:4" ht="17.649999999999999" x14ac:dyDescent="0.5">
      <c r="D333" s="3" t="s">
        <v>50</v>
      </c>
    </row>
    <row r="334" spans="4:4" ht="17.649999999999999" x14ac:dyDescent="0.5">
      <c r="D334" s="3" t="s">
        <v>54</v>
      </c>
    </row>
    <row r="335" spans="4:4" ht="17.649999999999999" x14ac:dyDescent="0.5">
      <c r="D335" s="3" t="s">
        <v>123</v>
      </c>
    </row>
    <row r="336" spans="4:4" ht="17.649999999999999" x14ac:dyDescent="0.5">
      <c r="D336" s="3" t="s">
        <v>80</v>
      </c>
    </row>
    <row r="337" spans="4:4" ht="17.649999999999999" x14ac:dyDescent="0.5">
      <c r="D337" s="3" t="s">
        <v>69</v>
      </c>
    </row>
    <row r="338" spans="4:4" ht="17.649999999999999" x14ac:dyDescent="0.5">
      <c r="D338" s="3" t="s">
        <v>75</v>
      </c>
    </row>
    <row r="339" spans="4:4" ht="17.649999999999999" x14ac:dyDescent="0.5">
      <c r="D339" s="3" t="s">
        <v>121</v>
      </c>
    </row>
    <row r="340" spans="4:4" ht="17.649999999999999" x14ac:dyDescent="0.5">
      <c r="D340" s="3" t="s">
        <v>106</v>
      </c>
    </row>
    <row r="341" spans="4:4" ht="17.649999999999999" x14ac:dyDescent="0.5">
      <c r="D341" s="3" t="s">
        <v>66</v>
      </c>
    </row>
    <row r="342" spans="4:4" ht="17.649999999999999" x14ac:dyDescent="0.5">
      <c r="D342" s="3" t="s">
        <v>68</v>
      </c>
    </row>
    <row r="343" spans="4:4" ht="17.649999999999999" x14ac:dyDescent="0.5">
      <c r="D343" s="3" t="s">
        <v>90</v>
      </c>
    </row>
    <row r="344" spans="4:4" ht="17.649999999999999" x14ac:dyDescent="0.5">
      <c r="D344" s="3" t="s">
        <v>96</v>
      </c>
    </row>
    <row r="345" spans="4:4" ht="17.649999999999999" x14ac:dyDescent="0.5">
      <c r="D345" s="3" t="s">
        <v>117</v>
      </c>
    </row>
    <row r="346" spans="4:4" ht="17.649999999999999" x14ac:dyDescent="0.5">
      <c r="D346" s="3" t="s">
        <v>59</v>
      </c>
    </row>
    <row r="347" spans="4:4" ht="17.649999999999999" x14ac:dyDescent="0.5">
      <c r="D347" s="3" t="s">
        <v>93</v>
      </c>
    </row>
    <row r="348" spans="4:4" ht="17.649999999999999" x14ac:dyDescent="0.5">
      <c r="D348" s="3" t="s">
        <v>66</v>
      </c>
    </row>
    <row r="349" spans="4:4" ht="17.649999999999999" x14ac:dyDescent="0.5">
      <c r="D349" s="3" t="s">
        <v>134</v>
      </c>
    </row>
    <row r="350" spans="4:4" ht="17.649999999999999" x14ac:dyDescent="0.5">
      <c r="D350" s="3" t="s">
        <v>69</v>
      </c>
    </row>
    <row r="351" spans="4:4" ht="17.649999999999999" x14ac:dyDescent="0.5">
      <c r="D351" s="3" t="s">
        <v>78</v>
      </c>
    </row>
    <row r="352" spans="4:4" ht="17.649999999999999" x14ac:dyDescent="0.5">
      <c r="D352" s="3" t="s">
        <v>52</v>
      </c>
    </row>
    <row r="353" spans="4:4" ht="17.649999999999999" x14ac:dyDescent="0.5">
      <c r="D353" s="3" t="s">
        <v>55</v>
      </c>
    </row>
    <row r="354" spans="4:4" ht="17.649999999999999" x14ac:dyDescent="0.5">
      <c r="D354" s="3" t="s">
        <v>51</v>
      </c>
    </row>
    <row r="355" spans="4:4" ht="17.649999999999999" x14ac:dyDescent="0.5">
      <c r="D355" s="3" t="s">
        <v>49</v>
      </c>
    </row>
    <row r="356" spans="4:4" ht="17.649999999999999" x14ac:dyDescent="0.5">
      <c r="D356" s="3" t="s">
        <v>109</v>
      </c>
    </row>
    <row r="357" spans="4:4" ht="17.649999999999999" x14ac:dyDescent="0.5">
      <c r="D357" s="3" t="s">
        <v>46</v>
      </c>
    </row>
    <row r="358" spans="4:4" ht="17.649999999999999" x14ac:dyDescent="0.5">
      <c r="D358" s="3" t="s">
        <v>49</v>
      </c>
    </row>
    <row r="359" spans="4:4" ht="17.649999999999999" x14ac:dyDescent="0.5">
      <c r="D359" s="3" t="s">
        <v>80</v>
      </c>
    </row>
    <row r="360" spans="4:4" ht="17.649999999999999" x14ac:dyDescent="0.5">
      <c r="D360" s="3" t="s">
        <v>67</v>
      </c>
    </row>
    <row r="361" spans="4:4" ht="17.649999999999999" x14ac:dyDescent="0.5">
      <c r="D361" s="3" t="s">
        <v>117</v>
      </c>
    </row>
    <row r="362" spans="4:4" ht="17.649999999999999" x14ac:dyDescent="0.5">
      <c r="D362" s="3" t="s">
        <v>127</v>
      </c>
    </row>
    <row r="363" spans="4:4" ht="17.649999999999999" x14ac:dyDescent="0.5">
      <c r="D363" s="3" t="s">
        <v>101</v>
      </c>
    </row>
    <row r="364" spans="4:4" ht="17.649999999999999" x14ac:dyDescent="0.5">
      <c r="D364" s="3" t="s">
        <v>87</v>
      </c>
    </row>
    <row r="365" spans="4:4" ht="17.649999999999999" x14ac:dyDescent="0.5">
      <c r="D365" s="3" t="s">
        <v>136</v>
      </c>
    </row>
    <row r="366" spans="4:4" ht="17.649999999999999" x14ac:dyDescent="0.5">
      <c r="D366" s="3" t="s">
        <v>66</v>
      </c>
    </row>
    <row r="367" spans="4:4" ht="17.649999999999999" x14ac:dyDescent="0.5">
      <c r="D367" s="3" t="s">
        <v>94</v>
      </c>
    </row>
    <row r="368" spans="4:4" ht="17.649999999999999" x14ac:dyDescent="0.5">
      <c r="D368" s="3" t="s">
        <v>61</v>
      </c>
    </row>
    <row r="369" spans="4:4" ht="17.649999999999999" x14ac:dyDescent="0.5">
      <c r="D369" s="3" t="s">
        <v>77</v>
      </c>
    </row>
    <row r="370" spans="4:4" ht="17.649999999999999" x14ac:dyDescent="0.5">
      <c r="D370" s="3" t="s">
        <v>83</v>
      </c>
    </row>
    <row r="371" spans="4:4" ht="17.649999999999999" x14ac:dyDescent="0.5">
      <c r="D371" s="3" t="s">
        <v>80</v>
      </c>
    </row>
    <row r="372" spans="4:4" ht="17.649999999999999" x14ac:dyDescent="0.5">
      <c r="D372" s="3" t="s">
        <v>65</v>
      </c>
    </row>
    <row r="373" spans="4:4" ht="17.649999999999999" x14ac:dyDescent="0.5">
      <c r="D373" s="3" t="s">
        <v>87</v>
      </c>
    </row>
    <row r="374" spans="4:4" ht="17.649999999999999" x14ac:dyDescent="0.5">
      <c r="D374" s="3" t="s">
        <v>92</v>
      </c>
    </row>
    <row r="375" spans="4:4" ht="17.649999999999999" x14ac:dyDescent="0.5">
      <c r="D375" s="3" t="s">
        <v>57</v>
      </c>
    </row>
    <row r="376" spans="4:4" ht="17.649999999999999" x14ac:dyDescent="0.5">
      <c r="D376" s="3" t="s">
        <v>117</v>
      </c>
    </row>
    <row r="377" spans="4:4" ht="17.649999999999999" x14ac:dyDescent="0.5">
      <c r="D377" s="3" t="s">
        <v>105</v>
      </c>
    </row>
    <row r="378" spans="4:4" ht="17.649999999999999" x14ac:dyDescent="0.5">
      <c r="D378" s="3" t="s">
        <v>50</v>
      </c>
    </row>
    <row r="379" spans="4:4" ht="17.649999999999999" x14ac:dyDescent="0.5">
      <c r="D379" s="3" t="s">
        <v>74</v>
      </c>
    </row>
    <row r="380" spans="4:4" ht="17.649999999999999" x14ac:dyDescent="0.5">
      <c r="D380" s="3" t="s">
        <v>96</v>
      </c>
    </row>
    <row r="381" spans="4:4" ht="17.649999999999999" x14ac:dyDescent="0.5">
      <c r="D381" s="3" t="s">
        <v>93</v>
      </c>
    </row>
    <row r="382" spans="4:4" ht="17.649999999999999" x14ac:dyDescent="0.5">
      <c r="D382" s="3" t="s">
        <v>115</v>
      </c>
    </row>
    <row r="383" spans="4:4" ht="17.649999999999999" x14ac:dyDescent="0.5">
      <c r="D383" s="3" t="s">
        <v>75</v>
      </c>
    </row>
    <row r="384" spans="4:4" ht="17.649999999999999" x14ac:dyDescent="0.5">
      <c r="D384" s="3" t="s">
        <v>54</v>
      </c>
    </row>
    <row r="385" spans="4:4" ht="17.649999999999999" x14ac:dyDescent="0.5">
      <c r="D385" s="3" t="s">
        <v>103</v>
      </c>
    </row>
    <row r="386" spans="4:4" ht="17.649999999999999" x14ac:dyDescent="0.5">
      <c r="D386" s="3" t="s">
        <v>106</v>
      </c>
    </row>
    <row r="387" spans="4:4" ht="17.649999999999999" x14ac:dyDescent="0.5">
      <c r="D387" s="3" t="s">
        <v>115</v>
      </c>
    </row>
    <row r="388" spans="4:4" ht="17.649999999999999" x14ac:dyDescent="0.5">
      <c r="D388" s="3" t="s">
        <v>69</v>
      </c>
    </row>
    <row r="389" spans="4:4" ht="17.649999999999999" x14ac:dyDescent="0.5">
      <c r="D389" s="3" t="s">
        <v>114</v>
      </c>
    </row>
    <row r="390" spans="4:4" ht="17.649999999999999" x14ac:dyDescent="0.5">
      <c r="D390" s="3" t="s">
        <v>63</v>
      </c>
    </row>
    <row r="391" spans="4:4" ht="17.649999999999999" x14ac:dyDescent="0.5">
      <c r="D391" s="3" t="s">
        <v>43</v>
      </c>
    </row>
    <row r="392" spans="4:4" ht="17.649999999999999" x14ac:dyDescent="0.5">
      <c r="D392" s="3" t="s">
        <v>107</v>
      </c>
    </row>
    <row r="393" spans="4:4" ht="17.649999999999999" x14ac:dyDescent="0.5">
      <c r="D393" s="3" t="s">
        <v>53</v>
      </c>
    </row>
    <row r="394" spans="4:4" ht="17.649999999999999" x14ac:dyDescent="0.5">
      <c r="D394" s="3" t="s">
        <v>91</v>
      </c>
    </row>
    <row r="395" spans="4:4" ht="17.649999999999999" x14ac:dyDescent="0.5">
      <c r="D395" s="3" t="s">
        <v>121</v>
      </c>
    </row>
    <row r="396" spans="4:4" ht="17.649999999999999" x14ac:dyDescent="0.5">
      <c r="D396" s="3" t="s">
        <v>55</v>
      </c>
    </row>
    <row r="397" spans="4:4" ht="17.649999999999999" x14ac:dyDescent="0.5">
      <c r="D397" s="3" t="s">
        <v>45</v>
      </c>
    </row>
    <row r="398" spans="4:4" ht="17.649999999999999" x14ac:dyDescent="0.5">
      <c r="D398" s="3" t="s">
        <v>67</v>
      </c>
    </row>
    <row r="399" spans="4:4" ht="17.649999999999999" x14ac:dyDescent="0.5">
      <c r="D399" s="3" t="s">
        <v>54</v>
      </c>
    </row>
    <row r="400" spans="4:4" ht="17.649999999999999" x14ac:dyDescent="0.5">
      <c r="D400" s="3" t="s">
        <v>115</v>
      </c>
    </row>
    <row r="401" spans="4:4" ht="17.649999999999999" x14ac:dyDescent="0.5">
      <c r="D401" s="3" t="s">
        <v>69</v>
      </c>
    </row>
    <row r="402" spans="4:4" ht="17.649999999999999" x14ac:dyDescent="0.5">
      <c r="D402" s="3" t="s">
        <v>64</v>
      </c>
    </row>
    <row r="403" spans="4:4" ht="17.649999999999999" x14ac:dyDescent="0.5">
      <c r="D403" s="3" t="s">
        <v>96</v>
      </c>
    </row>
    <row r="404" spans="4:4" ht="17.649999999999999" x14ac:dyDescent="0.5">
      <c r="D404" s="3" t="s">
        <v>43</v>
      </c>
    </row>
    <row r="405" spans="4:4" ht="17.649999999999999" x14ac:dyDescent="0.5">
      <c r="D405" s="3" t="s">
        <v>78</v>
      </c>
    </row>
    <row r="406" spans="4:4" ht="17.649999999999999" x14ac:dyDescent="0.5">
      <c r="D406" s="3" t="s">
        <v>48</v>
      </c>
    </row>
    <row r="407" spans="4:4" ht="17.649999999999999" x14ac:dyDescent="0.5">
      <c r="D407" s="3" t="s">
        <v>77</v>
      </c>
    </row>
    <row r="408" spans="4:4" ht="17.649999999999999" x14ac:dyDescent="0.5">
      <c r="D408" s="3" t="s">
        <v>56</v>
      </c>
    </row>
    <row r="409" spans="4:4" ht="17.649999999999999" x14ac:dyDescent="0.5">
      <c r="D409" s="3" t="s">
        <v>85</v>
      </c>
    </row>
    <row r="410" spans="4:4" ht="17.649999999999999" x14ac:dyDescent="0.5">
      <c r="D410" s="3" t="s">
        <v>76</v>
      </c>
    </row>
    <row r="411" spans="4:4" ht="17.649999999999999" x14ac:dyDescent="0.5">
      <c r="D411" s="3" t="s">
        <v>94</v>
      </c>
    </row>
    <row r="412" spans="4:4" ht="17.649999999999999" x14ac:dyDescent="0.5">
      <c r="D412" s="3" t="s">
        <v>105</v>
      </c>
    </row>
    <row r="413" spans="4:4" ht="17.649999999999999" x14ac:dyDescent="0.5">
      <c r="D413" s="3" t="s">
        <v>83</v>
      </c>
    </row>
    <row r="414" spans="4:4" ht="17.649999999999999" x14ac:dyDescent="0.5">
      <c r="D414" s="3" t="s">
        <v>56</v>
      </c>
    </row>
    <row r="415" spans="4:4" ht="17.649999999999999" x14ac:dyDescent="0.5">
      <c r="D415" s="3" t="s">
        <v>117</v>
      </c>
    </row>
    <row r="416" spans="4:4" ht="17.649999999999999" x14ac:dyDescent="0.5">
      <c r="D416" s="3" t="s">
        <v>73</v>
      </c>
    </row>
    <row r="417" spans="4:4" ht="17.649999999999999" x14ac:dyDescent="0.5">
      <c r="D417" s="3" t="s">
        <v>90</v>
      </c>
    </row>
    <row r="418" spans="4:4" ht="17.649999999999999" x14ac:dyDescent="0.5">
      <c r="D418" s="3" t="s">
        <v>84</v>
      </c>
    </row>
    <row r="419" spans="4:4" ht="17.649999999999999" x14ac:dyDescent="0.5">
      <c r="D419" s="3" t="s">
        <v>59</v>
      </c>
    </row>
    <row r="420" spans="4:4" ht="17.649999999999999" x14ac:dyDescent="0.5">
      <c r="D420" s="3" t="s">
        <v>88</v>
      </c>
    </row>
    <row r="421" spans="4:4" ht="17.649999999999999" x14ac:dyDescent="0.5">
      <c r="D421" s="3" t="s">
        <v>52</v>
      </c>
    </row>
    <row r="422" spans="4:4" ht="17.649999999999999" x14ac:dyDescent="0.5">
      <c r="D422" s="3" t="s">
        <v>51</v>
      </c>
    </row>
    <row r="423" spans="4:4" ht="17.649999999999999" x14ac:dyDescent="0.5">
      <c r="D423" s="3" t="s">
        <v>49</v>
      </c>
    </row>
    <row r="424" spans="4:4" ht="17.649999999999999" x14ac:dyDescent="0.5">
      <c r="D424" s="3" t="s">
        <v>91</v>
      </c>
    </row>
    <row r="425" spans="4:4" ht="17.649999999999999" x14ac:dyDescent="0.5">
      <c r="D425" s="3" t="s">
        <v>61</v>
      </c>
    </row>
    <row r="426" spans="4:4" ht="17.649999999999999" x14ac:dyDescent="0.5">
      <c r="D426" s="3" t="s">
        <v>77</v>
      </c>
    </row>
    <row r="427" spans="4:4" ht="17.649999999999999" x14ac:dyDescent="0.5">
      <c r="D427" s="3" t="s">
        <v>113</v>
      </c>
    </row>
    <row r="428" spans="4:4" ht="17.649999999999999" x14ac:dyDescent="0.5">
      <c r="D428" s="3" t="s">
        <v>66</v>
      </c>
    </row>
    <row r="429" spans="4:4" ht="17.649999999999999" x14ac:dyDescent="0.5">
      <c r="D429" s="3" t="s">
        <v>90</v>
      </c>
    </row>
    <row r="430" spans="4:4" ht="17.649999999999999" x14ac:dyDescent="0.5">
      <c r="D430" s="3" t="s">
        <v>77</v>
      </c>
    </row>
    <row r="431" spans="4:4" ht="17.649999999999999" x14ac:dyDescent="0.5">
      <c r="D431" s="3" t="s">
        <v>78</v>
      </c>
    </row>
    <row r="432" spans="4:4" ht="17.649999999999999" x14ac:dyDescent="0.5">
      <c r="D432" s="3" t="s">
        <v>112</v>
      </c>
    </row>
    <row r="433" spans="4:4" ht="17.649999999999999" x14ac:dyDescent="0.5">
      <c r="D433" s="3" t="s">
        <v>57</v>
      </c>
    </row>
    <row r="434" spans="4:4" ht="17.649999999999999" x14ac:dyDescent="0.5">
      <c r="D434" s="3" t="s">
        <v>107</v>
      </c>
    </row>
    <row r="435" spans="4:4" ht="17.649999999999999" x14ac:dyDescent="0.5">
      <c r="D435" s="3" t="s">
        <v>48</v>
      </c>
    </row>
    <row r="436" spans="4:4" ht="17.649999999999999" x14ac:dyDescent="0.5">
      <c r="D436" s="3" t="s">
        <v>67</v>
      </c>
    </row>
    <row r="437" spans="4:4" ht="17.649999999999999" x14ac:dyDescent="0.5">
      <c r="D437" s="3" t="s">
        <v>126</v>
      </c>
    </row>
    <row r="438" spans="4:4" ht="17.649999999999999" x14ac:dyDescent="0.5">
      <c r="D438" s="3" t="s">
        <v>67</v>
      </c>
    </row>
    <row r="439" spans="4:4" ht="17.649999999999999" x14ac:dyDescent="0.5">
      <c r="D439" s="3" t="s">
        <v>50</v>
      </c>
    </row>
    <row r="440" spans="4:4" ht="17.649999999999999" x14ac:dyDescent="0.5">
      <c r="D440" s="3" t="s">
        <v>124</v>
      </c>
    </row>
    <row r="441" spans="4:4" ht="17.649999999999999" x14ac:dyDescent="0.5">
      <c r="D441" s="3" t="s">
        <v>77</v>
      </c>
    </row>
    <row r="442" spans="4:4" ht="17.649999999999999" x14ac:dyDescent="0.5">
      <c r="D442" s="3" t="s">
        <v>65</v>
      </c>
    </row>
    <row r="443" spans="4:4" ht="17.649999999999999" x14ac:dyDescent="0.5">
      <c r="D443" s="3" t="s">
        <v>75</v>
      </c>
    </row>
    <row r="444" spans="4:4" ht="17.649999999999999" x14ac:dyDescent="0.5">
      <c r="D444" s="3" t="s">
        <v>90</v>
      </c>
    </row>
    <row r="445" spans="4:4" ht="17.649999999999999" x14ac:dyDescent="0.5">
      <c r="D445" s="3" t="s">
        <v>125</v>
      </c>
    </row>
    <row r="446" spans="4:4" ht="17.649999999999999" x14ac:dyDescent="0.5">
      <c r="D446" s="3" t="s">
        <v>53</v>
      </c>
    </row>
    <row r="447" spans="4:4" ht="17.649999999999999" x14ac:dyDescent="0.5">
      <c r="D447" s="3" t="s">
        <v>81</v>
      </c>
    </row>
    <row r="448" spans="4:4" ht="17.649999999999999" x14ac:dyDescent="0.5">
      <c r="D448" s="3" t="s">
        <v>96</v>
      </c>
    </row>
    <row r="449" spans="4:4" ht="17.649999999999999" x14ac:dyDescent="0.5">
      <c r="D449" s="3" t="s">
        <v>69</v>
      </c>
    </row>
    <row r="450" spans="4:4" ht="17.649999999999999" x14ac:dyDescent="0.5">
      <c r="D450" s="3" t="s">
        <v>96</v>
      </c>
    </row>
    <row r="451" spans="4:4" ht="17.649999999999999" x14ac:dyDescent="0.5">
      <c r="D451" s="3" t="s">
        <v>99</v>
      </c>
    </row>
    <row r="452" spans="4:4" ht="17.649999999999999" x14ac:dyDescent="0.5">
      <c r="D452" s="3" t="s">
        <v>74</v>
      </c>
    </row>
    <row r="453" spans="4:4" ht="17.649999999999999" x14ac:dyDescent="0.5">
      <c r="D453" s="3" t="s">
        <v>105</v>
      </c>
    </row>
    <row r="454" spans="4:4" ht="17.649999999999999" x14ac:dyDescent="0.5">
      <c r="D454" s="3" t="s">
        <v>78</v>
      </c>
    </row>
    <row r="455" spans="4:4" ht="17.649999999999999" x14ac:dyDescent="0.5">
      <c r="D455" s="3" t="s">
        <v>106</v>
      </c>
    </row>
    <row r="456" spans="4:4" ht="17.649999999999999" x14ac:dyDescent="0.5">
      <c r="D456" s="3" t="s">
        <v>56</v>
      </c>
    </row>
    <row r="457" spans="4:4" ht="17.649999999999999" x14ac:dyDescent="0.5">
      <c r="D457" s="3" t="s">
        <v>90</v>
      </c>
    </row>
    <row r="458" spans="4:4" ht="17.649999999999999" x14ac:dyDescent="0.5">
      <c r="D458" s="3" t="s">
        <v>96</v>
      </c>
    </row>
    <row r="459" spans="4:4" ht="17.649999999999999" x14ac:dyDescent="0.5">
      <c r="D459" s="3" t="s">
        <v>52</v>
      </c>
    </row>
    <row r="460" spans="4:4" ht="17.649999999999999" x14ac:dyDescent="0.5">
      <c r="D460" s="3" t="s">
        <v>59</v>
      </c>
    </row>
    <row r="461" spans="4:4" ht="17.649999999999999" x14ac:dyDescent="0.5">
      <c r="D461" s="3" t="s">
        <v>90</v>
      </c>
    </row>
    <row r="462" spans="4:4" ht="17.649999999999999" x14ac:dyDescent="0.5">
      <c r="D462" s="3" t="s">
        <v>53</v>
      </c>
    </row>
    <row r="463" spans="4:4" ht="17.649999999999999" x14ac:dyDescent="0.5">
      <c r="D463" s="3" t="s">
        <v>54</v>
      </c>
    </row>
    <row r="464" spans="4:4" ht="17.649999999999999" x14ac:dyDescent="0.5">
      <c r="D464" s="3" t="s">
        <v>64</v>
      </c>
    </row>
    <row r="465" spans="4:4" ht="17.649999999999999" x14ac:dyDescent="0.5">
      <c r="D465" s="3" t="s">
        <v>57</v>
      </c>
    </row>
    <row r="466" spans="4:4" ht="17.649999999999999" x14ac:dyDescent="0.5">
      <c r="D466" s="3" t="s">
        <v>77</v>
      </c>
    </row>
    <row r="467" spans="4:4" ht="17.649999999999999" x14ac:dyDescent="0.5">
      <c r="D467" s="3" t="s">
        <v>88</v>
      </c>
    </row>
    <row r="468" spans="4:4" ht="17.649999999999999" x14ac:dyDescent="0.5">
      <c r="D468" s="3" t="s">
        <v>116</v>
      </c>
    </row>
    <row r="469" spans="4:4" ht="17.649999999999999" x14ac:dyDescent="0.5">
      <c r="D469" s="3" t="s">
        <v>86</v>
      </c>
    </row>
    <row r="470" spans="4:4" ht="17.649999999999999" x14ac:dyDescent="0.5">
      <c r="D470" s="3" t="s">
        <v>106</v>
      </c>
    </row>
    <row r="471" spans="4:4" ht="17.649999999999999" x14ac:dyDescent="0.5">
      <c r="D471" s="3" t="s">
        <v>59</v>
      </c>
    </row>
    <row r="472" spans="4:4" ht="17.649999999999999" x14ac:dyDescent="0.5">
      <c r="D472" s="3" t="s">
        <v>56</v>
      </c>
    </row>
    <row r="473" spans="4:4" ht="17.649999999999999" x14ac:dyDescent="0.5">
      <c r="D473" s="3" t="s">
        <v>90</v>
      </c>
    </row>
    <row r="474" spans="4:4" ht="17.649999999999999" x14ac:dyDescent="0.5">
      <c r="D474" s="3" t="s">
        <v>55</v>
      </c>
    </row>
    <row r="475" spans="4:4" ht="17.649999999999999" x14ac:dyDescent="0.5">
      <c r="D475" s="3" t="s">
        <v>71</v>
      </c>
    </row>
    <row r="476" spans="4:4" ht="17.649999999999999" x14ac:dyDescent="0.5">
      <c r="D476" s="3" t="s">
        <v>115</v>
      </c>
    </row>
    <row r="477" spans="4:4" ht="17.649999999999999" x14ac:dyDescent="0.5">
      <c r="D477" s="3" t="s">
        <v>59</v>
      </c>
    </row>
    <row r="478" spans="4:4" ht="17.649999999999999" x14ac:dyDescent="0.5">
      <c r="D478" s="3" t="s">
        <v>53</v>
      </c>
    </row>
    <row r="479" spans="4:4" ht="17.649999999999999" x14ac:dyDescent="0.5">
      <c r="D479" s="3" t="s">
        <v>56</v>
      </c>
    </row>
    <row r="480" spans="4:4" ht="17.649999999999999" x14ac:dyDescent="0.5">
      <c r="D480" s="3" t="s">
        <v>64</v>
      </c>
    </row>
    <row r="481" spans="4:4" ht="17.649999999999999" x14ac:dyDescent="0.5">
      <c r="D481" s="3" t="s">
        <v>78</v>
      </c>
    </row>
    <row r="482" spans="4:4" ht="17.649999999999999" x14ac:dyDescent="0.5">
      <c r="D482" s="3" t="s">
        <v>61</v>
      </c>
    </row>
    <row r="483" spans="4:4" ht="17.649999999999999" x14ac:dyDescent="0.5">
      <c r="D483" s="3" t="s">
        <v>54</v>
      </c>
    </row>
    <row r="484" spans="4:4" ht="17.649999999999999" x14ac:dyDescent="0.5">
      <c r="D484" s="3" t="s">
        <v>123</v>
      </c>
    </row>
    <row r="485" spans="4:4" ht="17.649999999999999" x14ac:dyDescent="0.5">
      <c r="D485" s="3" t="s">
        <v>46</v>
      </c>
    </row>
    <row r="486" spans="4:4" ht="17.649999999999999" x14ac:dyDescent="0.5">
      <c r="D486" s="3" t="s">
        <v>87</v>
      </c>
    </row>
    <row r="487" spans="4:4" ht="17.649999999999999" x14ac:dyDescent="0.5">
      <c r="D487" s="3" t="s">
        <v>68</v>
      </c>
    </row>
    <row r="488" spans="4:4" ht="17.649999999999999" x14ac:dyDescent="0.5">
      <c r="D488" s="3" t="s">
        <v>80</v>
      </c>
    </row>
    <row r="489" spans="4:4" ht="17.649999999999999" x14ac:dyDescent="0.5">
      <c r="D489" s="3" t="s">
        <v>67</v>
      </c>
    </row>
    <row r="490" spans="4:4" ht="17.649999999999999" x14ac:dyDescent="0.5">
      <c r="D490" s="3" t="s">
        <v>54</v>
      </c>
    </row>
    <row r="491" spans="4:4" ht="17.649999999999999" x14ac:dyDescent="0.5">
      <c r="D491" s="3" t="s">
        <v>74</v>
      </c>
    </row>
    <row r="492" spans="4:4" ht="17.649999999999999" x14ac:dyDescent="0.5">
      <c r="D492" s="3" t="s">
        <v>90</v>
      </c>
    </row>
    <row r="493" spans="4:4" ht="17.649999999999999" x14ac:dyDescent="0.5">
      <c r="D493" s="3" t="s">
        <v>51</v>
      </c>
    </row>
    <row r="494" spans="4:4" ht="17.649999999999999" x14ac:dyDescent="0.5">
      <c r="D494" s="3" t="s">
        <v>75</v>
      </c>
    </row>
    <row r="495" spans="4:4" ht="17.649999999999999" x14ac:dyDescent="0.5">
      <c r="D495" s="3" t="s">
        <v>90</v>
      </c>
    </row>
    <row r="496" spans="4:4" ht="17.649999999999999" x14ac:dyDescent="0.5">
      <c r="D496" s="3" t="s">
        <v>111</v>
      </c>
    </row>
    <row r="497" spans="4:4" ht="17.649999999999999" x14ac:dyDescent="0.5">
      <c r="D497" s="3" t="s">
        <v>53</v>
      </c>
    </row>
    <row r="498" spans="4:4" ht="17.649999999999999" x14ac:dyDescent="0.5">
      <c r="D498" s="3" t="s">
        <v>119</v>
      </c>
    </row>
    <row r="499" spans="4:4" ht="17.649999999999999" x14ac:dyDescent="0.5">
      <c r="D499" s="3" t="s">
        <v>41</v>
      </c>
    </row>
    <row r="500" spans="4:4" ht="17.649999999999999" x14ac:dyDescent="0.5">
      <c r="D500" s="3" t="s">
        <v>98</v>
      </c>
    </row>
    <row r="501" spans="4:4" ht="17.649999999999999" x14ac:dyDescent="0.5">
      <c r="D501" s="3" t="s">
        <v>117</v>
      </c>
    </row>
    <row r="502" spans="4:4" ht="17.649999999999999" x14ac:dyDescent="0.5">
      <c r="D502" s="3" t="s">
        <v>125</v>
      </c>
    </row>
    <row r="503" spans="4:4" ht="17.649999999999999" x14ac:dyDescent="0.5">
      <c r="D503" s="3" t="s">
        <v>106</v>
      </c>
    </row>
    <row r="504" spans="4:4" ht="17.649999999999999" x14ac:dyDescent="0.5">
      <c r="D504" s="3" t="s">
        <v>85</v>
      </c>
    </row>
    <row r="505" spans="4:4" ht="17.649999999999999" x14ac:dyDescent="0.5">
      <c r="D505" s="3" t="s">
        <v>96</v>
      </c>
    </row>
    <row r="506" spans="4:4" ht="17.649999999999999" x14ac:dyDescent="0.5">
      <c r="D506" s="3" t="s">
        <v>52</v>
      </c>
    </row>
    <row r="507" spans="4:4" ht="17.649999999999999" x14ac:dyDescent="0.5">
      <c r="D507" s="3" t="s">
        <v>101</v>
      </c>
    </row>
    <row r="508" spans="4:4" ht="17.649999999999999" x14ac:dyDescent="0.5">
      <c r="D508" s="3" t="s">
        <v>74</v>
      </c>
    </row>
    <row r="509" spans="4:4" ht="17.649999999999999" x14ac:dyDescent="0.5">
      <c r="D509" s="3" t="s">
        <v>106</v>
      </c>
    </row>
    <row r="510" spans="4:4" ht="17.649999999999999" x14ac:dyDescent="0.5">
      <c r="D510" s="3" t="s">
        <v>77</v>
      </c>
    </row>
    <row r="511" spans="4:4" ht="17.649999999999999" x14ac:dyDescent="0.5">
      <c r="D511" s="3" t="s">
        <v>47</v>
      </c>
    </row>
    <row r="512" spans="4:4" ht="17.649999999999999" x14ac:dyDescent="0.5">
      <c r="D512" s="3" t="s">
        <v>78</v>
      </c>
    </row>
    <row r="513" spans="4:4" ht="17.649999999999999" x14ac:dyDescent="0.5">
      <c r="D513" s="3" t="s">
        <v>73</v>
      </c>
    </row>
    <row r="514" spans="4:4" ht="17.649999999999999" x14ac:dyDescent="0.5">
      <c r="D514" s="3" t="s">
        <v>112</v>
      </c>
    </row>
    <row r="515" spans="4:4" ht="17.649999999999999" x14ac:dyDescent="0.5">
      <c r="D515" s="3" t="s">
        <v>118</v>
      </c>
    </row>
    <row r="516" spans="4:4" ht="17.649999999999999" x14ac:dyDescent="0.5">
      <c r="D516" s="3" t="s">
        <v>47</v>
      </c>
    </row>
    <row r="517" spans="4:4" ht="17.649999999999999" x14ac:dyDescent="0.5">
      <c r="D517" s="3" t="s">
        <v>107</v>
      </c>
    </row>
    <row r="518" spans="4:4" ht="17.649999999999999" x14ac:dyDescent="0.5">
      <c r="D518" s="3" t="s">
        <v>109</v>
      </c>
    </row>
    <row r="519" spans="4:4" ht="17.649999999999999" x14ac:dyDescent="0.5">
      <c r="D519" s="3" t="s">
        <v>57</v>
      </c>
    </row>
    <row r="520" spans="4:4" ht="17.649999999999999" x14ac:dyDescent="0.5">
      <c r="D520" s="3" t="s">
        <v>68</v>
      </c>
    </row>
    <row r="521" spans="4:4" ht="17.649999999999999" x14ac:dyDescent="0.5">
      <c r="D521" s="3" t="s">
        <v>82</v>
      </c>
    </row>
    <row r="522" spans="4:4" ht="17.649999999999999" x14ac:dyDescent="0.5">
      <c r="D522" s="3" t="s">
        <v>91</v>
      </c>
    </row>
    <row r="523" spans="4:4" ht="17.649999999999999" x14ac:dyDescent="0.5">
      <c r="D523" s="3" t="s">
        <v>94</v>
      </c>
    </row>
    <row r="524" spans="4:4" ht="17.649999999999999" x14ac:dyDescent="0.5">
      <c r="D524" s="3" t="s">
        <v>67</v>
      </c>
    </row>
    <row r="525" spans="4:4" ht="17.649999999999999" x14ac:dyDescent="0.5">
      <c r="D525" s="3" t="s">
        <v>56</v>
      </c>
    </row>
    <row r="526" spans="4:4" ht="17.649999999999999" x14ac:dyDescent="0.5">
      <c r="D526" s="3" t="s">
        <v>105</v>
      </c>
    </row>
    <row r="527" spans="4:4" ht="17.649999999999999" x14ac:dyDescent="0.5">
      <c r="D527" s="3" t="s">
        <v>108</v>
      </c>
    </row>
    <row r="528" spans="4:4" ht="17.649999999999999" x14ac:dyDescent="0.5">
      <c r="D528" s="3" t="s">
        <v>112</v>
      </c>
    </row>
    <row r="529" spans="4:4" ht="17.649999999999999" x14ac:dyDescent="0.5">
      <c r="D529" s="3" t="s">
        <v>85</v>
      </c>
    </row>
    <row r="530" spans="4:4" ht="17.649999999999999" x14ac:dyDescent="0.5">
      <c r="D530" s="3" t="s">
        <v>51</v>
      </c>
    </row>
    <row r="531" spans="4:4" ht="17.649999999999999" x14ac:dyDescent="0.5">
      <c r="D531" s="3" t="s">
        <v>80</v>
      </c>
    </row>
    <row r="532" spans="4:4" ht="17.649999999999999" x14ac:dyDescent="0.5">
      <c r="D532" s="3" t="s">
        <v>65</v>
      </c>
    </row>
    <row r="533" spans="4:4" ht="17.649999999999999" x14ac:dyDescent="0.5">
      <c r="D533" s="3" t="s">
        <v>92</v>
      </c>
    </row>
    <row r="534" spans="4:4" ht="17.649999999999999" x14ac:dyDescent="0.5">
      <c r="D534" s="3" t="s">
        <v>120</v>
      </c>
    </row>
    <row r="535" spans="4:4" ht="17.649999999999999" x14ac:dyDescent="0.5">
      <c r="D535" s="3" t="s">
        <v>119</v>
      </c>
    </row>
    <row r="536" spans="4:4" ht="17.649999999999999" x14ac:dyDescent="0.5">
      <c r="D536" s="3" t="s">
        <v>63</v>
      </c>
    </row>
    <row r="537" spans="4:4" ht="17.649999999999999" x14ac:dyDescent="0.5">
      <c r="D537" s="3" t="s">
        <v>75</v>
      </c>
    </row>
    <row r="538" spans="4:4" ht="17.649999999999999" x14ac:dyDescent="0.5">
      <c r="D538" s="3" t="s">
        <v>69</v>
      </c>
    </row>
    <row r="539" spans="4:4" ht="17.649999999999999" x14ac:dyDescent="0.5">
      <c r="D539" s="3" t="s">
        <v>102</v>
      </c>
    </row>
    <row r="540" spans="4:4" ht="17.649999999999999" x14ac:dyDescent="0.5">
      <c r="D540" s="3" t="s">
        <v>55</v>
      </c>
    </row>
    <row r="541" spans="4:4" ht="17.649999999999999" x14ac:dyDescent="0.5">
      <c r="D541" s="3" t="s">
        <v>64</v>
      </c>
    </row>
    <row r="542" spans="4:4" ht="17.649999999999999" x14ac:dyDescent="0.5">
      <c r="D542" s="3" t="s">
        <v>90</v>
      </c>
    </row>
    <row r="543" spans="4:4" ht="17.649999999999999" x14ac:dyDescent="0.5">
      <c r="D543" s="3" t="s">
        <v>64</v>
      </c>
    </row>
    <row r="544" spans="4:4" ht="17.649999999999999" x14ac:dyDescent="0.5">
      <c r="D544" s="3" t="s">
        <v>115</v>
      </c>
    </row>
    <row r="545" spans="4:4" ht="17.649999999999999" x14ac:dyDescent="0.5">
      <c r="D545" s="3" t="s">
        <v>54</v>
      </c>
    </row>
    <row r="546" spans="4:4" ht="17.649999999999999" x14ac:dyDescent="0.5">
      <c r="D546" s="3" t="s">
        <v>53</v>
      </c>
    </row>
    <row r="547" spans="4:4" ht="17.649999999999999" x14ac:dyDescent="0.5">
      <c r="D547" s="3" t="s">
        <v>47</v>
      </c>
    </row>
    <row r="548" spans="4:4" ht="17.649999999999999" x14ac:dyDescent="0.5">
      <c r="D548" s="3" t="s">
        <v>64</v>
      </c>
    </row>
    <row r="549" spans="4:4" ht="17.649999999999999" x14ac:dyDescent="0.5">
      <c r="D549" s="3" t="s">
        <v>86</v>
      </c>
    </row>
    <row r="550" spans="4:4" ht="17.649999999999999" x14ac:dyDescent="0.5">
      <c r="D550" s="3" t="s">
        <v>113</v>
      </c>
    </row>
    <row r="551" spans="4:4" ht="17.649999999999999" x14ac:dyDescent="0.5">
      <c r="D551" s="3" t="s">
        <v>49</v>
      </c>
    </row>
    <row r="552" spans="4:4" ht="17.649999999999999" x14ac:dyDescent="0.5">
      <c r="D552" s="3" t="s">
        <v>43</v>
      </c>
    </row>
    <row r="553" spans="4:4" ht="17.649999999999999" x14ac:dyDescent="0.5">
      <c r="D553" s="3" t="s">
        <v>106</v>
      </c>
    </row>
    <row r="554" spans="4:4" ht="17.649999999999999" x14ac:dyDescent="0.5">
      <c r="D554" s="3" t="s">
        <v>44</v>
      </c>
    </row>
    <row r="555" spans="4:4" ht="17.649999999999999" x14ac:dyDescent="0.5">
      <c r="D555" s="3" t="s">
        <v>123</v>
      </c>
    </row>
    <row r="556" spans="4:4" ht="17.649999999999999" x14ac:dyDescent="0.5">
      <c r="D556" s="3" t="s">
        <v>52</v>
      </c>
    </row>
    <row r="557" spans="4:4" ht="17.649999999999999" x14ac:dyDescent="0.5">
      <c r="D557" s="3" t="s">
        <v>73</v>
      </c>
    </row>
    <row r="558" spans="4:4" ht="17.649999999999999" x14ac:dyDescent="0.5">
      <c r="D558" s="3" t="s">
        <v>95</v>
      </c>
    </row>
    <row r="559" spans="4:4" ht="17.649999999999999" x14ac:dyDescent="0.5">
      <c r="D559" s="3" t="s">
        <v>78</v>
      </c>
    </row>
    <row r="560" spans="4:4" ht="17.649999999999999" x14ac:dyDescent="0.5">
      <c r="D560" s="3" t="s">
        <v>50</v>
      </c>
    </row>
    <row r="561" spans="4:4" ht="17.649999999999999" x14ac:dyDescent="0.5">
      <c r="D561" s="3" t="s">
        <v>84</v>
      </c>
    </row>
    <row r="562" spans="4:4" ht="17.649999999999999" x14ac:dyDescent="0.5">
      <c r="D562" s="3" t="s">
        <v>47</v>
      </c>
    </row>
    <row r="563" spans="4:4" ht="17.649999999999999" x14ac:dyDescent="0.5">
      <c r="D563" s="3" t="s">
        <v>54</v>
      </c>
    </row>
    <row r="564" spans="4:4" ht="17.649999999999999" x14ac:dyDescent="0.5">
      <c r="D564" s="3" t="s">
        <v>53</v>
      </c>
    </row>
    <row r="565" spans="4:4" ht="17.649999999999999" x14ac:dyDescent="0.5">
      <c r="D565" s="3" t="s">
        <v>41</v>
      </c>
    </row>
    <row r="566" spans="4:4" ht="17.649999999999999" x14ac:dyDescent="0.5">
      <c r="D566" s="3" t="s">
        <v>85</v>
      </c>
    </row>
    <row r="567" spans="4:4" ht="17.649999999999999" x14ac:dyDescent="0.5">
      <c r="D567" s="3" t="s">
        <v>41</v>
      </c>
    </row>
    <row r="568" spans="4:4" ht="17.649999999999999" x14ac:dyDescent="0.5">
      <c r="D568" s="3" t="s">
        <v>65</v>
      </c>
    </row>
    <row r="569" spans="4:4" ht="17.649999999999999" x14ac:dyDescent="0.5">
      <c r="D569" s="3" t="s">
        <v>56</v>
      </c>
    </row>
    <row r="570" spans="4:4" ht="17.649999999999999" x14ac:dyDescent="0.5">
      <c r="D570" s="3" t="s">
        <v>107</v>
      </c>
    </row>
    <row r="571" spans="4:4" ht="17.649999999999999" x14ac:dyDescent="0.5">
      <c r="D571" s="3" t="s">
        <v>112</v>
      </c>
    </row>
    <row r="572" spans="4:4" ht="17.649999999999999" x14ac:dyDescent="0.5">
      <c r="D572" s="3" t="s">
        <v>47</v>
      </c>
    </row>
    <row r="573" spans="4:4" ht="17.649999999999999" x14ac:dyDescent="0.5">
      <c r="D573" s="3" t="s">
        <v>94</v>
      </c>
    </row>
    <row r="574" spans="4:4" ht="17.649999999999999" x14ac:dyDescent="0.5">
      <c r="D574" s="3" t="s">
        <v>105</v>
      </c>
    </row>
    <row r="575" spans="4:4" ht="17.649999999999999" x14ac:dyDescent="0.5">
      <c r="D575" s="3" t="s">
        <v>61</v>
      </c>
    </row>
    <row r="576" spans="4:4" ht="17.649999999999999" x14ac:dyDescent="0.5">
      <c r="D576" s="3" t="s">
        <v>92</v>
      </c>
    </row>
    <row r="577" spans="4:4" ht="17.649999999999999" x14ac:dyDescent="0.5">
      <c r="D577" s="3" t="s">
        <v>44</v>
      </c>
    </row>
    <row r="578" spans="4:4" ht="17.649999999999999" x14ac:dyDescent="0.5">
      <c r="D578" s="3" t="s">
        <v>98</v>
      </c>
    </row>
    <row r="579" spans="4:4" ht="17.649999999999999" x14ac:dyDescent="0.5">
      <c r="D579" s="3" t="s">
        <v>123</v>
      </c>
    </row>
    <row r="580" spans="4:4" ht="17.649999999999999" x14ac:dyDescent="0.5">
      <c r="D580" s="3" t="s">
        <v>103</v>
      </c>
    </row>
    <row r="581" spans="4:4" ht="17.649999999999999" x14ac:dyDescent="0.5">
      <c r="D581" s="3" t="s">
        <v>84</v>
      </c>
    </row>
    <row r="582" spans="4:4" ht="17.649999999999999" x14ac:dyDescent="0.5">
      <c r="D582" s="3" t="s">
        <v>46</v>
      </c>
    </row>
    <row r="583" spans="4:4" ht="17.649999999999999" x14ac:dyDescent="0.5">
      <c r="D583" s="3" t="s">
        <v>101</v>
      </c>
    </row>
    <row r="584" spans="4:4" ht="17.649999999999999" x14ac:dyDescent="0.5">
      <c r="D584" s="3" t="s">
        <v>112</v>
      </c>
    </row>
    <row r="585" spans="4:4" ht="17.649999999999999" x14ac:dyDescent="0.5">
      <c r="D585" s="3" t="s">
        <v>53</v>
      </c>
    </row>
    <row r="586" spans="4:4" ht="17.649999999999999" x14ac:dyDescent="0.5">
      <c r="D586" s="3" t="s">
        <v>69</v>
      </c>
    </row>
    <row r="587" spans="4:4" ht="17.649999999999999" x14ac:dyDescent="0.5">
      <c r="D587" s="3" t="s">
        <v>58</v>
      </c>
    </row>
    <row r="588" spans="4:4" ht="17.649999999999999" x14ac:dyDescent="0.5">
      <c r="D588" s="3" t="s">
        <v>83</v>
      </c>
    </row>
    <row r="589" spans="4:4" ht="17.649999999999999" x14ac:dyDescent="0.5">
      <c r="D589" s="3" t="s">
        <v>84</v>
      </c>
    </row>
    <row r="590" spans="4:4" ht="17.649999999999999" x14ac:dyDescent="0.5">
      <c r="D590" s="3" t="s">
        <v>85</v>
      </c>
    </row>
    <row r="591" spans="4:4" ht="17.649999999999999" x14ac:dyDescent="0.5">
      <c r="D591" s="3" t="s">
        <v>67</v>
      </c>
    </row>
    <row r="592" spans="4:4" ht="17.649999999999999" x14ac:dyDescent="0.5">
      <c r="D592" s="3" t="s">
        <v>62</v>
      </c>
    </row>
    <row r="593" spans="4:4" ht="17.649999999999999" x14ac:dyDescent="0.5">
      <c r="D593" s="3" t="s">
        <v>41</v>
      </c>
    </row>
    <row r="594" spans="4:4" ht="17.649999999999999" x14ac:dyDescent="0.5">
      <c r="D594" s="3" t="s">
        <v>81</v>
      </c>
    </row>
    <row r="595" spans="4:4" ht="17.649999999999999" x14ac:dyDescent="0.5">
      <c r="D595" s="3" t="s">
        <v>128</v>
      </c>
    </row>
    <row r="596" spans="4:4" ht="17.649999999999999" x14ac:dyDescent="0.5">
      <c r="D596" s="3" t="s">
        <v>126</v>
      </c>
    </row>
    <row r="597" spans="4:4" ht="17.649999999999999" x14ac:dyDescent="0.5">
      <c r="D597" s="3" t="s">
        <v>41</v>
      </c>
    </row>
    <row r="598" spans="4:4" ht="17.649999999999999" x14ac:dyDescent="0.5">
      <c r="D598" s="3" t="s">
        <v>127</v>
      </c>
    </row>
    <row r="599" spans="4:4" ht="17.649999999999999" x14ac:dyDescent="0.5">
      <c r="D599" s="3" t="s">
        <v>78</v>
      </c>
    </row>
    <row r="600" spans="4:4" ht="17.649999999999999" x14ac:dyDescent="0.5">
      <c r="D600" s="3" t="s">
        <v>95</v>
      </c>
    </row>
    <row r="601" spans="4:4" ht="17.649999999999999" x14ac:dyDescent="0.5">
      <c r="D601" s="3" t="s">
        <v>87</v>
      </c>
    </row>
    <row r="602" spans="4:4" ht="17.649999999999999" x14ac:dyDescent="0.5">
      <c r="D602" s="3" t="s">
        <v>73</v>
      </c>
    </row>
    <row r="603" spans="4:4" ht="17.649999999999999" x14ac:dyDescent="0.5">
      <c r="D603" s="3" t="s">
        <v>57</v>
      </c>
    </row>
    <row r="604" spans="4:4" ht="17.649999999999999" x14ac:dyDescent="0.5">
      <c r="D604" s="3" t="s">
        <v>66</v>
      </c>
    </row>
    <row r="605" spans="4:4" ht="17.649999999999999" x14ac:dyDescent="0.5">
      <c r="D605" s="3" t="s">
        <v>100</v>
      </c>
    </row>
    <row r="606" spans="4:4" ht="17.649999999999999" x14ac:dyDescent="0.5">
      <c r="D606" s="3" t="s">
        <v>67</v>
      </c>
    </row>
    <row r="607" spans="4:4" ht="17.649999999999999" x14ac:dyDescent="0.5">
      <c r="D607" s="3" t="s">
        <v>54</v>
      </c>
    </row>
    <row r="608" spans="4:4" ht="17.649999999999999" x14ac:dyDescent="0.5">
      <c r="D608" s="3" t="s">
        <v>46</v>
      </c>
    </row>
    <row r="609" spans="4:4" ht="17.649999999999999" x14ac:dyDescent="0.5">
      <c r="D609" s="3" t="s">
        <v>53</v>
      </c>
    </row>
    <row r="610" spans="4:4" ht="17.649999999999999" x14ac:dyDescent="0.5">
      <c r="D610" s="3" t="s">
        <v>84</v>
      </c>
    </row>
    <row r="611" spans="4:4" ht="17.649999999999999" x14ac:dyDescent="0.5">
      <c r="D611" s="3" t="s">
        <v>59</v>
      </c>
    </row>
    <row r="612" spans="4:4" ht="17.649999999999999" x14ac:dyDescent="0.5">
      <c r="D612" s="3" t="s">
        <v>74</v>
      </c>
    </row>
    <row r="613" spans="4:4" ht="17.649999999999999" x14ac:dyDescent="0.5">
      <c r="D613" s="3" t="s">
        <v>96</v>
      </c>
    </row>
    <row r="614" spans="4:4" ht="17.649999999999999" x14ac:dyDescent="0.5">
      <c r="D614" s="3" t="s">
        <v>78</v>
      </c>
    </row>
    <row r="615" spans="4:4" ht="17.649999999999999" x14ac:dyDescent="0.5">
      <c r="D615" s="3" t="s">
        <v>54</v>
      </c>
    </row>
    <row r="616" spans="4:4" ht="17.649999999999999" x14ac:dyDescent="0.5">
      <c r="D616" s="3" t="s">
        <v>112</v>
      </c>
    </row>
    <row r="617" spans="4:4" ht="17.649999999999999" x14ac:dyDescent="0.5">
      <c r="D617" s="3" t="s">
        <v>63</v>
      </c>
    </row>
    <row r="618" spans="4:4" ht="17.649999999999999" x14ac:dyDescent="0.5">
      <c r="D618" s="3" t="s">
        <v>64</v>
      </c>
    </row>
    <row r="619" spans="4:4" ht="17.649999999999999" x14ac:dyDescent="0.5">
      <c r="D619" s="3" t="s">
        <v>79</v>
      </c>
    </row>
    <row r="620" spans="4:4" ht="17.649999999999999" x14ac:dyDescent="0.5">
      <c r="D620" s="3" t="s">
        <v>93</v>
      </c>
    </row>
    <row r="621" spans="4:4" ht="17.649999999999999" x14ac:dyDescent="0.5">
      <c r="D621" s="3" t="s">
        <v>110</v>
      </c>
    </row>
    <row r="622" spans="4:4" ht="17.649999999999999" x14ac:dyDescent="0.5">
      <c r="D622" s="3" t="s">
        <v>86</v>
      </c>
    </row>
    <row r="623" spans="4:4" ht="17.649999999999999" x14ac:dyDescent="0.5">
      <c r="D623" s="3" t="s">
        <v>67</v>
      </c>
    </row>
    <row r="624" spans="4:4" ht="17.649999999999999" x14ac:dyDescent="0.5">
      <c r="D624" s="3" t="s">
        <v>70</v>
      </c>
    </row>
    <row r="625" spans="4:4" ht="17.649999999999999" x14ac:dyDescent="0.5">
      <c r="D625" s="3" t="s">
        <v>69</v>
      </c>
    </row>
    <row r="626" spans="4:4" ht="17.649999999999999" x14ac:dyDescent="0.5">
      <c r="D626" s="3" t="s">
        <v>107</v>
      </c>
    </row>
    <row r="627" spans="4:4" ht="17.649999999999999" x14ac:dyDescent="0.5">
      <c r="D627" s="3" t="s">
        <v>73</v>
      </c>
    </row>
    <row r="628" spans="4:4" ht="17.649999999999999" x14ac:dyDescent="0.5">
      <c r="D628" s="3" t="s">
        <v>69</v>
      </c>
    </row>
    <row r="629" spans="4:4" ht="17.649999999999999" x14ac:dyDescent="0.5">
      <c r="D629" s="3" t="s">
        <v>55</v>
      </c>
    </row>
    <row r="630" spans="4:4" ht="17.649999999999999" x14ac:dyDescent="0.5">
      <c r="D630" s="3" t="s">
        <v>101</v>
      </c>
    </row>
    <row r="631" spans="4:4" ht="17.649999999999999" x14ac:dyDescent="0.5">
      <c r="D631" s="3" t="s">
        <v>75</v>
      </c>
    </row>
    <row r="632" spans="4:4" ht="17.649999999999999" x14ac:dyDescent="0.5">
      <c r="D632" s="3" t="s">
        <v>85</v>
      </c>
    </row>
    <row r="633" spans="4:4" ht="17.649999999999999" x14ac:dyDescent="0.5">
      <c r="D633" s="3" t="s">
        <v>112</v>
      </c>
    </row>
    <row r="634" spans="4:4" ht="17.649999999999999" x14ac:dyDescent="0.5">
      <c r="D634" s="3" t="s">
        <v>90</v>
      </c>
    </row>
    <row r="635" spans="4:4" ht="17.649999999999999" x14ac:dyDescent="0.5">
      <c r="D635" s="3" t="s">
        <v>105</v>
      </c>
    </row>
    <row r="636" spans="4:4" ht="17.649999999999999" x14ac:dyDescent="0.5">
      <c r="D636" s="3" t="s">
        <v>52</v>
      </c>
    </row>
    <row r="637" spans="4:4" ht="17.649999999999999" x14ac:dyDescent="0.5">
      <c r="D637" s="3" t="s">
        <v>48</v>
      </c>
    </row>
    <row r="638" spans="4:4" ht="17.649999999999999" x14ac:dyDescent="0.5">
      <c r="D638" s="3" t="s">
        <v>49</v>
      </c>
    </row>
    <row r="639" spans="4:4" ht="17.649999999999999" x14ac:dyDescent="0.5">
      <c r="D639" s="3" t="s">
        <v>44</v>
      </c>
    </row>
    <row r="640" spans="4:4" ht="17.649999999999999" x14ac:dyDescent="0.5">
      <c r="D640" s="3" t="s">
        <v>66</v>
      </c>
    </row>
    <row r="641" spans="4:4" ht="17.649999999999999" x14ac:dyDescent="0.5">
      <c r="D641" s="3" t="s">
        <v>92</v>
      </c>
    </row>
    <row r="642" spans="4:4" ht="17.649999999999999" x14ac:dyDescent="0.5">
      <c r="D642" s="3" t="s">
        <v>55</v>
      </c>
    </row>
    <row r="643" spans="4:4" ht="17.649999999999999" x14ac:dyDescent="0.5">
      <c r="D643" s="3" t="s">
        <v>85</v>
      </c>
    </row>
    <row r="644" spans="4:4" ht="17.649999999999999" x14ac:dyDescent="0.5">
      <c r="D644" s="3" t="s">
        <v>69</v>
      </c>
    </row>
    <row r="645" spans="4:4" ht="17.649999999999999" x14ac:dyDescent="0.5">
      <c r="D645" s="3" t="s">
        <v>94</v>
      </c>
    </row>
    <row r="646" spans="4:4" ht="17.649999999999999" x14ac:dyDescent="0.5">
      <c r="D646" s="3" t="s">
        <v>55</v>
      </c>
    </row>
    <row r="647" spans="4:4" ht="17.649999999999999" x14ac:dyDescent="0.5">
      <c r="D647" s="3" t="s">
        <v>78</v>
      </c>
    </row>
    <row r="648" spans="4:4" ht="17.649999999999999" x14ac:dyDescent="0.5">
      <c r="D648" s="3" t="s">
        <v>85</v>
      </c>
    </row>
    <row r="649" spans="4:4" ht="17.649999999999999" x14ac:dyDescent="0.5">
      <c r="D649" s="3" t="s">
        <v>126</v>
      </c>
    </row>
    <row r="650" spans="4:4" ht="17.649999999999999" x14ac:dyDescent="0.5">
      <c r="D650" s="3" t="s">
        <v>51</v>
      </c>
    </row>
    <row r="651" spans="4:4" ht="17.649999999999999" x14ac:dyDescent="0.5">
      <c r="D651" s="3" t="s">
        <v>119</v>
      </c>
    </row>
    <row r="652" spans="4:4" ht="17.649999999999999" x14ac:dyDescent="0.5">
      <c r="D652" s="3" t="s">
        <v>56</v>
      </c>
    </row>
    <row r="653" spans="4:4" ht="17.649999999999999" x14ac:dyDescent="0.5">
      <c r="D653" s="3" t="s">
        <v>48</v>
      </c>
    </row>
    <row r="654" spans="4:4" ht="17.649999999999999" x14ac:dyDescent="0.5">
      <c r="D654" s="3" t="s">
        <v>44</v>
      </c>
    </row>
    <row r="655" spans="4:4" ht="17.649999999999999" x14ac:dyDescent="0.5">
      <c r="D655" s="3" t="s">
        <v>75</v>
      </c>
    </row>
    <row r="656" spans="4:4" ht="17.649999999999999" x14ac:dyDescent="0.5">
      <c r="D656" s="3" t="s">
        <v>43</v>
      </c>
    </row>
    <row r="657" spans="4:4" ht="17.649999999999999" x14ac:dyDescent="0.5">
      <c r="D657" s="3" t="s">
        <v>108</v>
      </c>
    </row>
    <row r="658" spans="4:4" ht="17.649999999999999" x14ac:dyDescent="0.5">
      <c r="D658" s="3" t="s">
        <v>57</v>
      </c>
    </row>
    <row r="659" spans="4:4" ht="17.649999999999999" x14ac:dyDescent="0.5">
      <c r="D659" s="3" t="s">
        <v>112</v>
      </c>
    </row>
    <row r="660" spans="4:4" ht="17.649999999999999" x14ac:dyDescent="0.5">
      <c r="D660" s="3" t="s">
        <v>63</v>
      </c>
    </row>
    <row r="661" spans="4:4" ht="17.649999999999999" x14ac:dyDescent="0.5">
      <c r="D661" s="3" t="s">
        <v>66</v>
      </c>
    </row>
    <row r="662" spans="4:4" ht="17.649999999999999" x14ac:dyDescent="0.5">
      <c r="D662" s="3" t="s">
        <v>85</v>
      </c>
    </row>
    <row r="663" spans="4:4" ht="17.649999999999999" x14ac:dyDescent="0.5">
      <c r="D663" s="3" t="s">
        <v>92</v>
      </c>
    </row>
    <row r="664" spans="4:4" ht="17.649999999999999" x14ac:dyDescent="0.5">
      <c r="D664" s="3" t="s">
        <v>48</v>
      </c>
    </row>
    <row r="665" spans="4:4" ht="17.649999999999999" x14ac:dyDescent="0.5">
      <c r="D665" s="3" t="s">
        <v>61</v>
      </c>
    </row>
    <row r="666" spans="4:4" ht="17.649999999999999" x14ac:dyDescent="0.5">
      <c r="D666" s="3" t="s">
        <v>129</v>
      </c>
    </row>
    <row r="667" spans="4:4" ht="17.649999999999999" x14ac:dyDescent="0.5">
      <c r="D667" s="3" t="s">
        <v>98</v>
      </c>
    </row>
    <row r="668" spans="4:4" ht="17.649999999999999" x14ac:dyDescent="0.5">
      <c r="D668" s="3" t="s">
        <v>81</v>
      </c>
    </row>
    <row r="669" spans="4:4" ht="17.649999999999999" x14ac:dyDescent="0.5">
      <c r="D669" s="3" t="s">
        <v>112</v>
      </c>
    </row>
    <row r="670" spans="4:4" ht="17.649999999999999" x14ac:dyDescent="0.5">
      <c r="D670" s="3" t="s">
        <v>65</v>
      </c>
    </row>
    <row r="671" spans="4:4" ht="17.649999999999999" x14ac:dyDescent="0.5">
      <c r="D671" s="3" t="s">
        <v>64</v>
      </c>
    </row>
    <row r="672" spans="4:4" ht="17.649999999999999" x14ac:dyDescent="0.5">
      <c r="D672" s="3" t="s">
        <v>92</v>
      </c>
    </row>
    <row r="673" spans="4:4" ht="17.649999999999999" x14ac:dyDescent="0.5">
      <c r="D673" s="3" t="s">
        <v>83</v>
      </c>
    </row>
    <row r="674" spans="4:4" ht="17.649999999999999" x14ac:dyDescent="0.5">
      <c r="D674" s="3" t="s">
        <v>98</v>
      </c>
    </row>
    <row r="675" spans="4:4" ht="17.649999999999999" x14ac:dyDescent="0.5">
      <c r="D675" s="3" t="s">
        <v>95</v>
      </c>
    </row>
    <row r="676" spans="4:4" ht="17.649999999999999" x14ac:dyDescent="0.5">
      <c r="D676" s="3" t="s">
        <v>105</v>
      </c>
    </row>
    <row r="677" spans="4:4" ht="17.649999999999999" x14ac:dyDescent="0.5">
      <c r="D677" s="3" t="s">
        <v>84</v>
      </c>
    </row>
    <row r="678" spans="4:4" ht="17.649999999999999" x14ac:dyDescent="0.5">
      <c r="D678" s="3" t="s">
        <v>121</v>
      </c>
    </row>
    <row r="679" spans="4:4" ht="17.649999999999999" x14ac:dyDescent="0.5">
      <c r="D679" s="3" t="s">
        <v>68</v>
      </c>
    </row>
    <row r="680" spans="4:4" ht="17.649999999999999" x14ac:dyDescent="0.5">
      <c r="D680" s="3" t="s">
        <v>47</v>
      </c>
    </row>
    <row r="681" spans="4:4" ht="17.649999999999999" x14ac:dyDescent="0.5">
      <c r="D681" s="3" t="s">
        <v>61</v>
      </c>
    </row>
    <row r="682" spans="4:4" ht="17.649999999999999" x14ac:dyDescent="0.5">
      <c r="D682" s="3" t="s">
        <v>81</v>
      </c>
    </row>
    <row r="683" spans="4:4" ht="17.649999999999999" x14ac:dyDescent="0.5">
      <c r="D683" s="3" t="s">
        <v>112</v>
      </c>
    </row>
    <row r="684" spans="4:4" ht="17.649999999999999" x14ac:dyDescent="0.5">
      <c r="D684" s="3" t="s">
        <v>91</v>
      </c>
    </row>
    <row r="685" spans="4:4" ht="17.649999999999999" x14ac:dyDescent="0.5">
      <c r="D685" s="3" t="s">
        <v>117</v>
      </c>
    </row>
    <row r="686" spans="4:4" ht="17.649999999999999" x14ac:dyDescent="0.5">
      <c r="D686" s="3" t="s">
        <v>66</v>
      </c>
    </row>
    <row r="687" spans="4:4" ht="17.649999999999999" x14ac:dyDescent="0.5">
      <c r="D687" s="3" t="s">
        <v>115</v>
      </c>
    </row>
    <row r="688" spans="4:4" ht="17.649999999999999" x14ac:dyDescent="0.5">
      <c r="D688" s="3" t="s">
        <v>59</v>
      </c>
    </row>
    <row r="689" spans="4:4" ht="17.649999999999999" x14ac:dyDescent="0.5">
      <c r="D689" s="3" t="s">
        <v>110</v>
      </c>
    </row>
    <row r="690" spans="4:4" ht="17.649999999999999" x14ac:dyDescent="0.5">
      <c r="D690" s="3" t="s">
        <v>103</v>
      </c>
    </row>
    <row r="691" spans="4:4" ht="17.649999999999999" x14ac:dyDescent="0.5">
      <c r="D691" s="3" t="s">
        <v>121</v>
      </c>
    </row>
    <row r="692" spans="4:4" ht="17.649999999999999" x14ac:dyDescent="0.5">
      <c r="D692" s="3" t="s">
        <v>61</v>
      </c>
    </row>
    <row r="693" spans="4:4" ht="17.649999999999999" x14ac:dyDescent="0.5">
      <c r="D693" s="3" t="s">
        <v>126</v>
      </c>
    </row>
    <row r="694" spans="4:4" ht="17.649999999999999" x14ac:dyDescent="0.5">
      <c r="D694" s="3" t="s">
        <v>98</v>
      </c>
    </row>
    <row r="695" spans="4:4" ht="17.649999999999999" x14ac:dyDescent="0.5">
      <c r="D695" s="3" t="s">
        <v>73</v>
      </c>
    </row>
    <row r="696" spans="4:4" ht="17.649999999999999" x14ac:dyDescent="0.5">
      <c r="D696" s="3" t="s">
        <v>41</v>
      </c>
    </row>
    <row r="697" spans="4:4" ht="17.649999999999999" x14ac:dyDescent="0.5">
      <c r="D697" s="3" t="s">
        <v>89</v>
      </c>
    </row>
    <row r="698" spans="4:4" ht="17.649999999999999" x14ac:dyDescent="0.5">
      <c r="D698" s="3" t="s">
        <v>74</v>
      </c>
    </row>
    <row r="699" spans="4:4" ht="17.649999999999999" x14ac:dyDescent="0.5">
      <c r="D699" s="3" t="s">
        <v>90</v>
      </c>
    </row>
    <row r="700" spans="4:4" ht="17.649999999999999" x14ac:dyDescent="0.5">
      <c r="D700" s="3" t="s">
        <v>111</v>
      </c>
    </row>
    <row r="701" spans="4:4" ht="17.649999999999999" x14ac:dyDescent="0.5">
      <c r="D701" s="3" t="s">
        <v>46</v>
      </c>
    </row>
    <row r="702" spans="4:4" ht="17.649999999999999" x14ac:dyDescent="0.5">
      <c r="D702" s="3" t="s">
        <v>101</v>
      </c>
    </row>
    <row r="703" spans="4:4" ht="17.649999999999999" x14ac:dyDescent="0.5">
      <c r="D703" s="3" t="s">
        <v>77</v>
      </c>
    </row>
    <row r="704" spans="4:4" ht="17.649999999999999" x14ac:dyDescent="0.5">
      <c r="D704" s="3" t="s">
        <v>78</v>
      </c>
    </row>
    <row r="705" spans="4:4" ht="17.649999999999999" x14ac:dyDescent="0.5">
      <c r="D705" s="3" t="s">
        <v>48</v>
      </c>
    </row>
    <row r="706" spans="4:4" ht="17.649999999999999" x14ac:dyDescent="0.5">
      <c r="D706" s="3" t="s">
        <v>95</v>
      </c>
    </row>
    <row r="707" spans="4:4" ht="17.649999999999999" x14ac:dyDescent="0.5">
      <c r="D707" s="3" t="s">
        <v>63</v>
      </c>
    </row>
    <row r="708" spans="4:4" ht="17.649999999999999" x14ac:dyDescent="0.5">
      <c r="D708" s="3" t="s">
        <v>43</v>
      </c>
    </row>
    <row r="709" spans="4:4" ht="17.649999999999999" x14ac:dyDescent="0.5">
      <c r="D709" s="3" t="s">
        <v>125</v>
      </c>
    </row>
    <row r="710" spans="4:4" ht="17.649999999999999" x14ac:dyDescent="0.5">
      <c r="D710" s="3" t="s">
        <v>96</v>
      </c>
    </row>
    <row r="711" spans="4:4" ht="17.649999999999999" x14ac:dyDescent="0.5">
      <c r="D711" s="3" t="s">
        <v>77</v>
      </c>
    </row>
    <row r="712" spans="4:4" ht="17.649999999999999" x14ac:dyDescent="0.5">
      <c r="D712" s="3" t="s">
        <v>92</v>
      </c>
    </row>
    <row r="713" spans="4:4" ht="17.649999999999999" x14ac:dyDescent="0.5">
      <c r="D713" s="3" t="s">
        <v>75</v>
      </c>
    </row>
    <row r="714" spans="4:4" ht="17.649999999999999" x14ac:dyDescent="0.5">
      <c r="D714" s="3" t="s">
        <v>61</v>
      </c>
    </row>
    <row r="715" spans="4:4" ht="17.649999999999999" x14ac:dyDescent="0.5">
      <c r="D715" s="3" t="s">
        <v>126</v>
      </c>
    </row>
    <row r="716" spans="4:4" ht="17.649999999999999" x14ac:dyDescent="0.5">
      <c r="D716" s="3" t="s">
        <v>65</v>
      </c>
    </row>
    <row r="717" spans="4:4" ht="17.649999999999999" x14ac:dyDescent="0.5">
      <c r="D717" s="3" t="s">
        <v>41</v>
      </c>
    </row>
    <row r="718" spans="4:4" ht="17.649999999999999" x14ac:dyDescent="0.5">
      <c r="D718" s="3" t="s">
        <v>43</v>
      </c>
    </row>
    <row r="719" spans="4:4" ht="17.649999999999999" x14ac:dyDescent="0.5">
      <c r="D719" s="3" t="s">
        <v>54</v>
      </c>
    </row>
    <row r="720" spans="4:4" ht="17.649999999999999" x14ac:dyDescent="0.5">
      <c r="D720" s="3" t="s">
        <v>126</v>
      </c>
    </row>
    <row r="721" spans="4:4" ht="17.649999999999999" x14ac:dyDescent="0.5">
      <c r="D721" s="3" t="s">
        <v>94</v>
      </c>
    </row>
    <row r="722" spans="4:4" ht="17.649999999999999" x14ac:dyDescent="0.5">
      <c r="D722" s="3" t="s">
        <v>51</v>
      </c>
    </row>
    <row r="723" spans="4:4" ht="17.649999999999999" x14ac:dyDescent="0.5">
      <c r="D723" s="3" t="s">
        <v>52</v>
      </c>
    </row>
    <row r="724" spans="4:4" ht="17.649999999999999" x14ac:dyDescent="0.5">
      <c r="D724" s="3" t="s">
        <v>105</v>
      </c>
    </row>
    <row r="725" spans="4:4" ht="17.649999999999999" x14ac:dyDescent="0.5">
      <c r="D725" s="3" t="s">
        <v>135</v>
      </c>
    </row>
    <row r="726" spans="4:4" ht="17.649999999999999" x14ac:dyDescent="0.5">
      <c r="D726" s="3" t="s">
        <v>74</v>
      </c>
    </row>
    <row r="727" spans="4:4" ht="17.649999999999999" x14ac:dyDescent="0.5">
      <c r="D727" s="3" t="s">
        <v>68</v>
      </c>
    </row>
    <row r="728" spans="4:4" ht="17.649999999999999" x14ac:dyDescent="0.5">
      <c r="D728" s="3" t="s">
        <v>52</v>
      </c>
    </row>
    <row r="729" spans="4:4" ht="17.649999999999999" x14ac:dyDescent="0.5">
      <c r="D729" s="3" t="s">
        <v>77</v>
      </c>
    </row>
    <row r="730" spans="4:4" ht="17.649999999999999" x14ac:dyDescent="0.5">
      <c r="D730" s="3" t="s">
        <v>106</v>
      </c>
    </row>
    <row r="731" spans="4:4" ht="17.649999999999999" x14ac:dyDescent="0.5">
      <c r="D731" s="3" t="s">
        <v>107</v>
      </c>
    </row>
    <row r="732" spans="4:4" ht="17.649999999999999" x14ac:dyDescent="0.5">
      <c r="D732" s="3" t="s">
        <v>82</v>
      </c>
    </row>
    <row r="733" spans="4:4" ht="17.649999999999999" x14ac:dyDescent="0.5">
      <c r="D733" s="3" t="s">
        <v>44</v>
      </c>
    </row>
    <row r="734" spans="4:4" ht="17.649999999999999" x14ac:dyDescent="0.5">
      <c r="D734" s="3" t="s">
        <v>54</v>
      </c>
    </row>
    <row r="735" spans="4:4" ht="17.649999999999999" x14ac:dyDescent="0.5">
      <c r="D735" s="3" t="s">
        <v>85</v>
      </c>
    </row>
    <row r="736" spans="4:4" ht="17.649999999999999" x14ac:dyDescent="0.5">
      <c r="D736" s="3" t="s">
        <v>112</v>
      </c>
    </row>
    <row r="737" spans="4:4" ht="17.649999999999999" x14ac:dyDescent="0.5">
      <c r="D737" s="3" t="s">
        <v>94</v>
      </c>
    </row>
    <row r="738" spans="4:4" ht="17.649999999999999" x14ac:dyDescent="0.5">
      <c r="D738" s="3" t="s">
        <v>88</v>
      </c>
    </row>
    <row r="739" spans="4:4" ht="17.649999999999999" x14ac:dyDescent="0.5">
      <c r="D739" s="3" t="s">
        <v>45</v>
      </c>
    </row>
    <row r="740" spans="4:4" ht="17.649999999999999" x14ac:dyDescent="0.5">
      <c r="D740" s="3" t="s">
        <v>90</v>
      </c>
    </row>
    <row r="741" spans="4:4" ht="17.649999999999999" x14ac:dyDescent="0.5">
      <c r="D741" s="3" t="s">
        <v>47</v>
      </c>
    </row>
    <row r="742" spans="4:4" ht="17.649999999999999" x14ac:dyDescent="0.5">
      <c r="D742" s="3" t="s">
        <v>98</v>
      </c>
    </row>
    <row r="743" spans="4:4" ht="17.649999999999999" x14ac:dyDescent="0.5">
      <c r="D743" s="3" t="s">
        <v>61</v>
      </c>
    </row>
    <row r="744" spans="4:4" ht="17.649999999999999" x14ac:dyDescent="0.5">
      <c r="D744" s="3" t="s">
        <v>49</v>
      </c>
    </row>
    <row r="745" spans="4:4" ht="17.649999999999999" x14ac:dyDescent="0.5">
      <c r="D745" s="3" t="s">
        <v>63</v>
      </c>
    </row>
    <row r="746" spans="4:4" ht="17.649999999999999" x14ac:dyDescent="0.5">
      <c r="D746" s="3" t="s">
        <v>84</v>
      </c>
    </row>
    <row r="747" spans="4:4" ht="17.649999999999999" x14ac:dyDescent="0.5">
      <c r="D747" s="3" t="s">
        <v>107</v>
      </c>
    </row>
    <row r="748" spans="4:4" ht="17.649999999999999" x14ac:dyDescent="0.5">
      <c r="D748" s="3" t="s">
        <v>117</v>
      </c>
    </row>
    <row r="749" spans="4:4" ht="17.649999999999999" x14ac:dyDescent="0.5">
      <c r="D749" s="3" t="s">
        <v>75</v>
      </c>
    </row>
    <row r="750" spans="4:4" ht="17.649999999999999" x14ac:dyDescent="0.5">
      <c r="D750" s="3" t="s">
        <v>104</v>
      </c>
    </row>
    <row r="751" spans="4:4" ht="17.649999999999999" x14ac:dyDescent="0.5">
      <c r="D751" s="3" t="s">
        <v>96</v>
      </c>
    </row>
    <row r="752" spans="4:4" ht="17.649999999999999" x14ac:dyDescent="0.5">
      <c r="D752" s="3" t="s">
        <v>67</v>
      </c>
    </row>
    <row r="753" spans="4:4" ht="17.649999999999999" x14ac:dyDescent="0.5">
      <c r="D753" s="3" t="s">
        <v>85</v>
      </c>
    </row>
    <row r="754" spans="4:4" ht="17.649999999999999" x14ac:dyDescent="0.5">
      <c r="D754" s="3" t="s">
        <v>129</v>
      </c>
    </row>
    <row r="755" spans="4:4" ht="17.649999999999999" x14ac:dyDescent="0.5">
      <c r="D755" s="3" t="s">
        <v>58</v>
      </c>
    </row>
    <row r="756" spans="4:4" ht="17.649999999999999" x14ac:dyDescent="0.5">
      <c r="D756" s="3" t="s">
        <v>78</v>
      </c>
    </row>
    <row r="757" spans="4:4" ht="17.649999999999999" x14ac:dyDescent="0.5">
      <c r="D757" s="3" t="s">
        <v>41</v>
      </c>
    </row>
    <row r="758" spans="4:4" ht="17.649999999999999" x14ac:dyDescent="0.5">
      <c r="D758" s="3" t="s">
        <v>75</v>
      </c>
    </row>
    <row r="759" spans="4:4" ht="17.649999999999999" x14ac:dyDescent="0.5">
      <c r="D759" s="3" t="s">
        <v>107</v>
      </c>
    </row>
    <row r="760" spans="4:4" ht="17.649999999999999" x14ac:dyDescent="0.5">
      <c r="D760" s="3" t="s">
        <v>83</v>
      </c>
    </row>
    <row r="761" spans="4:4" ht="17.649999999999999" x14ac:dyDescent="0.5">
      <c r="D761" s="3" t="s">
        <v>42</v>
      </c>
    </row>
    <row r="762" spans="4:4" ht="17.649999999999999" x14ac:dyDescent="0.5">
      <c r="D762" s="3" t="s">
        <v>105</v>
      </c>
    </row>
    <row r="763" spans="4:4" ht="17.649999999999999" x14ac:dyDescent="0.5">
      <c r="D763" s="3" t="s">
        <v>114</v>
      </c>
    </row>
    <row r="764" spans="4:4" ht="17.649999999999999" x14ac:dyDescent="0.5">
      <c r="D764" s="3" t="s">
        <v>68</v>
      </c>
    </row>
    <row r="765" spans="4:4" ht="17.649999999999999" x14ac:dyDescent="0.5">
      <c r="D765" s="3" t="s">
        <v>85</v>
      </c>
    </row>
    <row r="766" spans="4:4" ht="17.649999999999999" x14ac:dyDescent="0.5">
      <c r="D766" s="3" t="s">
        <v>89</v>
      </c>
    </row>
    <row r="767" spans="4:4" ht="17.649999999999999" x14ac:dyDescent="0.5">
      <c r="D767" s="3" t="s">
        <v>132</v>
      </c>
    </row>
    <row r="768" spans="4:4" ht="17.649999999999999" x14ac:dyDescent="0.5">
      <c r="D768" s="3" t="s">
        <v>87</v>
      </c>
    </row>
    <row r="769" spans="4:4" ht="17.649999999999999" x14ac:dyDescent="0.5">
      <c r="D769" s="3" t="s">
        <v>77</v>
      </c>
    </row>
    <row r="770" spans="4:4" ht="17.649999999999999" x14ac:dyDescent="0.5">
      <c r="D770" s="3" t="s">
        <v>104</v>
      </c>
    </row>
    <row r="771" spans="4:4" ht="17.649999999999999" x14ac:dyDescent="0.5">
      <c r="D771" s="3" t="s">
        <v>51</v>
      </c>
    </row>
    <row r="772" spans="4:4" ht="17.649999999999999" x14ac:dyDescent="0.5">
      <c r="D772" s="3" t="s">
        <v>67</v>
      </c>
    </row>
    <row r="773" spans="4:4" ht="17.649999999999999" x14ac:dyDescent="0.5">
      <c r="D773" s="3" t="s">
        <v>85</v>
      </c>
    </row>
    <row r="774" spans="4:4" ht="17.649999999999999" x14ac:dyDescent="0.5">
      <c r="D774" s="3" t="s">
        <v>77</v>
      </c>
    </row>
    <row r="775" spans="4:4" ht="17.649999999999999" x14ac:dyDescent="0.5">
      <c r="D775" s="3" t="s">
        <v>68</v>
      </c>
    </row>
    <row r="776" spans="4:4" ht="17.649999999999999" x14ac:dyDescent="0.5">
      <c r="D776" s="3" t="s">
        <v>69</v>
      </c>
    </row>
    <row r="777" spans="4:4" ht="17.649999999999999" x14ac:dyDescent="0.5">
      <c r="D777" s="3" t="s">
        <v>102</v>
      </c>
    </row>
    <row r="778" spans="4:4" ht="17.649999999999999" x14ac:dyDescent="0.5">
      <c r="D778" s="3" t="s">
        <v>98</v>
      </c>
    </row>
    <row r="779" spans="4:4" ht="17.649999999999999" x14ac:dyDescent="0.5">
      <c r="D779" s="3" t="s">
        <v>92</v>
      </c>
    </row>
    <row r="780" spans="4:4" ht="17.649999999999999" x14ac:dyDescent="0.5">
      <c r="D780" s="3" t="s">
        <v>84</v>
      </c>
    </row>
    <row r="781" spans="4:4" ht="17.649999999999999" x14ac:dyDescent="0.5">
      <c r="D781" s="3" t="s">
        <v>58</v>
      </c>
    </row>
    <row r="782" spans="4:4" ht="17.649999999999999" x14ac:dyDescent="0.5">
      <c r="D782" s="3" t="s">
        <v>90</v>
      </c>
    </row>
    <row r="783" spans="4:4" ht="17.649999999999999" x14ac:dyDescent="0.5">
      <c r="D783" s="3" t="s">
        <v>54</v>
      </c>
    </row>
    <row r="784" spans="4:4" ht="17.649999999999999" x14ac:dyDescent="0.5">
      <c r="D784" s="3" t="s">
        <v>84</v>
      </c>
    </row>
    <row r="785" spans="4:4" ht="17.649999999999999" x14ac:dyDescent="0.5">
      <c r="D785" s="3" t="s">
        <v>80</v>
      </c>
    </row>
    <row r="786" spans="4:4" ht="17.649999999999999" x14ac:dyDescent="0.5">
      <c r="D786" s="3" t="s">
        <v>96</v>
      </c>
    </row>
    <row r="787" spans="4:4" ht="17.649999999999999" x14ac:dyDescent="0.5">
      <c r="D787" s="3" t="s">
        <v>44</v>
      </c>
    </row>
    <row r="788" spans="4:4" ht="17.649999999999999" x14ac:dyDescent="0.5">
      <c r="D788" s="3" t="s">
        <v>68</v>
      </c>
    </row>
    <row r="789" spans="4:4" ht="17.649999999999999" x14ac:dyDescent="0.5">
      <c r="D789" s="3" t="s">
        <v>62</v>
      </c>
    </row>
    <row r="790" spans="4:4" ht="17.649999999999999" x14ac:dyDescent="0.5">
      <c r="D790" s="3" t="s">
        <v>88</v>
      </c>
    </row>
    <row r="791" spans="4:4" ht="17.649999999999999" x14ac:dyDescent="0.5">
      <c r="D791" s="3" t="s">
        <v>131</v>
      </c>
    </row>
    <row r="792" spans="4:4" ht="17.649999999999999" x14ac:dyDescent="0.5">
      <c r="D792" s="3" t="s">
        <v>74</v>
      </c>
    </row>
    <row r="793" spans="4:4" ht="17.649999999999999" x14ac:dyDescent="0.5">
      <c r="D793" s="3" t="s">
        <v>75</v>
      </c>
    </row>
    <row r="794" spans="4:4" ht="17.649999999999999" x14ac:dyDescent="0.5">
      <c r="D794" s="3" t="s">
        <v>102</v>
      </c>
    </row>
    <row r="795" spans="4:4" ht="17.649999999999999" x14ac:dyDescent="0.5">
      <c r="D795" s="3" t="s">
        <v>58</v>
      </c>
    </row>
    <row r="796" spans="4:4" ht="17.649999999999999" x14ac:dyDescent="0.5">
      <c r="D796" s="3" t="s">
        <v>96</v>
      </c>
    </row>
    <row r="797" spans="4:4" ht="17.649999999999999" x14ac:dyDescent="0.5">
      <c r="D797" s="3" t="s">
        <v>93</v>
      </c>
    </row>
    <row r="798" spans="4:4" ht="17.649999999999999" x14ac:dyDescent="0.5">
      <c r="D798" s="3" t="s">
        <v>94</v>
      </c>
    </row>
    <row r="799" spans="4:4" ht="17.649999999999999" x14ac:dyDescent="0.5">
      <c r="D799" s="3" t="s">
        <v>118</v>
      </c>
    </row>
    <row r="800" spans="4:4" ht="17.649999999999999" x14ac:dyDescent="0.5">
      <c r="D800" s="3" t="s">
        <v>61</v>
      </c>
    </row>
    <row r="801" spans="4:4" ht="17.649999999999999" x14ac:dyDescent="0.5">
      <c r="D801" s="3" t="s">
        <v>103</v>
      </c>
    </row>
    <row r="802" spans="4:4" ht="17.649999999999999" x14ac:dyDescent="0.5">
      <c r="D802" s="3" t="s">
        <v>73</v>
      </c>
    </row>
    <row r="803" spans="4:4" ht="17.649999999999999" x14ac:dyDescent="0.5">
      <c r="D803" s="3" t="s">
        <v>64</v>
      </c>
    </row>
    <row r="804" spans="4:4" ht="17.649999999999999" x14ac:dyDescent="0.5">
      <c r="D804" s="3" t="s">
        <v>41</v>
      </c>
    </row>
    <row r="805" spans="4:4" ht="17.649999999999999" x14ac:dyDescent="0.5">
      <c r="D805" s="3" t="s">
        <v>77</v>
      </c>
    </row>
    <row r="806" spans="4:4" ht="17.649999999999999" x14ac:dyDescent="0.5">
      <c r="D806" s="3" t="s">
        <v>86</v>
      </c>
    </row>
    <row r="807" spans="4:4" ht="17.649999999999999" x14ac:dyDescent="0.5">
      <c r="D807" s="3" t="s">
        <v>89</v>
      </c>
    </row>
    <row r="808" spans="4:4" ht="17.649999999999999" x14ac:dyDescent="0.5">
      <c r="D808" s="3" t="s">
        <v>43</v>
      </c>
    </row>
    <row r="809" spans="4:4" ht="17.649999999999999" x14ac:dyDescent="0.5">
      <c r="D809" s="3" t="s">
        <v>46</v>
      </c>
    </row>
    <row r="810" spans="4:4" ht="17.649999999999999" x14ac:dyDescent="0.5">
      <c r="D810" s="3" t="s">
        <v>115</v>
      </c>
    </row>
    <row r="811" spans="4:4" ht="17.649999999999999" x14ac:dyDescent="0.5">
      <c r="D811" s="3" t="s">
        <v>129</v>
      </c>
    </row>
    <row r="812" spans="4:4" ht="17.649999999999999" x14ac:dyDescent="0.5">
      <c r="D812" s="3" t="s">
        <v>48</v>
      </c>
    </row>
    <row r="813" spans="4:4" ht="17.649999999999999" x14ac:dyDescent="0.5">
      <c r="D813" s="3" t="s">
        <v>80</v>
      </c>
    </row>
    <row r="814" spans="4:4" ht="17.649999999999999" x14ac:dyDescent="0.5">
      <c r="D814" s="3" t="s">
        <v>63</v>
      </c>
    </row>
    <row r="815" spans="4:4" ht="17.649999999999999" x14ac:dyDescent="0.5">
      <c r="D815" s="3" t="s">
        <v>81</v>
      </c>
    </row>
    <row r="816" spans="4:4" ht="17.649999999999999" x14ac:dyDescent="0.5">
      <c r="D816" s="3" t="s">
        <v>88</v>
      </c>
    </row>
    <row r="817" spans="4:4" ht="17.649999999999999" x14ac:dyDescent="0.5">
      <c r="D817" s="3" t="s">
        <v>64</v>
      </c>
    </row>
    <row r="818" spans="4:4" ht="17.649999999999999" x14ac:dyDescent="0.5">
      <c r="D818" s="3" t="s">
        <v>61</v>
      </c>
    </row>
    <row r="819" spans="4:4" ht="17.649999999999999" x14ac:dyDescent="0.5">
      <c r="D819" s="3" t="s">
        <v>92</v>
      </c>
    </row>
    <row r="820" spans="4:4" ht="17.649999999999999" x14ac:dyDescent="0.5">
      <c r="D820" s="3" t="s">
        <v>131</v>
      </c>
    </row>
    <row r="821" spans="4:4" ht="17.649999999999999" x14ac:dyDescent="0.5">
      <c r="D821" s="3" t="s">
        <v>98</v>
      </c>
    </row>
    <row r="822" spans="4:4" ht="17.649999999999999" x14ac:dyDescent="0.5">
      <c r="D822" s="3" t="s">
        <v>51</v>
      </c>
    </row>
    <row r="823" spans="4:4" ht="17.649999999999999" x14ac:dyDescent="0.5">
      <c r="D823" s="3" t="s">
        <v>57</v>
      </c>
    </row>
    <row r="824" spans="4:4" ht="17.649999999999999" x14ac:dyDescent="0.5">
      <c r="D824" s="3" t="s">
        <v>96</v>
      </c>
    </row>
    <row r="825" spans="4:4" ht="17.649999999999999" x14ac:dyDescent="0.5">
      <c r="D825" s="3" t="s">
        <v>103</v>
      </c>
    </row>
    <row r="826" spans="4:4" ht="17.649999999999999" x14ac:dyDescent="0.5">
      <c r="D826" s="3" t="s">
        <v>80</v>
      </c>
    </row>
    <row r="827" spans="4:4" ht="17.649999999999999" x14ac:dyDescent="0.5">
      <c r="D827" s="3" t="s">
        <v>90</v>
      </c>
    </row>
    <row r="828" spans="4:4" ht="17.649999999999999" x14ac:dyDescent="0.5">
      <c r="D828" s="3" t="s">
        <v>64</v>
      </c>
    </row>
    <row r="829" spans="4:4" ht="17.649999999999999" x14ac:dyDescent="0.5">
      <c r="D829" s="3" t="s">
        <v>84</v>
      </c>
    </row>
    <row r="830" spans="4:4" ht="17.649999999999999" x14ac:dyDescent="0.5">
      <c r="D830" s="3" t="s">
        <v>48</v>
      </c>
    </row>
    <row r="831" spans="4:4" ht="17.649999999999999" x14ac:dyDescent="0.5">
      <c r="D831" s="3" t="s">
        <v>91</v>
      </c>
    </row>
    <row r="832" spans="4:4" ht="17.649999999999999" x14ac:dyDescent="0.5">
      <c r="D832" s="3" t="s">
        <v>135</v>
      </c>
    </row>
    <row r="833" spans="4:4" ht="17.649999999999999" x14ac:dyDescent="0.5">
      <c r="D833" s="3" t="s">
        <v>92</v>
      </c>
    </row>
    <row r="834" spans="4:4" ht="17.649999999999999" x14ac:dyDescent="0.5">
      <c r="D834" s="3" t="s">
        <v>84</v>
      </c>
    </row>
    <row r="835" spans="4:4" ht="17.649999999999999" x14ac:dyDescent="0.5">
      <c r="D835" s="3" t="s">
        <v>103</v>
      </c>
    </row>
    <row r="836" spans="4:4" ht="17.649999999999999" x14ac:dyDescent="0.5">
      <c r="D836" s="3" t="s">
        <v>72</v>
      </c>
    </row>
    <row r="837" spans="4:4" ht="17.649999999999999" x14ac:dyDescent="0.5">
      <c r="D837" s="3" t="s">
        <v>73</v>
      </c>
    </row>
    <row r="838" spans="4:4" ht="17.649999999999999" x14ac:dyDescent="0.5">
      <c r="D838" s="3" t="s">
        <v>94</v>
      </c>
    </row>
    <row r="839" spans="4:4" ht="17.649999999999999" x14ac:dyDescent="0.5">
      <c r="D839" s="3" t="s">
        <v>124</v>
      </c>
    </row>
    <row r="840" spans="4:4" ht="17.649999999999999" x14ac:dyDescent="0.5">
      <c r="D840" s="3" t="s">
        <v>65</v>
      </c>
    </row>
    <row r="841" spans="4:4" ht="17.649999999999999" x14ac:dyDescent="0.5">
      <c r="D841" s="3" t="s">
        <v>67</v>
      </c>
    </row>
    <row r="842" spans="4:4" ht="17.649999999999999" x14ac:dyDescent="0.5">
      <c r="D842" s="3" t="s">
        <v>107</v>
      </c>
    </row>
    <row r="843" spans="4:4" ht="17.649999999999999" x14ac:dyDescent="0.5">
      <c r="D843" s="3" t="s">
        <v>54</v>
      </c>
    </row>
    <row r="844" spans="4:4" ht="17.649999999999999" x14ac:dyDescent="0.5">
      <c r="D844" s="3" t="s">
        <v>50</v>
      </c>
    </row>
    <row r="845" spans="4:4" ht="17.649999999999999" x14ac:dyDescent="0.5">
      <c r="D845" s="3" t="s">
        <v>107</v>
      </c>
    </row>
    <row r="846" spans="4:4" ht="17.649999999999999" x14ac:dyDescent="0.5">
      <c r="D846" s="3" t="s">
        <v>77</v>
      </c>
    </row>
    <row r="847" spans="4:4" ht="17.649999999999999" x14ac:dyDescent="0.5">
      <c r="D847" s="3" t="s">
        <v>86</v>
      </c>
    </row>
    <row r="848" spans="4:4" ht="17.649999999999999" x14ac:dyDescent="0.5">
      <c r="D848" s="3" t="s">
        <v>48</v>
      </c>
    </row>
    <row r="849" spans="4:4" ht="17.649999999999999" x14ac:dyDescent="0.5">
      <c r="D849" s="3" t="s">
        <v>78</v>
      </c>
    </row>
    <row r="850" spans="4:4" ht="17.649999999999999" x14ac:dyDescent="0.5">
      <c r="D850" s="3" t="s">
        <v>67</v>
      </c>
    </row>
    <row r="851" spans="4:4" ht="17.649999999999999" x14ac:dyDescent="0.5">
      <c r="D851" s="3" t="s">
        <v>127</v>
      </c>
    </row>
    <row r="852" spans="4:4" ht="17.649999999999999" x14ac:dyDescent="0.5">
      <c r="D852" s="3" t="s">
        <v>84</v>
      </c>
    </row>
    <row r="853" spans="4:4" ht="17.649999999999999" x14ac:dyDescent="0.5">
      <c r="D853" s="3" t="s">
        <v>67</v>
      </c>
    </row>
    <row r="854" spans="4:4" ht="17.649999999999999" x14ac:dyDescent="0.5">
      <c r="D854" s="3" t="s">
        <v>54</v>
      </c>
    </row>
    <row r="855" spans="4:4" ht="17.649999999999999" x14ac:dyDescent="0.5">
      <c r="D855" s="3" t="s">
        <v>94</v>
      </c>
    </row>
    <row r="856" spans="4:4" ht="17.649999999999999" x14ac:dyDescent="0.5">
      <c r="D856" s="3" t="s">
        <v>54</v>
      </c>
    </row>
    <row r="857" spans="4:4" ht="17.649999999999999" x14ac:dyDescent="0.5">
      <c r="D857" s="3" t="s">
        <v>107</v>
      </c>
    </row>
    <row r="858" spans="4:4" ht="17.649999999999999" x14ac:dyDescent="0.5">
      <c r="D858" s="3" t="s">
        <v>88</v>
      </c>
    </row>
    <row r="859" spans="4:4" ht="17.649999999999999" x14ac:dyDescent="0.5">
      <c r="D859" s="3" t="s">
        <v>90</v>
      </c>
    </row>
    <row r="860" spans="4:4" ht="17.649999999999999" x14ac:dyDescent="0.5">
      <c r="D860" s="3" t="s">
        <v>87</v>
      </c>
    </row>
    <row r="861" spans="4:4" ht="17.649999999999999" x14ac:dyDescent="0.5">
      <c r="D861" s="3" t="s">
        <v>115</v>
      </c>
    </row>
    <row r="862" spans="4:4" ht="17.649999999999999" x14ac:dyDescent="0.5">
      <c r="D862" s="3" t="s">
        <v>136</v>
      </c>
    </row>
    <row r="863" spans="4:4" ht="17.649999999999999" x14ac:dyDescent="0.5">
      <c r="D863" s="3" t="s">
        <v>71</v>
      </c>
    </row>
    <row r="864" spans="4:4" ht="17.649999999999999" x14ac:dyDescent="0.5">
      <c r="D864" s="3" t="s">
        <v>51</v>
      </c>
    </row>
    <row r="865" spans="4:4" ht="17.649999999999999" x14ac:dyDescent="0.5">
      <c r="D865" s="3" t="s">
        <v>133</v>
      </c>
    </row>
    <row r="866" spans="4:4" ht="17.649999999999999" x14ac:dyDescent="0.5">
      <c r="D866" s="3" t="s">
        <v>83</v>
      </c>
    </row>
    <row r="867" spans="4:4" ht="17.649999999999999" x14ac:dyDescent="0.5">
      <c r="D867" s="3" t="s">
        <v>85</v>
      </c>
    </row>
    <row r="868" spans="4:4" ht="17.649999999999999" x14ac:dyDescent="0.5">
      <c r="D868" s="3" t="s">
        <v>57</v>
      </c>
    </row>
    <row r="869" spans="4:4" ht="17.649999999999999" x14ac:dyDescent="0.5">
      <c r="D869" s="3" t="s">
        <v>41</v>
      </c>
    </row>
    <row r="870" spans="4:4" ht="17.649999999999999" x14ac:dyDescent="0.5">
      <c r="D870" s="3" t="s">
        <v>54</v>
      </c>
    </row>
    <row r="871" spans="4:4" ht="17.649999999999999" x14ac:dyDescent="0.5">
      <c r="D871" s="3" t="s">
        <v>80</v>
      </c>
    </row>
    <row r="872" spans="4:4" ht="17.649999999999999" x14ac:dyDescent="0.5">
      <c r="D872" s="3" t="s">
        <v>109</v>
      </c>
    </row>
    <row r="873" spans="4:4" ht="17.649999999999999" x14ac:dyDescent="0.5">
      <c r="D873" s="3" t="s">
        <v>86</v>
      </c>
    </row>
    <row r="874" spans="4:4" ht="17.649999999999999" x14ac:dyDescent="0.5">
      <c r="D874" s="3" t="s">
        <v>70</v>
      </c>
    </row>
    <row r="875" spans="4:4" ht="17.649999999999999" x14ac:dyDescent="0.5">
      <c r="D875" s="3" t="s">
        <v>113</v>
      </c>
    </row>
    <row r="876" spans="4:4" ht="17.649999999999999" x14ac:dyDescent="0.5">
      <c r="D876" s="3" t="s">
        <v>102</v>
      </c>
    </row>
    <row r="877" spans="4:4" ht="17.649999999999999" x14ac:dyDescent="0.5">
      <c r="D877" s="3" t="s">
        <v>42</v>
      </c>
    </row>
    <row r="878" spans="4:4" ht="17.649999999999999" x14ac:dyDescent="0.5">
      <c r="D878" s="3" t="s">
        <v>117</v>
      </c>
    </row>
    <row r="879" spans="4:4" ht="17.649999999999999" x14ac:dyDescent="0.5">
      <c r="D879" s="3" t="s">
        <v>80</v>
      </c>
    </row>
    <row r="880" spans="4:4" ht="17.649999999999999" x14ac:dyDescent="0.5">
      <c r="D880" s="3" t="s">
        <v>69</v>
      </c>
    </row>
    <row r="881" spans="4:4" ht="17.649999999999999" x14ac:dyDescent="0.5">
      <c r="D881" s="3" t="s">
        <v>43</v>
      </c>
    </row>
    <row r="882" spans="4:4" ht="17.649999999999999" x14ac:dyDescent="0.5">
      <c r="D882" s="3" t="s">
        <v>63</v>
      </c>
    </row>
    <row r="883" spans="4:4" ht="17.649999999999999" x14ac:dyDescent="0.5">
      <c r="D883" s="3" t="s">
        <v>121</v>
      </c>
    </row>
    <row r="884" spans="4:4" ht="17.649999999999999" x14ac:dyDescent="0.5">
      <c r="D884" s="3" t="s">
        <v>44</v>
      </c>
    </row>
    <row r="885" spans="4:4" ht="17.649999999999999" x14ac:dyDescent="0.5">
      <c r="D885" s="3" t="s">
        <v>99</v>
      </c>
    </row>
    <row r="886" spans="4:4" ht="17.649999999999999" x14ac:dyDescent="0.5">
      <c r="D886" s="3" t="s">
        <v>92</v>
      </c>
    </row>
    <row r="887" spans="4:4" ht="17.649999999999999" x14ac:dyDescent="0.5">
      <c r="D887" s="3" t="s">
        <v>43</v>
      </c>
    </row>
    <row r="888" spans="4:4" ht="17.649999999999999" x14ac:dyDescent="0.5">
      <c r="D888" s="3" t="s">
        <v>87</v>
      </c>
    </row>
    <row r="889" spans="4:4" ht="17.649999999999999" x14ac:dyDescent="0.5">
      <c r="D889" s="3" t="s">
        <v>60</v>
      </c>
    </row>
    <row r="890" spans="4:4" ht="17.649999999999999" x14ac:dyDescent="0.5">
      <c r="D890" s="3" t="s">
        <v>101</v>
      </c>
    </row>
    <row r="891" spans="4:4" ht="17.649999999999999" x14ac:dyDescent="0.5">
      <c r="D891" s="3" t="s">
        <v>52</v>
      </c>
    </row>
    <row r="892" spans="4:4" ht="17.649999999999999" x14ac:dyDescent="0.5">
      <c r="D892" s="3" t="s">
        <v>59</v>
      </c>
    </row>
    <row r="893" spans="4:4" ht="17.649999999999999" x14ac:dyDescent="0.5">
      <c r="D893" s="3" t="s">
        <v>44</v>
      </c>
    </row>
    <row r="894" spans="4:4" ht="17.649999999999999" x14ac:dyDescent="0.5">
      <c r="D894" s="3" t="s">
        <v>63</v>
      </c>
    </row>
    <row r="895" spans="4:4" ht="17.649999999999999" x14ac:dyDescent="0.5">
      <c r="D895" s="3" t="s">
        <v>65</v>
      </c>
    </row>
    <row r="896" spans="4:4" ht="17.649999999999999" x14ac:dyDescent="0.5">
      <c r="D896" s="3" t="s">
        <v>118</v>
      </c>
    </row>
    <row r="897" spans="4:4" ht="17.649999999999999" x14ac:dyDescent="0.5">
      <c r="D897" s="3" t="s">
        <v>96</v>
      </c>
    </row>
    <row r="898" spans="4:4" ht="17.649999999999999" x14ac:dyDescent="0.5">
      <c r="D898" s="3" t="s">
        <v>99</v>
      </c>
    </row>
    <row r="899" spans="4:4" ht="17.649999999999999" x14ac:dyDescent="0.5">
      <c r="D899" s="3" t="s">
        <v>56</v>
      </c>
    </row>
    <row r="900" spans="4:4" ht="17.649999999999999" x14ac:dyDescent="0.5">
      <c r="D900" s="3" t="s">
        <v>70</v>
      </c>
    </row>
    <row r="901" spans="4:4" ht="17.649999999999999" x14ac:dyDescent="0.5">
      <c r="D901" s="3" t="s">
        <v>96</v>
      </c>
    </row>
    <row r="902" spans="4:4" ht="17.649999999999999" x14ac:dyDescent="0.5">
      <c r="D902" s="3" t="s">
        <v>55</v>
      </c>
    </row>
    <row r="903" spans="4:4" ht="17.649999999999999" x14ac:dyDescent="0.5">
      <c r="D903" s="3" t="s">
        <v>107</v>
      </c>
    </row>
    <row r="904" spans="4:4" ht="17.649999999999999" x14ac:dyDescent="0.5">
      <c r="D904" s="3" t="s">
        <v>131</v>
      </c>
    </row>
    <row r="905" spans="4:4" ht="17.649999999999999" x14ac:dyDescent="0.5">
      <c r="D905" s="3" t="s">
        <v>88</v>
      </c>
    </row>
    <row r="906" spans="4:4" ht="17.649999999999999" x14ac:dyDescent="0.5">
      <c r="D906" s="3" t="s">
        <v>63</v>
      </c>
    </row>
    <row r="907" spans="4:4" ht="17.649999999999999" x14ac:dyDescent="0.5">
      <c r="D907" s="3" t="s">
        <v>52</v>
      </c>
    </row>
    <row r="908" spans="4:4" ht="17.649999999999999" x14ac:dyDescent="0.5">
      <c r="D908" s="3" t="s">
        <v>105</v>
      </c>
    </row>
    <row r="909" spans="4:4" ht="17.649999999999999" x14ac:dyDescent="0.5">
      <c r="D909" s="3" t="s">
        <v>68</v>
      </c>
    </row>
    <row r="910" spans="4:4" ht="17.649999999999999" x14ac:dyDescent="0.5">
      <c r="D910" s="3" t="s">
        <v>75</v>
      </c>
    </row>
    <row r="911" spans="4:4" ht="17.649999999999999" x14ac:dyDescent="0.5">
      <c r="D911" s="3" t="s">
        <v>61</v>
      </c>
    </row>
    <row r="912" spans="4:4" ht="17.649999999999999" x14ac:dyDescent="0.5">
      <c r="D912" s="3" t="s">
        <v>67</v>
      </c>
    </row>
    <row r="913" spans="4:4" ht="17.649999999999999" x14ac:dyDescent="0.5">
      <c r="D913" s="3" t="s">
        <v>115</v>
      </c>
    </row>
    <row r="914" spans="4:4" ht="17.649999999999999" x14ac:dyDescent="0.5">
      <c r="D914" s="3" t="s">
        <v>77</v>
      </c>
    </row>
    <row r="915" spans="4:4" ht="17.649999999999999" x14ac:dyDescent="0.5">
      <c r="D915" s="3" t="s">
        <v>98</v>
      </c>
    </row>
    <row r="916" spans="4:4" ht="17.649999999999999" x14ac:dyDescent="0.5">
      <c r="D916" s="3" t="s">
        <v>45</v>
      </c>
    </row>
    <row r="917" spans="4:4" ht="17.649999999999999" x14ac:dyDescent="0.5">
      <c r="D917" s="3" t="s">
        <v>86</v>
      </c>
    </row>
    <row r="918" spans="4:4" ht="17.649999999999999" x14ac:dyDescent="0.5">
      <c r="D918" s="3" t="s">
        <v>90</v>
      </c>
    </row>
    <row r="919" spans="4:4" ht="17.649999999999999" x14ac:dyDescent="0.5">
      <c r="D919" s="3" t="s">
        <v>45</v>
      </c>
    </row>
    <row r="920" spans="4:4" ht="17.649999999999999" x14ac:dyDescent="0.5">
      <c r="D920" s="3" t="s">
        <v>90</v>
      </c>
    </row>
    <row r="921" spans="4:4" ht="17.649999999999999" x14ac:dyDescent="0.5">
      <c r="D921" s="3" t="s">
        <v>54</v>
      </c>
    </row>
    <row r="922" spans="4:4" ht="17.649999999999999" x14ac:dyDescent="0.5">
      <c r="D922" s="3" t="s">
        <v>115</v>
      </c>
    </row>
    <row r="923" spans="4:4" ht="17.649999999999999" x14ac:dyDescent="0.5">
      <c r="D923" s="3" t="s">
        <v>44</v>
      </c>
    </row>
    <row r="924" spans="4:4" ht="17.649999999999999" x14ac:dyDescent="0.5">
      <c r="D924" s="3" t="s">
        <v>57</v>
      </c>
    </row>
    <row r="925" spans="4:4" ht="17.649999999999999" x14ac:dyDescent="0.5">
      <c r="D925" s="3" t="s">
        <v>97</v>
      </c>
    </row>
    <row r="926" spans="4:4" ht="17.649999999999999" x14ac:dyDescent="0.5">
      <c r="D926" s="3" t="s">
        <v>55</v>
      </c>
    </row>
    <row r="927" spans="4:4" ht="17.649999999999999" x14ac:dyDescent="0.5">
      <c r="D927" s="3" t="s">
        <v>136</v>
      </c>
    </row>
    <row r="928" spans="4:4" ht="17.649999999999999" x14ac:dyDescent="0.5">
      <c r="D928" s="3" t="s">
        <v>98</v>
      </c>
    </row>
    <row r="929" spans="4:4" ht="17.649999999999999" x14ac:dyDescent="0.5">
      <c r="D929" s="3" t="s">
        <v>100</v>
      </c>
    </row>
    <row r="930" spans="4:4" ht="17.649999999999999" x14ac:dyDescent="0.5">
      <c r="D930" s="3" t="s">
        <v>71</v>
      </c>
    </row>
    <row r="931" spans="4:4" ht="17.649999999999999" x14ac:dyDescent="0.5">
      <c r="D931" s="3" t="s">
        <v>96</v>
      </c>
    </row>
    <row r="932" spans="4:4" ht="17.649999999999999" x14ac:dyDescent="0.5">
      <c r="D932" s="3" t="s">
        <v>67</v>
      </c>
    </row>
    <row r="933" spans="4:4" ht="17.649999999999999" x14ac:dyDescent="0.5">
      <c r="D933" s="3" t="s">
        <v>69</v>
      </c>
    </row>
    <row r="934" spans="4:4" ht="17.649999999999999" x14ac:dyDescent="0.5">
      <c r="D934" s="3" t="s">
        <v>78</v>
      </c>
    </row>
    <row r="935" spans="4:4" ht="17.649999999999999" x14ac:dyDescent="0.5">
      <c r="D935" s="3" t="s">
        <v>129</v>
      </c>
    </row>
    <row r="936" spans="4:4" ht="17.649999999999999" x14ac:dyDescent="0.5">
      <c r="D936" s="3" t="s">
        <v>66</v>
      </c>
    </row>
    <row r="937" spans="4:4" ht="17.649999999999999" x14ac:dyDescent="0.5">
      <c r="D937" s="3" t="s">
        <v>46</v>
      </c>
    </row>
    <row r="938" spans="4:4" ht="17.649999999999999" x14ac:dyDescent="0.5">
      <c r="D938" s="3" t="s">
        <v>74</v>
      </c>
    </row>
    <row r="939" spans="4:4" ht="17.649999999999999" x14ac:dyDescent="0.5">
      <c r="D939" s="3" t="s">
        <v>49</v>
      </c>
    </row>
    <row r="940" spans="4:4" ht="17.649999999999999" x14ac:dyDescent="0.5">
      <c r="D940" s="3" t="s">
        <v>55</v>
      </c>
    </row>
    <row r="941" spans="4:4" ht="17.649999999999999" x14ac:dyDescent="0.5">
      <c r="D941" s="3" t="s">
        <v>51</v>
      </c>
    </row>
    <row r="942" spans="4:4" ht="17.649999999999999" x14ac:dyDescent="0.5">
      <c r="D942" s="3" t="s">
        <v>93</v>
      </c>
    </row>
    <row r="943" spans="4:4" ht="17.649999999999999" x14ac:dyDescent="0.5">
      <c r="D943" s="3" t="s">
        <v>121</v>
      </c>
    </row>
    <row r="944" spans="4:4" ht="17.649999999999999" x14ac:dyDescent="0.5">
      <c r="D944" s="3" t="s">
        <v>80</v>
      </c>
    </row>
    <row r="945" spans="4:4" ht="17.649999999999999" x14ac:dyDescent="0.5">
      <c r="D945" s="3" t="s">
        <v>83</v>
      </c>
    </row>
    <row r="946" spans="4:4" ht="17.649999999999999" x14ac:dyDescent="0.5">
      <c r="D946" s="3" t="s">
        <v>82</v>
      </c>
    </row>
    <row r="947" spans="4:4" ht="17.649999999999999" x14ac:dyDescent="0.5">
      <c r="D947" s="3" t="s">
        <v>75</v>
      </c>
    </row>
    <row r="948" spans="4:4" ht="17.649999999999999" x14ac:dyDescent="0.5">
      <c r="D948" s="3" t="s">
        <v>68</v>
      </c>
    </row>
    <row r="949" spans="4:4" ht="17.649999999999999" x14ac:dyDescent="0.5">
      <c r="D949" s="3" t="s">
        <v>97</v>
      </c>
    </row>
    <row r="950" spans="4:4" ht="17.649999999999999" x14ac:dyDescent="0.5">
      <c r="D950" s="3" t="s">
        <v>43</v>
      </c>
    </row>
    <row r="951" spans="4:4" ht="17.649999999999999" x14ac:dyDescent="0.5">
      <c r="D951" s="3" t="s">
        <v>63</v>
      </c>
    </row>
    <row r="952" spans="4:4" ht="17.649999999999999" x14ac:dyDescent="0.5">
      <c r="D952" s="3" t="s">
        <v>51</v>
      </c>
    </row>
    <row r="953" spans="4:4" ht="17.649999999999999" x14ac:dyDescent="0.5">
      <c r="D953" s="3" t="s">
        <v>105</v>
      </c>
    </row>
    <row r="954" spans="4:4" ht="17.649999999999999" x14ac:dyDescent="0.5">
      <c r="D954" s="3" t="s">
        <v>117</v>
      </c>
    </row>
    <row r="955" spans="4:4" ht="17.649999999999999" x14ac:dyDescent="0.5">
      <c r="D955" s="3" t="s">
        <v>87</v>
      </c>
    </row>
    <row r="956" spans="4:4" ht="17.649999999999999" x14ac:dyDescent="0.5">
      <c r="D956" s="3" t="s">
        <v>44</v>
      </c>
    </row>
    <row r="957" spans="4:4" ht="17.649999999999999" x14ac:dyDescent="0.5">
      <c r="D957" s="3" t="s">
        <v>107</v>
      </c>
    </row>
    <row r="958" spans="4:4" ht="17.649999999999999" x14ac:dyDescent="0.5">
      <c r="D958" s="3" t="s">
        <v>47</v>
      </c>
    </row>
    <row r="959" spans="4:4" ht="17.649999999999999" x14ac:dyDescent="0.5">
      <c r="D959" s="3" t="s">
        <v>83</v>
      </c>
    </row>
    <row r="960" spans="4:4" ht="17.649999999999999" x14ac:dyDescent="0.5">
      <c r="D960" s="3" t="s">
        <v>98</v>
      </c>
    </row>
    <row r="961" spans="4:4" ht="17.649999999999999" x14ac:dyDescent="0.5">
      <c r="D961" s="3" t="s">
        <v>115</v>
      </c>
    </row>
    <row r="962" spans="4:4" ht="17.649999999999999" x14ac:dyDescent="0.5">
      <c r="D962" s="3" t="s">
        <v>61</v>
      </c>
    </row>
    <row r="963" spans="4:4" ht="17.649999999999999" x14ac:dyDescent="0.5">
      <c r="D963" s="3" t="s">
        <v>75</v>
      </c>
    </row>
    <row r="964" spans="4:4" ht="17.649999999999999" x14ac:dyDescent="0.5">
      <c r="D964" s="3" t="s">
        <v>84</v>
      </c>
    </row>
    <row r="965" spans="4:4" ht="17.649999999999999" x14ac:dyDescent="0.5">
      <c r="D965" s="3" t="s">
        <v>53</v>
      </c>
    </row>
    <row r="966" spans="4:4" ht="17.649999999999999" x14ac:dyDescent="0.5">
      <c r="D966" s="3" t="s">
        <v>44</v>
      </c>
    </row>
    <row r="967" spans="4:4" ht="17.649999999999999" x14ac:dyDescent="0.5">
      <c r="D967" s="3" t="s">
        <v>67</v>
      </c>
    </row>
    <row r="968" spans="4:4" ht="17.649999999999999" x14ac:dyDescent="0.5">
      <c r="D968" s="3" t="s">
        <v>81</v>
      </c>
    </row>
    <row r="969" spans="4:4" ht="17.649999999999999" x14ac:dyDescent="0.5">
      <c r="D969" s="3" t="s">
        <v>89</v>
      </c>
    </row>
    <row r="970" spans="4:4" ht="17.649999999999999" x14ac:dyDescent="0.5">
      <c r="D970" s="3" t="s">
        <v>129</v>
      </c>
    </row>
    <row r="971" spans="4:4" ht="17.649999999999999" x14ac:dyDescent="0.5">
      <c r="D971" s="3" t="s">
        <v>113</v>
      </c>
    </row>
    <row r="972" spans="4:4" ht="17.649999999999999" x14ac:dyDescent="0.5">
      <c r="D972" s="3" t="s">
        <v>53</v>
      </c>
    </row>
    <row r="973" spans="4:4" ht="17.649999999999999" x14ac:dyDescent="0.5">
      <c r="D973" s="3" t="s">
        <v>129</v>
      </c>
    </row>
    <row r="974" spans="4:4" ht="17.649999999999999" x14ac:dyDescent="0.5">
      <c r="D974" s="3" t="s">
        <v>112</v>
      </c>
    </row>
    <row r="975" spans="4:4" ht="17.649999999999999" x14ac:dyDescent="0.5">
      <c r="D975" s="3" t="s">
        <v>105</v>
      </c>
    </row>
    <row r="976" spans="4:4" ht="17.649999999999999" x14ac:dyDescent="0.5">
      <c r="D976" s="3" t="s">
        <v>53</v>
      </c>
    </row>
    <row r="977" spans="4:4" ht="17.649999999999999" x14ac:dyDescent="0.5">
      <c r="D977" s="3" t="s">
        <v>98</v>
      </c>
    </row>
    <row r="978" spans="4:4" ht="17.649999999999999" x14ac:dyDescent="0.5">
      <c r="D978" s="3" t="s">
        <v>91</v>
      </c>
    </row>
    <row r="979" spans="4:4" ht="17.649999999999999" x14ac:dyDescent="0.5">
      <c r="D979" s="3" t="s">
        <v>63</v>
      </c>
    </row>
    <row r="980" spans="4:4" ht="17.649999999999999" x14ac:dyDescent="0.5">
      <c r="D980" s="3" t="s">
        <v>103</v>
      </c>
    </row>
    <row r="981" spans="4:4" ht="17.649999999999999" x14ac:dyDescent="0.5">
      <c r="D981" s="3" t="s">
        <v>135</v>
      </c>
    </row>
    <row r="982" spans="4:4" ht="17.649999999999999" x14ac:dyDescent="0.5">
      <c r="D982" s="3" t="s">
        <v>59</v>
      </c>
    </row>
    <row r="983" spans="4:4" ht="17.649999999999999" x14ac:dyDescent="0.5">
      <c r="D983" s="3" t="s">
        <v>134</v>
      </c>
    </row>
    <row r="984" spans="4:4" ht="17.649999999999999" x14ac:dyDescent="0.5">
      <c r="D984" s="3" t="s">
        <v>50</v>
      </c>
    </row>
    <row r="985" spans="4:4" ht="17.649999999999999" x14ac:dyDescent="0.5">
      <c r="D985" s="3" t="s">
        <v>125</v>
      </c>
    </row>
    <row r="986" spans="4:4" ht="17.649999999999999" x14ac:dyDescent="0.5">
      <c r="D986" s="3" t="s">
        <v>57</v>
      </c>
    </row>
    <row r="987" spans="4:4" ht="17.649999999999999" x14ac:dyDescent="0.5">
      <c r="D987" s="3" t="s">
        <v>55</v>
      </c>
    </row>
    <row r="988" spans="4:4" ht="17.649999999999999" x14ac:dyDescent="0.5">
      <c r="D988" s="3" t="s">
        <v>91</v>
      </c>
    </row>
    <row r="989" spans="4:4" ht="17.649999999999999" x14ac:dyDescent="0.5">
      <c r="D989" s="3" t="s">
        <v>113</v>
      </c>
    </row>
    <row r="990" spans="4:4" ht="17.649999999999999" x14ac:dyDescent="0.5">
      <c r="D990" s="3" t="s">
        <v>104</v>
      </c>
    </row>
    <row r="991" spans="4:4" ht="17.649999999999999" x14ac:dyDescent="0.5">
      <c r="D991" s="3" t="s">
        <v>43</v>
      </c>
    </row>
    <row r="992" spans="4:4" ht="17.649999999999999" x14ac:dyDescent="0.5">
      <c r="D992" s="3" t="s">
        <v>96</v>
      </c>
    </row>
    <row r="993" spans="4:4" ht="17.649999999999999" x14ac:dyDescent="0.5">
      <c r="D993" s="3" t="s">
        <v>59</v>
      </c>
    </row>
    <row r="994" spans="4:4" ht="17.649999999999999" x14ac:dyDescent="0.5">
      <c r="D994" s="3" t="s">
        <v>52</v>
      </c>
    </row>
    <row r="995" spans="4:4" ht="17.649999999999999" x14ac:dyDescent="0.5">
      <c r="D995" s="3" t="s">
        <v>47</v>
      </c>
    </row>
    <row r="996" spans="4:4" ht="17.649999999999999" x14ac:dyDescent="0.5">
      <c r="D996" s="3" t="s">
        <v>61</v>
      </c>
    </row>
    <row r="997" spans="4:4" ht="17.649999999999999" x14ac:dyDescent="0.5">
      <c r="D997" s="3" t="s">
        <v>135</v>
      </c>
    </row>
    <row r="998" spans="4:4" ht="17.649999999999999" x14ac:dyDescent="0.5">
      <c r="D998" s="3" t="s">
        <v>93</v>
      </c>
    </row>
    <row r="999" spans="4:4" ht="17.649999999999999" x14ac:dyDescent="0.5">
      <c r="D999" s="3" t="s">
        <v>83</v>
      </c>
    </row>
    <row r="1000" spans="4:4" ht="17.649999999999999" x14ac:dyDescent="0.5">
      <c r="D1000" s="3" t="s">
        <v>81</v>
      </c>
    </row>
    <row r="1001" spans="4:4" ht="17.649999999999999" x14ac:dyDescent="0.5">
      <c r="D1001" s="3" t="s">
        <v>78</v>
      </c>
    </row>
    <row r="1002" spans="4:4" ht="17.649999999999999" x14ac:dyDescent="0.5">
      <c r="D1002" s="3" t="s">
        <v>101</v>
      </c>
    </row>
    <row r="1003" spans="4:4" ht="17.649999999999999" x14ac:dyDescent="0.5">
      <c r="D1003" s="3" t="s">
        <v>87</v>
      </c>
    </row>
    <row r="1004" spans="4:4" ht="17.649999999999999" x14ac:dyDescent="0.5">
      <c r="D1004" s="3" t="s">
        <v>73</v>
      </c>
    </row>
    <row r="1005" spans="4:4" ht="17.649999999999999" x14ac:dyDescent="0.5">
      <c r="D1005" s="3" t="s">
        <v>64</v>
      </c>
    </row>
    <row r="1006" spans="4:4" ht="17.649999999999999" x14ac:dyDescent="0.5">
      <c r="D1006" s="3" t="s">
        <v>56</v>
      </c>
    </row>
    <row r="1007" spans="4:4" ht="17.649999999999999" x14ac:dyDescent="0.5">
      <c r="D1007" s="3" t="s">
        <v>117</v>
      </c>
    </row>
    <row r="1008" spans="4:4" ht="17.649999999999999" x14ac:dyDescent="0.5">
      <c r="D1008" s="3" t="s">
        <v>51</v>
      </c>
    </row>
    <row r="1009" spans="4:4" ht="17.649999999999999" x14ac:dyDescent="0.5">
      <c r="D1009" s="3" t="s">
        <v>45</v>
      </c>
    </row>
    <row r="1010" spans="4:4" ht="17.649999999999999" x14ac:dyDescent="0.5">
      <c r="D1010" s="3" t="s">
        <v>93</v>
      </c>
    </row>
    <row r="1011" spans="4:4" ht="17.649999999999999" x14ac:dyDescent="0.5">
      <c r="D1011" s="3" t="s">
        <v>88</v>
      </c>
    </row>
    <row r="1012" spans="4:4" ht="17.649999999999999" x14ac:dyDescent="0.5">
      <c r="D1012" s="3" t="s">
        <v>107</v>
      </c>
    </row>
    <row r="1013" spans="4:4" ht="17.649999999999999" x14ac:dyDescent="0.5">
      <c r="D1013" s="3" t="s">
        <v>48</v>
      </c>
    </row>
    <row r="1014" spans="4:4" ht="17.649999999999999" x14ac:dyDescent="0.5">
      <c r="D1014" s="3" t="s">
        <v>112</v>
      </c>
    </row>
    <row r="1015" spans="4:4" ht="17.649999999999999" x14ac:dyDescent="0.5">
      <c r="D1015" s="3" t="s">
        <v>89</v>
      </c>
    </row>
    <row r="1016" spans="4:4" ht="17.649999999999999" x14ac:dyDescent="0.5">
      <c r="D1016" s="3" t="s">
        <v>98</v>
      </c>
    </row>
    <row r="1017" spans="4:4" ht="17.649999999999999" x14ac:dyDescent="0.5">
      <c r="D1017" s="3" t="s">
        <v>82</v>
      </c>
    </row>
    <row r="1018" spans="4:4" ht="17.649999999999999" x14ac:dyDescent="0.5">
      <c r="D1018" s="3" t="s">
        <v>69</v>
      </c>
    </row>
    <row r="1019" spans="4:4" ht="17.649999999999999" x14ac:dyDescent="0.5">
      <c r="D1019" s="3" t="s">
        <v>109</v>
      </c>
    </row>
    <row r="1020" spans="4:4" ht="17.649999999999999" x14ac:dyDescent="0.5">
      <c r="D1020" s="3" t="s">
        <v>92</v>
      </c>
    </row>
    <row r="1021" spans="4:4" ht="17.649999999999999" x14ac:dyDescent="0.5">
      <c r="D1021" s="3" t="s">
        <v>74</v>
      </c>
    </row>
    <row r="1022" spans="4:4" ht="17.649999999999999" x14ac:dyDescent="0.5">
      <c r="D1022" s="3" t="s">
        <v>105</v>
      </c>
    </row>
    <row r="1023" spans="4:4" ht="17.649999999999999" x14ac:dyDescent="0.5">
      <c r="D1023" s="3" t="s">
        <v>103</v>
      </c>
    </row>
    <row r="1024" spans="4:4" ht="17.649999999999999" x14ac:dyDescent="0.5">
      <c r="D1024" s="3" t="s">
        <v>114</v>
      </c>
    </row>
    <row r="1025" spans="4:4" ht="17.649999999999999" x14ac:dyDescent="0.5">
      <c r="D1025" s="3" t="s">
        <v>135</v>
      </c>
    </row>
    <row r="1026" spans="4:4" ht="17.649999999999999" x14ac:dyDescent="0.5">
      <c r="D1026" s="3" t="s">
        <v>83</v>
      </c>
    </row>
    <row r="1027" spans="4:4" ht="17.649999999999999" x14ac:dyDescent="0.5">
      <c r="D1027" s="3" t="s">
        <v>94</v>
      </c>
    </row>
    <row r="1028" spans="4:4" ht="17.649999999999999" x14ac:dyDescent="0.5">
      <c r="D1028" s="3" t="s">
        <v>43</v>
      </c>
    </row>
    <row r="1029" spans="4:4" ht="17.649999999999999" x14ac:dyDescent="0.5">
      <c r="D1029" s="3" t="s">
        <v>125</v>
      </c>
    </row>
    <row r="1030" spans="4:4" ht="17.649999999999999" x14ac:dyDescent="0.5">
      <c r="D1030" s="3" t="s">
        <v>92</v>
      </c>
    </row>
    <row r="1031" spans="4:4" ht="17.649999999999999" x14ac:dyDescent="0.5">
      <c r="D1031" s="3" t="s">
        <v>123</v>
      </c>
    </row>
    <row r="1032" spans="4:4" ht="17.649999999999999" x14ac:dyDescent="0.5">
      <c r="D1032" s="3" t="s">
        <v>51</v>
      </c>
    </row>
    <row r="1033" spans="4:4" ht="17.649999999999999" x14ac:dyDescent="0.5">
      <c r="D1033" s="3" t="s">
        <v>98</v>
      </c>
    </row>
    <row r="1034" spans="4:4" ht="17.649999999999999" x14ac:dyDescent="0.5">
      <c r="D1034" s="3" t="s">
        <v>107</v>
      </c>
    </row>
    <row r="1035" spans="4:4" ht="17.649999999999999" x14ac:dyDescent="0.5">
      <c r="D1035" s="3" t="s">
        <v>91</v>
      </c>
    </row>
    <row r="1036" spans="4:4" ht="17.649999999999999" x14ac:dyDescent="0.5">
      <c r="D1036" s="3" t="s">
        <v>117</v>
      </c>
    </row>
    <row r="1037" spans="4:4" ht="17.649999999999999" x14ac:dyDescent="0.5">
      <c r="D1037" s="3" t="s">
        <v>100</v>
      </c>
    </row>
    <row r="1038" spans="4:4" ht="17.649999999999999" x14ac:dyDescent="0.5">
      <c r="D1038" s="3" t="s">
        <v>46</v>
      </c>
    </row>
    <row r="1039" spans="4:4" ht="17.649999999999999" x14ac:dyDescent="0.5">
      <c r="D1039" s="3" t="s">
        <v>77</v>
      </c>
    </row>
    <row r="1040" spans="4:4" ht="17.649999999999999" x14ac:dyDescent="0.5">
      <c r="D1040" s="3" t="s">
        <v>47</v>
      </c>
    </row>
    <row r="1041" spans="4:4" ht="17.649999999999999" x14ac:dyDescent="0.5">
      <c r="D1041" s="3" t="s">
        <v>87</v>
      </c>
    </row>
    <row r="1042" spans="4:4" ht="17.649999999999999" x14ac:dyDescent="0.5">
      <c r="D1042" s="3" t="s">
        <v>135</v>
      </c>
    </row>
    <row r="1043" spans="4:4" ht="17.649999999999999" x14ac:dyDescent="0.5">
      <c r="D1043" s="3" t="s">
        <v>72</v>
      </c>
    </row>
    <row r="1044" spans="4:4" ht="17.649999999999999" x14ac:dyDescent="0.5">
      <c r="D1044" s="3" t="s">
        <v>47</v>
      </c>
    </row>
    <row r="1045" spans="4:4" ht="17.649999999999999" x14ac:dyDescent="0.5">
      <c r="D1045" s="3" t="s">
        <v>73</v>
      </c>
    </row>
    <row r="1046" spans="4:4" ht="17.649999999999999" x14ac:dyDescent="0.5">
      <c r="D1046" s="3" t="s">
        <v>65</v>
      </c>
    </row>
    <row r="1047" spans="4:4" ht="17.649999999999999" x14ac:dyDescent="0.5">
      <c r="D1047" s="3" t="s">
        <v>64</v>
      </c>
    </row>
    <row r="1048" spans="4:4" ht="17.649999999999999" x14ac:dyDescent="0.5">
      <c r="D1048" s="3" t="s">
        <v>47</v>
      </c>
    </row>
    <row r="1049" spans="4:4" ht="17.649999999999999" x14ac:dyDescent="0.5">
      <c r="D1049" s="3" t="s">
        <v>44</v>
      </c>
    </row>
    <row r="1050" spans="4:4" ht="17.649999999999999" x14ac:dyDescent="0.5">
      <c r="D1050" s="3" t="s">
        <v>61</v>
      </c>
    </row>
    <row r="1051" spans="4:4" ht="17.649999999999999" x14ac:dyDescent="0.5">
      <c r="D1051" s="3" t="s">
        <v>84</v>
      </c>
    </row>
    <row r="1052" spans="4:4" ht="17.649999999999999" x14ac:dyDescent="0.5">
      <c r="D1052" s="3" t="s">
        <v>68</v>
      </c>
    </row>
    <row r="1053" spans="4:4" ht="17.649999999999999" x14ac:dyDescent="0.5">
      <c r="D1053" s="3" t="s">
        <v>105</v>
      </c>
    </row>
    <row r="1054" spans="4:4" ht="17.649999999999999" x14ac:dyDescent="0.5">
      <c r="D1054" s="3" t="s">
        <v>47</v>
      </c>
    </row>
    <row r="1055" spans="4:4" ht="17.649999999999999" x14ac:dyDescent="0.5">
      <c r="D1055" s="3" t="s">
        <v>102</v>
      </c>
    </row>
    <row r="1056" spans="4:4" ht="17.649999999999999" x14ac:dyDescent="0.5">
      <c r="D1056" s="3" t="s">
        <v>98</v>
      </c>
    </row>
    <row r="1057" spans="4:4" ht="17.649999999999999" x14ac:dyDescent="0.5">
      <c r="D1057" s="3" t="s">
        <v>83</v>
      </c>
    </row>
    <row r="1058" spans="4:4" ht="17.649999999999999" x14ac:dyDescent="0.5">
      <c r="D1058" s="3" t="s">
        <v>56</v>
      </c>
    </row>
    <row r="1059" spans="4:4" ht="17.649999999999999" x14ac:dyDescent="0.5">
      <c r="D1059" s="3" t="s">
        <v>50</v>
      </c>
    </row>
    <row r="1060" spans="4:4" ht="17.649999999999999" x14ac:dyDescent="0.5">
      <c r="D1060" s="3" t="s">
        <v>49</v>
      </c>
    </row>
    <row r="1061" spans="4:4" ht="17.649999999999999" x14ac:dyDescent="0.5">
      <c r="D1061" s="3" t="s">
        <v>94</v>
      </c>
    </row>
    <row r="1062" spans="4:4" ht="17.649999999999999" x14ac:dyDescent="0.5">
      <c r="D1062" s="3" t="s">
        <v>58</v>
      </c>
    </row>
    <row r="1063" spans="4:4" ht="17.649999999999999" x14ac:dyDescent="0.5">
      <c r="D1063" s="3" t="s">
        <v>45</v>
      </c>
    </row>
    <row r="1064" spans="4:4" ht="17.649999999999999" x14ac:dyDescent="0.5">
      <c r="D1064" s="3" t="s">
        <v>73</v>
      </c>
    </row>
    <row r="1065" spans="4:4" ht="17.649999999999999" x14ac:dyDescent="0.5">
      <c r="D1065" s="3" t="s">
        <v>89</v>
      </c>
    </row>
    <row r="1066" spans="4:4" ht="17.649999999999999" x14ac:dyDescent="0.5">
      <c r="D1066" s="3" t="s">
        <v>80</v>
      </c>
    </row>
    <row r="1067" spans="4:4" ht="17.649999999999999" x14ac:dyDescent="0.5">
      <c r="D1067" s="3" t="s">
        <v>50</v>
      </c>
    </row>
    <row r="1068" spans="4:4" ht="17.649999999999999" x14ac:dyDescent="0.5">
      <c r="D1068" s="3" t="s">
        <v>81</v>
      </c>
    </row>
    <row r="1069" spans="4:4" ht="17.649999999999999" x14ac:dyDescent="0.5">
      <c r="D1069" s="3" t="s">
        <v>50</v>
      </c>
    </row>
    <row r="1070" spans="4:4" ht="17.649999999999999" x14ac:dyDescent="0.5">
      <c r="D1070" s="3" t="s">
        <v>90</v>
      </c>
    </row>
    <row r="1071" spans="4:4" ht="17.649999999999999" x14ac:dyDescent="0.5">
      <c r="D1071" s="3" t="s">
        <v>42</v>
      </c>
    </row>
    <row r="1072" spans="4:4" ht="17.649999999999999" x14ac:dyDescent="0.5">
      <c r="D1072" s="3" t="s">
        <v>57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128</v>
      </c>
    </row>
    <row r="1075" spans="4:4" ht="17.649999999999999" x14ac:dyDescent="0.5">
      <c r="D1075" s="3" t="s">
        <v>83</v>
      </c>
    </row>
    <row r="1076" spans="4:4" ht="17.649999999999999" x14ac:dyDescent="0.5">
      <c r="D1076" s="3" t="s">
        <v>74</v>
      </c>
    </row>
    <row r="1077" spans="4:4" ht="17.649999999999999" x14ac:dyDescent="0.5">
      <c r="D1077" s="3" t="s">
        <v>119</v>
      </c>
    </row>
    <row r="1078" spans="4:4" ht="17.649999999999999" x14ac:dyDescent="0.5">
      <c r="D1078" s="3" t="s">
        <v>66</v>
      </c>
    </row>
    <row r="1079" spans="4:4" ht="17.649999999999999" x14ac:dyDescent="0.5">
      <c r="D1079" s="3" t="s">
        <v>104</v>
      </c>
    </row>
    <row r="1080" spans="4:4" ht="17.649999999999999" x14ac:dyDescent="0.5">
      <c r="D1080" s="3" t="s">
        <v>75</v>
      </c>
    </row>
    <row r="1081" spans="4:4" ht="17.649999999999999" x14ac:dyDescent="0.5">
      <c r="D1081" s="3" t="s">
        <v>59</v>
      </c>
    </row>
    <row r="1082" spans="4:4" ht="17.649999999999999" x14ac:dyDescent="0.5">
      <c r="D1082" s="3" t="s">
        <v>104</v>
      </c>
    </row>
    <row r="1083" spans="4:4" ht="17.649999999999999" x14ac:dyDescent="0.5">
      <c r="D1083" s="3" t="s">
        <v>101</v>
      </c>
    </row>
    <row r="1084" spans="4:4" ht="17.649999999999999" x14ac:dyDescent="0.5">
      <c r="D1084" s="3" t="s">
        <v>43</v>
      </c>
    </row>
    <row r="1085" spans="4:4" ht="17.649999999999999" x14ac:dyDescent="0.5">
      <c r="D1085" s="3" t="s">
        <v>65</v>
      </c>
    </row>
    <row r="1086" spans="4:4" ht="17.649999999999999" x14ac:dyDescent="0.5">
      <c r="D1086" s="3" t="s">
        <v>100</v>
      </c>
    </row>
    <row r="1087" spans="4:4" ht="17.649999999999999" x14ac:dyDescent="0.5">
      <c r="D1087" s="3" t="s">
        <v>42</v>
      </c>
    </row>
    <row r="1088" spans="4:4" ht="17.649999999999999" x14ac:dyDescent="0.5">
      <c r="D1088" s="3" t="s">
        <v>77</v>
      </c>
    </row>
    <row r="1089" spans="4:4" ht="17.649999999999999" x14ac:dyDescent="0.5">
      <c r="D1089" s="3" t="s">
        <v>92</v>
      </c>
    </row>
    <row r="1090" spans="4:4" ht="17.649999999999999" x14ac:dyDescent="0.5">
      <c r="D1090" s="3" t="s">
        <v>103</v>
      </c>
    </row>
    <row r="1091" spans="4:4" ht="17.649999999999999" x14ac:dyDescent="0.5">
      <c r="D1091" s="3" t="s">
        <v>49</v>
      </c>
    </row>
    <row r="1092" spans="4:4" ht="17.649999999999999" x14ac:dyDescent="0.5">
      <c r="D1092" s="3" t="s">
        <v>63</v>
      </c>
    </row>
    <row r="1093" spans="4:4" ht="17.649999999999999" x14ac:dyDescent="0.5">
      <c r="D1093" s="3" t="s">
        <v>60</v>
      </c>
    </row>
    <row r="1094" spans="4:4" ht="17.649999999999999" x14ac:dyDescent="0.5">
      <c r="D1094" s="3" t="s">
        <v>123</v>
      </c>
    </row>
    <row r="1095" spans="4:4" ht="17.649999999999999" x14ac:dyDescent="0.5">
      <c r="D1095" s="3" t="s">
        <v>106</v>
      </c>
    </row>
    <row r="1096" spans="4:4" ht="17.649999999999999" x14ac:dyDescent="0.5">
      <c r="D1096" s="3" t="s">
        <v>43</v>
      </c>
    </row>
    <row r="1097" spans="4:4" ht="17.649999999999999" x14ac:dyDescent="0.5">
      <c r="D1097" s="3" t="s">
        <v>115</v>
      </c>
    </row>
    <row r="1098" spans="4:4" ht="17.649999999999999" x14ac:dyDescent="0.5">
      <c r="D1098" s="3" t="s">
        <v>96</v>
      </c>
    </row>
    <row r="1099" spans="4:4" ht="17.649999999999999" x14ac:dyDescent="0.5">
      <c r="D1099" s="3" t="s">
        <v>64</v>
      </c>
    </row>
    <row r="1100" spans="4:4" ht="17.649999999999999" x14ac:dyDescent="0.5">
      <c r="D1100" s="3" t="s">
        <v>134</v>
      </c>
    </row>
    <row r="1101" spans="4:4" ht="17.649999999999999" x14ac:dyDescent="0.5">
      <c r="D1101" s="3" t="s">
        <v>92</v>
      </c>
    </row>
    <row r="1102" spans="4:4" ht="17.649999999999999" x14ac:dyDescent="0.5">
      <c r="D1102" s="3" t="s">
        <v>105</v>
      </c>
    </row>
    <row r="1103" spans="4:4" ht="17.649999999999999" x14ac:dyDescent="0.5">
      <c r="D1103" s="3" t="s">
        <v>57</v>
      </c>
    </row>
    <row r="1104" spans="4:4" ht="17.649999999999999" x14ac:dyDescent="0.5">
      <c r="D1104" s="3" t="s">
        <v>133</v>
      </c>
    </row>
    <row r="1105" spans="4:4" ht="17.649999999999999" x14ac:dyDescent="0.5">
      <c r="D1105" s="3" t="s">
        <v>113</v>
      </c>
    </row>
    <row r="1106" spans="4:4" ht="17.649999999999999" x14ac:dyDescent="0.5">
      <c r="D1106" s="3" t="s">
        <v>63</v>
      </c>
    </row>
    <row r="1107" spans="4:4" ht="17.649999999999999" x14ac:dyDescent="0.5">
      <c r="D1107" s="3" t="s">
        <v>66</v>
      </c>
    </row>
    <row r="1108" spans="4:4" ht="17.649999999999999" x14ac:dyDescent="0.5">
      <c r="D1108" s="3" t="s">
        <v>47</v>
      </c>
    </row>
    <row r="1109" spans="4:4" ht="17.649999999999999" x14ac:dyDescent="0.5">
      <c r="D1109" s="3" t="s">
        <v>134</v>
      </c>
    </row>
    <row r="1110" spans="4:4" ht="17.649999999999999" x14ac:dyDescent="0.5">
      <c r="D1110" s="3" t="s">
        <v>43</v>
      </c>
    </row>
    <row r="1111" spans="4:4" ht="17.649999999999999" x14ac:dyDescent="0.5">
      <c r="D1111" s="3" t="s">
        <v>64</v>
      </c>
    </row>
    <row r="1112" spans="4:4" ht="17.649999999999999" x14ac:dyDescent="0.5">
      <c r="D1112" s="3" t="s">
        <v>132</v>
      </c>
    </row>
    <row r="1113" spans="4:4" ht="17.649999999999999" x14ac:dyDescent="0.5">
      <c r="D1113" s="3" t="s">
        <v>86</v>
      </c>
    </row>
    <row r="1114" spans="4:4" ht="17.649999999999999" x14ac:dyDescent="0.5">
      <c r="D1114" s="3" t="s">
        <v>134</v>
      </c>
    </row>
    <row r="1115" spans="4:4" ht="17.649999999999999" x14ac:dyDescent="0.5">
      <c r="D1115" s="3" t="s">
        <v>119</v>
      </c>
    </row>
    <row r="1116" spans="4:4" ht="17.649999999999999" x14ac:dyDescent="0.5">
      <c r="D1116" s="3" t="s">
        <v>50</v>
      </c>
    </row>
    <row r="1117" spans="4:4" ht="17.649999999999999" x14ac:dyDescent="0.5">
      <c r="D1117" s="3" t="s">
        <v>43</v>
      </c>
    </row>
    <row r="1118" spans="4:4" ht="17.649999999999999" x14ac:dyDescent="0.5">
      <c r="D1118" s="3" t="s">
        <v>55</v>
      </c>
    </row>
    <row r="1119" spans="4:4" ht="17.649999999999999" x14ac:dyDescent="0.5">
      <c r="D1119" s="3" t="s">
        <v>98</v>
      </c>
    </row>
    <row r="1120" spans="4:4" ht="17.649999999999999" x14ac:dyDescent="0.5">
      <c r="D1120" s="3" t="s">
        <v>112</v>
      </c>
    </row>
    <row r="1121" spans="4:4" ht="17.649999999999999" x14ac:dyDescent="0.5">
      <c r="D1121" s="3" t="s">
        <v>45</v>
      </c>
    </row>
    <row r="1122" spans="4:4" ht="17.649999999999999" x14ac:dyDescent="0.5">
      <c r="D1122" s="3" t="s">
        <v>65</v>
      </c>
    </row>
    <row r="1123" spans="4:4" ht="17.649999999999999" x14ac:dyDescent="0.5">
      <c r="D1123" s="3" t="s">
        <v>115</v>
      </c>
    </row>
    <row r="1124" spans="4:4" ht="17.649999999999999" x14ac:dyDescent="0.5">
      <c r="D1124" s="3" t="s">
        <v>133</v>
      </c>
    </row>
    <row r="1125" spans="4:4" ht="17.649999999999999" x14ac:dyDescent="0.5">
      <c r="D1125" s="3" t="s">
        <v>56</v>
      </c>
    </row>
    <row r="1126" spans="4:4" ht="17.649999999999999" x14ac:dyDescent="0.5">
      <c r="D1126" s="3" t="s">
        <v>68</v>
      </c>
    </row>
    <row r="1127" spans="4:4" ht="17.649999999999999" x14ac:dyDescent="0.5">
      <c r="D1127" s="3" t="s">
        <v>111</v>
      </c>
    </row>
    <row r="1128" spans="4:4" ht="17.649999999999999" x14ac:dyDescent="0.5">
      <c r="D1128" s="3" t="s">
        <v>77</v>
      </c>
    </row>
    <row r="1129" spans="4:4" ht="17.649999999999999" x14ac:dyDescent="0.5">
      <c r="D1129" s="3" t="s">
        <v>55</v>
      </c>
    </row>
    <row r="1130" spans="4:4" ht="17.649999999999999" x14ac:dyDescent="0.5">
      <c r="D1130" s="3" t="s">
        <v>46</v>
      </c>
    </row>
    <row r="1131" spans="4:4" ht="17.649999999999999" x14ac:dyDescent="0.5">
      <c r="D1131" s="3" t="s">
        <v>75</v>
      </c>
    </row>
    <row r="1132" spans="4:4" ht="17.649999999999999" x14ac:dyDescent="0.5">
      <c r="D1132" s="3" t="s">
        <v>59</v>
      </c>
    </row>
    <row r="1133" spans="4:4" ht="17.649999999999999" x14ac:dyDescent="0.5">
      <c r="D1133" s="3" t="s">
        <v>83</v>
      </c>
    </row>
    <row r="1134" spans="4:4" ht="17.649999999999999" x14ac:dyDescent="0.5">
      <c r="D1134" s="3" t="s">
        <v>94</v>
      </c>
    </row>
    <row r="1135" spans="4:4" ht="17.649999999999999" x14ac:dyDescent="0.5">
      <c r="D1135" s="3" t="s">
        <v>87</v>
      </c>
    </row>
    <row r="1136" spans="4:4" ht="17.649999999999999" x14ac:dyDescent="0.5">
      <c r="D1136" s="3" t="s">
        <v>50</v>
      </c>
    </row>
    <row r="1137" spans="4:4" ht="17.649999999999999" x14ac:dyDescent="0.5">
      <c r="D1137" s="3" t="s">
        <v>62</v>
      </c>
    </row>
    <row r="1138" spans="4:4" ht="17.649999999999999" x14ac:dyDescent="0.5">
      <c r="D1138" s="3" t="s">
        <v>55</v>
      </c>
    </row>
    <row r="1139" spans="4:4" ht="17.649999999999999" x14ac:dyDescent="0.5">
      <c r="D1139" s="3" t="s">
        <v>49</v>
      </c>
    </row>
    <row r="1140" spans="4:4" ht="17.649999999999999" x14ac:dyDescent="0.5">
      <c r="D1140" s="3" t="s">
        <v>117</v>
      </c>
    </row>
    <row r="1141" spans="4:4" ht="17.649999999999999" x14ac:dyDescent="0.5">
      <c r="D1141" s="3" t="s">
        <v>46</v>
      </c>
    </row>
    <row r="1142" spans="4:4" ht="17.649999999999999" x14ac:dyDescent="0.5">
      <c r="D1142" s="3" t="s">
        <v>56</v>
      </c>
    </row>
    <row r="1143" spans="4:4" ht="17.649999999999999" x14ac:dyDescent="0.5">
      <c r="D1143" s="3" t="s">
        <v>85</v>
      </c>
    </row>
    <row r="1144" spans="4:4" ht="17.649999999999999" x14ac:dyDescent="0.5">
      <c r="D1144" s="3" t="s">
        <v>41</v>
      </c>
    </row>
    <row r="1145" spans="4:4" ht="17.649999999999999" x14ac:dyDescent="0.5">
      <c r="D1145" s="3" t="s">
        <v>62</v>
      </c>
    </row>
    <row r="1146" spans="4:4" ht="17.649999999999999" x14ac:dyDescent="0.5">
      <c r="D1146" s="3" t="s">
        <v>94</v>
      </c>
    </row>
    <row r="1147" spans="4:4" ht="17.649999999999999" x14ac:dyDescent="0.5">
      <c r="D1147" s="3" t="s">
        <v>92</v>
      </c>
    </row>
    <row r="1148" spans="4:4" ht="17.649999999999999" x14ac:dyDescent="0.5">
      <c r="D1148" s="3" t="s">
        <v>75</v>
      </c>
    </row>
    <row r="1149" spans="4:4" ht="17.649999999999999" x14ac:dyDescent="0.5">
      <c r="D1149" s="3" t="s">
        <v>47</v>
      </c>
    </row>
    <row r="1150" spans="4:4" ht="17.649999999999999" x14ac:dyDescent="0.5">
      <c r="D1150" s="3" t="s">
        <v>55</v>
      </c>
    </row>
    <row r="1151" spans="4:4" ht="17.649999999999999" x14ac:dyDescent="0.5">
      <c r="D1151" s="3" t="s">
        <v>129</v>
      </c>
    </row>
    <row r="1152" spans="4:4" ht="17.649999999999999" x14ac:dyDescent="0.5">
      <c r="D1152" s="3" t="s">
        <v>126</v>
      </c>
    </row>
    <row r="1153" spans="4:4" ht="17.649999999999999" x14ac:dyDescent="0.5">
      <c r="D1153" s="3" t="s">
        <v>51</v>
      </c>
    </row>
    <row r="1154" spans="4:4" ht="17.649999999999999" x14ac:dyDescent="0.5">
      <c r="D1154" s="3" t="s">
        <v>77</v>
      </c>
    </row>
    <row r="1155" spans="4:4" ht="17.649999999999999" x14ac:dyDescent="0.5">
      <c r="D1155" s="3" t="s">
        <v>67</v>
      </c>
    </row>
    <row r="1156" spans="4:4" ht="17.649999999999999" x14ac:dyDescent="0.5">
      <c r="D1156" s="3" t="s">
        <v>80</v>
      </c>
    </row>
    <row r="1157" spans="4:4" ht="17.649999999999999" x14ac:dyDescent="0.5">
      <c r="D1157" s="3" t="s">
        <v>94</v>
      </c>
    </row>
    <row r="1158" spans="4:4" ht="17.649999999999999" x14ac:dyDescent="0.5">
      <c r="D1158" s="3" t="s">
        <v>92</v>
      </c>
    </row>
    <row r="1159" spans="4:4" ht="17.649999999999999" x14ac:dyDescent="0.5">
      <c r="D1159" s="3" t="s">
        <v>68</v>
      </c>
    </row>
    <row r="1160" spans="4:4" ht="17.649999999999999" x14ac:dyDescent="0.5">
      <c r="D1160" s="3" t="s">
        <v>124</v>
      </c>
    </row>
    <row r="1161" spans="4:4" ht="17.649999999999999" x14ac:dyDescent="0.5">
      <c r="D1161" s="3" t="s">
        <v>111</v>
      </c>
    </row>
    <row r="1162" spans="4:4" ht="17.649999999999999" x14ac:dyDescent="0.5">
      <c r="D1162" s="3" t="s">
        <v>134</v>
      </c>
    </row>
    <row r="1163" spans="4:4" ht="17.649999999999999" x14ac:dyDescent="0.5">
      <c r="D1163" s="3" t="s">
        <v>54</v>
      </c>
    </row>
    <row r="1164" spans="4:4" ht="17.649999999999999" x14ac:dyDescent="0.5">
      <c r="D1164" s="3" t="s">
        <v>46</v>
      </c>
    </row>
    <row r="1165" spans="4:4" ht="17.649999999999999" x14ac:dyDescent="0.5">
      <c r="D1165" s="3" t="s">
        <v>79</v>
      </c>
    </row>
    <row r="1166" spans="4:4" ht="17.649999999999999" x14ac:dyDescent="0.5">
      <c r="D1166" s="3" t="s">
        <v>44</v>
      </c>
    </row>
    <row r="1167" spans="4:4" ht="17.649999999999999" x14ac:dyDescent="0.5">
      <c r="D1167" s="3" t="s">
        <v>87</v>
      </c>
    </row>
    <row r="1168" spans="4:4" ht="17.649999999999999" x14ac:dyDescent="0.5">
      <c r="D1168" s="3" t="s">
        <v>117</v>
      </c>
    </row>
    <row r="1169" spans="4:4" ht="17.649999999999999" x14ac:dyDescent="0.5">
      <c r="D1169" s="3" t="s">
        <v>75</v>
      </c>
    </row>
    <row r="1170" spans="4:4" ht="17.649999999999999" x14ac:dyDescent="0.5">
      <c r="D1170" s="3" t="s">
        <v>46</v>
      </c>
    </row>
    <row r="1171" spans="4:4" ht="17.649999999999999" x14ac:dyDescent="0.5">
      <c r="D1171" s="3" t="s">
        <v>57</v>
      </c>
    </row>
    <row r="1172" spans="4:4" ht="17.649999999999999" x14ac:dyDescent="0.5">
      <c r="D1172" s="3" t="s">
        <v>96</v>
      </c>
    </row>
    <row r="1173" spans="4:4" ht="17.649999999999999" x14ac:dyDescent="0.5">
      <c r="D1173" s="3" t="s">
        <v>49</v>
      </c>
    </row>
    <row r="1174" spans="4:4" ht="17.649999999999999" x14ac:dyDescent="0.5">
      <c r="D1174" s="3" t="s">
        <v>66</v>
      </c>
    </row>
    <row r="1175" spans="4:4" ht="17.649999999999999" x14ac:dyDescent="0.5">
      <c r="D1175" s="3" t="s">
        <v>130</v>
      </c>
    </row>
    <row r="1176" spans="4:4" ht="17.649999999999999" x14ac:dyDescent="0.5">
      <c r="D1176" s="3" t="s">
        <v>44</v>
      </c>
    </row>
    <row r="1177" spans="4:4" ht="17.649999999999999" x14ac:dyDescent="0.5">
      <c r="D1177" s="3" t="s">
        <v>74</v>
      </c>
    </row>
    <row r="1178" spans="4:4" ht="17.649999999999999" x14ac:dyDescent="0.5">
      <c r="D1178" s="3" t="s">
        <v>105</v>
      </c>
    </row>
    <row r="1179" spans="4:4" ht="17.649999999999999" x14ac:dyDescent="0.5">
      <c r="D1179" s="3" t="s">
        <v>80</v>
      </c>
    </row>
    <row r="1180" spans="4:4" ht="17.649999999999999" x14ac:dyDescent="0.5">
      <c r="D1180" s="3" t="s">
        <v>101</v>
      </c>
    </row>
    <row r="1181" spans="4:4" ht="17.649999999999999" x14ac:dyDescent="0.5">
      <c r="D1181" s="3" t="s">
        <v>113</v>
      </c>
    </row>
    <row r="1182" spans="4:4" ht="17.649999999999999" x14ac:dyDescent="0.5">
      <c r="D1182" s="3" t="s">
        <v>91</v>
      </c>
    </row>
    <row r="1183" spans="4:4" ht="17.649999999999999" x14ac:dyDescent="0.5">
      <c r="D1183" s="3" t="s">
        <v>92</v>
      </c>
    </row>
    <row r="1184" spans="4:4" ht="17.649999999999999" x14ac:dyDescent="0.5">
      <c r="D1184" s="3" t="s">
        <v>50</v>
      </c>
    </row>
    <row r="1185" spans="4:4" ht="17.649999999999999" x14ac:dyDescent="0.5">
      <c r="D1185" s="3" t="s">
        <v>123</v>
      </c>
    </row>
    <row r="1186" spans="4:4" ht="17.649999999999999" x14ac:dyDescent="0.5">
      <c r="D1186" s="3" t="s">
        <v>46</v>
      </c>
    </row>
    <row r="1187" spans="4:4" ht="17.649999999999999" x14ac:dyDescent="0.5">
      <c r="D1187" s="3" t="s">
        <v>56</v>
      </c>
    </row>
    <row r="1188" spans="4:4" ht="17.649999999999999" x14ac:dyDescent="0.5">
      <c r="D1188" s="3" t="s">
        <v>100</v>
      </c>
    </row>
    <row r="1189" spans="4:4" ht="17.649999999999999" x14ac:dyDescent="0.5">
      <c r="D1189" s="3" t="s">
        <v>78</v>
      </c>
    </row>
    <row r="1190" spans="4:4" ht="17.649999999999999" x14ac:dyDescent="0.5">
      <c r="D1190" s="3" t="s">
        <v>56</v>
      </c>
    </row>
    <row r="1191" spans="4:4" ht="17.649999999999999" x14ac:dyDescent="0.5">
      <c r="D1191" s="3" t="s">
        <v>51</v>
      </c>
    </row>
    <row r="1192" spans="4:4" ht="17.649999999999999" x14ac:dyDescent="0.5">
      <c r="D1192" s="3" t="s">
        <v>126</v>
      </c>
    </row>
    <row r="1193" spans="4:4" ht="17.649999999999999" x14ac:dyDescent="0.5">
      <c r="D1193" s="3" t="s">
        <v>77</v>
      </c>
    </row>
    <row r="1194" spans="4:4" ht="17.649999999999999" x14ac:dyDescent="0.5">
      <c r="D1194" s="3" t="s">
        <v>50</v>
      </c>
    </row>
    <row r="1195" spans="4:4" ht="17.649999999999999" x14ac:dyDescent="0.5">
      <c r="D1195" s="3" t="s">
        <v>74</v>
      </c>
    </row>
    <row r="1196" spans="4:4" ht="17.649999999999999" x14ac:dyDescent="0.5">
      <c r="D1196" s="3" t="s">
        <v>101</v>
      </c>
    </row>
    <row r="1197" spans="4:4" ht="17.649999999999999" x14ac:dyDescent="0.5">
      <c r="D1197" s="3" t="s">
        <v>89</v>
      </c>
    </row>
    <row r="1198" spans="4:4" ht="17.649999999999999" x14ac:dyDescent="0.5">
      <c r="D1198" s="3" t="s">
        <v>83</v>
      </c>
    </row>
    <row r="1199" spans="4:4" ht="17.649999999999999" x14ac:dyDescent="0.5">
      <c r="D1199" s="3" t="s">
        <v>43</v>
      </c>
    </row>
    <row r="1200" spans="4:4" ht="17.649999999999999" x14ac:dyDescent="0.5">
      <c r="D1200" s="3" t="s">
        <v>69</v>
      </c>
    </row>
    <row r="1201" spans="4:4" ht="17.649999999999999" x14ac:dyDescent="0.5">
      <c r="D1201" s="3" t="s">
        <v>121</v>
      </c>
    </row>
    <row r="1202" spans="4:4" ht="17.649999999999999" x14ac:dyDescent="0.5">
      <c r="D1202" s="3" t="s">
        <v>41</v>
      </c>
    </row>
    <row r="1203" spans="4:4" ht="17.649999999999999" x14ac:dyDescent="0.5">
      <c r="D1203" s="3" t="s">
        <v>71</v>
      </c>
    </row>
    <row r="1204" spans="4:4" ht="17.649999999999999" x14ac:dyDescent="0.5">
      <c r="D1204" s="3" t="s">
        <v>85</v>
      </c>
    </row>
    <row r="1205" spans="4:4" ht="17.649999999999999" x14ac:dyDescent="0.5">
      <c r="D1205" s="3" t="s">
        <v>76</v>
      </c>
    </row>
    <row r="1206" spans="4:4" ht="17.649999999999999" x14ac:dyDescent="0.5">
      <c r="D1206" s="3" t="s">
        <v>101</v>
      </c>
    </row>
    <row r="1207" spans="4:4" ht="17.649999999999999" x14ac:dyDescent="0.5">
      <c r="D1207" s="3" t="s">
        <v>45</v>
      </c>
    </row>
    <row r="1208" spans="4:4" ht="17.649999999999999" x14ac:dyDescent="0.5">
      <c r="D1208" s="3" t="s">
        <v>78</v>
      </c>
    </row>
    <row r="1209" spans="4:4" ht="17.649999999999999" x14ac:dyDescent="0.5">
      <c r="D1209" s="3" t="s">
        <v>77</v>
      </c>
    </row>
    <row r="1210" spans="4:4" ht="17.649999999999999" x14ac:dyDescent="0.5">
      <c r="D1210" s="3" t="s">
        <v>69</v>
      </c>
    </row>
    <row r="1211" spans="4:4" ht="17.649999999999999" x14ac:dyDescent="0.5">
      <c r="D1211" s="3" t="s">
        <v>115</v>
      </c>
    </row>
    <row r="1212" spans="4:4" ht="17.649999999999999" x14ac:dyDescent="0.5">
      <c r="D1212" s="3" t="s">
        <v>67</v>
      </c>
    </row>
    <row r="1213" spans="4:4" ht="17.649999999999999" x14ac:dyDescent="0.5">
      <c r="D1213" s="3" t="s">
        <v>75</v>
      </c>
    </row>
    <row r="1214" spans="4:4" ht="17.649999999999999" x14ac:dyDescent="0.5">
      <c r="D1214" s="3" t="s">
        <v>105</v>
      </c>
    </row>
    <row r="1215" spans="4:4" ht="17.649999999999999" x14ac:dyDescent="0.5">
      <c r="D1215" s="3" t="s">
        <v>87</v>
      </c>
    </row>
    <row r="1216" spans="4:4" ht="17.649999999999999" x14ac:dyDescent="0.5">
      <c r="D1216" s="3" t="s">
        <v>108</v>
      </c>
    </row>
    <row r="1217" spans="4:4" ht="17.649999999999999" x14ac:dyDescent="0.5">
      <c r="D1217" s="3" t="s">
        <v>109</v>
      </c>
    </row>
    <row r="1218" spans="4:4" ht="17.649999999999999" x14ac:dyDescent="0.5">
      <c r="D1218" s="3" t="s">
        <v>66</v>
      </c>
    </row>
    <row r="1219" spans="4:4" ht="17.649999999999999" x14ac:dyDescent="0.5">
      <c r="D1219" s="3" t="s">
        <v>92</v>
      </c>
    </row>
    <row r="1220" spans="4:4" ht="17.649999999999999" x14ac:dyDescent="0.5">
      <c r="D1220" s="3" t="s">
        <v>41</v>
      </c>
    </row>
    <row r="1221" spans="4:4" ht="17.649999999999999" x14ac:dyDescent="0.5">
      <c r="D1221" s="3" t="s">
        <v>54</v>
      </c>
    </row>
    <row r="1222" spans="4:4" ht="17.649999999999999" x14ac:dyDescent="0.5">
      <c r="D1222" s="3" t="s">
        <v>65</v>
      </c>
    </row>
    <row r="1223" spans="4:4" ht="17.649999999999999" x14ac:dyDescent="0.5">
      <c r="D1223" s="3" t="s">
        <v>97</v>
      </c>
    </row>
    <row r="1224" spans="4:4" ht="17.649999999999999" x14ac:dyDescent="0.5">
      <c r="D1224" s="3" t="s">
        <v>112</v>
      </c>
    </row>
    <row r="1225" spans="4:4" ht="17.649999999999999" x14ac:dyDescent="0.5">
      <c r="D1225" s="3" t="s">
        <v>90</v>
      </c>
    </row>
    <row r="1226" spans="4:4" ht="17.649999999999999" x14ac:dyDescent="0.5">
      <c r="D1226" s="3" t="s">
        <v>45</v>
      </c>
    </row>
    <row r="1227" spans="4:4" ht="17.649999999999999" x14ac:dyDescent="0.5">
      <c r="D1227" s="3" t="s">
        <v>63</v>
      </c>
    </row>
    <row r="1228" spans="4:4" ht="17.649999999999999" x14ac:dyDescent="0.5">
      <c r="D1228" s="3" t="s">
        <v>118</v>
      </c>
    </row>
    <row r="1229" spans="4:4" ht="17.649999999999999" x14ac:dyDescent="0.5">
      <c r="D1229" s="3" t="s">
        <v>49</v>
      </c>
    </row>
    <row r="1230" spans="4:4" ht="17.649999999999999" x14ac:dyDescent="0.5">
      <c r="D1230" s="3" t="s">
        <v>50</v>
      </c>
    </row>
    <row r="1231" spans="4:4" ht="17.649999999999999" x14ac:dyDescent="0.5">
      <c r="D1231" s="3" t="s">
        <v>53</v>
      </c>
    </row>
    <row r="1232" spans="4:4" ht="17.649999999999999" x14ac:dyDescent="0.5">
      <c r="D1232" s="3" t="s">
        <v>98</v>
      </c>
    </row>
    <row r="1233" spans="4:4" ht="17.649999999999999" x14ac:dyDescent="0.5">
      <c r="D1233" s="3" t="s">
        <v>66</v>
      </c>
    </row>
    <row r="1234" spans="4:4" ht="17.649999999999999" x14ac:dyDescent="0.5">
      <c r="D1234" s="3" t="s">
        <v>41</v>
      </c>
    </row>
    <row r="1235" spans="4:4" ht="17.649999999999999" x14ac:dyDescent="0.5">
      <c r="D1235" s="3" t="s">
        <v>79</v>
      </c>
    </row>
    <row r="1236" spans="4:4" ht="17.649999999999999" x14ac:dyDescent="0.5">
      <c r="D1236" s="3" t="s">
        <v>112</v>
      </c>
    </row>
    <row r="1237" spans="4:4" ht="17.649999999999999" x14ac:dyDescent="0.5">
      <c r="D1237" s="3" t="s">
        <v>129</v>
      </c>
    </row>
    <row r="1238" spans="4:4" ht="17.649999999999999" x14ac:dyDescent="0.5">
      <c r="D1238" s="3" t="s">
        <v>101</v>
      </c>
    </row>
    <row r="1239" spans="4:4" ht="17.649999999999999" x14ac:dyDescent="0.5">
      <c r="D1239" s="3" t="s">
        <v>47</v>
      </c>
    </row>
    <row r="1240" spans="4:4" ht="17.649999999999999" x14ac:dyDescent="0.5">
      <c r="D1240" s="3" t="s">
        <v>67</v>
      </c>
    </row>
    <row r="1241" spans="4:4" ht="17.649999999999999" x14ac:dyDescent="0.5">
      <c r="D1241" s="3" t="s">
        <v>87</v>
      </c>
    </row>
    <row r="1242" spans="4:4" ht="17.649999999999999" x14ac:dyDescent="0.5">
      <c r="D1242" s="3" t="s">
        <v>64</v>
      </c>
    </row>
    <row r="1243" spans="4:4" ht="17.649999999999999" x14ac:dyDescent="0.5">
      <c r="D1243" s="3" t="s">
        <v>80</v>
      </c>
    </row>
    <row r="1244" spans="4:4" ht="17.649999999999999" x14ac:dyDescent="0.5">
      <c r="D1244" s="3" t="s">
        <v>104</v>
      </c>
    </row>
    <row r="1245" spans="4:4" ht="17.649999999999999" x14ac:dyDescent="0.5">
      <c r="D1245" s="3" t="s">
        <v>128</v>
      </c>
    </row>
    <row r="1246" spans="4:4" ht="17.649999999999999" x14ac:dyDescent="0.5">
      <c r="D1246" s="3" t="s">
        <v>69</v>
      </c>
    </row>
    <row r="1247" spans="4:4" ht="17.649999999999999" x14ac:dyDescent="0.5">
      <c r="D1247" s="3" t="s">
        <v>101</v>
      </c>
    </row>
    <row r="1248" spans="4:4" ht="17.649999999999999" x14ac:dyDescent="0.5">
      <c r="D1248" s="3" t="s">
        <v>116</v>
      </c>
    </row>
    <row r="1249" spans="4:4" ht="17.649999999999999" x14ac:dyDescent="0.5">
      <c r="D1249" s="3" t="s">
        <v>46</v>
      </c>
    </row>
    <row r="1250" spans="4:4" ht="17.649999999999999" x14ac:dyDescent="0.5">
      <c r="D1250" s="3" t="s">
        <v>66</v>
      </c>
    </row>
    <row r="1251" spans="4:4" ht="17.649999999999999" x14ac:dyDescent="0.5">
      <c r="D1251" s="3" t="s">
        <v>131</v>
      </c>
    </row>
    <row r="1252" spans="4:4" ht="17.649999999999999" x14ac:dyDescent="0.5">
      <c r="D1252" s="3" t="s">
        <v>54</v>
      </c>
    </row>
    <row r="1253" spans="4:4" ht="17.649999999999999" x14ac:dyDescent="0.5">
      <c r="D1253" s="3" t="s">
        <v>41</v>
      </c>
    </row>
    <row r="1254" spans="4:4" ht="17.649999999999999" x14ac:dyDescent="0.5">
      <c r="D1254" s="3" t="s">
        <v>52</v>
      </c>
    </row>
    <row r="1255" spans="4:4" ht="17.649999999999999" x14ac:dyDescent="0.5">
      <c r="D1255" s="3" t="s">
        <v>81</v>
      </c>
    </row>
    <row r="1256" spans="4:4" ht="17.649999999999999" x14ac:dyDescent="0.5">
      <c r="D1256" s="3" t="s">
        <v>46</v>
      </c>
    </row>
    <row r="1257" spans="4:4" ht="17.649999999999999" x14ac:dyDescent="0.5">
      <c r="D1257" s="3" t="s">
        <v>63</v>
      </c>
    </row>
    <row r="1258" spans="4:4" ht="17.649999999999999" x14ac:dyDescent="0.5">
      <c r="D1258" s="3" t="s">
        <v>96</v>
      </c>
    </row>
    <row r="1259" spans="4:4" ht="17.649999999999999" x14ac:dyDescent="0.5">
      <c r="D1259" s="3" t="s">
        <v>79</v>
      </c>
    </row>
    <row r="1260" spans="4:4" ht="17.649999999999999" x14ac:dyDescent="0.5">
      <c r="D1260" s="3" t="s">
        <v>54</v>
      </c>
    </row>
    <row r="1261" spans="4:4" ht="17.649999999999999" x14ac:dyDescent="0.5">
      <c r="D1261" s="3" t="s">
        <v>53</v>
      </c>
    </row>
    <row r="1262" spans="4:4" ht="17.649999999999999" x14ac:dyDescent="0.5">
      <c r="D1262" s="3" t="s">
        <v>50</v>
      </c>
    </row>
    <row r="1263" spans="4:4" ht="17.649999999999999" x14ac:dyDescent="0.5">
      <c r="D1263" s="3" t="s">
        <v>99</v>
      </c>
    </row>
    <row r="1264" spans="4:4" ht="17.649999999999999" x14ac:dyDescent="0.5">
      <c r="D1264" s="3" t="s">
        <v>105</v>
      </c>
    </row>
    <row r="1265" spans="4:4" ht="17.649999999999999" x14ac:dyDescent="0.5">
      <c r="D1265" s="3" t="s">
        <v>92</v>
      </c>
    </row>
    <row r="1266" spans="4:4" ht="17.649999999999999" x14ac:dyDescent="0.5">
      <c r="D1266" s="3" t="s">
        <v>56</v>
      </c>
    </row>
    <row r="1267" spans="4:4" ht="17.649999999999999" x14ac:dyDescent="0.5">
      <c r="D1267" s="3" t="s">
        <v>73</v>
      </c>
    </row>
    <row r="1268" spans="4:4" ht="17.649999999999999" x14ac:dyDescent="0.5">
      <c r="D1268" s="3" t="s">
        <v>43</v>
      </c>
    </row>
    <row r="1269" spans="4:4" ht="17.649999999999999" x14ac:dyDescent="0.5">
      <c r="D1269" s="3" t="s">
        <v>87</v>
      </c>
    </row>
    <row r="1270" spans="4:4" ht="17.649999999999999" x14ac:dyDescent="0.5">
      <c r="D1270" s="3" t="s">
        <v>122</v>
      </c>
    </row>
    <row r="1271" spans="4:4" ht="17.649999999999999" x14ac:dyDescent="0.5">
      <c r="D1271" s="3" t="s">
        <v>96</v>
      </c>
    </row>
    <row r="1272" spans="4:4" ht="17.649999999999999" x14ac:dyDescent="0.5">
      <c r="D1272" s="3" t="s">
        <v>74</v>
      </c>
    </row>
    <row r="1273" spans="4:4" ht="17.649999999999999" x14ac:dyDescent="0.5">
      <c r="D1273" s="3" t="s">
        <v>53</v>
      </c>
    </row>
    <row r="1274" spans="4:4" ht="17.649999999999999" x14ac:dyDescent="0.5">
      <c r="D1274" s="3" t="s">
        <v>52</v>
      </c>
    </row>
    <row r="1275" spans="4:4" ht="17.649999999999999" x14ac:dyDescent="0.5">
      <c r="D1275" s="3" t="s">
        <v>130</v>
      </c>
    </row>
    <row r="1276" spans="4:4" ht="17.649999999999999" x14ac:dyDescent="0.5">
      <c r="D1276" s="3" t="s">
        <v>69</v>
      </c>
    </row>
    <row r="1277" spans="4:4" ht="17.649999999999999" x14ac:dyDescent="0.5">
      <c r="D1277" s="3" t="s">
        <v>135</v>
      </c>
    </row>
    <row r="1278" spans="4:4" ht="17.649999999999999" x14ac:dyDescent="0.5">
      <c r="D1278" s="3" t="s">
        <v>53</v>
      </c>
    </row>
    <row r="1279" spans="4:4" ht="17.649999999999999" x14ac:dyDescent="0.5">
      <c r="D1279" s="3" t="s">
        <v>125</v>
      </c>
    </row>
    <row r="1280" spans="4:4" ht="17.649999999999999" x14ac:dyDescent="0.5">
      <c r="D1280" s="3" t="s">
        <v>115</v>
      </c>
    </row>
    <row r="1281" spans="4:4" ht="17.649999999999999" x14ac:dyDescent="0.5">
      <c r="D1281" s="3" t="s">
        <v>79</v>
      </c>
    </row>
    <row r="1282" spans="4:4" ht="17.649999999999999" x14ac:dyDescent="0.5">
      <c r="D1282" s="3" t="s">
        <v>78</v>
      </c>
    </row>
    <row r="1283" spans="4:4" ht="17.649999999999999" x14ac:dyDescent="0.5">
      <c r="D1283" s="3" t="s">
        <v>68</v>
      </c>
    </row>
    <row r="1284" spans="4:4" ht="17.649999999999999" x14ac:dyDescent="0.5">
      <c r="D1284" s="3" t="s">
        <v>129</v>
      </c>
    </row>
    <row r="1285" spans="4:4" ht="17.649999999999999" x14ac:dyDescent="0.5">
      <c r="D1285" s="3" t="s">
        <v>105</v>
      </c>
    </row>
    <row r="1286" spans="4:4" ht="17.649999999999999" x14ac:dyDescent="0.5">
      <c r="D1286" s="3" t="s">
        <v>44</v>
      </c>
    </row>
    <row r="1287" spans="4:4" ht="17.649999999999999" x14ac:dyDescent="0.5">
      <c r="D1287" s="3" t="s">
        <v>42</v>
      </c>
    </row>
    <row r="1288" spans="4:4" ht="17.649999999999999" x14ac:dyDescent="0.5">
      <c r="D1288" s="3" t="s">
        <v>117</v>
      </c>
    </row>
    <row r="1289" spans="4:4" ht="17.649999999999999" x14ac:dyDescent="0.5">
      <c r="D1289" s="3" t="s">
        <v>47</v>
      </c>
    </row>
    <row r="1290" spans="4:4" ht="17.649999999999999" x14ac:dyDescent="0.5">
      <c r="D1290" s="3" t="s">
        <v>73</v>
      </c>
    </row>
    <row r="1291" spans="4:4" ht="17.649999999999999" x14ac:dyDescent="0.5">
      <c r="D1291" s="3" t="s">
        <v>69</v>
      </c>
    </row>
    <row r="1292" spans="4:4" ht="17.649999999999999" x14ac:dyDescent="0.5">
      <c r="D1292" s="3" t="s">
        <v>52</v>
      </c>
    </row>
    <row r="1293" spans="4:4" ht="17.649999999999999" x14ac:dyDescent="0.5">
      <c r="D1293" s="3" t="s">
        <v>80</v>
      </c>
    </row>
    <row r="1294" spans="4:4" ht="17.649999999999999" x14ac:dyDescent="0.5">
      <c r="D1294" s="3" t="s">
        <v>100</v>
      </c>
    </row>
    <row r="1295" spans="4:4" ht="17.649999999999999" x14ac:dyDescent="0.5">
      <c r="D1295" s="3" t="s">
        <v>44</v>
      </c>
    </row>
    <row r="1296" spans="4:4" ht="17.649999999999999" x14ac:dyDescent="0.5">
      <c r="D1296" s="3" t="s">
        <v>115</v>
      </c>
    </row>
    <row r="1297" spans="4:4" ht="17.649999999999999" x14ac:dyDescent="0.5">
      <c r="D1297" s="3" t="s">
        <v>67</v>
      </c>
    </row>
    <row r="1298" spans="4:4" ht="17.649999999999999" x14ac:dyDescent="0.5">
      <c r="D1298" s="3" t="s">
        <v>95</v>
      </c>
    </row>
    <row r="1299" spans="4:4" ht="17.649999999999999" x14ac:dyDescent="0.5">
      <c r="D1299" s="3" t="s">
        <v>133</v>
      </c>
    </row>
    <row r="1300" spans="4:4" ht="17.649999999999999" x14ac:dyDescent="0.5">
      <c r="D1300" s="3" t="s">
        <v>85</v>
      </c>
    </row>
    <row r="1301" spans="4:4" ht="17.649999999999999" x14ac:dyDescent="0.5">
      <c r="D1301" s="3" t="s">
        <v>53</v>
      </c>
    </row>
    <row r="1302" spans="4:4" ht="17.649999999999999" x14ac:dyDescent="0.5">
      <c r="D1302" s="3" t="s">
        <v>96</v>
      </c>
    </row>
    <row r="1303" spans="4:4" ht="17.649999999999999" x14ac:dyDescent="0.5">
      <c r="D1303" s="3" t="s">
        <v>89</v>
      </c>
    </row>
    <row r="1304" spans="4:4" ht="17.649999999999999" x14ac:dyDescent="0.5">
      <c r="D1304" s="3" t="s">
        <v>51</v>
      </c>
    </row>
    <row r="1305" spans="4:4" ht="17.649999999999999" x14ac:dyDescent="0.5">
      <c r="D1305" s="3" t="s">
        <v>105</v>
      </c>
    </row>
    <row r="1306" spans="4:4" ht="17.649999999999999" x14ac:dyDescent="0.5">
      <c r="D1306" s="3" t="s">
        <v>69</v>
      </c>
    </row>
    <row r="1307" spans="4:4" ht="17.649999999999999" x14ac:dyDescent="0.5">
      <c r="D1307" s="3" t="s">
        <v>57</v>
      </c>
    </row>
    <row r="1308" spans="4:4" ht="17.649999999999999" x14ac:dyDescent="0.5">
      <c r="D1308" s="3" t="s">
        <v>55</v>
      </c>
    </row>
    <row r="1309" spans="4:4" ht="17.649999999999999" x14ac:dyDescent="0.5">
      <c r="D1309" s="3" t="s">
        <v>98</v>
      </c>
    </row>
    <row r="1310" spans="4:4" ht="17.649999999999999" x14ac:dyDescent="0.5">
      <c r="D1310" s="3" t="s">
        <v>51</v>
      </c>
    </row>
    <row r="1311" spans="4:4" ht="17.649999999999999" x14ac:dyDescent="0.5">
      <c r="D1311" s="3" t="s">
        <v>102</v>
      </c>
    </row>
    <row r="1312" spans="4:4" ht="17.649999999999999" x14ac:dyDescent="0.5">
      <c r="D1312" s="3" t="s">
        <v>85</v>
      </c>
    </row>
    <row r="1313" spans="4:4" ht="17.649999999999999" x14ac:dyDescent="0.5">
      <c r="D1313" s="3" t="s">
        <v>92</v>
      </c>
    </row>
    <row r="1314" spans="4:4" ht="17.649999999999999" x14ac:dyDescent="0.5">
      <c r="D1314" s="3" t="s">
        <v>94</v>
      </c>
    </row>
    <row r="1315" spans="4:4" ht="17.649999999999999" x14ac:dyDescent="0.5">
      <c r="D1315" s="3" t="s">
        <v>119</v>
      </c>
    </row>
    <row r="1316" spans="4:4" ht="17.649999999999999" x14ac:dyDescent="0.5">
      <c r="D1316" s="3" t="s">
        <v>87</v>
      </c>
    </row>
    <row r="1317" spans="4:4" ht="17.649999999999999" x14ac:dyDescent="0.5">
      <c r="D1317" s="3" t="s">
        <v>68</v>
      </c>
    </row>
    <row r="1318" spans="4:4" ht="17.649999999999999" x14ac:dyDescent="0.5">
      <c r="D1318" s="3" t="s">
        <v>101</v>
      </c>
    </row>
    <row r="1319" spans="4:4" ht="17.649999999999999" x14ac:dyDescent="0.5">
      <c r="D1319" s="3" t="s">
        <v>77</v>
      </c>
    </row>
    <row r="1320" spans="4:4" ht="17.649999999999999" x14ac:dyDescent="0.5">
      <c r="D1320" s="3" t="s">
        <v>117</v>
      </c>
    </row>
    <row r="1321" spans="4:4" ht="17.649999999999999" x14ac:dyDescent="0.5">
      <c r="D1321" s="3" t="s">
        <v>90</v>
      </c>
    </row>
    <row r="1322" spans="4:4" ht="17.649999999999999" x14ac:dyDescent="0.5">
      <c r="D1322" s="3" t="s">
        <v>133</v>
      </c>
    </row>
    <row r="1323" spans="4:4" ht="17.649999999999999" x14ac:dyDescent="0.5">
      <c r="D1323" s="3" t="s">
        <v>66</v>
      </c>
    </row>
    <row r="1324" spans="4:4" ht="17.649999999999999" x14ac:dyDescent="0.5">
      <c r="D1324" s="3" t="s">
        <v>83</v>
      </c>
    </row>
    <row r="1325" spans="4:4" ht="17.649999999999999" x14ac:dyDescent="0.5">
      <c r="D1325" s="3" t="s">
        <v>118</v>
      </c>
    </row>
    <row r="1326" spans="4:4" ht="17.649999999999999" x14ac:dyDescent="0.5">
      <c r="D1326" s="3" t="s">
        <v>115</v>
      </c>
    </row>
    <row r="1327" spans="4:4" ht="17.649999999999999" x14ac:dyDescent="0.5">
      <c r="D1327" s="3" t="s">
        <v>92</v>
      </c>
    </row>
    <row r="1328" spans="4:4" ht="17.649999999999999" x14ac:dyDescent="0.5">
      <c r="D1328" s="3" t="s">
        <v>79</v>
      </c>
    </row>
    <row r="1329" spans="4:4" ht="17.649999999999999" x14ac:dyDescent="0.5">
      <c r="D1329" s="3" t="s">
        <v>107</v>
      </c>
    </row>
    <row r="1330" spans="4:4" ht="17.649999999999999" x14ac:dyDescent="0.5">
      <c r="D1330" s="3" t="s">
        <v>50</v>
      </c>
    </row>
    <row r="1331" spans="4:4" ht="17.649999999999999" x14ac:dyDescent="0.5">
      <c r="D1331" s="3" t="s">
        <v>98</v>
      </c>
    </row>
    <row r="1332" spans="4:4" ht="17.649999999999999" x14ac:dyDescent="0.5">
      <c r="D1332" s="3" t="s">
        <v>94</v>
      </c>
    </row>
    <row r="1333" spans="4:4" ht="17.649999999999999" x14ac:dyDescent="0.5">
      <c r="D1333" s="3" t="s">
        <v>131</v>
      </c>
    </row>
    <row r="1334" spans="4:4" ht="17.649999999999999" x14ac:dyDescent="0.5">
      <c r="D1334" s="3" t="s">
        <v>87</v>
      </c>
    </row>
    <row r="1335" spans="4:4" ht="17.649999999999999" x14ac:dyDescent="0.5">
      <c r="D1335" s="3" t="s">
        <v>78</v>
      </c>
    </row>
    <row r="1336" spans="4:4" ht="17.649999999999999" x14ac:dyDescent="0.5">
      <c r="D1336" s="3" t="s">
        <v>117</v>
      </c>
    </row>
    <row r="1337" spans="4:4" ht="17.649999999999999" x14ac:dyDescent="0.5">
      <c r="D1337" s="3" t="s">
        <v>79</v>
      </c>
    </row>
    <row r="1338" spans="4:4" ht="17.649999999999999" x14ac:dyDescent="0.5">
      <c r="D1338" s="3" t="s">
        <v>67</v>
      </c>
    </row>
    <row r="1339" spans="4:4" ht="17.649999999999999" x14ac:dyDescent="0.5">
      <c r="D1339" s="3" t="s">
        <v>51</v>
      </c>
    </row>
    <row r="1340" spans="4:4" ht="17.649999999999999" x14ac:dyDescent="0.5">
      <c r="D1340" s="3" t="s">
        <v>47</v>
      </c>
    </row>
    <row r="1341" spans="4:4" ht="17.649999999999999" x14ac:dyDescent="0.5">
      <c r="D1341" s="3" t="s">
        <v>56</v>
      </c>
    </row>
    <row r="1342" spans="4:4" ht="17.649999999999999" x14ac:dyDescent="0.5">
      <c r="D1342" s="3" t="s">
        <v>104</v>
      </c>
    </row>
    <row r="1343" spans="4:4" ht="17.649999999999999" x14ac:dyDescent="0.5">
      <c r="D1343" s="3" t="s">
        <v>125</v>
      </c>
    </row>
    <row r="1344" spans="4:4" ht="17.649999999999999" x14ac:dyDescent="0.5">
      <c r="D1344" s="3" t="s">
        <v>100</v>
      </c>
    </row>
    <row r="1345" spans="4:4" ht="17.649999999999999" x14ac:dyDescent="0.5">
      <c r="D1345" s="3" t="s">
        <v>52</v>
      </c>
    </row>
    <row r="1346" spans="4:4" ht="17.649999999999999" x14ac:dyDescent="0.5">
      <c r="D1346" s="3" t="s">
        <v>80</v>
      </c>
    </row>
    <row r="1347" spans="4:4" ht="17.649999999999999" x14ac:dyDescent="0.5">
      <c r="D1347" s="3" t="s">
        <v>77</v>
      </c>
    </row>
    <row r="1348" spans="4:4" ht="17.649999999999999" x14ac:dyDescent="0.5">
      <c r="D1348" s="3" t="s">
        <v>116</v>
      </c>
    </row>
    <row r="1349" spans="4:4" ht="17.649999999999999" x14ac:dyDescent="0.5">
      <c r="D1349" s="3" t="s">
        <v>61</v>
      </c>
    </row>
    <row r="1350" spans="4:4" ht="17.649999999999999" x14ac:dyDescent="0.5">
      <c r="D1350" s="3" t="s">
        <v>49</v>
      </c>
    </row>
    <row r="1351" spans="4:4" ht="17.649999999999999" x14ac:dyDescent="0.5">
      <c r="D1351" s="3" t="s">
        <v>106</v>
      </c>
    </row>
    <row r="1352" spans="4:4" ht="17.649999999999999" x14ac:dyDescent="0.5">
      <c r="D1352" s="3" t="s">
        <v>63</v>
      </c>
    </row>
    <row r="1353" spans="4:4" ht="17.649999999999999" x14ac:dyDescent="0.5">
      <c r="D1353" s="3" t="s">
        <v>64</v>
      </c>
    </row>
    <row r="1354" spans="4:4" ht="17.649999999999999" x14ac:dyDescent="0.5">
      <c r="D1354" s="3" t="s">
        <v>103</v>
      </c>
    </row>
    <row r="1355" spans="4:4" ht="17.649999999999999" x14ac:dyDescent="0.5">
      <c r="D1355" s="3" t="s">
        <v>83</v>
      </c>
    </row>
    <row r="1356" spans="4:4" ht="17.649999999999999" x14ac:dyDescent="0.5">
      <c r="D1356" s="3" t="s">
        <v>56</v>
      </c>
    </row>
    <row r="1357" spans="4:4" ht="17.649999999999999" x14ac:dyDescent="0.5">
      <c r="D1357" s="3" t="s">
        <v>51</v>
      </c>
    </row>
    <row r="1358" spans="4:4" ht="17.649999999999999" x14ac:dyDescent="0.5">
      <c r="D1358" s="3" t="s">
        <v>117</v>
      </c>
    </row>
    <row r="1359" spans="4:4" ht="17.649999999999999" x14ac:dyDescent="0.5">
      <c r="D1359" s="3" t="s">
        <v>107</v>
      </c>
    </row>
    <row r="1360" spans="4:4" ht="17.649999999999999" x14ac:dyDescent="0.5">
      <c r="D1360" s="3" t="s">
        <v>90</v>
      </c>
    </row>
    <row r="1361" spans="4:4" ht="17.649999999999999" x14ac:dyDescent="0.5">
      <c r="D1361" s="3" t="s">
        <v>65</v>
      </c>
    </row>
    <row r="1362" spans="4:4" ht="17.649999999999999" x14ac:dyDescent="0.5">
      <c r="D1362" s="3" t="s">
        <v>75</v>
      </c>
    </row>
    <row r="1363" spans="4:4" ht="17.649999999999999" x14ac:dyDescent="0.5">
      <c r="D1363" s="3" t="s">
        <v>43</v>
      </c>
    </row>
    <row r="1364" spans="4:4" ht="17.649999999999999" x14ac:dyDescent="0.5">
      <c r="D1364" s="3" t="s">
        <v>43</v>
      </c>
    </row>
    <row r="1365" spans="4:4" ht="17.649999999999999" x14ac:dyDescent="0.5">
      <c r="D1365" s="3" t="s">
        <v>63</v>
      </c>
    </row>
    <row r="1366" spans="4:4" ht="17.649999999999999" x14ac:dyDescent="0.5">
      <c r="D1366" s="3" t="s">
        <v>55</v>
      </c>
    </row>
    <row r="1367" spans="4:4" ht="17.649999999999999" x14ac:dyDescent="0.5">
      <c r="D1367" s="3" t="s">
        <v>112</v>
      </c>
    </row>
    <row r="1368" spans="4:4" ht="17.649999999999999" x14ac:dyDescent="0.5">
      <c r="D1368" s="3" t="s">
        <v>127</v>
      </c>
    </row>
    <row r="1369" spans="4:4" ht="17.649999999999999" x14ac:dyDescent="0.5">
      <c r="D1369" s="3" t="s">
        <v>101</v>
      </c>
    </row>
    <row r="1370" spans="4:4" ht="17.649999999999999" x14ac:dyDescent="0.5">
      <c r="D1370" s="3" t="s">
        <v>77</v>
      </c>
    </row>
    <row r="1371" spans="4:4" ht="17.649999999999999" x14ac:dyDescent="0.5">
      <c r="D1371" s="3" t="s">
        <v>115</v>
      </c>
    </row>
    <row r="1372" spans="4:4" ht="17.649999999999999" x14ac:dyDescent="0.5">
      <c r="D1372" s="3" t="s">
        <v>95</v>
      </c>
    </row>
    <row r="1373" spans="4:4" ht="17.649999999999999" x14ac:dyDescent="0.5">
      <c r="D1373" s="3" t="s">
        <v>99</v>
      </c>
    </row>
    <row r="1374" spans="4:4" ht="17.649999999999999" x14ac:dyDescent="0.5">
      <c r="D1374" s="3" t="s">
        <v>83</v>
      </c>
    </row>
    <row r="1375" spans="4:4" ht="17.649999999999999" x14ac:dyDescent="0.5">
      <c r="D1375" s="3" t="s">
        <v>107</v>
      </c>
    </row>
    <row r="1376" spans="4:4" ht="17.649999999999999" x14ac:dyDescent="0.5">
      <c r="D1376" s="3" t="s">
        <v>70</v>
      </c>
    </row>
    <row r="1377" spans="4:4" ht="17.649999999999999" x14ac:dyDescent="0.5">
      <c r="D1377" s="3" t="s">
        <v>83</v>
      </c>
    </row>
    <row r="1378" spans="4:4" ht="17.649999999999999" x14ac:dyDescent="0.5">
      <c r="D1378" s="3" t="s">
        <v>94</v>
      </c>
    </row>
    <row r="1379" spans="4:4" ht="17.649999999999999" x14ac:dyDescent="0.5">
      <c r="D1379" s="3" t="s">
        <v>64</v>
      </c>
    </row>
    <row r="1380" spans="4:4" ht="17.649999999999999" x14ac:dyDescent="0.5">
      <c r="D1380" s="3" t="s">
        <v>113</v>
      </c>
    </row>
    <row r="1381" spans="4:4" ht="17.649999999999999" x14ac:dyDescent="0.5">
      <c r="D1381" s="3" t="s">
        <v>87</v>
      </c>
    </row>
    <row r="1382" spans="4:4" ht="17.649999999999999" x14ac:dyDescent="0.5">
      <c r="D1382" s="3" t="s">
        <v>85</v>
      </c>
    </row>
    <row r="1383" spans="4:4" ht="17.649999999999999" x14ac:dyDescent="0.5">
      <c r="D1383" s="3" t="s">
        <v>96</v>
      </c>
    </row>
    <row r="1384" spans="4:4" ht="17.649999999999999" x14ac:dyDescent="0.5">
      <c r="D1384" s="3" t="s">
        <v>55</v>
      </c>
    </row>
    <row r="1385" spans="4:4" ht="17.649999999999999" x14ac:dyDescent="0.5">
      <c r="D1385" s="3" t="s">
        <v>54</v>
      </c>
    </row>
    <row r="1386" spans="4:4" ht="17.649999999999999" x14ac:dyDescent="0.5">
      <c r="D1386" s="3" t="s">
        <v>87</v>
      </c>
    </row>
    <row r="1387" spans="4:4" ht="17.649999999999999" x14ac:dyDescent="0.5">
      <c r="D1387" s="3" t="s">
        <v>78</v>
      </c>
    </row>
    <row r="1388" spans="4:4" ht="17.649999999999999" x14ac:dyDescent="0.5">
      <c r="D1388" s="3" t="s">
        <v>109</v>
      </c>
    </row>
    <row r="1389" spans="4:4" ht="17.649999999999999" x14ac:dyDescent="0.5">
      <c r="D1389" s="3" t="s">
        <v>124</v>
      </c>
    </row>
    <row r="1390" spans="4:4" ht="17.649999999999999" x14ac:dyDescent="0.5">
      <c r="D1390" s="3" t="s">
        <v>105</v>
      </c>
    </row>
    <row r="1391" spans="4:4" ht="17.649999999999999" x14ac:dyDescent="0.5">
      <c r="D1391" s="3" t="s">
        <v>72</v>
      </c>
    </row>
    <row r="1392" spans="4:4" ht="17.649999999999999" x14ac:dyDescent="0.5">
      <c r="D1392" s="3" t="s">
        <v>130</v>
      </c>
    </row>
    <row r="1393" spans="4:4" ht="17.649999999999999" x14ac:dyDescent="0.5">
      <c r="D1393" s="3" t="s">
        <v>125</v>
      </c>
    </row>
    <row r="1394" spans="4:4" ht="17.649999999999999" x14ac:dyDescent="0.5">
      <c r="D1394" s="3" t="s">
        <v>41</v>
      </c>
    </row>
    <row r="1395" spans="4:4" ht="17.649999999999999" x14ac:dyDescent="0.5">
      <c r="D1395" s="3" t="s">
        <v>71</v>
      </c>
    </row>
    <row r="1396" spans="4:4" ht="17.649999999999999" x14ac:dyDescent="0.5">
      <c r="D1396" s="3" t="s">
        <v>114</v>
      </c>
    </row>
    <row r="1397" spans="4:4" ht="17.649999999999999" x14ac:dyDescent="0.5">
      <c r="D1397" s="3" t="s">
        <v>61</v>
      </c>
    </row>
    <row r="1398" spans="4:4" ht="17.649999999999999" x14ac:dyDescent="0.5">
      <c r="D1398" s="3" t="s">
        <v>81</v>
      </c>
    </row>
    <row r="1399" spans="4:4" ht="17.649999999999999" x14ac:dyDescent="0.5">
      <c r="D1399" s="3" t="s">
        <v>98</v>
      </c>
    </row>
    <row r="1400" spans="4:4" ht="17.649999999999999" x14ac:dyDescent="0.5">
      <c r="D1400" s="3" t="s">
        <v>74</v>
      </c>
    </row>
    <row r="1401" spans="4:4" ht="17.649999999999999" x14ac:dyDescent="0.5">
      <c r="D1401" s="3" t="s">
        <v>103</v>
      </c>
    </row>
    <row r="1402" spans="4:4" ht="17.649999999999999" x14ac:dyDescent="0.5">
      <c r="D1402" s="3" t="s">
        <v>55</v>
      </c>
    </row>
    <row r="1403" spans="4:4" ht="17.649999999999999" x14ac:dyDescent="0.5">
      <c r="D1403" s="3" t="s">
        <v>68</v>
      </c>
    </row>
    <row r="1404" spans="4:4" ht="17.649999999999999" x14ac:dyDescent="0.5">
      <c r="D1404" s="3" t="s">
        <v>53</v>
      </c>
    </row>
    <row r="1405" spans="4:4" ht="17.649999999999999" x14ac:dyDescent="0.5">
      <c r="D1405" s="3" t="s">
        <v>91</v>
      </c>
    </row>
    <row r="1406" spans="4:4" ht="17.649999999999999" x14ac:dyDescent="0.5">
      <c r="D1406" s="3" t="s">
        <v>85</v>
      </c>
    </row>
    <row r="1407" spans="4:4" ht="17.649999999999999" x14ac:dyDescent="0.5">
      <c r="D1407" s="3" t="s">
        <v>65</v>
      </c>
    </row>
    <row r="1408" spans="4:4" ht="17.649999999999999" x14ac:dyDescent="0.5">
      <c r="D1408" s="3" t="s">
        <v>104</v>
      </c>
    </row>
    <row r="1409" spans="4:4" ht="17.649999999999999" x14ac:dyDescent="0.5">
      <c r="D1409" s="3" t="s">
        <v>123</v>
      </c>
    </row>
    <row r="1410" spans="4:4" ht="17.649999999999999" x14ac:dyDescent="0.5">
      <c r="D1410" s="3" t="s">
        <v>85</v>
      </c>
    </row>
    <row r="1411" spans="4:4" ht="17.649999999999999" x14ac:dyDescent="0.5">
      <c r="D1411" s="3" t="s">
        <v>48</v>
      </c>
    </row>
    <row r="1412" spans="4:4" ht="17.649999999999999" x14ac:dyDescent="0.5">
      <c r="D1412" s="3" t="s">
        <v>55</v>
      </c>
    </row>
    <row r="1413" spans="4:4" ht="17.649999999999999" x14ac:dyDescent="0.5">
      <c r="D1413" s="3" t="s">
        <v>91</v>
      </c>
    </row>
    <row r="1414" spans="4:4" ht="17.649999999999999" x14ac:dyDescent="0.5">
      <c r="D1414" s="3" t="s">
        <v>49</v>
      </c>
    </row>
    <row r="1415" spans="4:4" ht="17.649999999999999" x14ac:dyDescent="0.5">
      <c r="D1415" s="3" t="s">
        <v>116</v>
      </c>
    </row>
    <row r="1416" spans="4:4" ht="17.649999999999999" x14ac:dyDescent="0.5">
      <c r="D1416" s="3" t="s">
        <v>115</v>
      </c>
    </row>
    <row r="1417" spans="4:4" ht="17.649999999999999" x14ac:dyDescent="0.5">
      <c r="D1417" s="3" t="s">
        <v>43</v>
      </c>
    </row>
    <row r="1418" spans="4:4" ht="17.649999999999999" x14ac:dyDescent="0.5">
      <c r="D1418" s="3" t="s">
        <v>115</v>
      </c>
    </row>
    <row r="1419" spans="4:4" ht="17.649999999999999" x14ac:dyDescent="0.5">
      <c r="D1419" s="3" t="s">
        <v>56</v>
      </c>
    </row>
    <row r="1420" spans="4:4" ht="17.649999999999999" x14ac:dyDescent="0.5">
      <c r="D1420" s="3" t="s">
        <v>53</v>
      </c>
    </row>
    <row r="1421" spans="4:4" ht="17.649999999999999" x14ac:dyDescent="0.5">
      <c r="D1421" s="3" t="s">
        <v>74</v>
      </c>
    </row>
    <row r="1422" spans="4:4" ht="17.649999999999999" x14ac:dyDescent="0.5">
      <c r="D1422" s="3" t="s">
        <v>51</v>
      </c>
    </row>
    <row r="1423" spans="4:4" ht="17.649999999999999" x14ac:dyDescent="0.5">
      <c r="D1423" s="3" t="s">
        <v>57</v>
      </c>
    </row>
    <row r="1424" spans="4:4" ht="17.649999999999999" x14ac:dyDescent="0.5">
      <c r="D1424" s="3" t="s">
        <v>112</v>
      </c>
    </row>
    <row r="1425" spans="4:4" ht="17.649999999999999" x14ac:dyDescent="0.5">
      <c r="D1425" s="3" t="s">
        <v>91</v>
      </c>
    </row>
    <row r="1426" spans="4:4" ht="17.649999999999999" x14ac:dyDescent="0.5">
      <c r="D1426" s="3" t="s">
        <v>115</v>
      </c>
    </row>
    <row r="1427" spans="4:4" ht="17.649999999999999" x14ac:dyDescent="0.5">
      <c r="D1427" s="3" t="s">
        <v>107</v>
      </c>
    </row>
    <row r="1428" spans="4:4" ht="17.649999999999999" x14ac:dyDescent="0.5">
      <c r="D1428" s="3" t="s">
        <v>74</v>
      </c>
    </row>
    <row r="1429" spans="4:4" ht="17.649999999999999" x14ac:dyDescent="0.5">
      <c r="D1429" s="3" t="s">
        <v>117</v>
      </c>
    </row>
    <row r="1430" spans="4:4" ht="17.649999999999999" x14ac:dyDescent="0.5">
      <c r="D1430" s="3" t="s">
        <v>105</v>
      </c>
    </row>
    <row r="1431" spans="4:4" ht="17.649999999999999" x14ac:dyDescent="0.5">
      <c r="D1431" s="3" t="s">
        <v>101</v>
      </c>
    </row>
    <row r="1432" spans="4:4" ht="17.649999999999999" x14ac:dyDescent="0.5">
      <c r="D1432" s="3" t="s">
        <v>43</v>
      </c>
    </row>
    <row r="1433" spans="4:4" ht="17.649999999999999" x14ac:dyDescent="0.5">
      <c r="D1433" s="3" t="s">
        <v>90</v>
      </c>
    </row>
    <row r="1434" spans="4:4" ht="17.649999999999999" x14ac:dyDescent="0.5">
      <c r="D1434" s="3" t="s">
        <v>85</v>
      </c>
    </row>
    <row r="1435" spans="4:4" ht="17.649999999999999" x14ac:dyDescent="0.5">
      <c r="D1435" s="3" t="s">
        <v>98</v>
      </c>
    </row>
    <row r="1436" spans="4:4" ht="17.649999999999999" x14ac:dyDescent="0.5">
      <c r="D1436" s="3" t="s">
        <v>53</v>
      </c>
    </row>
    <row r="1437" spans="4:4" ht="17.649999999999999" x14ac:dyDescent="0.5">
      <c r="D1437" s="3" t="s">
        <v>61</v>
      </c>
    </row>
    <row r="1438" spans="4:4" ht="17.649999999999999" x14ac:dyDescent="0.5">
      <c r="D1438" s="3" t="s">
        <v>49</v>
      </c>
    </row>
    <row r="1439" spans="4:4" ht="17.649999999999999" x14ac:dyDescent="0.5">
      <c r="D1439" s="3" t="s">
        <v>80</v>
      </c>
    </row>
    <row r="1440" spans="4:4" ht="17.649999999999999" x14ac:dyDescent="0.5">
      <c r="D1440" s="3" t="s">
        <v>90</v>
      </c>
    </row>
    <row r="1441" spans="4:4" ht="17.649999999999999" x14ac:dyDescent="0.5">
      <c r="D1441" s="3" t="s">
        <v>107</v>
      </c>
    </row>
    <row r="1442" spans="4:4" ht="17.649999999999999" x14ac:dyDescent="0.5">
      <c r="D1442" s="3" t="s">
        <v>114</v>
      </c>
    </row>
    <row r="1443" spans="4:4" ht="17.649999999999999" x14ac:dyDescent="0.5">
      <c r="D1443" s="3" t="s">
        <v>57</v>
      </c>
    </row>
    <row r="1444" spans="4:4" ht="17.649999999999999" x14ac:dyDescent="0.5">
      <c r="D1444" s="3" t="s">
        <v>53</v>
      </c>
    </row>
    <row r="1445" spans="4:4" ht="17.649999999999999" x14ac:dyDescent="0.5">
      <c r="D1445" s="3" t="s">
        <v>121</v>
      </c>
    </row>
    <row r="1446" spans="4:4" ht="17.649999999999999" x14ac:dyDescent="0.5">
      <c r="D1446" s="3" t="s">
        <v>61</v>
      </c>
    </row>
    <row r="1447" spans="4:4" ht="17.649999999999999" x14ac:dyDescent="0.5">
      <c r="D1447" s="3" t="s">
        <v>103</v>
      </c>
    </row>
    <row r="1448" spans="4:4" ht="17.649999999999999" x14ac:dyDescent="0.5">
      <c r="D1448" s="3" t="s">
        <v>92</v>
      </c>
    </row>
    <row r="1449" spans="4:4" ht="17.649999999999999" x14ac:dyDescent="0.5">
      <c r="D1449" s="3" t="s">
        <v>55</v>
      </c>
    </row>
    <row r="1450" spans="4:4" ht="17.649999999999999" x14ac:dyDescent="0.5">
      <c r="D1450" s="3" t="s">
        <v>118</v>
      </c>
    </row>
    <row r="1451" spans="4:4" ht="17.649999999999999" x14ac:dyDescent="0.5">
      <c r="D1451" s="3" t="s">
        <v>45</v>
      </c>
    </row>
    <row r="1452" spans="4:4" ht="17.649999999999999" x14ac:dyDescent="0.5">
      <c r="D1452" s="3" t="s">
        <v>60</v>
      </c>
    </row>
    <row r="1453" spans="4:4" ht="17.649999999999999" x14ac:dyDescent="0.5">
      <c r="D1453" s="3" t="s">
        <v>126</v>
      </c>
    </row>
    <row r="1454" spans="4:4" ht="17.649999999999999" x14ac:dyDescent="0.5">
      <c r="D1454" s="3" t="s">
        <v>117</v>
      </c>
    </row>
    <row r="1455" spans="4:4" ht="17.649999999999999" x14ac:dyDescent="0.5">
      <c r="D1455" s="3" t="s">
        <v>56</v>
      </c>
    </row>
    <row r="1456" spans="4:4" ht="17.649999999999999" x14ac:dyDescent="0.5">
      <c r="D1456" s="3" t="s">
        <v>107</v>
      </c>
    </row>
    <row r="1457" spans="4:4" ht="17.649999999999999" x14ac:dyDescent="0.5">
      <c r="D1457" s="3" t="s">
        <v>50</v>
      </c>
    </row>
    <row r="1458" spans="4:4" ht="17.649999999999999" x14ac:dyDescent="0.5">
      <c r="D1458" s="3" t="s">
        <v>41</v>
      </c>
    </row>
    <row r="1459" spans="4:4" ht="17.649999999999999" x14ac:dyDescent="0.5">
      <c r="D1459" s="3" t="s">
        <v>45</v>
      </c>
    </row>
    <row r="1460" spans="4:4" ht="17.649999999999999" x14ac:dyDescent="0.5">
      <c r="D1460" s="3" t="s">
        <v>52</v>
      </c>
    </row>
    <row r="1461" spans="4:4" ht="17.649999999999999" x14ac:dyDescent="0.5">
      <c r="D1461" s="3" t="s">
        <v>65</v>
      </c>
    </row>
    <row r="1462" spans="4:4" ht="17.649999999999999" x14ac:dyDescent="0.5">
      <c r="D1462" s="3" t="s">
        <v>83</v>
      </c>
    </row>
    <row r="1463" spans="4:4" ht="17.649999999999999" x14ac:dyDescent="0.5">
      <c r="D1463" s="3" t="s">
        <v>80</v>
      </c>
    </row>
    <row r="1464" spans="4:4" ht="17.649999999999999" x14ac:dyDescent="0.5">
      <c r="D1464" s="3" t="s">
        <v>78</v>
      </c>
    </row>
    <row r="1465" spans="4:4" ht="17.649999999999999" x14ac:dyDescent="0.5">
      <c r="D1465" s="3" t="s">
        <v>52</v>
      </c>
    </row>
    <row r="1466" spans="4:4" ht="17.649999999999999" x14ac:dyDescent="0.5">
      <c r="D1466" s="3" t="s">
        <v>117</v>
      </c>
    </row>
    <row r="1467" spans="4:4" ht="17.649999999999999" x14ac:dyDescent="0.5">
      <c r="D1467" s="3" t="s">
        <v>119</v>
      </c>
    </row>
    <row r="1468" spans="4:4" ht="17.649999999999999" x14ac:dyDescent="0.5">
      <c r="D1468" s="3" t="s">
        <v>48</v>
      </c>
    </row>
    <row r="1469" spans="4:4" ht="17.649999999999999" x14ac:dyDescent="0.5">
      <c r="D1469" s="3" t="s">
        <v>117</v>
      </c>
    </row>
    <row r="1470" spans="4:4" ht="17.649999999999999" x14ac:dyDescent="0.5">
      <c r="D1470" s="3" t="s">
        <v>126</v>
      </c>
    </row>
    <row r="1471" spans="4:4" ht="17.649999999999999" x14ac:dyDescent="0.5">
      <c r="D1471" s="3" t="s">
        <v>77</v>
      </c>
    </row>
    <row r="1472" spans="4:4" ht="17.649999999999999" x14ac:dyDescent="0.5">
      <c r="D1472" s="3" t="s">
        <v>55</v>
      </c>
    </row>
    <row r="1473" spans="4:4" ht="17.649999999999999" x14ac:dyDescent="0.5">
      <c r="D1473" s="3" t="s">
        <v>129</v>
      </c>
    </row>
    <row r="1474" spans="4:4" ht="17.649999999999999" x14ac:dyDescent="0.5">
      <c r="D1474" s="3" t="s">
        <v>91</v>
      </c>
    </row>
    <row r="1475" spans="4:4" ht="17.649999999999999" x14ac:dyDescent="0.5">
      <c r="D1475" s="3" t="s">
        <v>46</v>
      </c>
    </row>
    <row r="1476" spans="4:4" ht="17.649999999999999" x14ac:dyDescent="0.5">
      <c r="D1476" s="3" t="s">
        <v>65</v>
      </c>
    </row>
    <row r="1477" spans="4:4" ht="17.649999999999999" x14ac:dyDescent="0.5">
      <c r="D1477" s="3" t="s">
        <v>55</v>
      </c>
    </row>
    <row r="1478" spans="4:4" ht="17.649999999999999" x14ac:dyDescent="0.5">
      <c r="D1478" s="3" t="s">
        <v>93</v>
      </c>
    </row>
    <row r="1479" spans="4:4" ht="17.649999999999999" x14ac:dyDescent="0.5">
      <c r="D1479" s="3" t="s">
        <v>91</v>
      </c>
    </row>
    <row r="1480" spans="4:4" ht="17.649999999999999" x14ac:dyDescent="0.5">
      <c r="D1480" s="3" t="s">
        <v>96</v>
      </c>
    </row>
    <row r="1481" spans="4:4" ht="17.649999999999999" x14ac:dyDescent="0.5">
      <c r="D1481" s="3" t="s">
        <v>84</v>
      </c>
    </row>
    <row r="1482" spans="4:4" ht="17.649999999999999" x14ac:dyDescent="0.5">
      <c r="D1482" s="3" t="s">
        <v>66</v>
      </c>
    </row>
    <row r="1483" spans="4:4" ht="17.649999999999999" x14ac:dyDescent="0.5">
      <c r="D1483" s="3" t="s">
        <v>49</v>
      </c>
    </row>
    <row r="1484" spans="4:4" ht="17.649999999999999" x14ac:dyDescent="0.5">
      <c r="D1484" s="3" t="s">
        <v>44</v>
      </c>
    </row>
    <row r="1485" spans="4:4" ht="17.649999999999999" x14ac:dyDescent="0.5">
      <c r="D1485" s="3" t="s">
        <v>41</v>
      </c>
    </row>
    <row r="1486" spans="4:4" ht="17.649999999999999" x14ac:dyDescent="0.5">
      <c r="D1486" s="3" t="s">
        <v>48</v>
      </c>
    </row>
    <row r="1487" spans="4:4" ht="17.649999999999999" x14ac:dyDescent="0.5">
      <c r="D1487" s="3" t="s">
        <v>56</v>
      </c>
    </row>
    <row r="1488" spans="4:4" ht="17.649999999999999" x14ac:dyDescent="0.5">
      <c r="D1488" s="3" t="s">
        <v>85</v>
      </c>
    </row>
    <row r="1489" spans="4:4" ht="17.649999999999999" x14ac:dyDescent="0.5">
      <c r="D1489" s="3" t="s">
        <v>113</v>
      </c>
    </row>
    <row r="1490" spans="4:4" ht="17.649999999999999" x14ac:dyDescent="0.5">
      <c r="D1490" s="3" t="s">
        <v>78</v>
      </c>
    </row>
    <row r="1491" spans="4:4" ht="17.649999999999999" x14ac:dyDescent="0.5">
      <c r="D1491" s="3" t="s">
        <v>43</v>
      </c>
    </row>
    <row r="1492" spans="4:4" ht="17.649999999999999" x14ac:dyDescent="0.5">
      <c r="D1492" s="3" t="s">
        <v>56</v>
      </c>
    </row>
    <row r="1493" spans="4:4" ht="17.649999999999999" x14ac:dyDescent="0.5">
      <c r="D1493" s="3" t="s">
        <v>61</v>
      </c>
    </row>
    <row r="1494" spans="4:4" ht="17.649999999999999" x14ac:dyDescent="0.5">
      <c r="D1494" s="3" t="s">
        <v>120</v>
      </c>
    </row>
    <row r="1495" spans="4:4" ht="17.649999999999999" x14ac:dyDescent="0.5">
      <c r="D1495" s="3" t="s">
        <v>55</v>
      </c>
    </row>
    <row r="1496" spans="4:4" ht="17.649999999999999" x14ac:dyDescent="0.5">
      <c r="D1496" s="3" t="s">
        <v>48</v>
      </c>
    </row>
    <row r="1497" spans="4:4" ht="17.649999999999999" x14ac:dyDescent="0.5">
      <c r="D1497" s="3" t="s">
        <v>76</v>
      </c>
    </row>
    <row r="1498" spans="4:4" ht="17.649999999999999" x14ac:dyDescent="0.5">
      <c r="D1498" s="3" t="s">
        <v>97</v>
      </c>
    </row>
    <row r="1499" spans="4:4" ht="17.649999999999999" x14ac:dyDescent="0.5">
      <c r="D1499" s="3" t="s">
        <v>49</v>
      </c>
    </row>
    <row r="1500" spans="4:4" ht="17.649999999999999" x14ac:dyDescent="0.5">
      <c r="D1500" s="3" t="s">
        <v>75</v>
      </c>
    </row>
    <row r="1501" spans="4:4" ht="17.649999999999999" x14ac:dyDescent="0.5">
      <c r="D1501" s="3" t="s">
        <v>50</v>
      </c>
    </row>
    <row r="1502" spans="4:4" ht="17.649999999999999" x14ac:dyDescent="0.5">
      <c r="D1502" s="3" t="s">
        <v>126</v>
      </c>
    </row>
    <row r="1503" spans="4:4" ht="17.649999999999999" x14ac:dyDescent="0.5">
      <c r="D1503" s="3" t="s">
        <v>60</v>
      </c>
    </row>
    <row r="1504" spans="4:4" ht="17.649999999999999" x14ac:dyDescent="0.5">
      <c r="D1504" s="3" t="s">
        <v>70</v>
      </c>
    </row>
    <row r="1505" spans="4:4" ht="17.649999999999999" x14ac:dyDescent="0.5">
      <c r="D1505" s="3" t="s">
        <v>73</v>
      </c>
    </row>
    <row r="1506" spans="4:4" ht="17.649999999999999" x14ac:dyDescent="0.5">
      <c r="D1506" s="3" t="s">
        <v>49</v>
      </c>
    </row>
    <row r="1507" spans="4:4" ht="17.649999999999999" x14ac:dyDescent="0.5">
      <c r="D1507" s="3" t="s">
        <v>82</v>
      </c>
    </row>
    <row r="1508" spans="4:4" ht="17.649999999999999" x14ac:dyDescent="0.5">
      <c r="D1508" s="3" t="s">
        <v>90</v>
      </c>
    </row>
    <row r="1509" spans="4:4" ht="17.649999999999999" x14ac:dyDescent="0.5">
      <c r="D1509" s="3" t="s">
        <v>47</v>
      </c>
    </row>
    <row r="1510" spans="4:4" ht="17.649999999999999" x14ac:dyDescent="0.5">
      <c r="D1510" s="3" t="s">
        <v>83</v>
      </c>
    </row>
    <row r="1511" spans="4:4" ht="17.649999999999999" x14ac:dyDescent="0.5">
      <c r="D1511" s="3" t="s">
        <v>43</v>
      </c>
    </row>
    <row r="1512" spans="4:4" ht="17.649999999999999" x14ac:dyDescent="0.5">
      <c r="D1512" s="3" t="s">
        <v>73</v>
      </c>
    </row>
    <row r="1513" spans="4:4" ht="17.649999999999999" x14ac:dyDescent="0.5">
      <c r="D1513" s="3" t="s">
        <v>123</v>
      </c>
    </row>
    <row r="1514" spans="4:4" ht="17.649999999999999" x14ac:dyDescent="0.5">
      <c r="D1514" s="3" t="s">
        <v>87</v>
      </c>
    </row>
    <row r="1515" spans="4:4" ht="17.649999999999999" x14ac:dyDescent="0.5">
      <c r="D1515" s="3" t="s">
        <v>115</v>
      </c>
    </row>
    <row r="1516" spans="4:4" ht="17.649999999999999" x14ac:dyDescent="0.5">
      <c r="D1516" s="3" t="s">
        <v>43</v>
      </c>
    </row>
    <row r="1517" spans="4:4" ht="17.649999999999999" x14ac:dyDescent="0.5">
      <c r="D1517" s="3" t="s">
        <v>50</v>
      </c>
    </row>
    <row r="1518" spans="4:4" ht="17.649999999999999" x14ac:dyDescent="0.5">
      <c r="D1518" s="3" t="s">
        <v>94</v>
      </c>
    </row>
    <row r="1519" spans="4:4" ht="17.649999999999999" x14ac:dyDescent="0.5">
      <c r="D1519" s="3" t="s">
        <v>42</v>
      </c>
    </row>
    <row r="1520" spans="4:4" ht="17.649999999999999" x14ac:dyDescent="0.5">
      <c r="D1520" s="3" t="s">
        <v>105</v>
      </c>
    </row>
    <row r="1521" spans="4:4" ht="17.649999999999999" x14ac:dyDescent="0.5">
      <c r="D1521" s="3" t="s">
        <v>61</v>
      </c>
    </row>
    <row r="1522" spans="4:4" ht="17.649999999999999" x14ac:dyDescent="0.5">
      <c r="D1522" s="3" t="s">
        <v>44</v>
      </c>
    </row>
    <row r="1523" spans="4:4" ht="17.649999999999999" x14ac:dyDescent="0.5">
      <c r="D1523" s="3" t="s">
        <v>75</v>
      </c>
    </row>
    <row r="1524" spans="4:4" ht="17.649999999999999" x14ac:dyDescent="0.5">
      <c r="D1524" s="3" t="s">
        <v>53</v>
      </c>
    </row>
    <row r="1525" spans="4:4" ht="17.649999999999999" x14ac:dyDescent="0.5">
      <c r="D1525" s="3" t="s">
        <v>70</v>
      </c>
    </row>
    <row r="1526" spans="4:4" ht="17.649999999999999" x14ac:dyDescent="0.5">
      <c r="D1526" s="3" t="s">
        <v>41</v>
      </c>
    </row>
    <row r="1527" spans="4:4" ht="17.649999999999999" x14ac:dyDescent="0.5">
      <c r="D1527" s="3" t="s">
        <v>49</v>
      </c>
    </row>
    <row r="1528" spans="4:4" ht="17.649999999999999" x14ac:dyDescent="0.5">
      <c r="D1528" s="3" t="s">
        <v>49</v>
      </c>
    </row>
    <row r="1529" spans="4:4" ht="17.649999999999999" x14ac:dyDescent="0.5">
      <c r="D1529" s="3" t="s">
        <v>121</v>
      </c>
    </row>
    <row r="1530" spans="4:4" ht="17.649999999999999" x14ac:dyDescent="0.5">
      <c r="D1530" s="3" t="s">
        <v>96</v>
      </c>
    </row>
    <row r="1531" spans="4:4" ht="17.649999999999999" x14ac:dyDescent="0.5">
      <c r="D1531" s="3" t="s">
        <v>63</v>
      </c>
    </row>
    <row r="1532" spans="4:4" ht="17.649999999999999" x14ac:dyDescent="0.5">
      <c r="D1532" s="3" t="s">
        <v>97</v>
      </c>
    </row>
    <row r="1533" spans="4:4" ht="17.649999999999999" x14ac:dyDescent="0.5">
      <c r="D1533" s="3" t="s">
        <v>87</v>
      </c>
    </row>
    <row r="1534" spans="4:4" ht="17.649999999999999" x14ac:dyDescent="0.5">
      <c r="D1534" s="3" t="s">
        <v>53</v>
      </c>
    </row>
    <row r="1535" spans="4:4" ht="17.649999999999999" x14ac:dyDescent="0.5">
      <c r="D1535" s="3" t="s">
        <v>70</v>
      </c>
    </row>
    <row r="1536" spans="4:4" ht="17.649999999999999" x14ac:dyDescent="0.5">
      <c r="D1536" s="3" t="s">
        <v>129</v>
      </c>
    </row>
    <row r="1537" spans="4:4" ht="17.649999999999999" x14ac:dyDescent="0.5">
      <c r="D1537" s="3" t="s">
        <v>78</v>
      </c>
    </row>
    <row r="1538" spans="4:4" ht="17.649999999999999" x14ac:dyDescent="0.5">
      <c r="D1538" s="3" t="s">
        <v>111</v>
      </c>
    </row>
    <row r="1539" spans="4:4" ht="17.649999999999999" x14ac:dyDescent="0.5">
      <c r="D1539" s="3" t="s">
        <v>58</v>
      </c>
    </row>
    <row r="1540" spans="4:4" ht="17.649999999999999" x14ac:dyDescent="0.5">
      <c r="D1540" s="3" t="s">
        <v>56</v>
      </c>
    </row>
    <row r="1541" spans="4:4" ht="17.649999999999999" x14ac:dyDescent="0.5">
      <c r="D1541" s="3" t="s">
        <v>48</v>
      </c>
    </row>
    <row r="1542" spans="4:4" ht="17.649999999999999" x14ac:dyDescent="0.5">
      <c r="D1542" s="3" t="s">
        <v>46</v>
      </c>
    </row>
    <row r="1543" spans="4:4" ht="17.649999999999999" x14ac:dyDescent="0.5">
      <c r="D1543" s="3" t="s">
        <v>112</v>
      </c>
    </row>
    <row r="1544" spans="4:4" ht="17.649999999999999" x14ac:dyDescent="0.5">
      <c r="D1544" s="3" t="s">
        <v>133</v>
      </c>
    </row>
    <row r="1545" spans="4:4" ht="17.649999999999999" x14ac:dyDescent="0.5">
      <c r="D1545" s="3" t="s">
        <v>83</v>
      </c>
    </row>
    <row r="1546" spans="4:4" ht="17.649999999999999" x14ac:dyDescent="0.5">
      <c r="D1546" s="3" t="s">
        <v>64</v>
      </c>
    </row>
    <row r="1547" spans="4:4" ht="17.649999999999999" x14ac:dyDescent="0.5">
      <c r="D1547" s="3" t="s">
        <v>81</v>
      </c>
    </row>
    <row r="1548" spans="4:4" ht="17.649999999999999" x14ac:dyDescent="0.5">
      <c r="D1548" s="3" t="s">
        <v>41</v>
      </c>
    </row>
    <row r="1549" spans="4:4" ht="17.649999999999999" x14ac:dyDescent="0.5">
      <c r="D1549" s="3" t="s">
        <v>129</v>
      </c>
    </row>
    <row r="1550" spans="4:4" ht="17.649999999999999" x14ac:dyDescent="0.5">
      <c r="D1550" s="3" t="s">
        <v>78</v>
      </c>
    </row>
    <row r="1551" spans="4:4" ht="17.649999999999999" x14ac:dyDescent="0.5">
      <c r="D1551" s="3" t="s">
        <v>70</v>
      </c>
    </row>
    <row r="1552" spans="4:4" ht="17.649999999999999" x14ac:dyDescent="0.5">
      <c r="D1552" s="3" t="s">
        <v>69</v>
      </c>
    </row>
    <row r="1553" spans="4:4" ht="17.649999999999999" x14ac:dyDescent="0.5">
      <c r="D1553" s="3" t="s">
        <v>67</v>
      </c>
    </row>
    <row r="1554" spans="4:4" ht="17.649999999999999" x14ac:dyDescent="0.5">
      <c r="D1554" s="3" t="s">
        <v>104</v>
      </c>
    </row>
    <row r="1555" spans="4:4" ht="17.649999999999999" x14ac:dyDescent="0.5">
      <c r="D1555" s="3" t="s">
        <v>47</v>
      </c>
    </row>
    <row r="1556" spans="4:4" ht="17.649999999999999" x14ac:dyDescent="0.5">
      <c r="D1556" s="3" t="s">
        <v>64</v>
      </c>
    </row>
    <row r="1557" spans="4:4" ht="17.649999999999999" x14ac:dyDescent="0.5">
      <c r="D1557" s="3" t="s">
        <v>114</v>
      </c>
    </row>
    <row r="1558" spans="4:4" ht="17.649999999999999" x14ac:dyDescent="0.5">
      <c r="D1558" s="3" t="s">
        <v>75</v>
      </c>
    </row>
    <row r="1559" spans="4:4" ht="17.649999999999999" x14ac:dyDescent="0.5">
      <c r="D1559" s="3" t="s">
        <v>65</v>
      </c>
    </row>
    <row r="1560" spans="4:4" ht="17.649999999999999" x14ac:dyDescent="0.5">
      <c r="D1560" s="3" t="s">
        <v>85</v>
      </c>
    </row>
    <row r="1561" spans="4:4" ht="17.649999999999999" x14ac:dyDescent="0.5">
      <c r="D1561" s="3" t="s">
        <v>51</v>
      </c>
    </row>
    <row r="1562" spans="4:4" ht="17.649999999999999" x14ac:dyDescent="0.5">
      <c r="D1562" s="3" t="s">
        <v>77</v>
      </c>
    </row>
    <row r="1563" spans="4:4" ht="17.649999999999999" x14ac:dyDescent="0.5">
      <c r="D1563" s="3" t="s">
        <v>44</v>
      </c>
    </row>
    <row r="1564" spans="4:4" ht="17.649999999999999" x14ac:dyDescent="0.5">
      <c r="D1564" s="3" t="s">
        <v>68</v>
      </c>
    </row>
    <row r="1565" spans="4:4" ht="17.649999999999999" x14ac:dyDescent="0.5">
      <c r="D1565" s="3" t="s">
        <v>75</v>
      </c>
    </row>
    <row r="1566" spans="4:4" ht="17.649999999999999" x14ac:dyDescent="0.5">
      <c r="D1566" s="3" t="s">
        <v>68</v>
      </c>
    </row>
    <row r="1567" spans="4:4" ht="17.649999999999999" x14ac:dyDescent="0.5">
      <c r="D1567" s="3" t="s">
        <v>94</v>
      </c>
    </row>
    <row r="1568" spans="4:4" ht="17.649999999999999" x14ac:dyDescent="0.5">
      <c r="D1568" s="3" t="s">
        <v>45</v>
      </c>
    </row>
    <row r="1569" spans="4:4" ht="17.649999999999999" x14ac:dyDescent="0.5">
      <c r="D1569" s="3" t="s">
        <v>87</v>
      </c>
    </row>
    <row r="1570" spans="4:4" ht="17.649999999999999" x14ac:dyDescent="0.5">
      <c r="D1570" s="3" t="s">
        <v>66</v>
      </c>
    </row>
    <row r="1571" spans="4:4" ht="17.649999999999999" x14ac:dyDescent="0.5">
      <c r="D1571" s="3" t="s">
        <v>98</v>
      </c>
    </row>
    <row r="1572" spans="4:4" ht="17.649999999999999" x14ac:dyDescent="0.5">
      <c r="D1572" s="3" t="s">
        <v>92</v>
      </c>
    </row>
    <row r="1573" spans="4:4" ht="17.649999999999999" x14ac:dyDescent="0.5">
      <c r="D1573" s="3" t="s">
        <v>48</v>
      </c>
    </row>
    <row r="1574" spans="4:4" ht="17.649999999999999" x14ac:dyDescent="0.5">
      <c r="D1574" s="3" t="s">
        <v>101</v>
      </c>
    </row>
    <row r="1575" spans="4:4" ht="17.649999999999999" x14ac:dyDescent="0.5">
      <c r="D1575" s="3" t="s">
        <v>66</v>
      </c>
    </row>
    <row r="1576" spans="4:4" ht="17.649999999999999" x14ac:dyDescent="0.5">
      <c r="D1576" s="3" t="s">
        <v>77</v>
      </c>
    </row>
    <row r="1577" spans="4:4" ht="17.649999999999999" x14ac:dyDescent="0.5">
      <c r="D1577" s="3" t="s">
        <v>56</v>
      </c>
    </row>
    <row r="1578" spans="4:4" ht="17.649999999999999" x14ac:dyDescent="0.5">
      <c r="D1578" s="3" t="s">
        <v>49</v>
      </c>
    </row>
    <row r="1579" spans="4:4" ht="17.649999999999999" x14ac:dyDescent="0.5">
      <c r="D1579" s="3" t="s">
        <v>72</v>
      </c>
    </row>
    <row r="1580" spans="4:4" ht="17.649999999999999" x14ac:dyDescent="0.5">
      <c r="D1580" s="3" t="s">
        <v>46</v>
      </c>
    </row>
    <row r="1581" spans="4:4" ht="17.649999999999999" x14ac:dyDescent="0.5">
      <c r="D1581" s="3" t="s">
        <v>47</v>
      </c>
    </row>
    <row r="1582" spans="4:4" ht="17.649999999999999" x14ac:dyDescent="0.5">
      <c r="D1582" s="3" t="s">
        <v>102</v>
      </c>
    </row>
    <row r="1583" spans="4:4" ht="17.649999999999999" x14ac:dyDescent="0.5">
      <c r="D1583" s="3" t="s">
        <v>135</v>
      </c>
    </row>
    <row r="1584" spans="4:4" ht="17.649999999999999" x14ac:dyDescent="0.5">
      <c r="D1584" s="3" t="s">
        <v>69</v>
      </c>
    </row>
    <row r="1585" spans="4:4" ht="17.649999999999999" x14ac:dyDescent="0.5">
      <c r="D1585" s="3" t="s">
        <v>91</v>
      </c>
    </row>
    <row r="1586" spans="4:4" ht="17.649999999999999" x14ac:dyDescent="0.5">
      <c r="D1586" s="3" t="s">
        <v>65</v>
      </c>
    </row>
    <row r="1587" spans="4:4" ht="17.649999999999999" x14ac:dyDescent="0.5">
      <c r="D1587" s="3" t="s">
        <v>107</v>
      </c>
    </row>
    <row r="1588" spans="4:4" ht="17.649999999999999" x14ac:dyDescent="0.5">
      <c r="D1588" s="3" t="s">
        <v>110</v>
      </c>
    </row>
    <row r="1589" spans="4:4" ht="17.649999999999999" x14ac:dyDescent="0.5">
      <c r="D1589" s="3" t="s">
        <v>92</v>
      </c>
    </row>
    <row r="1590" spans="4:4" ht="17.649999999999999" x14ac:dyDescent="0.5">
      <c r="D1590" s="3" t="s">
        <v>43</v>
      </c>
    </row>
    <row r="1591" spans="4:4" ht="17.649999999999999" x14ac:dyDescent="0.5">
      <c r="D1591" s="3" t="s">
        <v>119</v>
      </c>
    </row>
    <row r="1592" spans="4:4" ht="17.649999999999999" x14ac:dyDescent="0.5">
      <c r="D1592" s="3" t="s">
        <v>102</v>
      </c>
    </row>
    <row r="1593" spans="4:4" ht="17.649999999999999" x14ac:dyDescent="0.5">
      <c r="D1593" s="3" t="s">
        <v>61</v>
      </c>
    </row>
    <row r="1594" spans="4:4" ht="17.649999999999999" x14ac:dyDescent="0.5">
      <c r="D1594" s="3" t="s">
        <v>87</v>
      </c>
    </row>
    <row r="1595" spans="4:4" ht="17.649999999999999" x14ac:dyDescent="0.5">
      <c r="D1595" s="3" t="s">
        <v>81</v>
      </c>
    </row>
    <row r="1596" spans="4:4" ht="17.649999999999999" x14ac:dyDescent="0.5">
      <c r="D1596" s="3" t="s">
        <v>134</v>
      </c>
    </row>
    <row r="1597" spans="4:4" ht="17.649999999999999" x14ac:dyDescent="0.5">
      <c r="D1597" s="3" t="s">
        <v>48</v>
      </c>
    </row>
    <row r="1598" spans="4:4" ht="17.649999999999999" x14ac:dyDescent="0.5">
      <c r="D1598" s="3" t="s">
        <v>116</v>
      </c>
    </row>
    <row r="1599" spans="4:4" ht="17.649999999999999" x14ac:dyDescent="0.5">
      <c r="D1599" s="3" t="s">
        <v>51</v>
      </c>
    </row>
    <row r="1600" spans="4:4" ht="17.649999999999999" x14ac:dyDescent="0.5">
      <c r="D1600" s="3" t="s">
        <v>93</v>
      </c>
    </row>
    <row r="1601" spans="4:4" ht="17.649999999999999" x14ac:dyDescent="0.5">
      <c r="D1601" s="3" t="s">
        <v>75</v>
      </c>
    </row>
    <row r="1602" spans="4:4" ht="17.649999999999999" x14ac:dyDescent="0.5">
      <c r="D1602" s="3" t="s">
        <v>73</v>
      </c>
    </row>
    <row r="1603" spans="4:4" ht="17.649999999999999" x14ac:dyDescent="0.5">
      <c r="D1603" s="3" t="s">
        <v>99</v>
      </c>
    </row>
    <row r="1604" spans="4:4" ht="17.649999999999999" x14ac:dyDescent="0.5">
      <c r="D1604" s="3" t="s">
        <v>57</v>
      </c>
    </row>
    <row r="1605" spans="4:4" ht="17.649999999999999" x14ac:dyDescent="0.5">
      <c r="D1605" s="3" t="s">
        <v>51</v>
      </c>
    </row>
    <row r="1606" spans="4:4" ht="17.649999999999999" x14ac:dyDescent="0.5">
      <c r="D1606" s="3" t="s">
        <v>81</v>
      </c>
    </row>
    <row r="1607" spans="4:4" ht="17.649999999999999" x14ac:dyDescent="0.5">
      <c r="D1607" s="3" t="s">
        <v>50</v>
      </c>
    </row>
    <row r="1608" spans="4:4" ht="17.649999999999999" x14ac:dyDescent="0.5">
      <c r="D1608" s="3" t="s">
        <v>47</v>
      </c>
    </row>
    <row r="1609" spans="4:4" ht="17.649999999999999" x14ac:dyDescent="0.5">
      <c r="D1609" s="3" t="s">
        <v>44</v>
      </c>
    </row>
    <row r="1610" spans="4:4" ht="17.649999999999999" x14ac:dyDescent="0.5">
      <c r="D1610" s="3" t="s">
        <v>63</v>
      </c>
    </row>
    <row r="1611" spans="4:4" ht="17.649999999999999" x14ac:dyDescent="0.5">
      <c r="D1611" s="3" t="s">
        <v>66</v>
      </c>
    </row>
    <row r="1612" spans="4:4" ht="17.649999999999999" x14ac:dyDescent="0.5">
      <c r="D1612" s="3" t="s">
        <v>55</v>
      </c>
    </row>
    <row r="1613" spans="4:4" ht="17.649999999999999" x14ac:dyDescent="0.5">
      <c r="D1613" s="3" t="s">
        <v>91</v>
      </c>
    </row>
    <row r="1614" spans="4:4" ht="17.649999999999999" x14ac:dyDescent="0.5">
      <c r="D1614" s="3" t="s">
        <v>104</v>
      </c>
    </row>
    <row r="1615" spans="4:4" ht="17.649999999999999" x14ac:dyDescent="0.5">
      <c r="D1615" s="3" t="s">
        <v>69</v>
      </c>
    </row>
    <row r="1616" spans="4:4" ht="17.649999999999999" x14ac:dyDescent="0.5">
      <c r="D1616" s="3" t="s">
        <v>59</v>
      </c>
    </row>
    <row r="1617" spans="4:4" ht="17.649999999999999" x14ac:dyDescent="0.5">
      <c r="D1617" s="3" t="s">
        <v>48</v>
      </c>
    </row>
    <row r="1618" spans="4:4" ht="17.649999999999999" x14ac:dyDescent="0.5">
      <c r="D1618" s="3" t="s">
        <v>52</v>
      </c>
    </row>
    <row r="1619" spans="4:4" ht="17.649999999999999" x14ac:dyDescent="0.5">
      <c r="D1619" s="3" t="s">
        <v>92</v>
      </c>
    </row>
    <row r="1620" spans="4:4" ht="17.649999999999999" x14ac:dyDescent="0.5">
      <c r="D1620" s="3" t="s">
        <v>63</v>
      </c>
    </row>
    <row r="1621" spans="4:4" ht="17.649999999999999" x14ac:dyDescent="0.5">
      <c r="D1621" s="3" t="s">
        <v>101</v>
      </c>
    </row>
    <row r="1622" spans="4:4" ht="17.649999999999999" x14ac:dyDescent="0.5">
      <c r="D1622" s="3" t="s">
        <v>43</v>
      </c>
    </row>
    <row r="1623" spans="4:4" ht="17.649999999999999" x14ac:dyDescent="0.5">
      <c r="D1623" s="3" t="s">
        <v>99</v>
      </c>
    </row>
    <row r="1624" spans="4:4" ht="17.649999999999999" x14ac:dyDescent="0.5">
      <c r="D1624" s="3" t="s">
        <v>84</v>
      </c>
    </row>
    <row r="1625" spans="4:4" ht="17.649999999999999" x14ac:dyDescent="0.5">
      <c r="D1625" s="3" t="s">
        <v>115</v>
      </c>
    </row>
    <row r="1626" spans="4:4" ht="17.649999999999999" x14ac:dyDescent="0.5">
      <c r="D1626" s="3" t="s">
        <v>77</v>
      </c>
    </row>
    <row r="1627" spans="4:4" ht="17.649999999999999" x14ac:dyDescent="0.5">
      <c r="D1627" s="3" t="s">
        <v>50</v>
      </c>
    </row>
    <row r="1628" spans="4:4" ht="17.649999999999999" x14ac:dyDescent="0.5">
      <c r="D1628" s="3" t="s">
        <v>78</v>
      </c>
    </row>
    <row r="1629" spans="4:4" ht="17.649999999999999" x14ac:dyDescent="0.5">
      <c r="D1629" s="3" t="s">
        <v>80</v>
      </c>
    </row>
    <row r="1630" spans="4:4" ht="17.649999999999999" x14ac:dyDescent="0.5">
      <c r="D1630" s="3" t="s">
        <v>59</v>
      </c>
    </row>
    <row r="1631" spans="4:4" ht="17.649999999999999" x14ac:dyDescent="0.5">
      <c r="D1631" s="3" t="s">
        <v>91</v>
      </c>
    </row>
    <row r="1632" spans="4:4" ht="17.649999999999999" x14ac:dyDescent="0.5">
      <c r="D1632" s="3" t="s">
        <v>104</v>
      </c>
    </row>
    <row r="1633" spans="4:4" ht="17.649999999999999" x14ac:dyDescent="0.5">
      <c r="D1633" s="3" t="s">
        <v>46</v>
      </c>
    </row>
    <row r="1634" spans="4:4" ht="17.649999999999999" x14ac:dyDescent="0.5">
      <c r="D1634" s="3" t="s">
        <v>69</v>
      </c>
    </row>
    <row r="1635" spans="4:4" ht="17.649999999999999" x14ac:dyDescent="0.5">
      <c r="D1635" s="3" t="s">
        <v>54</v>
      </c>
    </row>
    <row r="1636" spans="4:4" ht="17.649999999999999" x14ac:dyDescent="0.5">
      <c r="D1636" s="3" t="s">
        <v>68</v>
      </c>
    </row>
    <row r="1637" spans="4:4" ht="17.649999999999999" x14ac:dyDescent="0.5">
      <c r="D1637" s="3" t="s">
        <v>55</v>
      </c>
    </row>
    <row r="1638" spans="4:4" ht="17.649999999999999" x14ac:dyDescent="0.5">
      <c r="D1638" s="3" t="s">
        <v>116</v>
      </c>
    </row>
    <row r="1639" spans="4:4" ht="17.649999999999999" x14ac:dyDescent="0.5">
      <c r="D1639" s="3" t="s">
        <v>133</v>
      </c>
    </row>
    <row r="1640" spans="4:4" ht="17.649999999999999" x14ac:dyDescent="0.5">
      <c r="D1640" s="3" t="s">
        <v>51</v>
      </c>
    </row>
    <row r="1641" spans="4:4" ht="17.649999999999999" x14ac:dyDescent="0.5">
      <c r="D1641" s="3" t="s">
        <v>51</v>
      </c>
    </row>
    <row r="1642" spans="4:4" ht="17.649999999999999" x14ac:dyDescent="0.5">
      <c r="D1642" s="3" t="s">
        <v>107</v>
      </c>
    </row>
    <row r="1643" spans="4:4" ht="17.649999999999999" x14ac:dyDescent="0.5">
      <c r="D1643" s="3" t="s">
        <v>94</v>
      </c>
    </row>
    <row r="1644" spans="4:4" ht="17.649999999999999" x14ac:dyDescent="0.5">
      <c r="D1644" s="3" t="s">
        <v>64</v>
      </c>
    </row>
    <row r="1645" spans="4:4" ht="17.649999999999999" x14ac:dyDescent="0.5">
      <c r="D1645" s="3" t="s">
        <v>90</v>
      </c>
    </row>
    <row r="1646" spans="4:4" ht="17.649999999999999" x14ac:dyDescent="0.5">
      <c r="D1646" s="3" t="s">
        <v>64</v>
      </c>
    </row>
    <row r="1647" spans="4:4" ht="17.649999999999999" x14ac:dyDescent="0.5">
      <c r="D1647" s="3" t="s">
        <v>42</v>
      </c>
    </row>
    <row r="1648" spans="4:4" ht="17.649999999999999" x14ac:dyDescent="0.5">
      <c r="D1648" s="3" t="s">
        <v>97</v>
      </c>
    </row>
    <row r="1649" spans="4:4" ht="17.649999999999999" x14ac:dyDescent="0.5">
      <c r="D1649" s="3" t="s">
        <v>55</v>
      </c>
    </row>
    <row r="1650" spans="4:4" ht="17.649999999999999" x14ac:dyDescent="0.5">
      <c r="D1650" s="3" t="s">
        <v>75</v>
      </c>
    </row>
    <row r="1651" spans="4:4" ht="17.649999999999999" x14ac:dyDescent="0.5">
      <c r="D1651" s="3" t="s">
        <v>101</v>
      </c>
    </row>
    <row r="1652" spans="4:4" ht="17.649999999999999" x14ac:dyDescent="0.5">
      <c r="D1652" s="3" t="s">
        <v>61</v>
      </c>
    </row>
    <row r="1653" spans="4:4" ht="17.649999999999999" x14ac:dyDescent="0.5">
      <c r="D1653" s="3" t="s">
        <v>81</v>
      </c>
    </row>
    <row r="1654" spans="4:4" ht="17.649999999999999" x14ac:dyDescent="0.5">
      <c r="D1654" s="3" t="s">
        <v>69</v>
      </c>
    </row>
    <row r="1655" spans="4:4" ht="17.649999999999999" x14ac:dyDescent="0.5">
      <c r="D1655" s="3" t="s">
        <v>48</v>
      </c>
    </row>
    <row r="1656" spans="4:4" ht="17.649999999999999" x14ac:dyDescent="0.5">
      <c r="D1656" s="3" t="s">
        <v>66</v>
      </c>
    </row>
    <row r="1657" spans="4:4" ht="17.649999999999999" x14ac:dyDescent="0.5">
      <c r="D1657" s="3" t="s">
        <v>53</v>
      </c>
    </row>
    <row r="1658" spans="4:4" ht="17.649999999999999" x14ac:dyDescent="0.5">
      <c r="D1658" s="3" t="s">
        <v>59</v>
      </c>
    </row>
    <row r="1659" spans="4:4" ht="17.649999999999999" x14ac:dyDescent="0.5">
      <c r="D1659" s="3" t="s">
        <v>101</v>
      </c>
    </row>
    <row r="1660" spans="4:4" ht="17.649999999999999" x14ac:dyDescent="0.5">
      <c r="D1660" s="3" t="s">
        <v>43</v>
      </c>
    </row>
    <row r="1661" spans="4:4" ht="17.649999999999999" x14ac:dyDescent="0.5">
      <c r="D1661" s="3" t="s">
        <v>132</v>
      </c>
    </row>
    <row r="1662" spans="4:4" ht="17.649999999999999" x14ac:dyDescent="0.5">
      <c r="D1662" s="3" t="s">
        <v>74</v>
      </c>
    </row>
    <row r="1663" spans="4:4" ht="17.649999999999999" x14ac:dyDescent="0.5">
      <c r="D1663" s="3" t="s">
        <v>83</v>
      </c>
    </row>
    <row r="1664" spans="4:4" ht="17.649999999999999" x14ac:dyDescent="0.5">
      <c r="D1664" s="3" t="s">
        <v>98</v>
      </c>
    </row>
    <row r="1665" spans="4:4" ht="17.649999999999999" x14ac:dyDescent="0.5">
      <c r="D1665" s="3" t="s">
        <v>44</v>
      </c>
    </row>
    <row r="1666" spans="4:4" ht="17.649999999999999" x14ac:dyDescent="0.5">
      <c r="D1666" s="3" t="s">
        <v>57</v>
      </c>
    </row>
    <row r="1667" spans="4:4" ht="17.649999999999999" x14ac:dyDescent="0.5">
      <c r="D1667" s="3" t="s">
        <v>47</v>
      </c>
    </row>
    <row r="1668" spans="4:4" ht="17.649999999999999" x14ac:dyDescent="0.5">
      <c r="D1668" s="3" t="s">
        <v>135</v>
      </c>
    </row>
    <row r="1669" spans="4:4" ht="17.649999999999999" x14ac:dyDescent="0.5">
      <c r="D1669" s="3" t="s">
        <v>101</v>
      </c>
    </row>
    <row r="1670" spans="4:4" ht="17.649999999999999" x14ac:dyDescent="0.5">
      <c r="D1670" s="3" t="s">
        <v>53</v>
      </c>
    </row>
    <row r="1671" spans="4:4" ht="17.649999999999999" x14ac:dyDescent="0.5">
      <c r="D1671" s="3" t="s">
        <v>77</v>
      </c>
    </row>
    <row r="1672" spans="4:4" ht="17.649999999999999" x14ac:dyDescent="0.5">
      <c r="D1672" s="3" t="s">
        <v>91</v>
      </c>
    </row>
    <row r="1673" spans="4:4" ht="17.649999999999999" x14ac:dyDescent="0.5">
      <c r="D1673" s="3" t="s">
        <v>47</v>
      </c>
    </row>
    <row r="1674" spans="4:4" ht="17.649999999999999" x14ac:dyDescent="0.5">
      <c r="D1674" s="3" t="s">
        <v>78</v>
      </c>
    </row>
    <row r="1675" spans="4:4" ht="17.649999999999999" x14ac:dyDescent="0.5">
      <c r="D1675" s="3" t="s">
        <v>106</v>
      </c>
    </row>
    <row r="1676" spans="4:4" ht="17.649999999999999" x14ac:dyDescent="0.5">
      <c r="D1676" s="3" t="s">
        <v>52</v>
      </c>
    </row>
    <row r="1677" spans="4:4" ht="17.649999999999999" x14ac:dyDescent="0.5">
      <c r="D1677" s="3" t="s">
        <v>61</v>
      </c>
    </row>
    <row r="1678" spans="4:4" ht="17.649999999999999" x14ac:dyDescent="0.5">
      <c r="D1678" s="3" t="s">
        <v>104</v>
      </c>
    </row>
    <row r="1679" spans="4:4" ht="17.649999999999999" x14ac:dyDescent="0.5">
      <c r="D1679" s="3" t="s">
        <v>85</v>
      </c>
    </row>
    <row r="1680" spans="4:4" ht="17.649999999999999" x14ac:dyDescent="0.5">
      <c r="D1680" s="3" t="s">
        <v>63</v>
      </c>
    </row>
    <row r="1681" spans="4:4" ht="17.649999999999999" x14ac:dyDescent="0.5">
      <c r="D1681" s="3" t="s">
        <v>123</v>
      </c>
    </row>
    <row r="1682" spans="4:4" ht="17.649999999999999" x14ac:dyDescent="0.5">
      <c r="D1682" s="3" t="s">
        <v>48</v>
      </c>
    </row>
    <row r="1683" spans="4:4" ht="17.649999999999999" x14ac:dyDescent="0.5">
      <c r="D1683" s="3" t="s">
        <v>98</v>
      </c>
    </row>
    <row r="1684" spans="4:4" ht="17.649999999999999" x14ac:dyDescent="0.5">
      <c r="D1684" s="3" t="s">
        <v>51</v>
      </c>
    </row>
    <row r="1685" spans="4:4" ht="17.649999999999999" x14ac:dyDescent="0.5">
      <c r="D1685" s="3" t="s">
        <v>55</v>
      </c>
    </row>
    <row r="1686" spans="4:4" ht="17.649999999999999" x14ac:dyDescent="0.5">
      <c r="D1686" s="3" t="s">
        <v>70</v>
      </c>
    </row>
    <row r="1687" spans="4:4" ht="17.649999999999999" x14ac:dyDescent="0.5">
      <c r="D1687" s="3" t="s">
        <v>107</v>
      </c>
    </row>
    <row r="1688" spans="4:4" ht="17.649999999999999" x14ac:dyDescent="0.5">
      <c r="D1688" s="3" t="s">
        <v>64</v>
      </c>
    </row>
    <row r="1689" spans="4:4" ht="17.649999999999999" x14ac:dyDescent="0.5">
      <c r="D1689" s="3" t="s">
        <v>68</v>
      </c>
    </row>
    <row r="1690" spans="4:4" ht="17.649999999999999" x14ac:dyDescent="0.5">
      <c r="D1690" s="3" t="s">
        <v>69</v>
      </c>
    </row>
    <row r="1691" spans="4:4" ht="17.649999999999999" x14ac:dyDescent="0.5">
      <c r="D1691" s="3" t="s">
        <v>67</v>
      </c>
    </row>
    <row r="1692" spans="4:4" ht="17.649999999999999" x14ac:dyDescent="0.5">
      <c r="D1692" s="3" t="s">
        <v>94</v>
      </c>
    </row>
    <row r="1693" spans="4:4" ht="17.649999999999999" x14ac:dyDescent="0.5">
      <c r="D1693" s="3" t="s">
        <v>107</v>
      </c>
    </row>
    <row r="1694" spans="4:4" ht="17.649999999999999" x14ac:dyDescent="0.5">
      <c r="D1694" s="3" t="s">
        <v>54</v>
      </c>
    </row>
    <row r="1695" spans="4:4" ht="17.649999999999999" x14ac:dyDescent="0.5">
      <c r="D1695" s="3" t="s">
        <v>67</v>
      </c>
    </row>
    <row r="1696" spans="4:4" ht="17.649999999999999" x14ac:dyDescent="0.5">
      <c r="D1696" s="3" t="s">
        <v>63</v>
      </c>
    </row>
    <row r="1697" spans="4:4" ht="17.649999999999999" x14ac:dyDescent="0.5">
      <c r="D1697" s="3" t="s">
        <v>80</v>
      </c>
    </row>
    <row r="1698" spans="4:4" ht="17.649999999999999" x14ac:dyDescent="0.5">
      <c r="D1698" s="3" t="s">
        <v>41</v>
      </c>
    </row>
    <row r="1699" spans="4:4" ht="17.649999999999999" x14ac:dyDescent="0.5">
      <c r="D1699" s="3" t="s">
        <v>81</v>
      </c>
    </row>
    <row r="1700" spans="4:4" ht="17.649999999999999" x14ac:dyDescent="0.5">
      <c r="D1700" s="3" t="s">
        <v>85</v>
      </c>
    </row>
    <row r="1701" spans="4:4" ht="17.649999999999999" x14ac:dyDescent="0.5">
      <c r="D1701" s="3" t="s">
        <v>48</v>
      </c>
    </row>
    <row r="1702" spans="4:4" ht="17.649999999999999" x14ac:dyDescent="0.5">
      <c r="D1702" s="3" t="s">
        <v>117</v>
      </c>
    </row>
    <row r="1703" spans="4:4" ht="17.649999999999999" x14ac:dyDescent="0.5">
      <c r="D1703" s="3" t="s">
        <v>54</v>
      </c>
    </row>
    <row r="1704" spans="4:4" ht="17.649999999999999" x14ac:dyDescent="0.5">
      <c r="D1704" s="3" t="s">
        <v>47</v>
      </c>
    </row>
    <row r="1705" spans="4:4" ht="17.649999999999999" x14ac:dyDescent="0.5">
      <c r="D1705" s="3" t="s">
        <v>114</v>
      </c>
    </row>
    <row r="1706" spans="4:4" ht="17.649999999999999" x14ac:dyDescent="0.5">
      <c r="D1706" s="3" t="s">
        <v>57</v>
      </c>
    </row>
    <row r="1707" spans="4:4" ht="17.649999999999999" x14ac:dyDescent="0.5">
      <c r="D1707" s="3" t="s">
        <v>116</v>
      </c>
    </row>
    <row r="1708" spans="4:4" ht="17.649999999999999" x14ac:dyDescent="0.5">
      <c r="D1708" s="3" t="s">
        <v>67</v>
      </c>
    </row>
    <row r="1709" spans="4:4" ht="17.649999999999999" x14ac:dyDescent="0.5">
      <c r="D1709" s="3" t="s">
        <v>81</v>
      </c>
    </row>
    <row r="1710" spans="4:4" ht="17.649999999999999" x14ac:dyDescent="0.5">
      <c r="D1710" s="3" t="s">
        <v>103</v>
      </c>
    </row>
    <row r="1711" spans="4:4" ht="17.649999999999999" x14ac:dyDescent="0.5">
      <c r="D1711" s="3" t="s">
        <v>107</v>
      </c>
    </row>
    <row r="1712" spans="4:4" ht="17.649999999999999" x14ac:dyDescent="0.5">
      <c r="D1712" s="3" t="s">
        <v>46</v>
      </c>
    </row>
    <row r="1713" spans="4:4" ht="17.649999999999999" x14ac:dyDescent="0.5">
      <c r="D1713" s="3" t="s">
        <v>68</v>
      </c>
    </row>
    <row r="1714" spans="4:4" ht="17.649999999999999" x14ac:dyDescent="0.5">
      <c r="D1714" s="3" t="s">
        <v>64</v>
      </c>
    </row>
    <row r="1715" spans="4:4" ht="17.649999999999999" x14ac:dyDescent="0.5">
      <c r="D1715" s="3" t="s">
        <v>75</v>
      </c>
    </row>
    <row r="1716" spans="4:4" ht="17.649999999999999" x14ac:dyDescent="0.5">
      <c r="D1716" s="3" t="s">
        <v>58</v>
      </c>
    </row>
    <row r="1717" spans="4:4" ht="17.649999999999999" x14ac:dyDescent="0.5">
      <c r="D1717" s="3" t="s">
        <v>50</v>
      </c>
    </row>
    <row r="1718" spans="4:4" ht="17.649999999999999" x14ac:dyDescent="0.5">
      <c r="D1718" s="3" t="s">
        <v>55</v>
      </c>
    </row>
    <row r="1719" spans="4:4" ht="17.649999999999999" x14ac:dyDescent="0.5">
      <c r="D1719" s="3" t="s">
        <v>70</v>
      </c>
    </row>
    <row r="1720" spans="4:4" ht="17.649999999999999" x14ac:dyDescent="0.5">
      <c r="D1720" s="3" t="s">
        <v>112</v>
      </c>
    </row>
    <row r="1721" spans="4:4" ht="17.649999999999999" x14ac:dyDescent="0.5">
      <c r="D1721" s="3" t="s">
        <v>49</v>
      </c>
    </row>
    <row r="1722" spans="4:4" ht="17.649999999999999" x14ac:dyDescent="0.5">
      <c r="D1722" s="3" t="s">
        <v>66</v>
      </c>
    </row>
    <row r="1723" spans="4:4" ht="17.649999999999999" x14ac:dyDescent="0.5">
      <c r="D1723" s="3" t="s">
        <v>48</v>
      </c>
    </row>
    <row r="1724" spans="4:4" ht="17.649999999999999" x14ac:dyDescent="0.5">
      <c r="D1724" s="3" t="s">
        <v>77</v>
      </c>
    </row>
    <row r="1725" spans="4:4" ht="17.649999999999999" x14ac:dyDescent="0.5">
      <c r="D1725" s="3" t="s">
        <v>83</v>
      </c>
    </row>
    <row r="1726" spans="4:4" ht="17.649999999999999" x14ac:dyDescent="0.5">
      <c r="D1726" s="3" t="s">
        <v>91</v>
      </c>
    </row>
    <row r="1727" spans="4:4" ht="17.649999999999999" x14ac:dyDescent="0.5">
      <c r="D1727" s="3" t="s">
        <v>77</v>
      </c>
    </row>
    <row r="1728" spans="4:4" ht="17.649999999999999" x14ac:dyDescent="0.5">
      <c r="D1728" s="3" t="s">
        <v>114</v>
      </c>
    </row>
    <row r="1729" spans="4:4" ht="17.649999999999999" x14ac:dyDescent="0.5">
      <c r="D1729" s="3" t="s">
        <v>53</v>
      </c>
    </row>
    <row r="1730" spans="4:4" ht="17.649999999999999" x14ac:dyDescent="0.5">
      <c r="D1730" s="3" t="s">
        <v>70</v>
      </c>
    </row>
    <row r="1731" spans="4:4" ht="17.649999999999999" x14ac:dyDescent="0.5">
      <c r="D1731" s="3" t="s">
        <v>61</v>
      </c>
    </row>
    <row r="1732" spans="4:4" ht="17.649999999999999" x14ac:dyDescent="0.5">
      <c r="D1732" s="3" t="s">
        <v>59</v>
      </c>
    </row>
    <row r="1733" spans="4:4" ht="17.649999999999999" x14ac:dyDescent="0.5">
      <c r="D1733" s="3" t="s">
        <v>48</v>
      </c>
    </row>
    <row r="1734" spans="4:4" ht="17.649999999999999" x14ac:dyDescent="0.5">
      <c r="D1734" s="3" t="s">
        <v>47</v>
      </c>
    </row>
    <row r="1735" spans="4:4" ht="17.649999999999999" x14ac:dyDescent="0.5">
      <c r="D1735" s="3" t="s">
        <v>56</v>
      </c>
    </row>
    <row r="1736" spans="4:4" ht="17.649999999999999" x14ac:dyDescent="0.5">
      <c r="D1736" s="3" t="s">
        <v>65</v>
      </c>
    </row>
    <row r="1737" spans="4:4" ht="17.649999999999999" x14ac:dyDescent="0.5">
      <c r="D1737" s="3" t="s">
        <v>55</v>
      </c>
    </row>
    <row r="1738" spans="4:4" ht="17.649999999999999" x14ac:dyDescent="0.5">
      <c r="D1738" s="3" t="s">
        <v>115</v>
      </c>
    </row>
    <row r="1739" spans="4:4" ht="17.649999999999999" x14ac:dyDescent="0.5">
      <c r="D1739" s="3" t="s">
        <v>74</v>
      </c>
    </row>
    <row r="1740" spans="4:4" ht="17.649999999999999" x14ac:dyDescent="0.5">
      <c r="D1740" s="3" t="s">
        <v>80</v>
      </c>
    </row>
    <row r="1741" spans="4:4" ht="17.649999999999999" x14ac:dyDescent="0.5">
      <c r="D1741" s="3" t="s">
        <v>116</v>
      </c>
    </row>
    <row r="1742" spans="4:4" ht="17.649999999999999" x14ac:dyDescent="0.5">
      <c r="D1742" s="3" t="s">
        <v>56</v>
      </c>
    </row>
    <row r="1743" spans="4:4" ht="17.649999999999999" x14ac:dyDescent="0.5">
      <c r="D1743" s="3" t="s">
        <v>84</v>
      </c>
    </row>
    <row r="1744" spans="4:4" ht="17.649999999999999" x14ac:dyDescent="0.5">
      <c r="D1744" s="3" t="s">
        <v>90</v>
      </c>
    </row>
    <row r="1745" spans="4:4" ht="17.649999999999999" x14ac:dyDescent="0.5">
      <c r="D1745" s="3" t="s">
        <v>41</v>
      </c>
    </row>
    <row r="1746" spans="4:4" ht="17.649999999999999" x14ac:dyDescent="0.5">
      <c r="D1746" s="3" t="s">
        <v>80</v>
      </c>
    </row>
    <row r="1747" spans="4:4" ht="17.649999999999999" x14ac:dyDescent="0.5">
      <c r="D1747" s="3" t="s">
        <v>64</v>
      </c>
    </row>
    <row r="1748" spans="4:4" ht="17.649999999999999" x14ac:dyDescent="0.5">
      <c r="D1748" s="3" t="s">
        <v>54</v>
      </c>
    </row>
    <row r="1749" spans="4:4" ht="17.649999999999999" x14ac:dyDescent="0.5">
      <c r="D1749" s="3" t="s">
        <v>135</v>
      </c>
    </row>
    <row r="1750" spans="4:4" ht="17.649999999999999" x14ac:dyDescent="0.5">
      <c r="D1750" s="3" t="s">
        <v>73</v>
      </c>
    </row>
    <row r="1751" spans="4:4" ht="17.649999999999999" x14ac:dyDescent="0.5">
      <c r="D1751" s="3" t="s">
        <v>110</v>
      </c>
    </row>
    <row r="1752" spans="4:4" ht="17.649999999999999" x14ac:dyDescent="0.5">
      <c r="D1752" s="3" t="s">
        <v>66</v>
      </c>
    </row>
    <row r="1753" spans="4:4" ht="17.649999999999999" x14ac:dyDescent="0.5">
      <c r="D1753" s="3" t="s">
        <v>128</v>
      </c>
    </row>
    <row r="1754" spans="4:4" ht="17.649999999999999" x14ac:dyDescent="0.5">
      <c r="D1754" s="3" t="s">
        <v>61</v>
      </c>
    </row>
    <row r="1755" spans="4:4" ht="17.649999999999999" x14ac:dyDescent="0.5">
      <c r="D1755" s="3" t="s">
        <v>89</v>
      </c>
    </row>
    <row r="1756" spans="4:4" ht="17.649999999999999" x14ac:dyDescent="0.5">
      <c r="D1756" s="3" t="s">
        <v>96</v>
      </c>
    </row>
    <row r="1757" spans="4:4" ht="17.649999999999999" x14ac:dyDescent="0.5">
      <c r="D1757" s="3" t="s">
        <v>87</v>
      </c>
    </row>
    <row r="1758" spans="4:4" ht="17.649999999999999" x14ac:dyDescent="0.5">
      <c r="D1758" s="3" t="s">
        <v>84</v>
      </c>
    </row>
    <row r="1759" spans="4:4" ht="17.649999999999999" x14ac:dyDescent="0.5">
      <c r="D1759" s="3" t="s">
        <v>116</v>
      </c>
    </row>
    <row r="1760" spans="4:4" ht="17.649999999999999" x14ac:dyDescent="0.5">
      <c r="D1760" s="3" t="s">
        <v>56</v>
      </c>
    </row>
    <row r="1761" spans="4:4" ht="17.649999999999999" x14ac:dyDescent="0.5">
      <c r="D1761" s="3" t="s">
        <v>107</v>
      </c>
    </row>
    <row r="1762" spans="4:4" ht="17.649999999999999" x14ac:dyDescent="0.5">
      <c r="D1762" s="3" t="s">
        <v>102</v>
      </c>
    </row>
    <row r="1763" spans="4:4" ht="17.649999999999999" x14ac:dyDescent="0.5">
      <c r="D1763" s="3" t="s">
        <v>94</v>
      </c>
    </row>
    <row r="1764" spans="4:4" ht="17.649999999999999" x14ac:dyDescent="0.5">
      <c r="D1764" s="3" t="s">
        <v>51</v>
      </c>
    </row>
    <row r="1765" spans="4:4" ht="17.649999999999999" x14ac:dyDescent="0.5">
      <c r="D1765" s="3" t="s">
        <v>46</v>
      </c>
    </row>
    <row r="1766" spans="4:4" ht="17.649999999999999" x14ac:dyDescent="0.5">
      <c r="D1766" s="3" t="s">
        <v>92</v>
      </c>
    </row>
    <row r="1767" spans="4:4" ht="17.649999999999999" x14ac:dyDescent="0.5">
      <c r="D1767" s="3" t="s">
        <v>66</v>
      </c>
    </row>
    <row r="1768" spans="4:4" ht="17.649999999999999" x14ac:dyDescent="0.5">
      <c r="D1768" s="3" t="s">
        <v>103</v>
      </c>
    </row>
    <row r="1769" spans="4:4" ht="17.649999999999999" x14ac:dyDescent="0.5">
      <c r="D1769" s="3" t="s">
        <v>117</v>
      </c>
    </row>
    <row r="1770" spans="4:4" ht="17.649999999999999" x14ac:dyDescent="0.5">
      <c r="D1770" s="3" t="s">
        <v>108</v>
      </c>
    </row>
    <row r="1771" spans="4:4" ht="17.649999999999999" x14ac:dyDescent="0.5">
      <c r="D1771" s="3" t="s">
        <v>119</v>
      </c>
    </row>
    <row r="1772" spans="4:4" ht="17.649999999999999" x14ac:dyDescent="0.5">
      <c r="D1772" s="3" t="s">
        <v>103</v>
      </c>
    </row>
    <row r="1773" spans="4:4" ht="17.649999999999999" x14ac:dyDescent="0.5">
      <c r="D1773" s="3" t="s">
        <v>68</v>
      </c>
    </row>
    <row r="1774" spans="4:4" ht="17.649999999999999" x14ac:dyDescent="0.5">
      <c r="D1774" s="3" t="s">
        <v>56</v>
      </c>
    </row>
    <row r="1775" spans="4:4" ht="17.649999999999999" x14ac:dyDescent="0.5">
      <c r="D1775" s="3" t="s">
        <v>108</v>
      </c>
    </row>
    <row r="1776" spans="4:4" ht="17.649999999999999" x14ac:dyDescent="0.5">
      <c r="D1776" s="3" t="s">
        <v>107</v>
      </c>
    </row>
    <row r="1777" spans="4:4" ht="17.649999999999999" x14ac:dyDescent="0.5">
      <c r="D1777" s="3" t="s">
        <v>42</v>
      </c>
    </row>
    <row r="1778" spans="4:4" ht="17.649999999999999" x14ac:dyDescent="0.5">
      <c r="D1778" s="3" t="s">
        <v>65</v>
      </c>
    </row>
    <row r="1779" spans="4:4" ht="17.649999999999999" x14ac:dyDescent="0.5">
      <c r="D1779" s="3" t="s">
        <v>125</v>
      </c>
    </row>
    <row r="1780" spans="4:4" ht="17.649999999999999" x14ac:dyDescent="0.5">
      <c r="D1780" s="3" t="s">
        <v>105</v>
      </c>
    </row>
    <row r="1781" spans="4:4" ht="17.649999999999999" x14ac:dyDescent="0.5">
      <c r="D1781" s="3" t="s">
        <v>51</v>
      </c>
    </row>
    <row r="1782" spans="4:4" ht="17.649999999999999" x14ac:dyDescent="0.5">
      <c r="D1782" s="3" t="s">
        <v>49</v>
      </c>
    </row>
    <row r="1783" spans="4:4" ht="17.649999999999999" x14ac:dyDescent="0.5">
      <c r="D1783" s="3" t="s">
        <v>94</v>
      </c>
    </row>
    <row r="1784" spans="4:4" ht="17.649999999999999" x14ac:dyDescent="0.5">
      <c r="D1784" s="3" t="s">
        <v>73</v>
      </c>
    </row>
    <row r="1785" spans="4:4" ht="17.649999999999999" x14ac:dyDescent="0.5">
      <c r="D1785" s="3" t="s">
        <v>42</v>
      </c>
    </row>
    <row r="1786" spans="4:4" ht="17.649999999999999" x14ac:dyDescent="0.5">
      <c r="D1786" s="3" t="s">
        <v>87</v>
      </c>
    </row>
    <row r="1787" spans="4:4" ht="17.649999999999999" x14ac:dyDescent="0.5">
      <c r="D1787" s="3" t="s">
        <v>41</v>
      </c>
    </row>
    <row r="1788" spans="4:4" ht="17.649999999999999" x14ac:dyDescent="0.5">
      <c r="D1788" s="3" t="s">
        <v>98</v>
      </c>
    </row>
    <row r="1789" spans="4:4" ht="17.649999999999999" x14ac:dyDescent="0.5">
      <c r="D1789" s="3" t="s">
        <v>55</v>
      </c>
    </row>
    <row r="1790" spans="4:4" ht="17.649999999999999" x14ac:dyDescent="0.5">
      <c r="D1790" s="3" t="s">
        <v>136</v>
      </c>
    </row>
    <row r="1791" spans="4:4" ht="17.649999999999999" x14ac:dyDescent="0.5">
      <c r="D1791" s="3" t="s">
        <v>112</v>
      </c>
    </row>
    <row r="1792" spans="4:4" ht="17.649999999999999" x14ac:dyDescent="0.5">
      <c r="D1792" s="3" t="s">
        <v>101</v>
      </c>
    </row>
    <row r="1793" spans="4:4" ht="17.649999999999999" x14ac:dyDescent="0.5">
      <c r="D1793" s="3" t="s">
        <v>95</v>
      </c>
    </row>
    <row r="1794" spans="4:4" ht="17.649999999999999" x14ac:dyDescent="0.5">
      <c r="D1794" s="3" t="s">
        <v>94</v>
      </c>
    </row>
    <row r="1795" spans="4:4" ht="17.649999999999999" x14ac:dyDescent="0.5">
      <c r="D1795" s="3" t="s">
        <v>69</v>
      </c>
    </row>
    <row r="1796" spans="4:4" ht="17.649999999999999" x14ac:dyDescent="0.5">
      <c r="D1796" s="3" t="s">
        <v>83</v>
      </c>
    </row>
    <row r="1797" spans="4:4" ht="17.649999999999999" x14ac:dyDescent="0.5">
      <c r="D1797" s="3" t="s">
        <v>92</v>
      </c>
    </row>
    <row r="1798" spans="4:4" ht="17.649999999999999" x14ac:dyDescent="0.5">
      <c r="D1798" s="3" t="s">
        <v>87</v>
      </c>
    </row>
    <row r="1799" spans="4:4" ht="17.649999999999999" x14ac:dyDescent="0.5">
      <c r="D1799" s="3" t="s">
        <v>111</v>
      </c>
    </row>
    <row r="1800" spans="4:4" ht="17.649999999999999" x14ac:dyDescent="0.5">
      <c r="D1800" s="3" t="s">
        <v>50</v>
      </c>
    </row>
    <row r="1801" spans="4:4" ht="17.649999999999999" x14ac:dyDescent="0.5">
      <c r="D1801" s="3" t="s">
        <v>91</v>
      </c>
    </row>
    <row r="1802" spans="4:4" ht="17.649999999999999" x14ac:dyDescent="0.5">
      <c r="D1802" s="3" t="s">
        <v>53</v>
      </c>
    </row>
    <row r="1803" spans="4:4" ht="17.649999999999999" x14ac:dyDescent="0.5">
      <c r="D1803" s="3" t="s">
        <v>53</v>
      </c>
    </row>
    <row r="1804" spans="4:4" ht="17.649999999999999" x14ac:dyDescent="0.5">
      <c r="D1804" s="3" t="s">
        <v>52</v>
      </c>
    </row>
    <row r="1805" spans="4:4" ht="17.649999999999999" x14ac:dyDescent="0.5">
      <c r="D1805" s="3" t="s">
        <v>99</v>
      </c>
    </row>
    <row r="1806" spans="4:4" ht="17.649999999999999" x14ac:dyDescent="0.5">
      <c r="D1806" s="3" t="s">
        <v>56</v>
      </c>
    </row>
    <row r="1807" spans="4:4" ht="17.649999999999999" x14ac:dyDescent="0.5">
      <c r="D1807" s="3" t="s">
        <v>112</v>
      </c>
    </row>
    <row r="1808" spans="4:4" ht="17.649999999999999" x14ac:dyDescent="0.5">
      <c r="D1808" s="3" t="s">
        <v>101</v>
      </c>
    </row>
    <row r="1809" spans="4:4" ht="17.649999999999999" x14ac:dyDescent="0.5">
      <c r="D1809" s="3" t="s">
        <v>73</v>
      </c>
    </row>
    <row r="1810" spans="4:4" ht="17.649999999999999" x14ac:dyDescent="0.5">
      <c r="D1810" s="3" t="s">
        <v>89</v>
      </c>
    </row>
    <row r="1811" spans="4:4" ht="17.649999999999999" x14ac:dyDescent="0.5">
      <c r="D1811" s="3" t="s">
        <v>99</v>
      </c>
    </row>
    <row r="1812" spans="4:4" ht="17.649999999999999" x14ac:dyDescent="0.5">
      <c r="D1812" s="3" t="s">
        <v>129</v>
      </c>
    </row>
    <row r="1813" spans="4:4" ht="17.649999999999999" x14ac:dyDescent="0.5">
      <c r="D1813" s="3" t="s">
        <v>47</v>
      </c>
    </row>
    <row r="1814" spans="4:4" ht="17.649999999999999" x14ac:dyDescent="0.5">
      <c r="D1814" s="3" t="s">
        <v>117</v>
      </c>
    </row>
    <row r="1815" spans="4:4" ht="17.649999999999999" x14ac:dyDescent="0.5">
      <c r="D1815" s="3" t="s">
        <v>46</v>
      </c>
    </row>
    <row r="1816" spans="4:4" ht="17.649999999999999" x14ac:dyDescent="0.5">
      <c r="D1816" s="3" t="s">
        <v>80</v>
      </c>
    </row>
    <row r="1817" spans="4:4" ht="17.649999999999999" x14ac:dyDescent="0.5">
      <c r="D1817" s="3" t="s">
        <v>61</v>
      </c>
    </row>
    <row r="1818" spans="4:4" ht="17.649999999999999" x14ac:dyDescent="0.5">
      <c r="D1818" s="3" t="s">
        <v>85</v>
      </c>
    </row>
    <row r="1819" spans="4:4" ht="17.649999999999999" x14ac:dyDescent="0.5">
      <c r="D1819" s="3" t="s">
        <v>76</v>
      </c>
    </row>
    <row r="1820" spans="4:4" ht="17.649999999999999" x14ac:dyDescent="0.5">
      <c r="D1820" s="3" t="s">
        <v>61</v>
      </c>
    </row>
    <row r="1821" spans="4:4" ht="17.649999999999999" x14ac:dyDescent="0.5">
      <c r="D1821" s="3" t="s">
        <v>84</v>
      </c>
    </row>
    <row r="1822" spans="4:4" ht="17.649999999999999" x14ac:dyDescent="0.5">
      <c r="D1822" s="3" t="s">
        <v>107</v>
      </c>
    </row>
    <row r="1823" spans="4:4" ht="17.649999999999999" x14ac:dyDescent="0.5">
      <c r="D1823" s="3" t="s">
        <v>106</v>
      </c>
    </row>
    <row r="1824" spans="4:4" ht="17.649999999999999" x14ac:dyDescent="0.5">
      <c r="D1824" s="3" t="s">
        <v>131</v>
      </c>
    </row>
    <row r="1825" spans="4:4" ht="17.649999999999999" x14ac:dyDescent="0.5">
      <c r="D1825" s="3" t="s">
        <v>128</v>
      </c>
    </row>
    <row r="1826" spans="4:4" ht="17.649999999999999" x14ac:dyDescent="0.5">
      <c r="D1826" s="3" t="s">
        <v>59</v>
      </c>
    </row>
    <row r="1827" spans="4:4" ht="17.649999999999999" x14ac:dyDescent="0.5">
      <c r="D1827" s="3" t="s">
        <v>50</v>
      </c>
    </row>
    <row r="1828" spans="4:4" ht="17.649999999999999" x14ac:dyDescent="0.5">
      <c r="D1828" s="3" t="s">
        <v>51</v>
      </c>
    </row>
    <row r="1829" spans="4:4" ht="17.649999999999999" x14ac:dyDescent="0.5">
      <c r="D1829" s="3" t="s">
        <v>54</v>
      </c>
    </row>
    <row r="1830" spans="4:4" ht="17.649999999999999" x14ac:dyDescent="0.5">
      <c r="D1830" s="3" t="s">
        <v>81</v>
      </c>
    </row>
    <row r="1831" spans="4:4" ht="17.649999999999999" x14ac:dyDescent="0.5">
      <c r="D1831" s="3" t="s">
        <v>68</v>
      </c>
    </row>
    <row r="1832" spans="4:4" ht="17.649999999999999" x14ac:dyDescent="0.5">
      <c r="D1832" s="3" t="s">
        <v>69</v>
      </c>
    </row>
    <row r="1833" spans="4:4" ht="17.649999999999999" x14ac:dyDescent="0.5">
      <c r="D1833" s="3" t="s">
        <v>112</v>
      </c>
    </row>
    <row r="1834" spans="4:4" ht="17.649999999999999" x14ac:dyDescent="0.5">
      <c r="D1834" s="3" t="s">
        <v>103</v>
      </c>
    </row>
    <row r="1835" spans="4:4" ht="17.649999999999999" x14ac:dyDescent="0.5">
      <c r="D1835" s="3" t="s">
        <v>51</v>
      </c>
    </row>
    <row r="1836" spans="4:4" ht="17.649999999999999" x14ac:dyDescent="0.5">
      <c r="D1836" s="3" t="s">
        <v>52</v>
      </c>
    </row>
    <row r="1837" spans="4:4" ht="17.649999999999999" x14ac:dyDescent="0.5">
      <c r="D1837" s="3" t="s">
        <v>50</v>
      </c>
    </row>
    <row r="1838" spans="4:4" ht="17.649999999999999" x14ac:dyDescent="0.5">
      <c r="D1838" s="3" t="s">
        <v>73</v>
      </c>
    </row>
    <row r="1839" spans="4:4" ht="17.649999999999999" x14ac:dyDescent="0.5">
      <c r="D1839" s="3" t="s">
        <v>74</v>
      </c>
    </row>
    <row r="1840" spans="4:4" ht="17.649999999999999" x14ac:dyDescent="0.5">
      <c r="D1840" s="3" t="s">
        <v>41</v>
      </c>
    </row>
    <row r="1841" spans="4:4" ht="17.649999999999999" x14ac:dyDescent="0.5">
      <c r="D1841" s="3" t="s">
        <v>98</v>
      </c>
    </row>
    <row r="1842" spans="4:4" ht="17.649999999999999" x14ac:dyDescent="0.5">
      <c r="D1842" s="3" t="s">
        <v>105</v>
      </c>
    </row>
    <row r="1843" spans="4:4" ht="17.649999999999999" x14ac:dyDescent="0.5">
      <c r="D1843" s="3" t="s">
        <v>63</v>
      </c>
    </row>
    <row r="1844" spans="4:4" ht="17.649999999999999" x14ac:dyDescent="0.5">
      <c r="D1844" s="3" t="s">
        <v>69</v>
      </c>
    </row>
    <row r="1845" spans="4:4" ht="17.649999999999999" x14ac:dyDescent="0.5">
      <c r="D1845" s="3" t="s">
        <v>106</v>
      </c>
    </row>
    <row r="1846" spans="4:4" ht="17.649999999999999" x14ac:dyDescent="0.5">
      <c r="D1846" s="3" t="s">
        <v>64</v>
      </c>
    </row>
    <row r="1847" spans="4:4" ht="17.649999999999999" x14ac:dyDescent="0.5">
      <c r="D1847" s="3" t="s">
        <v>98</v>
      </c>
    </row>
    <row r="1848" spans="4:4" ht="17.649999999999999" x14ac:dyDescent="0.5">
      <c r="D1848" s="3" t="s">
        <v>73</v>
      </c>
    </row>
    <row r="1849" spans="4:4" ht="17.649999999999999" x14ac:dyDescent="0.5">
      <c r="D1849" s="3" t="s">
        <v>101</v>
      </c>
    </row>
    <row r="1850" spans="4:4" ht="17.649999999999999" x14ac:dyDescent="0.5">
      <c r="D1850" s="3" t="s">
        <v>61</v>
      </c>
    </row>
    <row r="1851" spans="4:4" ht="17.649999999999999" x14ac:dyDescent="0.5">
      <c r="D1851" s="3" t="s">
        <v>90</v>
      </c>
    </row>
    <row r="1852" spans="4:4" ht="17.649999999999999" x14ac:dyDescent="0.5">
      <c r="D1852" s="3" t="s">
        <v>64</v>
      </c>
    </row>
    <row r="1853" spans="4:4" ht="17.649999999999999" x14ac:dyDescent="0.5">
      <c r="D1853" s="3" t="s">
        <v>89</v>
      </c>
    </row>
    <row r="1854" spans="4:4" ht="17.649999999999999" x14ac:dyDescent="0.5">
      <c r="D1854" s="3" t="s">
        <v>47</v>
      </c>
    </row>
    <row r="1855" spans="4:4" ht="17.649999999999999" x14ac:dyDescent="0.5">
      <c r="D1855" s="3" t="s">
        <v>112</v>
      </c>
    </row>
    <row r="1856" spans="4:4" ht="17.649999999999999" x14ac:dyDescent="0.5">
      <c r="D1856" s="3" t="s">
        <v>47</v>
      </c>
    </row>
    <row r="1857" spans="4:4" ht="17.649999999999999" x14ac:dyDescent="0.5">
      <c r="D1857" s="3" t="s">
        <v>58</v>
      </c>
    </row>
    <row r="1858" spans="4:4" ht="17.649999999999999" x14ac:dyDescent="0.5">
      <c r="D1858" s="3" t="s">
        <v>52</v>
      </c>
    </row>
    <row r="1859" spans="4:4" ht="17.649999999999999" x14ac:dyDescent="0.5">
      <c r="D1859" s="3" t="s">
        <v>72</v>
      </c>
    </row>
    <row r="1860" spans="4:4" ht="17.649999999999999" x14ac:dyDescent="0.5">
      <c r="D1860" s="3" t="s">
        <v>66</v>
      </c>
    </row>
    <row r="1861" spans="4:4" ht="17.649999999999999" x14ac:dyDescent="0.5">
      <c r="D1861" s="3" t="s">
        <v>92</v>
      </c>
    </row>
    <row r="1862" spans="4:4" ht="17.649999999999999" x14ac:dyDescent="0.5">
      <c r="D1862" s="3" t="s">
        <v>87</v>
      </c>
    </row>
    <row r="1863" spans="4:4" ht="17.649999999999999" x14ac:dyDescent="0.5">
      <c r="D1863" s="3" t="s">
        <v>53</v>
      </c>
    </row>
    <row r="1864" spans="4:4" ht="17.649999999999999" x14ac:dyDescent="0.5">
      <c r="D1864" s="3" t="s">
        <v>117</v>
      </c>
    </row>
    <row r="1865" spans="4:4" ht="17.649999999999999" x14ac:dyDescent="0.5">
      <c r="D1865" s="3" t="s">
        <v>111</v>
      </c>
    </row>
    <row r="1866" spans="4:4" ht="17.649999999999999" x14ac:dyDescent="0.5">
      <c r="D1866" s="3" t="s">
        <v>115</v>
      </c>
    </row>
    <row r="1867" spans="4:4" ht="17.649999999999999" x14ac:dyDescent="0.5">
      <c r="D1867" s="3" t="s">
        <v>47</v>
      </c>
    </row>
    <row r="1868" spans="4:4" ht="17.649999999999999" x14ac:dyDescent="0.5">
      <c r="D1868" s="3" t="s">
        <v>120</v>
      </c>
    </row>
    <row r="1869" spans="4:4" ht="17.649999999999999" x14ac:dyDescent="0.5">
      <c r="D1869" s="3" t="s">
        <v>92</v>
      </c>
    </row>
    <row r="1870" spans="4:4" ht="17.649999999999999" x14ac:dyDescent="0.5">
      <c r="D1870" s="3" t="s">
        <v>57</v>
      </c>
    </row>
    <row r="1871" spans="4:4" ht="17.649999999999999" x14ac:dyDescent="0.5">
      <c r="D1871" s="3" t="s">
        <v>121</v>
      </c>
    </row>
    <row r="1872" spans="4:4" ht="17.649999999999999" x14ac:dyDescent="0.5">
      <c r="D1872" s="3" t="s">
        <v>85</v>
      </c>
    </row>
    <row r="1873" spans="4:4" ht="17.649999999999999" x14ac:dyDescent="0.5">
      <c r="D1873" s="3" t="s">
        <v>101</v>
      </c>
    </row>
    <row r="1874" spans="4:4" ht="17.649999999999999" x14ac:dyDescent="0.5">
      <c r="D1874" s="3" t="s">
        <v>69</v>
      </c>
    </row>
    <row r="1875" spans="4:4" ht="17.649999999999999" x14ac:dyDescent="0.5">
      <c r="D1875" s="3" t="s">
        <v>112</v>
      </c>
    </row>
    <row r="1876" spans="4:4" ht="17.649999999999999" x14ac:dyDescent="0.5">
      <c r="D1876" s="3" t="s">
        <v>91</v>
      </c>
    </row>
    <row r="1877" spans="4:4" ht="17.649999999999999" x14ac:dyDescent="0.5">
      <c r="D1877" s="3" t="s">
        <v>78</v>
      </c>
    </row>
    <row r="1878" spans="4:4" ht="17.649999999999999" x14ac:dyDescent="0.5">
      <c r="D1878" s="3" t="s">
        <v>57</v>
      </c>
    </row>
    <row r="1879" spans="4:4" ht="17.649999999999999" x14ac:dyDescent="0.5">
      <c r="D1879" s="3" t="s">
        <v>105</v>
      </c>
    </row>
    <row r="1880" spans="4:4" ht="17.649999999999999" x14ac:dyDescent="0.5">
      <c r="D1880" s="3" t="s">
        <v>92</v>
      </c>
    </row>
    <row r="1881" spans="4:4" ht="17.649999999999999" x14ac:dyDescent="0.5">
      <c r="D1881" s="3" t="s">
        <v>76</v>
      </c>
    </row>
    <row r="1882" spans="4:4" ht="17.649999999999999" x14ac:dyDescent="0.5">
      <c r="D1882" s="3" t="s">
        <v>103</v>
      </c>
    </row>
    <row r="1883" spans="4:4" ht="17.649999999999999" x14ac:dyDescent="0.5">
      <c r="D1883" s="3" t="s">
        <v>72</v>
      </c>
    </row>
    <row r="1884" spans="4:4" ht="17.649999999999999" x14ac:dyDescent="0.5">
      <c r="D1884" s="3" t="s">
        <v>114</v>
      </c>
    </row>
    <row r="1885" spans="4:4" ht="17.649999999999999" x14ac:dyDescent="0.5">
      <c r="D1885" s="3" t="s">
        <v>87</v>
      </c>
    </row>
    <row r="1886" spans="4:4" ht="17.649999999999999" x14ac:dyDescent="0.5">
      <c r="D1886" s="3" t="s">
        <v>63</v>
      </c>
    </row>
    <row r="1887" spans="4:4" ht="17.649999999999999" x14ac:dyDescent="0.5">
      <c r="D1887" s="3" t="s">
        <v>127</v>
      </c>
    </row>
    <row r="1888" spans="4:4" ht="17.649999999999999" x14ac:dyDescent="0.5">
      <c r="D1888" s="3" t="s">
        <v>52</v>
      </c>
    </row>
    <row r="1889" spans="4:4" ht="17.649999999999999" x14ac:dyDescent="0.5">
      <c r="D1889" s="3" t="s">
        <v>117</v>
      </c>
    </row>
    <row r="1890" spans="4:4" ht="17.649999999999999" x14ac:dyDescent="0.5">
      <c r="D1890" s="3" t="s">
        <v>57</v>
      </c>
    </row>
    <row r="1891" spans="4:4" ht="17.649999999999999" x14ac:dyDescent="0.5">
      <c r="D1891" s="3" t="s">
        <v>67</v>
      </c>
    </row>
    <row r="1892" spans="4:4" ht="17.649999999999999" x14ac:dyDescent="0.5">
      <c r="D1892" s="3" t="s">
        <v>96</v>
      </c>
    </row>
    <row r="1893" spans="4:4" ht="17.649999999999999" x14ac:dyDescent="0.5">
      <c r="D1893" s="3" t="s">
        <v>65</v>
      </c>
    </row>
    <row r="1894" spans="4:4" ht="17.649999999999999" x14ac:dyDescent="0.5">
      <c r="D1894" s="3" t="s">
        <v>125</v>
      </c>
    </row>
    <row r="1895" spans="4:4" ht="17.649999999999999" x14ac:dyDescent="0.5">
      <c r="D1895" s="3" t="s">
        <v>74</v>
      </c>
    </row>
    <row r="1896" spans="4:4" ht="17.649999999999999" x14ac:dyDescent="0.5">
      <c r="D1896" s="3" t="s">
        <v>44</v>
      </c>
    </row>
    <row r="1897" spans="4:4" ht="17.649999999999999" x14ac:dyDescent="0.5">
      <c r="D1897" s="3" t="s">
        <v>66</v>
      </c>
    </row>
    <row r="1898" spans="4:4" ht="17.649999999999999" x14ac:dyDescent="0.5">
      <c r="D1898" s="3" t="s">
        <v>73</v>
      </c>
    </row>
    <row r="1899" spans="4:4" ht="17.649999999999999" x14ac:dyDescent="0.5">
      <c r="D1899" s="3" t="s">
        <v>70</v>
      </c>
    </row>
    <row r="1900" spans="4:4" ht="17.649999999999999" x14ac:dyDescent="0.5">
      <c r="D1900" s="3" t="s">
        <v>51</v>
      </c>
    </row>
    <row r="1901" spans="4:4" ht="17.649999999999999" x14ac:dyDescent="0.5">
      <c r="D1901" s="3" t="s">
        <v>80</v>
      </c>
    </row>
    <row r="1902" spans="4:4" ht="17.649999999999999" x14ac:dyDescent="0.5">
      <c r="D1902" s="3" t="s">
        <v>54</v>
      </c>
    </row>
    <row r="1903" spans="4:4" ht="17.649999999999999" x14ac:dyDescent="0.5">
      <c r="D1903" s="3" t="s">
        <v>115</v>
      </c>
    </row>
    <row r="1904" spans="4:4" ht="17.649999999999999" x14ac:dyDescent="0.5">
      <c r="D1904" s="3" t="s">
        <v>132</v>
      </c>
    </row>
    <row r="1905" spans="4:4" ht="17.649999999999999" x14ac:dyDescent="0.5">
      <c r="D1905" s="3" t="s">
        <v>52</v>
      </c>
    </row>
    <row r="1906" spans="4:4" ht="17.649999999999999" x14ac:dyDescent="0.5">
      <c r="D1906" s="3" t="s">
        <v>63</v>
      </c>
    </row>
    <row r="1907" spans="4:4" ht="17.649999999999999" x14ac:dyDescent="0.5">
      <c r="D1907" s="3" t="s">
        <v>47</v>
      </c>
    </row>
    <row r="1908" spans="4:4" ht="17.649999999999999" x14ac:dyDescent="0.5">
      <c r="D1908" s="3" t="s">
        <v>69</v>
      </c>
    </row>
    <row r="1909" spans="4:4" ht="17.649999999999999" x14ac:dyDescent="0.5">
      <c r="D1909" s="3" t="s">
        <v>54</v>
      </c>
    </row>
    <row r="1910" spans="4:4" ht="17.649999999999999" x14ac:dyDescent="0.5">
      <c r="D1910" s="3" t="s">
        <v>78</v>
      </c>
    </row>
    <row r="1911" spans="4:4" ht="17.649999999999999" x14ac:dyDescent="0.5">
      <c r="D1911" s="3" t="s">
        <v>76</v>
      </c>
    </row>
    <row r="1912" spans="4:4" ht="17.649999999999999" x14ac:dyDescent="0.5">
      <c r="D1912" s="3" t="s">
        <v>101</v>
      </c>
    </row>
    <row r="1913" spans="4:4" ht="17.649999999999999" x14ac:dyDescent="0.5">
      <c r="D1913" s="3" t="s">
        <v>95</v>
      </c>
    </row>
    <row r="1914" spans="4:4" ht="17.649999999999999" x14ac:dyDescent="0.5">
      <c r="D1914" s="3" t="s">
        <v>81</v>
      </c>
    </row>
    <row r="1915" spans="4:4" ht="17.649999999999999" x14ac:dyDescent="0.5">
      <c r="D1915" s="3" t="s">
        <v>48</v>
      </c>
    </row>
    <row r="1916" spans="4:4" ht="17.649999999999999" x14ac:dyDescent="0.5">
      <c r="D1916" s="3" t="s">
        <v>83</v>
      </c>
    </row>
    <row r="1917" spans="4:4" ht="17.649999999999999" x14ac:dyDescent="0.5">
      <c r="D1917" s="3" t="s">
        <v>50</v>
      </c>
    </row>
    <row r="1918" spans="4:4" ht="17.649999999999999" x14ac:dyDescent="0.5">
      <c r="D1918" s="3" t="s">
        <v>118</v>
      </c>
    </row>
    <row r="1919" spans="4:4" ht="17.649999999999999" x14ac:dyDescent="0.5">
      <c r="D1919" s="3" t="s">
        <v>107</v>
      </c>
    </row>
    <row r="1920" spans="4:4" ht="17.649999999999999" x14ac:dyDescent="0.5">
      <c r="D1920" s="3" t="s">
        <v>85</v>
      </c>
    </row>
    <row r="1921" spans="4:4" ht="17.649999999999999" x14ac:dyDescent="0.5">
      <c r="D1921" s="3" t="s">
        <v>51</v>
      </c>
    </row>
    <row r="1922" spans="4:4" ht="17.649999999999999" x14ac:dyDescent="0.5">
      <c r="D1922" s="3" t="s">
        <v>49</v>
      </c>
    </row>
    <row r="1923" spans="4:4" ht="17.649999999999999" x14ac:dyDescent="0.5">
      <c r="D1923" s="3" t="s">
        <v>86</v>
      </c>
    </row>
    <row r="1924" spans="4:4" ht="17.649999999999999" x14ac:dyDescent="0.5">
      <c r="D1924" s="3" t="s">
        <v>56</v>
      </c>
    </row>
    <row r="1925" spans="4:4" ht="17.649999999999999" x14ac:dyDescent="0.5">
      <c r="D1925" s="3" t="s">
        <v>134</v>
      </c>
    </row>
    <row r="1926" spans="4:4" ht="17.649999999999999" x14ac:dyDescent="0.5">
      <c r="D1926" s="3" t="s">
        <v>61</v>
      </c>
    </row>
    <row r="1927" spans="4:4" ht="17.649999999999999" x14ac:dyDescent="0.5">
      <c r="D1927" s="3" t="s">
        <v>85</v>
      </c>
    </row>
    <row r="1928" spans="4:4" ht="17.649999999999999" x14ac:dyDescent="0.5">
      <c r="D1928" s="3" t="s">
        <v>50</v>
      </c>
    </row>
    <row r="1929" spans="4:4" ht="17.649999999999999" x14ac:dyDescent="0.5">
      <c r="D1929" s="3" t="s">
        <v>64</v>
      </c>
    </row>
    <row r="1930" spans="4:4" ht="17.649999999999999" x14ac:dyDescent="0.5">
      <c r="D1930" s="3" t="s">
        <v>61</v>
      </c>
    </row>
    <row r="1931" spans="4:4" ht="17.649999999999999" x14ac:dyDescent="0.5">
      <c r="D1931" s="3" t="s">
        <v>80</v>
      </c>
    </row>
    <row r="1932" spans="4:4" ht="17.649999999999999" x14ac:dyDescent="0.5">
      <c r="D1932" s="3" t="s">
        <v>68</v>
      </c>
    </row>
    <row r="1933" spans="4:4" ht="17.649999999999999" x14ac:dyDescent="0.5">
      <c r="D1933" s="3" t="s">
        <v>101</v>
      </c>
    </row>
    <row r="1934" spans="4:4" ht="17.649999999999999" x14ac:dyDescent="0.5">
      <c r="D1934" s="3" t="s">
        <v>87</v>
      </c>
    </row>
    <row r="1935" spans="4:4" ht="17.649999999999999" x14ac:dyDescent="0.5">
      <c r="D1935" s="3" t="s">
        <v>85</v>
      </c>
    </row>
    <row r="1936" spans="4:4" ht="17.649999999999999" x14ac:dyDescent="0.5">
      <c r="D1936" s="3" t="s">
        <v>64</v>
      </c>
    </row>
    <row r="1937" spans="4:4" ht="17.649999999999999" x14ac:dyDescent="0.5">
      <c r="D1937" s="3" t="s">
        <v>114</v>
      </c>
    </row>
    <row r="1938" spans="4:4" ht="17.649999999999999" x14ac:dyDescent="0.5">
      <c r="D1938" s="3" t="s">
        <v>100</v>
      </c>
    </row>
    <row r="1939" spans="4:4" ht="17.649999999999999" x14ac:dyDescent="0.5">
      <c r="D1939" s="3" t="s">
        <v>67</v>
      </c>
    </row>
    <row r="1940" spans="4:4" ht="17.649999999999999" x14ac:dyDescent="0.5">
      <c r="D1940" s="3" t="s">
        <v>64</v>
      </c>
    </row>
    <row r="1941" spans="4:4" ht="17.649999999999999" x14ac:dyDescent="0.5">
      <c r="D1941" s="3" t="s">
        <v>49</v>
      </c>
    </row>
    <row r="1942" spans="4:4" ht="17.649999999999999" x14ac:dyDescent="0.5">
      <c r="D1942" s="3" t="s">
        <v>110</v>
      </c>
    </row>
    <row r="1943" spans="4:4" ht="17.649999999999999" x14ac:dyDescent="0.5">
      <c r="D1943" s="3" t="s">
        <v>94</v>
      </c>
    </row>
    <row r="1944" spans="4:4" ht="17.649999999999999" x14ac:dyDescent="0.5">
      <c r="D1944" s="3" t="s">
        <v>50</v>
      </c>
    </row>
    <row r="1945" spans="4:4" ht="17.649999999999999" x14ac:dyDescent="0.5">
      <c r="D1945" s="3" t="s">
        <v>136</v>
      </c>
    </row>
    <row r="1946" spans="4:4" ht="17.649999999999999" x14ac:dyDescent="0.5">
      <c r="D1946" s="3" t="s">
        <v>89</v>
      </c>
    </row>
    <row r="1947" spans="4:4" ht="17.649999999999999" x14ac:dyDescent="0.5">
      <c r="D1947" s="3" t="s">
        <v>79</v>
      </c>
    </row>
    <row r="1948" spans="4:4" ht="17.649999999999999" x14ac:dyDescent="0.5">
      <c r="D1948" s="3" t="s">
        <v>85</v>
      </c>
    </row>
    <row r="1949" spans="4:4" ht="17.649999999999999" x14ac:dyDescent="0.5">
      <c r="D1949" s="3" t="s">
        <v>106</v>
      </c>
    </row>
    <row r="1950" spans="4:4" ht="17.649999999999999" x14ac:dyDescent="0.5">
      <c r="D1950" s="3" t="s">
        <v>122</v>
      </c>
    </row>
    <row r="1951" spans="4:4" ht="17.649999999999999" x14ac:dyDescent="0.5">
      <c r="D1951" s="3" t="s">
        <v>49</v>
      </c>
    </row>
    <row r="1952" spans="4:4" ht="17.649999999999999" x14ac:dyDescent="0.5">
      <c r="D1952" s="3" t="s">
        <v>78</v>
      </c>
    </row>
    <row r="1953" spans="4:4" ht="17.649999999999999" x14ac:dyDescent="0.5">
      <c r="D1953" s="3" t="s">
        <v>52</v>
      </c>
    </row>
    <row r="1954" spans="4:4" ht="17.649999999999999" x14ac:dyDescent="0.5">
      <c r="D1954" s="3" t="s">
        <v>63</v>
      </c>
    </row>
    <row r="1955" spans="4:4" ht="17.649999999999999" x14ac:dyDescent="0.5">
      <c r="D1955" s="3" t="s">
        <v>45</v>
      </c>
    </row>
    <row r="1956" spans="4:4" ht="17.649999999999999" x14ac:dyDescent="0.5">
      <c r="D1956" s="3" t="s">
        <v>101</v>
      </c>
    </row>
    <row r="1957" spans="4:4" ht="17.649999999999999" x14ac:dyDescent="0.5">
      <c r="D1957" s="3" t="s">
        <v>49</v>
      </c>
    </row>
    <row r="1958" spans="4:4" ht="17.649999999999999" x14ac:dyDescent="0.5">
      <c r="D1958" s="3" t="s">
        <v>53</v>
      </c>
    </row>
    <row r="1959" spans="4:4" ht="17.649999999999999" x14ac:dyDescent="0.5">
      <c r="D1959" s="3" t="s">
        <v>49</v>
      </c>
    </row>
    <row r="1960" spans="4:4" ht="17.649999999999999" x14ac:dyDescent="0.5">
      <c r="D1960" s="3" t="s">
        <v>61</v>
      </c>
    </row>
    <row r="1961" spans="4:4" ht="17.649999999999999" x14ac:dyDescent="0.5">
      <c r="D1961" s="3" t="s">
        <v>75</v>
      </c>
    </row>
    <row r="1962" spans="4:4" ht="17.649999999999999" x14ac:dyDescent="0.5">
      <c r="D1962" s="3" t="s">
        <v>90</v>
      </c>
    </row>
    <row r="1963" spans="4:4" ht="17.649999999999999" x14ac:dyDescent="0.5">
      <c r="D1963" s="3" t="s">
        <v>115</v>
      </c>
    </row>
    <row r="1964" spans="4:4" ht="17.649999999999999" x14ac:dyDescent="0.5">
      <c r="D1964" s="3" t="s">
        <v>89</v>
      </c>
    </row>
    <row r="1965" spans="4:4" ht="17.649999999999999" x14ac:dyDescent="0.5">
      <c r="D1965" s="3" t="s">
        <v>59</v>
      </c>
    </row>
    <row r="1966" spans="4:4" ht="17.649999999999999" x14ac:dyDescent="0.5">
      <c r="D1966" s="3" t="s">
        <v>44</v>
      </c>
    </row>
    <row r="1967" spans="4:4" ht="17.649999999999999" x14ac:dyDescent="0.5">
      <c r="D1967" s="3" t="s">
        <v>52</v>
      </c>
    </row>
    <row r="1968" spans="4:4" ht="17.649999999999999" x14ac:dyDescent="0.5">
      <c r="D1968" s="3" t="s">
        <v>92</v>
      </c>
    </row>
    <row r="1969" spans="4:4" ht="17.649999999999999" x14ac:dyDescent="0.5">
      <c r="D1969" s="3" t="s">
        <v>54</v>
      </c>
    </row>
    <row r="1970" spans="4:4" ht="17.649999999999999" x14ac:dyDescent="0.5">
      <c r="D1970" s="3" t="s">
        <v>85</v>
      </c>
    </row>
    <row r="1971" spans="4:4" ht="17.649999999999999" x14ac:dyDescent="0.5">
      <c r="D1971" s="3" t="s">
        <v>112</v>
      </c>
    </row>
    <row r="1972" spans="4:4" ht="17.649999999999999" x14ac:dyDescent="0.5">
      <c r="D1972" s="3" t="s">
        <v>85</v>
      </c>
    </row>
    <row r="1973" spans="4:4" ht="17.649999999999999" x14ac:dyDescent="0.5">
      <c r="D1973" s="3" t="s">
        <v>59</v>
      </c>
    </row>
    <row r="1974" spans="4:4" ht="17.649999999999999" x14ac:dyDescent="0.5">
      <c r="D1974" s="3" t="s">
        <v>106</v>
      </c>
    </row>
    <row r="1975" spans="4:4" ht="17.649999999999999" x14ac:dyDescent="0.5">
      <c r="D1975" s="3" t="s">
        <v>112</v>
      </c>
    </row>
    <row r="1976" spans="4:4" ht="17.649999999999999" x14ac:dyDescent="0.5">
      <c r="D1976" s="3" t="s">
        <v>73</v>
      </c>
    </row>
    <row r="1977" spans="4:4" ht="17.649999999999999" x14ac:dyDescent="0.5">
      <c r="D1977" s="3" t="s">
        <v>97</v>
      </c>
    </row>
    <row r="1978" spans="4:4" ht="17.649999999999999" x14ac:dyDescent="0.5">
      <c r="D1978" s="3" t="s">
        <v>50</v>
      </c>
    </row>
    <row r="1979" spans="4:4" ht="17.649999999999999" x14ac:dyDescent="0.5">
      <c r="D1979" s="3" t="s">
        <v>42</v>
      </c>
    </row>
    <row r="1980" spans="4:4" ht="17.649999999999999" x14ac:dyDescent="0.5">
      <c r="D1980" s="3" t="s">
        <v>59</v>
      </c>
    </row>
    <row r="1981" spans="4:4" ht="17.649999999999999" x14ac:dyDescent="0.5">
      <c r="D1981" s="3" t="s">
        <v>92</v>
      </c>
    </row>
    <row r="1982" spans="4:4" ht="17.649999999999999" x14ac:dyDescent="0.5">
      <c r="D1982" s="3" t="s">
        <v>65</v>
      </c>
    </row>
    <row r="1983" spans="4:4" ht="17.649999999999999" x14ac:dyDescent="0.5">
      <c r="D1983" s="3" t="s">
        <v>56</v>
      </c>
    </row>
    <row r="1984" spans="4:4" ht="17.649999999999999" x14ac:dyDescent="0.5">
      <c r="D1984" s="3" t="s">
        <v>64</v>
      </c>
    </row>
    <row r="1985" spans="4:4" ht="17.649999999999999" x14ac:dyDescent="0.5">
      <c r="D1985" s="3" t="s">
        <v>112</v>
      </c>
    </row>
    <row r="1986" spans="4:4" ht="17.649999999999999" x14ac:dyDescent="0.5">
      <c r="D1986" s="3" t="s">
        <v>83</v>
      </c>
    </row>
    <row r="1987" spans="4:4" ht="17.649999999999999" x14ac:dyDescent="0.5">
      <c r="D1987" s="3" t="s">
        <v>85</v>
      </c>
    </row>
    <row r="1988" spans="4:4" ht="17.649999999999999" x14ac:dyDescent="0.5">
      <c r="D1988" s="3" t="s">
        <v>48</v>
      </c>
    </row>
    <row r="1989" spans="4:4" ht="17.649999999999999" x14ac:dyDescent="0.5">
      <c r="D1989" s="3" t="s">
        <v>105</v>
      </c>
    </row>
    <row r="1990" spans="4:4" ht="17.649999999999999" x14ac:dyDescent="0.5">
      <c r="D1990" s="3" t="s">
        <v>69</v>
      </c>
    </row>
    <row r="1991" spans="4:4" ht="17.649999999999999" x14ac:dyDescent="0.5">
      <c r="D1991" s="3" t="s">
        <v>83</v>
      </c>
    </row>
    <row r="1992" spans="4:4" ht="17.649999999999999" x14ac:dyDescent="0.5">
      <c r="D1992" s="3" t="s">
        <v>81</v>
      </c>
    </row>
    <row r="1993" spans="4:4" ht="17.649999999999999" x14ac:dyDescent="0.5">
      <c r="D1993" s="3" t="s">
        <v>92</v>
      </c>
    </row>
    <row r="1994" spans="4:4" ht="17.649999999999999" x14ac:dyDescent="0.5">
      <c r="D1994" s="3" t="s">
        <v>94</v>
      </c>
    </row>
    <row r="1995" spans="4:4" ht="17.649999999999999" x14ac:dyDescent="0.5">
      <c r="D1995" s="3" t="s">
        <v>64</v>
      </c>
    </row>
    <row r="1996" spans="4:4" ht="17.649999999999999" x14ac:dyDescent="0.5">
      <c r="D1996" s="3" t="s">
        <v>61</v>
      </c>
    </row>
    <row r="1997" spans="4:4" ht="17.649999999999999" x14ac:dyDescent="0.5">
      <c r="D1997" s="3" t="s">
        <v>87</v>
      </c>
    </row>
    <row r="1998" spans="4:4" ht="17.649999999999999" x14ac:dyDescent="0.5">
      <c r="D1998" s="3" t="s">
        <v>92</v>
      </c>
    </row>
    <row r="1999" spans="4:4" ht="17.649999999999999" x14ac:dyDescent="0.5">
      <c r="D1999" s="3" t="s">
        <v>112</v>
      </c>
    </row>
    <row r="2000" spans="4:4" ht="17.649999999999999" x14ac:dyDescent="0.5">
      <c r="D2000" s="3" t="s">
        <v>57</v>
      </c>
    </row>
    <row r="2001" spans="4:4" ht="17.649999999999999" x14ac:dyDescent="0.5">
      <c r="D2001" s="3" t="s">
        <v>50</v>
      </c>
    </row>
    <row r="2002" spans="4:4" ht="17.649999999999999" x14ac:dyDescent="0.5">
      <c r="D2002" s="3" t="s">
        <v>77</v>
      </c>
    </row>
    <row r="2003" spans="4:4" ht="17.649999999999999" x14ac:dyDescent="0.5">
      <c r="D2003" s="3" t="s">
        <v>90</v>
      </c>
    </row>
    <row r="2004" spans="4:4" ht="17.649999999999999" x14ac:dyDescent="0.5">
      <c r="D2004" s="3" t="s">
        <v>77</v>
      </c>
    </row>
    <row r="2005" spans="4:4" ht="17.649999999999999" x14ac:dyDescent="0.5">
      <c r="D2005" s="3" t="s">
        <v>133</v>
      </c>
    </row>
    <row r="2006" spans="4:4" ht="17.649999999999999" x14ac:dyDescent="0.5">
      <c r="D2006" s="3" t="s">
        <v>67</v>
      </c>
    </row>
    <row r="2007" spans="4:4" ht="17.649999999999999" x14ac:dyDescent="0.5">
      <c r="D2007" s="3" t="s">
        <v>68</v>
      </c>
    </row>
    <row r="2008" spans="4:4" ht="17.649999999999999" x14ac:dyDescent="0.5">
      <c r="D2008" s="3" t="s">
        <v>69</v>
      </c>
    </row>
    <row r="2009" spans="4:4" ht="17.649999999999999" x14ac:dyDescent="0.5">
      <c r="D2009" s="3" t="s">
        <v>81</v>
      </c>
    </row>
    <row r="2010" spans="4:4" ht="17.649999999999999" x14ac:dyDescent="0.5">
      <c r="D2010" s="3" t="s">
        <v>86</v>
      </c>
    </row>
    <row r="2011" spans="4:4" ht="17.649999999999999" x14ac:dyDescent="0.5">
      <c r="D2011" s="3" t="s">
        <v>111</v>
      </c>
    </row>
    <row r="2012" spans="4:4" ht="17.649999999999999" x14ac:dyDescent="0.5">
      <c r="D2012" s="3" t="s">
        <v>71</v>
      </c>
    </row>
    <row r="2013" spans="4:4" ht="17.649999999999999" x14ac:dyDescent="0.5">
      <c r="D2013" s="3" t="s">
        <v>68</v>
      </c>
    </row>
    <row r="2014" spans="4:4" ht="17.649999999999999" x14ac:dyDescent="0.5">
      <c r="D2014" s="3" t="s">
        <v>47</v>
      </c>
    </row>
    <row r="2015" spans="4:4" ht="17.649999999999999" x14ac:dyDescent="0.5">
      <c r="D2015" s="3" t="s">
        <v>55</v>
      </c>
    </row>
    <row r="2016" spans="4:4" ht="17.649999999999999" x14ac:dyDescent="0.5">
      <c r="D2016" s="3" t="s">
        <v>117</v>
      </c>
    </row>
    <row r="2017" spans="4:4" ht="17.649999999999999" x14ac:dyDescent="0.5">
      <c r="D2017" s="3" t="s">
        <v>105</v>
      </c>
    </row>
    <row r="2018" spans="4:4" ht="17.649999999999999" x14ac:dyDescent="0.5">
      <c r="D2018" s="3" t="s">
        <v>133</v>
      </c>
    </row>
    <row r="2019" spans="4:4" ht="17.649999999999999" x14ac:dyDescent="0.5">
      <c r="D2019" s="3" t="s">
        <v>94</v>
      </c>
    </row>
    <row r="2020" spans="4:4" ht="17.649999999999999" x14ac:dyDescent="0.5">
      <c r="D2020" s="3" t="s">
        <v>51</v>
      </c>
    </row>
    <row r="2021" spans="4:4" ht="17.649999999999999" x14ac:dyDescent="0.5">
      <c r="D2021" s="3" t="s">
        <v>77</v>
      </c>
    </row>
    <row r="2022" spans="4:4" ht="17.649999999999999" x14ac:dyDescent="0.5">
      <c r="D2022" s="3" t="s">
        <v>65</v>
      </c>
    </row>
    <row r="2023" spans="4:4" ht="17.649999999999999" x14ac:dyDescent="0.5">
      <c r="D2023" s="3" t="s">
        <v>92</v>
      </c>
    </row>
    <row r="2024" spans="4:4" ht="17.649999999999999" x14ac:dyDescent="0.5">
      <c r="D2024" s="3" t="s">
        <v>87</v>
      </c>
    </row>
    <row r="2025" spans="4:4" ht="17.649999999999999" x14ac:dyDescent="0.5">
      <c r="D2025" s="3" t="s">
        <v>119</v>
      </c>
    </row>
    <row r="2026" spans="4:4" ht="17.649999999999999" x14ac:dyDescent="0.5">
      <c r="D2026" s="3" t="s">
        <v>94</v>
      </c>
    </row>
    <row r="2027" spans="4:4" ht="17.649999999999999" x14ac:dyDescent="0.5">
      <c r="D2027" s="3" t="s">
        <v>124</v>
      </c>
    </row>
    <row r="2028" spans="4:4" ht="17.649999999999999" x14ac:dyDescent="0.5">
      <c r="D2028" s="3" t="s">
        <v>73</v>
      </c>
    </row>
    <row r="2029" spans="4:4" ht="17.649999999999999" x14ac:dyDescent="0.5">
      <c r="D2029" s="3" t="s">
        <v>66</v>
      </c>
    </row>
    <row r="2030" spans="4:4" ht="17.649999999999999" x14ac:dyDescent="0.5">
      <c r="D2030" s="3" t="s">
        <v>103</v>
      </c>
    </row>
    <row r="2031" spans="4:4" ht="17.649999999999999" x14ac:dyDescent="0.5">
      <c r="D2031" s="3" t="s">
        <v>92</v>
      </c>
    </row>
    <row r="2032" spans="4:4" ht="17.649999999999999" x14ac:dyDescent="0.5">
      <c r="D2032" s="3" t="s">
        <v>54</v>
      </c>
    </row>
    <row r="2033" spans="4:4" ht="17.649999999999999" x14ac:dyDescent="0.5">
      <c r="D2033" s="3" t="s">
        <v>121</v>
      </c>
    </row>
    <row r="2034" spans="4:4" ht="17.649999999999999" x14ac:dyDescent="0.5">
      <c r="D2034" s="3" t="s">
        <v>46</v>
      </c>
    </row>
    <row r="2035" spans="4:4" ht="17.649999999999999" x14ac:dyDescent="0.5">
      <c r="D2035" s="3" t="s">
        <v>79</v>
      </c>
    </row>
    <row r="2036" spans="4:4" ht="17.649999999999999" x14ac:dyDescent="0.5">
      <c r="D2036" s="3" t="s">
        <v>49</v>
      </c>
    </row>
    <row r="2037" spans="4:4" ht="17.649999999999999" x14ac:dyDescent="0.5">
      <c r="D2037" s="3" t="s">
        <v>82</v>
      </c>
    </row>
    <row r="2038" spans="4:4" ht="17.649999999999999" x14ac:dyDescent="0.5">
      <c r="D2038" s="3" t="s">
        <v>43</v>
      </c>
    </row>
    <row r="2039" spans="4:4" ht="17.649999999999999" x14ac:dyDescent="0.5">
      <c r="D2039" s="3" t="s">
        <v>51</v>
      </c>
    </row>
    <row r="2040" spans="4:4" ht="17.649999999999999" x14ac:dyDescent="0.5">
      <c r="D2040" s="3" t="s">
        <v>47</v>
      </c>
    </row>
    <row r="2041" spans="4:4" ht="17.649999999999999" x14ac:dyDescent="0.5">
      <c r="D2041" s="3" t="s">
        <v>102</v>
      </c>
    </row>
    <row r="2042" spans="4:4" ht="17.649999999999999" x14ac:dyDescent="0.5">
      <c r="D2042" s="3" t="s">
        <v>46</v>
      </c>
    </row>
    <row r="2043" spans="4:4" ht="17.649999999999999" x14ac:dyDescent="0.5">
      <c r="D2043" s="3" t="s">
        <v>120</v>
      </c>
    </row>
    <row r="2044" spans="4:4" ht="17.649999999999999" x14ac:dyDescent="0.5">
      <c r="D2044" s="3" t="s">
        <v>64</v>
      </c>
    </row>
    <row r="2045" spans="4:4" ht="17.649999999999999" x14ac:dyDescent="0.5">
      <c r="D2045" s="3" t="s">
        <v>84</v>
      </c>
    </row>
    <row r="2046" spans="4:4" ht="17.649999999999999" x14ac:dyDescent="0.5">
      <c r="D2046" s="3" t="s">
        <v>117</v>
      </c>
    </row>
    <row r="2047" spans="4:4" ht="17.649999999999999" x14ac:dyDescent="0.5">
      <c r="D2047" s="3" t="s">
        <v>44</v>
      </c>
    </row>
    <row r="2048" spans="4:4" ht="17.649999999999999" x14ac:dyDescent="0.5">
      <c r="D2048" s="3" t="s">
        <v>62</v>
      </c>
    </row>
    <row r="2049" spans="4:4" ht="17.649999999999999" x14ac:dyDescent="0.5">
      <c r="D2049" s="3" t="s">
        <v>61</v>
      </c>
    </row>
    <row r="2050" spans="4:4" ht="17.649999999999999" x14ac:dyDescent="0.5">
      <c r="D2050" s="3" t="s">
        <v>115</v>
      </c>
    </row>
    <row r="2051" spans="4:4" ht="17.649999999999999" x14ac:dyDescent="0.5">
      <c r="D2051" s="3" t="s">
        <v>115</v>
      </c>
    </row>
    <row r="2052" spans="4:4" ht="17.649999999999999" x14ac:dyDescent="0.5">
      <c r="D2052" s="3" t="s">
        <v>118</v>
      </c>
    </row>
    <row r="2053" spans="4:4" ht="17.649999999999999" x14ac:dyDescent="0.5">
      <c r="D2053" s="3" t="s">
        <v>98</v>
      </c>
    </row>
    <row r="2054" spans="4:4" ht="17.649999999999999" x14ac:dyDescent="0.5">
      <c r="D2054" s="3" t="s">
        <v>122</v>
      </c>
    </row>
    <row r="2055" spans="4:4" ht="17.649999999999999" x14ac:dyDescent="0.5">
      <c r="D2055" s="3" t="s">
        <v>71</v>
      </c>
    </row>
    <row r="2056" spans="4:4" ht="17.649999999999999" x14ac:dyDescent="0.5">
      <c r="D2056" s="3" t="s">
        <v>48</v>
      </c>
    </row>
    <row r="2057" spans="4:4" ht="17.649999999999999" x14ac:dyDescent="0.5">
      <c r="D2057" s="3" t="s">
        <v>49</v>
      </c>
    </row>
    <row r="2058" spans="4:4" ht="17.649999999999999" x14ac:dyDescent="0.5">
      <c r="D2058" s="3" t="s">
        <v>47</v>
      </c>
    </row>
    <row r="2059" spans="4:4" ht="17.649999999999999" x14ac:dyDescent="0.5">
      <c r="D2059" s="3" t="s">
        <v>109</v>
      </c>
    </row>
    <row r="2060" spans="4:4" ht="17.649999999999999" x14ac:dyDescent="0.5">
      <c r="D2060" s="3" t="s">
        <v>73</v>
      </c>
    </row>
    <row r="2061" spans="4:4" ht="17.649999999999999" x14ac:dyDescent="0.5">
      <c r="D2061" s="3" t="s">
        <v>95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331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0</v>
      </c>
      <c r="H4" s="2">
        <v>1</v>
      </c>
      <c r="I4" s="2">
        <v>0</v>
      </c>
      <c r="J4" s="2">
        <v>1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501</v>
      </c>
      <c r="E13" s="2">
        <v>499</v>
      </c>
      <c r="F13" s="2">
        <v>332</v>
      </c>
      <c r="G13" s="2">
        <v>334</v>
      </c>
      <c r="H13" s="2">
        <v>334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499</v>
      </c>
      <c r="E23" s="2">
        <v>501</v>
      </c>
      <c r="F23" s="2">
        <v>332</v>
      </c>
      <c r="G23" s="2">
        <v>334</v>
      </c>
      <c r="H23" s="2">
        <v>334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46</v>
      </c>
      <c r="F31" s="2">
        <v>35</v>
      </c>
      <c r="G31" s="2">
        <v>48</v>
      </c>
      <c r="H31" s="2">
        <v>48</v>
      </c>
      <c r="I31" s="2">
        <v>48</v>
      </c>
      <c r="J31" s="2">
        <v>37</v>
      </c>
      <c r="K31" s="2">
        <v>40</v>
      </c>
      <c r="L31" s="2">
        <v>48</v>
      </c>
      <c r="M31" s="2">
        <v>39</v>
      </c>
      <c r="N31" s="2">
        <v>34</v>
      </c>
      <c r="O31" s="2">
        <v>41</v>
      </c>
      <c r="P31" s="2">
        <v>43</v>
      </c>
    </row>
    <row r="32" spans="4:16" x14ac:dyDescent="0.5">
      <c r="D32" s="2">
        <v>2</v>
      </c>
      <c r="E32" s="2">
        <v>37</v>
      </c>
      <c r="F32" s="2">
        <v>37</v>
      </c>
      <c r="G32" s="2">
        <v>44</v>
      </c>
      <c r="H32" s="2">
        <v>41</v>
      </c>
      <c r="I32" s="2">
        <v>42</v>
      </c>
      <c r="J32" s="2">
        <v>38</v>
      </c>
      <c r="K32" s="2">
        <v>38</v>
      </c>
      <c r="L32" s="2">
        <v>51</v>
      </c>
      <c r="M32" s="2">
        <v>41</v>
      </c>
      <c r="N32" s="2">
        <v>39</v>
      </c>
      <c r="O32" s="2">
        <v>37</v>
      </c>
      <c r="P32" s="2">
        <v>48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37</v>
      </c>
      <c r="F37" s="2">
        <v>48</v>
      </c>
      <c r="G37" s="2">
        <v>36</v>
      </c>
      <c r="H37" s="2">
        <v>35</v>
      </c>
      <c r="I37" s="2">
        <v>36</v>
      </c>
      <c r="J37" s="2">
        <v>46</v>
      </c>
      <c r="K37" s="2">
        <v>43</v>
      </c>
      <c r="L37" s="2">
        <v>35</v>
      </c>
      <c r="M37" s="2">
        <v>45</v>
      </c>
      <c r="N37" s="2">
        <v>49</v>
      </c>
      <c r="O37" s="2">
        <v>42</v>
      </c>
      <c r="P37" s="2">
        <v>41</v>
      </c>
    </row>
    <row r="38" spans="4:16" x14ac:dyDescent="0.5">
      <c r="D38" s="2">
        <v>2</v>
      </c>
      <c r="E38" s="2">
        <v>46</v>
      </c>
      <c r="F38" s="2">
        <v>46</v>
      </c>
      <c r="G38" s="2">
        <v>40</v>
      </c>
      <c r="H38" s="2">
        <v>42</v>
      </c>
      <c r="I38" s="2">
        <v>42</v>
      </c>
      <c r="J38" s="2">
        <v>45</v>
      </c>
      <c r="K38" s="2">
        <v>45</v>
      </c>
      <c r="L38" s="2">
        <v>32</v>
      </c>
      <c r="M38" s="2">
        <v>43</v>
      </c>
      <c r="N38" s="2">
        <v>44</v>
      </c>
      <c r="O38" s="2">
        <v>46</v>
      </c>
      <c r="P38" s="2">
        <v>36</v>
      </c>
    </row>
    <row r="39" spans="4:16" ht="17.649999999999999" x14ac:dyDescent="0.5">
      <c r="D39" s="3" t="s">
        <v>137</v>
      </c>
      <c r="E39">
        <f t="shared" ref="E39:P39" si="0">E31-E37</f>
        <v>9</v>
      </c>
      <c r="F39">
        <f t="shared" si="0"/>
        <v>-13</v>
      </c>
      <c r="G39">
        <f t="shared" si="0"/>
        <v>12</v>
      </c>
      <c r="H39">
        <f t="shared" si="0"/>
        <v>13</v>
      </c>
      <c r="I39">
        <f t="shared" si="0"/>
        <v>12</v>
      </c>
      <c r="J39">
        <f t="shared" si="0"/>
        <v>-9</v>
      </c>
      <c r="K39">
        <f t="shared" si="0"/>
        <v>-3</v>
      </c>
      <c r="L39">
        <f t="shared" si="0"/>
        <v>13</v>
      </c>
      <c r="M39">
        <f t="shared" si="0"/>
        <v>-6</v>
      </c>
      <c r="N39">
        <f t="shared" si="0"/>
        <v>-15</v>
      </c>
      <c r="O39">
        <f t="shared" si="0"/>
        <v>-1</v>
      </c>
      <c r="P39">
        <f t="shared" si="0"/>
        <v>2</v>
      </c>
    </row>
    <row r="40" spans="4:16" ht="17.649999999999999" x14ac:dyDescent="0.5">
      <c r="D40" s="3" t="s">
        <v>138</v>
      </c>
      <c r="E40">
        <f t="shared" ref="E40:P40" si="1">E32-E38</f>
        <v>-9</v>
      </c>
      <c r="F40">
        <f t="shared" si="1"/>
        <v>-9</v>
      </c>
      <c r="G40">
        <f t="shared" si="1"/>
        <v>4</v>
      </c>
      <c r="H40">
        <f t="shared" si="1"/>
        <v>-1</v>
      </c>
      <c r="I40">
        <f t="shared" si="1"/>
        <v>0</v>
      </c>
      <c r="J40">
        <f t="shared" si="1"/>
        <v>-7</v>
      </c>
      <c r="K40">
        <f t="shared" si="1"/>
        <v>-7</v>
      </c>
      <c r="L40">
        <f t="shared" si="1"/>
        <v>19</v>
      </c>
      <c r="M40">
        <f t="shared" si="1"/>
        <v>-2</v>
      </c>
      <c r="N40">
        <f t="shared" si="1"/>
        <v>-5</v>
      </c>
      <c r="O40">
        <f t="shared" si="1"/>
        <v>-9</v>
      </c>
      <c r="P40">
        <f t="shared" si="1"/>
        <v>12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83</v>
      </c>
      <c r="F44" s="2">
        <v>72</v>
      </c>
      <c r="G44" s="2">
        <v>92</v>
      </c>
      <c r="H44" s="2">
        <v>89</v>
      </c>
      <c r="I44" s="2">
        <v>90</v>
      </c>
      <c r="J44" s="2">
        <v>75</v>
      </c>
      <c r="K44" s="2">
        <v>78</v>
      </c>
      <c r="L44" s="2">
        <v>99</v>
      </c>
      <c r="M44" s="2">
        <v>80</v>
      </c>
      <c r="N44" s="2">
        <v>73</v>
      </c>
      <c r="O44" s="2">
        <v>78</v>
      </c>
      <c r="P44" s="2">
        <v>91</v>
      </c>
    </row>
    <row r="45" spans="4:16" x14ac:dyDescent="0.5">
      <c r="D45" s="2" t="s">
        <v>28</v>
      </c>
      <c r="E45" s="2">
        <v>83</v>
      </c>
      <c r="F45" s="2">
        <v>94</v>
      </c>
      <c r="G45" s="2">
        <v>76</v>
      </c>
      <c r="H45" s="2">
        <v>77</v>
      </c>
      <c r="I45" s="2">
        <v>78</v>
      </c>
      <c r="J45" s="2">
        <v>91</v>
      </c>
      <c r="K45" s="2">
        <v>88</v>
      </c>
      <c r="L45" s="2">
        <v>67</v>
      </c>
      <c r="M45" s="2">
        <v>88</v>
      </c>
      <c r="N45" s="2">
        <v>93</v>
      </c>
      <c r="O45" s="2">
        <v>88</v>
      </c>
      <c r="P45" s="2">
        <v>77</v>
      </c>
    </row>
    <row r="46" spans="4:16" x14ac:dyDescent="0.5">
      <c r="D46" s="2" t="s">
        <v>30</v>
      </c>
      <c r="E46" s="2">
        <v>0</v>
      </c>
      <c r="F46" s="2">
        <v>-22</v>
      </c>
      <c r="G46" s="2">
        <v>16</v>
      </c>
      <c r="H46" s="2">
        <v>12</v>
      </c>
      <c r="I46" s="2">
        <v>12</v>
      </c>
      <c r="J46" s="2">
        <v>-16</v>
      </c>
      <c r="K46" s="2">
        <v>-10</v>
      </c>
      <c r="L46" s="2">
        <v>32</v>
      </c>
      <c r="M46" s="2">
        <v>-8</v>
      </c>
      <c r="N46" s="2">
        <v>-20</v>
      </c>
      <c r="O46" s="2">
        <v>-10</v>
      </c>
      <c r="P46" s="2">
        <v>14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501</v>
      </c>
      <c r="F51" s="2">
        <v>499</v>
      </c>
      <c r="G51" s="2">
        <v>332</v>
      </c>
      <c r="H51" s="2">
        <v>334</v>
      </c>
      <c r="I51" s="2">
        <v>334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499</v>
      </c>
      <c r="F52" s="2">
        <v>501</v>
      </c>
      <c r="G52" s="2">
        <v>332</v>
      </c>
      <c r="H52" s="2">
        <v>334</v>
      </c>
      <c r="I52" s="2">
        <v>334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2</v>
      </c>
      <c r="F53" s="2">
        <v>-2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2</v>
      </c>
      <c r="F56" s="2">
        <v>93</v>
      </c>
      <c r="G56" s="2">
        <v>503</v>
      </c>
      <c r="H56" s="2">
        <v>800</v>
      </c>
      <c r="I56" s="2">
        <v>491</v>
      </c>
      <c r="J56" s="2">
        <v>107</v>
      </c>
      <c r="K56" s="2">
        <v>4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314</v>
      </c>
    </row>
    <row r="61" spans="4:11" ht="17.649999999999999" x14ac:dyDescent="0.5">
      <c r="D61" s="3" t="s">
        <v>40</v>
      </c>
    </row>
    <row r="62" spans="4:11" ht="17.649999999999999" x14ac:dyDescent="0.5">
      <c r="D62" s="3" t="s">
        <v>59</v>
      </c>
    </row>
    <row r="63" spans="4:11" ht="17.649999999999999" x14ac:dyDescent="0.5">
      <c r="D63" s="3" t="s">
        <v>117</v>
      </c>
    </row>
    <row r="64" spans="4:11" ht="17.649999999999999" x14ac:dyDescent="0.5">
      <c r="D64" s="3" t="s">
        <v>96</v>
      </c>
    </row>
    <row r="65" spans="4:4" ht="17.649999999999999" x14ac:dyDescent="0.5">
      <c r="D65" s="3" t="s">
        <v>120</v>
      </c>
    </row>
    <row r="66" spans="4:4" ht="17.649999999999999" x14ac:dyDescent="0.5">
      <c r="D66" s="3" t="s">
        <v>77</v>
      </c>
    </row>
    <row r="67" spans="4:4" ht="17.649999999999999" x14ac:dyDescent="0.5">
      <c r="D67" s="3" t="s">
        <v>83</v>
      </c>
    </row>
    <row r="68" spans="4:4" ht="17.649999999999999" x14ac:dyDescent="0.5">
      <c r="D68" s="3" t="s">
        <v>57</v>
      </c>
    </row>
    <row r="69" spans="4:4" ht="17.649999999999999" x14ac:dyDescent="0.5">
      <c r="D69" s="3" t="s">
        <v>104</v>
      </c>
    </row>
    <row r="70" spans="4:4" ht="17.649999999999999" x14ac:dyDescent="0.5">
      <c r="D70" s="3" t="s">
        <v>52</v>
      </c>
    </row>
    <row r="71" spans="4:4" ht="17.649999999999999" x14ac:dyDescent="0.5">
      <c r="D71" s="3" t="s">
        <v>94</v>
      </c>
    </row>
    <row r="72" spans="4:4" ht="17.649999999999999" x14ac:dyDescent="0.5">
      <c r="D72" s="3" t="s">
        <v>90</v>
      </c>
    </row>
    <row r="73" spans="4:4" ht="17.649999999999999" x14ac:dyDescent="0.5">
      <c r="D73" s="3" t="s">
        <v>74</v>
      </c>
    </row>
    <row r="74" spans="4:4" ht="17.649999999999999" x14ac:dyDescent="0.5">
      <c r="D74" s="3" t="s">
        <v>73</v>
      </c>
    </row>
    <row r="75" spans="4:4" ht="17.649999999999999" x14ac:dyDescent="0.5">
      <c r="D75" s="3" t="s">
        <v>59</v>
      </c>
    </row>
    <row r="76" spans="4:4" ht="17.649999999999999" x14ac:dyDescent="0.5">
      <c r="D76" s="3" t="s">
        <v>69</v>
      </c>
    </row>
    <row r="77" spans="4:4" ht="17.649999999999999" x14ac:dyDescent="0.5">
      <c r="D77" s="3" t="s">
        <v>94</v>
      </c>
    </row>
    <row r="78" spans="4:4" ht="17.649999999999999" x14ac:dyDescent="0.5">
      <c r="D78" s="3" t="s">
        <v>51</v>
      </c>
    </row>
    <row r="79" spans="4:4" ht="17.649999999999999" x14ac:dyDescent="0.5">
      <c r="D79" s="3" t="s">
        <v>127</v>
      </c>
    </row>
    <row r="80" spans="4:4" ht="17.649999999999999" x14ac:dyDescent="0.5">
      <c r="D80" s="3" t="s">
        <v>101</v>
      </c>
    </row>
    <row r="81" spans="4:4" ht="17.649999999999999" x14ac:dyDescent="0.5">
      <c r="D81" s="3" t="s">
        <v>84</v>
      </c>
    </row>
    <row r="82" spans="4:4" ht="17.649999999999999" x14ac:dyDescent="0.5">
      <c r="D82" s="3" t="s">
        <v>98</v>
      </c>
    </row>
    <row r="83" spans="4:4" ht="17.649999999999999" x14ac:dyDescent="0.5">
      <c r="D83" s="3" t="s">
        <v>48</v>
      </c>
    </row>
    <row r="84" spans="4:4" ht="17.649999999999999" x14ac:dyDescent="0.5">
      <c r="D84" s="3" t="s">
        <v>50</v>
      </c>
    </row>
    <row r="85" spans="4:4" ht="17.649999999999999" x14ac:dyDescent="0.5">
      <c r="D85" s="3" t="s">
        <v>70</v>
      </c>
    </row>
    <row r="86" spans="4:4" ht="17.649999999999999" x14ac:dyDescent="0.5">
      <c r="D86" s="3" t="s">
        <v>48</v>
      </c>
    </row>
    <row r="87" spans="4:4" ht="17.649999999999999" x14ac:dyDescent="0.5">
      <c r="D87" s="3" t="s">
        <v>43</v>
      </c>
    </row>
    <row r="88" spans="4:4" ht="17.649999999999999" x14ac:dyDescent="0.5">
      <c r="D88" s="3" t="s">
        <v>49</v>
      </c>
    </row>
    <row r="89" spans="4:4" ht="17.649999999999999" x14ac:dyDescent="0.5">
      <c r="D89" s="3" t="s">
        <v>103</v>
      </c>
    </row>
    <row r="90" spans="4:4" ht="17.649999999999999" x14ac:dyDescent="0.5">
      <c r="D90" s="3" t="s">
        <v>104</v>
      </c>
    </row>
    <row r="91" spans="4:4" ht="17.649999999999999" x14ac:dyDescent="0.5">
      <c r="D91" s="3" t="s">
        <v>132</v>
      </c>
    </row>
    <row r="92" spans="4:4" ht="17.649999999999999" x14ac:dyDescent="0.5">
      <c r="D92" s="3" t="s">
        <v>63</v>
      </c>
    </row>
    <row r="93" spans="4:4" ht="17.649999999999999" x14ac:dyDescent="0.5">
      <c r="D93" s="3" t="s">
        <v>99</v>
      </c>
    </row>
    <row r="94" spans="4:4" ht="17.649999999999999" x14ac:dyDescent="0.5">
      <c r="D94" s="3" t="s">
        <v>63</v>
      </c>
    </row>
    <row r="95" spans="4:4" ht="17.649999999999999" x14ac:dyDescent="0.5">
      <c r="D95" s="3" t="s">
        <v>54</v>
      </c>
    </row>
    <row r="96" spans="4:4" ht="17.649999999999999" x14ac:dyDescent="0.5">
      <c r="D96" s="3" t="s">
        <v>43</v>
      </c>
    </row>
    <row r="97" spans="4:4" ht="17.649999999999999" x14ac:dyDescent="0.5">
      <c r="D97" s="3" t="s">
        <v>61</v>
      </c>
    </row>
    <row r="98" spans="4:4" ht="17.649999999999999" x14ac:dyDescent="0.5">
      <c r="D98" s="3" t="s">
        <v>125</v>
      </c>
    </row>
    <row r="99" spans="4:4" ht="17.649999999999999" x14ac:dyDescent="0.5">
      <c r="D99" s="3" t="s">
        <v>104</v>
      </c>
    </row>
    <row r="100" spans="4:4" ht="17.649999999999999" x14ac:dyDescent="0.5">
      <c r="D100" s="3" t="s">
        <v>75</v>
      </c>
    </row>
    <row r="101" spans="4:4" ht="17.649999999999999" x14ac:dyDescent="0.5">
      <c r="D101" s="3" t="s">
        <v>60</v>
      </c>
    </row>
    <row r="102" spans="4:4" ht="17.649999999999999" x14ac:dyDescent="0.5">
      <c r="D102" s="3" t="s">
        <v>112</v>
      </c>
    </row>
    <row r="103" spans="4:4" ht="17.649999999999999" x14ac:dyDescent="0.5">
      <c r="D103" s="3" t="s">
        <v>43</v>
      </c>
    </row>
    <row r="104" spans="4:4" ht="17.649999999999999" x14ac:dyDescent="0.5">
      <c r="D104" s="3" t="s">
        <v>107</v>
      </c>
    </row>
    <row r="105" spans="4:4" ht="17.649999999999999" x14ac:dyDescent="0.5">
      <c r="D105" s="3" t="s">
        <v>83</v>
      </c>
    </row>
    <row r="106" spans="4:4" ht="17.649999999999999" x14ac:dyDescent="0.5">
      <c r="D106" s="3" t="s">
        <v>112</v>
      </c>
    </row>
    <row r="107" spans="4:4" ht="17.649999999999999" x14ac:dyDescent="0.5">
      <c r="D107" s="3" t="s">
        <v>98</v>
      </c>
    </row>
    <row r="108" spans="4:4" ht="17.649999999999999" x14ac:dyDescent="0.5">
      <c r="D108" s="3" t="s">
        <v>113</v>
      </c>
    </row>
    <row r="109" spans="4:4" ht="17.649999999999999" x14ac:dyDescent="0.5">
      <c r="D109" s="3" t="s">
        <v>43</v>
      </c>
    </row>
    <row r="110" spans="4:4" ht="17.649999999999999" x14ac:dyDescent="0.5">
      <c r="D110" s="3" t="s">
        <v>41</v>
      </c>
    </row>
    <row r="111" spans="4:4" ht="17.649999999999999" x14ac:dyDescent="0.5">
      <c r="D111" s="3" t="s">
        <v>126</v>
      </c>
    </row>
    <row r="112" spans="4:4" ht="17.649999999999999" x14ac:dyDescent="0.5">
      <c r="D112" s="3" t="s">
        <v>96</v>
      </c>
    </row>
    <row r="113" spans="4:4" ht="17.649999999999999" x14ac:dyDescent="0.5">
      <c r="D113" s="3" t="s">
        <v>95</v>
      </c>
    </row>
    <row r="114" spans="4:4" ht="17.649999999999999" x14ac:dyDescent="0.5">
      <c r="D114" s="3" t="s">
        <v>77</v>
      </c>
    </row>
    <row r="115" spans="4:4" ht="17.649999999999999" x14ac:dyDescent="0.5">
      <c r="D115" s="3" t="s">
        <v>83</v>
      </c>
    </row>
    <row r="116" spans="4:4" ht="17.649999999999999" x14ac:dyDescent="0.5">
      <c r="D116" s="3" t="s">
        <v>78</v>
      </c>
    </row>
    <row r="117" spans="4:4" ht="17.649999999999999" x14ac:dyDescent="0.5">
      <c r="D117" s="3" t="s">
        <v>124</v>
      </c>
    </row>
    <row r="118" spans="4:4" ht="17.649999999999999" x14ac:dyDescent="0.5">
      <c r="D118" s="3" t="s">
        <v>52</v>
      </c>
    </row>
    <row r="119" spans="4:4" ht="17.649999999999999" x14ac:dyDescent="0.5">
      <c r="D119" s="3" t="s">
        <v>58</v>
      </c>
    </row>
    <row r="120" spans="4:4" ht="17.649999999999999" x14ac:dyDescent="0.5">
      <c r="D120" s="3" t="s">
        <v>90</v>
      </c>
    </row>
    <row r="121" spans="4:4" ht="17.649999999999999" x14ac:dyDescent="0.5">
      <c r="D121" s="3" t="s">
        <v>54</v>
      </c>
    </row>
    <row r="122" spans="4:4" ht="17.649999999999999" x14ac:dyDescent="0.5">
      <c r="D122" s="3" t="s">
        <v>90</v>
      </c>
    </row>
    <row r="123" spans="4:4" ht="17.649999999999999" x14ac:dyDescent="0.5">
      <c r="D123" s="3" t="s">
        <v>133</v>
      </c>
    </row>
    <row r="124" spans="4:4" ht="17.649999999999999" x14ac:dyDescent="0.5">
      <c r="D124" s="3" t="s">
        <v>56</v>
      </c>
    </row>
    <row r="125" spans="4:4" ht="17.649999999999999" x14ac:dyDescent="0.5">
      <c r="D125" s="3" t="s">
        <v>83</v>
      </c>
    </row>
    <row r="126" spans="4:4" ht="17.649999999999999" x14ac:dyDescent="0.5">
      <c r="D126" s="3" t="s">
        <v>94</v>
      </c>
    </row>
    <row r="127" spans="4:4" ht="17.649999999999999" x14ac:dyDescent="0.5">
      <c r="D127" s="3" t="s">
        <v>47</v>
      </c>
    </row>
    <row r="128" spans="4:4" ht="17.649999999999999" x14ac:dyDescent="0.5">
      <c r="D128" s="3" t="s">
        <v>59</v>
      </c>
    </row>
    <row r="129" spans="4:4" ht="17.649999999999999" x14ac:dyDescent="0.5">
      <c r="D129" s="3" t="s">
        <v>53</v>
      </c>
    </row>
    <row r="130" spans="4:4" ht="17.649999999999999" x14ac:dyDescent="0.5">
      <c r="D130" s="3" t="s">
        <v>121</v>
      </c>
    </row>
    <row r="131" spans="4:4" ht="17.649999999999999" x14ac:dyDescent="0.5">
      <c r="D131" s="3" t="s">
        <v>98</v>
      </c>
    </row>
    <row r="132" spans="4:4" ht="17.649999999999999" x14ac:dyDescent="0.5">
      <c r="D132" s="3" t="s">
        <v>57</v>
      </c>
    </row>
    <row r="133" spans="4:4" ht="17.649999999999999" x14ac:dyDescent="0.5">
      <c r="D133" s="3" t="s">
        <v>92</v>
      </c>
    </row>
    <row r="134" spans="4:4" ht="17.649999999999999" x14ac:dyDescent="0.5">
      <c r="D134" s="3" t="s">
        <v>73</v>
      </c>
    </row>
    <row r="135" spans="4:4" ht="17.649999999999999" x14ac:dyDescent="0.5">
      <c r="D135" s="3" t="s">
        <v>107</v>
      </c>
    </row>
    <row r="136" spans="4:4" ht="17.649999999999999" x14ac:dyDescent="0.5">
      <c r="D136" s="3" t="s">
        <v>84</v>
      </c>
    </row>
    <row r="137" spans="4:4" ht="17.649999999999999" x14ac:dyDescent="0.5">
      <c r="D137" s="3" t="s">
        <v>69</v>
      </c>
    </row>
    <row r="138" spans="4:4" ht="17.649999999999999" x14ac:dyDescent="0.5">
      <c r="D138" s="3" t="s">
        <v>78</v>
      </c>
    </row>
    <row r="139" spans="4:4" ht="17.649999999999999" x14ac:dyDescent="0.5">
      <c r="D139" s="3" t="s">
        <v>84</v>
      </c>
    </row>
    <row r="140" spans="4:4" ht="17.649999999999999" x14ac:dyDescent="0.5">
      <c r="D140" s="3" t="s">
        <v>83</v>
      </c>
    </row>
    <row r="141" spans="4:4" ht="17.649999999999999" x14ac:dyDescent="0.5">
      <c r="D141" s="3" t="s">
        <v>86</v>
      </c>
    </row>
    <row r="142" spans="4:4" ht="17.649999999999999" x14ac:dyDescent="0.5">
      <c r="D142" s="3" t="s">
        <v>54</v>
      </c>
    </row>
    <row r="143" spans="4:4" ht="17.649999999999999" x14ac:dyDescent="0.5">
      <c r="D143" s="3" t="s">
        <v>114</v>
      </c>
    </row>
    <row r="144" spans="4:4" ht="17.649999999999999" x14ac:dyDescent="0.5">
      <c r="D144" s="3" t="s">
        <v>87</v>
      </c>
    </row>
    <row r="145" spans="4:4" ht="17.649999999999999" x14ac:dyDescent="0.5">
      <c r="D145" s="3" t="s">
        <v>92</v>
      </c>
    </row>
    <row r="146" spans="4:4" ht="17.649999999999999" x14ac:dyDescent="0.5">
      <c r="D146" s="3" t="s">
        <v>115</v>
      </c>
    </row>
    <row r="147" spans="4:4" ht="17.649999999999999" x14ac:dyDescent="0.5">
      <c r="D147" s="3" t="s">
        <v>80</v>
      </c>
    </row>
    <row r="148" spans="4:4" ht="17.649999999999999" x14ac:dyDescent="0.5">
      <c r="D148" s="3" t="s">
        <v>63</v>
      </c>
    </row>
    <row r="149" spans="4:4" ht="17.649999999999999" x14ac:dyDescent="0.5">
      <c r="D149" s="3" t="s">
        <v>67</v>
      </c>
    </row>
    <row r="150" spans="4:4" ht="17.649999999999999" x14ac:dyDescent="0.5">
      <c r="D150" s="3" t="s">
        <v>105</v>
      </c>
    </row>
    <row r="151" spans="4:4" ht="17.649999999999999" x14ac:dyDescent="0.5">
      <c r="D151" s="3" t="s">
        <v>95</v>
      </c>
    </row>
    <row r="152" spans="4:4" ht="17.649999999999999" x14ac:dyDescent="0.5">
      <c r="D152" s="3" t="s">
        <v>80</v>
      </c>
    </row>
    <row r="153" spans="4:4" ht="17.649999999999999" x14ac:dyDescent="0.5">
      <c r="D153" s="3" t="s">
        <v>63</v>
      </c>
    </row>
    <row r="154" spans="4:4" ht="17.649999999999999" x14ac:dyDescent="0.5">
      <c r="D154" s="3" t="s">
        <v>84</v>
      </c>
    </row>
    <row r="155" spans="4:4" ht="17.649999999999999" x14ac:dyDescent="0.5">
      <c r="D155" s="3" t="s">
        <v>108</v>
      </c>
    </row>
    <row r="156" spans="4:4" ht="17.649999999999999" x14ac:dyDescent="0.5">
      <c r="D156" s="3" t="s">
        <v>53</v>
      </c>
    </row>
    <row r="157" spans="4:4" ht="17.649999999999999" x14ac:dyDescent="0.5">
      <c r="D157" s="3" t="s">
        <v>74</v>
      </c>
    </row>
    <row r="158" spans="4:4" ht="17.649999999999999" x14ac:dyDescent="0.5">
      <c r="D158" s="3" t="s">
        <v>69</v>
      </c>
    </row>
    <row r="159" spans="4:4" ht="17.649999999999999" x14ac:dyDescent="0.5">
      <c r="D159" s="3" t="s">
        <v>96</v>
      </c>
    </row>
    <row r="160" spans="4:4" ht="17.649999999999999" x14ac:dyDescent="0.5">
      <c r="D160" s="3" t="s">
        <v>81</v>
      </c>
    </row>
    <row r="161" spans="4:4" ht="17.649999999999999" x14ac:dyDescent="0.5">
      <c r="D161" s="3" t="s">
        <v>55</v>
      </c>
    </row>
    <row r="162" spans="4:4" ht="17.649999999999999" x14ac:dyDescent="0.5">
      <c r="D162" s="3" t="s">
        <v>69</v>
      </c>
    </row>
    <row r="163" spans="4:4" ht="17.649999999999999" x14ac:dyDescent="0.5">
      <c r="D163" s="3" t="s">
        <v>48</v>
      </c>
    </row>
    <row r="164" spans="4:4" ht="17.649999999999999" x14ac:dyDescent="0.5">
      <c r="D164" s="3" t="s">
        <v>115</v>
      </c>
    </row>
    <row r="165" spans="4:4" ht="17.649999999999999" x14ac:dyDescent="0.5">
      <c r="D165" s="3" t="s">
        <v>77</v>
      </c>
    </row>
    <row r="166" spans="4:4" ht="17.649999999999999" x14ac:dyDescent="0.5">
      <c r="D166" s="3" t="s">
        <v>98</v>
      </c>
    </row>
    <row r="167" spans="4:4" ht="17.649999999999999" x14ac:dyDescent="0.5">
      <c r="D167" s="3" t="s">
        <v>53</v>
      </c>
    </row>
    <row r="168" spans="4:4" ht="17.649999999999999" x14ac:dyDescent="0.5">
      <c r="D168" s="3" t="s">
        <v>67</v>
      </c>
    </row>
    <row r="169" spans="4:4" ht="17.649999999999999" x14ac:dyDescent="0.5">
      <c r="D169" s="3" t="s">
        <v>70</v>
      </c>
    </row>
    <row r="170" spans="4:4" ht="17.649999999999999" x14ac:dyDescent="0.5">
      <c r="D170" s="3" t="s">
        <v>101</v>
      </c>
    </row>
    <row r="171" spans="4:4" ht="17.649999999999999" x14ac:dyDescent="0.5">
      <c r="D171" s="3" t="s">
        <v>59</v>
      </c>
    </row>
    <row r="172" spans="4:4" ht="17.649999999999999" x14ac:dyDescent="0.5">
      <c r="D172" s="3" t="s">
        <v>61</v>
      </c>
    </row>
    <row r="173" spans="4:4" ht="17.649999999999999" x14ac:dyDescent="0.5">
      <c r="D173" s="3" t="s">
        <v>103</v>
      </c>
    </row>
    <row r="174" spans="4:4" ht="17.649999999999999" x14ac:dyDescent="0.5">
      <c r="D174" s="3" t="s">
        <v>84</v>
      </c>
    </row>
    <row r="175" spans="4:4" ht="17.649999999999999" x14ac:dyDescent="0.5">
      <c r="D175" s="3" t="s">
        <v>112</v>
      </c>
    </row>
    <row r="176" spans="4:4" ht="17.649999999999999" x14ac:dyDescent="0.5">
      <c r="D176" s="3" t="s">
        <v>49</v>
      </c>
    </row>
    <row r="177" spans="4:4" ht="17.649999999999999" x14ac:dyDescent="0.5">
      <c r="D177" s="3" t="s">
        <v>109</v>
      </c>
    </row>
    <row r="178" spans="4:4" ht="17.649999999999999" x14ac:dyDescent="0.5">
      <c r="D178" s="3" t="s">
        <v>103</v>
      </c>
    </row>
    <row r="179" spans="4:4" ht="17.649999999999999" x14ac:dyDescent="0.5">
      <c r="D179" s="3" t="s">
        <v>61</v>
      </c>
    </row>
    <row r="180" spans="4:4" ht="17.649999999999999" x14ac:dyDescent="0.5">
      <c r="D180" s="3" t="s">
        <v>46</v>
      </c>
    </row>
    <row r="181" spans="4:4" ht="17.649999999999999" x14ac:dyDescent="0.5">
      <c r="D181" s="3" t="s">
        <v>77</v>
      </c>
    </row>
    <row r="182" spans="4:4" ht="17.649999999999999" x14ac:dyDescent="0.5">
      <c r="D182" s="3" t="s">
        <v>64</v>
      </c>
    </row>
    <row r="183" spans="4:4" ht="17.649999999999999" x14ac:dyDescent="0.5">
      <c r="D183" s="3" t="s">
        <v>103</v>
      </c>
    </row>
    <row r="184" spans="4:4" ht="17.649999999999999" x14ac:dyDescent="0.5">
      <c r="D184" s="3" t="s">
        <v>121</v>
      </c>
    </row>
    <row r="185" spans="4:4" ht="17.649999999999999" x14ac:dyDescent="0.5">
      <c r="D185" s="3" t="s">
        <v>101</v>
      </c>
    </row>
    <row r="186" spans="4:4" ht="17.649999999999999" x14ac:dyDescent="0.5">
      <c r="D186" s="3" t="s">
        <v>51</v>
      </c>
    </row>
    <row r="187" spans="4:4" ht="17.649999999999999" x14ac:dyDescent="0.5">
      <c r="D187" s="3" t="s">
        <v>92</v>
      </c>
    </row>
    <row r="188" spans="4:4" ht="17.649999999999999" x14ac:dyDescent="0.5">
      <c r="D188" s="3" t="s">
        <v>90</v>
      </c>
    </row>
    <row r="189" spans="4:4" ht="17.649999999999999" x14ac:dyDescent="0.5">
      <c r="D189" s="3" t="s">
        <v>111</v>
      </c>
    </row>
    <row r="190" spans="4:4" ht="17.649999999999999" x14ac:dyDescent="0.5">
      <c r="D190" s="3" t="s">
        <v>77</v>
      </c>
    </row>
    <row r="191" spans="4:4" ht="17.649999999999999" x14ac:dyDescent="0.5">
      <c r="D191" s="3" t="s">
        <v>62</v>
      </c>
    </row>
    <row r="192" spans="4:4" ht="17.649999999999999" x14ac:dyDescent="0.5">
      <c r="D192" s="3" t="s">
        <v>132</v>
      </c>
    </row>
    <row r="193" spans="4:4" ht="17.649999999999999" x14ac:dyDescent="0.5">
      <c r="D193" s="3" t="s">
        <v>46</v>
      </c>
    </row>
    <row r="194" spans="4:4" ht="17.649999999999999" x14ac:dyDescent="0.5">
      <c r="D194" s="3" t="s">
        <v>77</v>
      </c>
    </row>
    <row r="195" spans="4:4" ht="17.649999999999999" x14ac:dyDescent="0.5">
      <c r="D195" s="3" t="s">
        <v>67</v>
      </c>
    </row>
    <row r="196" spans="4:4" ht="17.649999999999999" x14ac:dyDescent="0.5">
      <c r="D196" s="3" t="s">
        <v>91</v>
      </c>
    </row>
    <row r="197" spans="4:4" ht="17.649999999999999" x14ac:dyDescent="0.5">
      <c r="D197" s="3" t="s">
        <v>75</v>
      </c>
    </row>
    <row r="198" spans="4:4" ht="17.649999999999999" x14ac:dyDescent="0.5">
      <c r="D198" s="3" t="s">
        <v>41</v>
      </c>
    </row>
    <row r="199" spans="4:4" ht="17.649999999999999" x14ac:dyDescent="0.5">
      <c r="D199" s="3" t="s">
        <v>105</v>
      </c>
    </row>
    <row r="200" spans="4:4" ht="17.649999999999999" x14ac:dyDescent="0.5">
      <c r="D200" s="3" t="s">
        <v>82</v>
      </c>
    </row>
    <row r="201" spans="4:4" ht="17.649999999999999" x14ac:dyDescent="0.5">
      <c r="D201" s="3" t="s">
        <v>43</v>
      </c>
    </row>
    <row r="202" spans="4:4" ht="17.649999999999999" x14ac:dyDescent="0.5">
      <c r="D202" s="3" t="s">
        <v>79</v>
      </c>
    </row>
    <row r="203" spans="4:4" ht="17.649999999999999" x14ac:dyDescent="0.5">
      <c r="D203" s="3" t="s">
        <v>121</v>
      </c>
    </row>
    <row r="204" spans="4:4" ht="17.649999999999999" x14ac:dyDescent="0.5">
      <c r="D204" s="3" t="s">
        <v>80</v>
      </c>
    </row>
    <row r="205" spans="4:4" ht="17.649999999999999" x14ac:dyDescent="0.5">
      <c r="D205" s="3" t="s">
        <v>50</v>
      </c>
    </row>
    <row r="206" spans="4:4" ht="17.649999999999999" x14ac:dyDescent="0.5">
      <c r="D206" s="3" t="s">
        <v>69</v>
      </c>
    </row>
    <row r="207" spans="4:4" ht="17.649999999999999" x14ac:dyDescent="0.5">
      <c r="D207" s="3" t="s">
        <v>96</v>
      </c>
    </row>
    <row r="208" spans="4:4" ht="17.649999999999999" x14ac:dyDescent="0.5">
      <c r="D208" s="3" t="s">
        <v>68</v>
      </c>
    </row>
    <row r="209" spans="4:4" ht="17.649999999999999" x14ac:dyDescent="0.5">
      <c r="D209" s="3" t="s">
        <v>59</v>
      </c>
    </row>
    <row r="210" spans="4:4" ht="17.649999999999999" x14ac:dyDescent="0.5">
      <c r="D210" s="3" t="s">
        <v>117</v>
      </c>
    </row>
    <row r="211" spans="4:4" ht="17.649999999999999" x14ac:dyDescent="0.5">
      <c r="D211" s="3" t="s">
        <v>136</v>
      </c>
    </row>
    <row r="212" spans="4:4" ht="17.649999999999999" x14ac:dyDescent="0.5">
      <c r="D212" s="3" t="s">
        <v>90</v>
      </c>
    </row>
    <row r="213" spans="4:4" ht="17.649999999999999" x14ac:dyDescent="0.5">
      <c r="D213" s="3" t="s">
        <v>77</v>
      </c>
    </row>
    <row r="214" spans="4:4" ht="17.649999999999999" x14ac:dyDescent="0.5">
      <c r="D214" s="3" t="s">
        <v>51</v>
      </c>
    </row>
    <row r="215" spans="4:4" ht="17.649999999999999" x14ac:dyDescent="0.5">
      <c r="D215" s="3" t="s">
        <v>46</v>
      </c>
    </row>
    <row r="216" spans="4:4" ht="17.649999999999999" x14ac:dyDescent="0.5">
      <c r="D216" s="3" t="s">
        <v>95</v>
      </c>
    </row>
    <row r="217" spans="4:4" ht="17.649999999999999" x14ac:dyDescent="0.5">
      <c r="D217" s="3" t="s">
        <v>49</v>
      </c>
    </row>
    <row r="218" spans="4:4" ht="17.649999999999999" x14ac:dyDescent="0.5">
      <c r="D218" s="3" t="s">
        <v>107</v>
      </c>
    </row>
    <row r="219" spans="4:4" ht="17.649999999999999" x14ac:dyDescent="0.5">
      <c r="D219" s="3" t="s">
        <v>78</v>
      </c>
    </row>
    <row r="220" spans="4:4" ht="17.649999999999999" x14ac:dyDescent="0.5">
      <c r="D220" s="3" t="s">
        <v>84</v>
      </c>
    </row>
    <row r="221" spans="4:4" ht="17.649999999999999" x14ac:dyDescent="0.5">
      <c r="D221" s="3" t="s">
        <v>67</v>
      </c>
    </row>
    <row r="222" spans="4:4" ht="17.649999999999999" x14ac:dyDescent="0.5">
      <c r="D222" s="3" t="s">
        <v>52</v>
      </c>
    </row>
    <row r="223" spans="4:4" ht="17.649999999999999" x14ac:dyDescent="0.5">
      <c r="D223" s="3" t="s">
        <v>44</v>
      </c>
    </row>
    <row r="224" spans="4:4" ht="17.649999999999999" x14ac:dyDescent="0.5">
      <c r="D224" s="3" t="s">
        <v>107</v>
      </c>
    </row>
    <row r="225" spans="4:4" ht="17.649999999999999" x14ac:dyDescent="0.5">
      <c r="D225" s="3" t="s">
        <v>130</v>
      </c>
    </row>
    <row r="226" spans="4:4" ht="17.649999999999999" x14ac:dyDescent="0.5">
      <c r="D226" s="3" t="s">
        <v>64</v>
      </c>
    </row>
    <row r="227" spans="4:4" ht="17.649999999999999" x14ac:dyDescent="0.5">
      <c r="D227" s="3" t="s">
        <v>83</v>
      </c>
    </row>
    <row r="228" spans="4:4" ht="17.649999999999999" x14ac:dyDescent="0.5">
      <c r="D228" s="3" t="s">
        <v>80</v>
      </c>
    </row>
    <row r="229" spans="4:4" ht="17.649999999999999" x14ac:dyDescent="0.5">
      <c r="D229" s="3" t="s">
        <v>68</v>
      </c>
    </row>
    <row r="230" spans="4:4" ht="17.649999999999999" x14ac:dyDescent="0.5">
      <c r="D230" s="3" t="s">
        <v>98</v>
      </c>
    </row>
    <row r="231" spans="4:4" ht="17.649999999999999" x14ac:dyDescent="0.5">
      <c r="D231" s="3" t="s">
        <v>52</v>
      </c>
    </row>
    <row r="232" spans="4:4" ht="17.649999999999999" x14ac:dyDescent="0.5">
      <c r="D232" s="3" t="s">
        <v>85</v>
      </c>
    </row>
    <row r="233" spans="4:4" ht="17.649999999999999" x14ac:dyDescent="0.5">
      <c r="D233" s="3" t="s">
        <v>96</v>
      </c>
    </row>
    <row r="234" spans="4:4" ht="17.649999999999999" x14ac:dyDescent="0.5">
      <c r="D234" s="3" t="s">
        <v>58</v>
      </c>
    </row>
    <row r="235" spans="4:4" ht="17.649999999999999" x14ac:dyDescent="0.5">
      <c r="D235" s="3" t="s">
        <v>91</v>
      </c>
    </row>
    <row r="236" spans="4:4" ht="17.649999999999999" x14ac:dyDescent="0.5">
      <c r="D236" s="3" t="s">
        <v>102</v>
      </c>
    </row>
    <row r="237" spans="4:4" ht="17.649999999999999" x14ac:dyDescent="0.5">
      <c r="D237" s="3" t="s">
        <v>74</v>
      </c>
    </row>
    <row r="238" spans="4:4" ht="17.649999999999999" x14ac:dyDescent="0.5">
      <c r="D238" s="3" t="s">
        <v>104</v>
      </c>
    </row>
    <row r="239" spans="4:4" ht="17.649999999999999" x14ac:dyDescent="0.5">
      <c r="D239" s="3" t="s">
        <v>110</v>
      </c>
    </row>
    <row r="240" spans="4:4" ht="17.649999999999999" x14ac:dyDescent="0.5">
      <c r="D240" s="3" t="s">
        <v>65</v>
      </c>
    </row>
    <row r="241" spans="4:4" ht="17.649999999999999" x14ac:dyDescent="0.5">
      <c r="D241" s="3" t="s">
        <v>84</v>
      </c>
    </row>
    <row r="242" spans="4:4" ht="17.649999999999999" x14ac:dyDescent="0.5">
      <c r="D242" s="3" t="s">
        <v>90</v>
      </c>
    </row>
    <row r="243" spans="4:4" ht="17.649999999999999" x14ac:dyDescent="0.5">
      <c r="D243" s="3" t="s">
        <v>57</v>
      </c>
    </row>
    <row r="244" spans="4:4" ht="17.649999999999999" x14ac:dyDescent="0.5">
      <c r="D244" s="3" t="s">
        <v>49</v>
      </c>
    </row>
    <row r="245" spans="4:4" ht="17.649999999999999" x14ac:dyDescent="0.5">
      <c r="D245" s="3" t="s">
        <v>94</v>
      </c>
    </row>
    <row r="246" spans="4:4" ht="17.649999999999999" x14ac:dyDescent="0.5">
      <c r="D246" s="3" t="s">
        <v>83</v>
      </c>
    </row>
    <row r="247" spans="4:4" ht="17.649999999999999" x14ac:dyDescent="0.5">
      <c r="D247" s="3" t="s">
        <v>81</v>
      </c>
    </row>
    <row r="248" spans="4:4" ht="17.649999999999999" x14ac:dyDescent="0.5">
      <c r="D248" s="3" t="s">
        <v>53</v>
      </c>
    </row>
    <row r="249" spans="4:4" ht="17.649999999999999" x14ac:dyDescent="0.5">
      <c r="D249" s="3" t="s">
        <v>98</v>
      </c>
    </row>
    <row r="250" spans="4:4" ht="17.649999999999999" x14ac:dyDescent="0.5">
      <c r="D250" s="3" t="s">
        <v>61</v>
      </c>
    </row>
    <row r="251" spans="4:4" ht="17.649999999999999" x14ac:dyDescent="0.5">
      <c r="D251" s="3" t="s">
        <v>87</v>
      </c>
    </row>
    <row r="252" spans="4:4" ht="17.649999999999999" x14ac:dyDescent="0.5">
      <c r="D252" s="3" t="s">
        <v>53</v>
      </c>
    </row>
    <row r="253" spans="4:4" ht="17.649999999999999" x14ac:dyDescent="0.5">
      <c r="D253" s="3" t="s">
        <v>51</v>
      </c>
    </row>
    <row r="254" spans="4:4" ht="17.649999999999999" x14ac:dyDescent="0.5">
      <c r="D254" s="3" t="s">
        <v>123</v>
      </c>
    </row>
    <row r="255" spans="4:4" ht="17.649999999999999" x14ac:dyDescent="0.5">
      <c r="D255" s="3" t="s">
        <v>85</v>
      </c>
    </row>
    <row r="256" spans="4:4" ht="17.649999999999999" x14ac:dyDescent="0.5">
      <c r="D256" s="3" t="s">
        <v>90</v>
      </c>
    </row>
    <row r="257" spans="4:4" ht="17.649999999999999" x14ac:dyDescent="0.5">
      <c r="D257" s="3" t="s">
        <v>74</v>
      </c>
    </row>
    <row r="258" spans="4:4" ht="17.649999999999999" x14ac:dyDescent="0.5">
      <c r="D258" s="3" t="s">
        <v>68</v>
      </c>
    </row>
    <row r="259" spans="4:4" ht="17.649999999999999" x14ac:dyDescent="0.5">
      <c r="D259" s="3" t="s">
        <v>53</v>
      </c>
    </row>
    <row r="260" spans="4:4" ht="17.649999999999999" x14ac:dyDescent="0.5">
      <c r="D260" s="3" t="s">
        <v>103</v>
      </c>
    </row>
    <row r="261" spans="4:4" ht="17.649999999999999" x14ac:dyDescent="0.5">
      <c r="D261" s="3" t="s">
        <v>91</v>
      </c>
    </row>
    <row r="262" spans="4:4" ht="17.649999999999999" x14ac:dyDescent="0.5">
      <c r="D262" s="3" t="s">
        <v>108</v>
      </c>
    </row>
    <row r="263" spans="4:4" ht="17.649999999999999" x14ac:dyDescent="0.5">
      <c r="D263" s="3" t="s">
        <v>112</v>
      </c>
    </row>
    <row r="264" spans="4:4" ht="17.649999999999999" x14ac:dyDescent="0.5">
      <c r="D264" s="3" t="s">
        <v>79</v>
      </c>
    </row>
    <row r="265" spans="4:4" ht="17.649999999999999" x14ac:dyDescent="0.5">
      <c r="D265" s="3" t="s">
        <v>49</v>
      </c>
    </row>
    <row r="266" spans="4:4" ht="17.649999999999999" x14ac:dyDescent="0.5">
      <c r="D266" s="3" t="s">
        <v>72</v>
      </c>
    </row>
    <row r="267" spans="4:4" ht="17.649999999999999" x14ac:dyDescent="0.5">
      <c r="D267" s="3" t="s">
        <v>115</v>
      </c>
    </row>
    <row r="268" spans="4:4" ht="17.649999999999999" x14ac:dyDescent="0.5">
      <c r="D268" s="3" t="s">
        <v>62</v>
      </c>
    </row>
    <row r="269" spans="4:4" ht="17.649999999999999" x14ac:dyDescent="0.5">
      <c r="D269" s="3" t="s">
        <v>54</v>
      </c>
    </row>
    <row r="270" spans="4:4" ht="17.649999999999999" x14ac:dyDescent="0.5">
      <c r="D270" s="3" t="s">
        <v>93</v>
      </c>
    </row>
    <row r="271" spans="4:4" ht="17.649999999999999" x14ac:dyDescent="0.5">
      <c r="D271" s="3" t="s">
        <v>66</v>
      </c>
    </row>
    <row r="272" spans="4:4" ht="17.649999999999999" x14ac:dyDescent="0.5">
      <c r="D272" s="3" t="s">
        <v>104</v>
      </c>
    </row>
    <row r="273" spans="4:4" ht="17.649999999999999" x14ac:dyDescent="0.5">
      <c r="D273" s="3" t="s">
        <v>63</v>
      </c>
    </row>
    <row r="274" spans="4:4" ht="17.649999999999999" x14ac:dyDescent="0.5">
      <c r="D274" s="3" t="s">
        <v>75</v>
      </c>
    </row>
    <row r="275" spans="4:4" ht="17.649999999999999" x14ac:dyDescent="0.5">
      <c r="D275" s="3" t="s">
        <v>50</v>
      </c>
    </row>
    <row r="276" spans="4:4" ht="17.649999999999999" x14ac:dyDescent="0.5">
      <c r="D276" s="3" t="s">
        <v>48</v>
      </c>
    </row>
    <row r="277" spans="4:4" ht="17.649999999999999" x14ac:dyDescent="0.5">
      <c r="D277" s="3" t="s">
        <v>80</v>
      </c>
    </row>
    <row r="278" spans="4:4" ht="17.649999999999999" x14ac:dyDescent="0.5">
      <c r="D278" s="3" t="s">
        <v>48</v>
      </c>
    </row>
    <row r="279" spans="4:4" ht="17.649999999999999" x14ac:dyDescent="0.5">
      <c r="D279" s="3" t="s">
        <v>95</v>
      </c>
    </row>
    <row r="280" spans="4:4" ht="17.649999999999999" x14ac:dyDescent="0.5">
      <c r="D280" s="3" t="s">
        <v>61</v>
      </c>
    </row>
    <row r="281" spans="4:4" ht="17.649999999999999" x14ac:dyDescent="0.5">
      <c r="D281" s="3" t="s">
        <v>84</v>
      </c>
    </row>
    <row r="282" spans="4:4" ht="17.649999999999999" x14ac:dyDescent="0.5">
      <c r="D282" s="3" t="s">
        <v>117</v>
      </c>
    </row>
    <row r="283" spans="4:4" ht="17.649999999999999" x14ac:dyDescent="0.5">
      <c r="D283" s="3" t="s">
        <v>83</v>
      </c>
    </row>
    <row r="284" spans="4:4" ht="17.649999999999999" x14ac:dyDescent="0.5">
      <c r="D284" s="3" t="s">
        <v>85</v>
      </c>
    </row>
    <row r="285" spans="4:4" ht="17.649999999999999" x14ac:dyDescent="0.5">
      <c r="D285" s="3" t="s">
        <v>105</v>
      </c>
    </row>
    <row r="286" spans="4:4" ht="17.649999999999999" x14ac:dyDescent="0.5">
      <c r="D286" s="3" t="s">
        <v>115</v>
      </c>
    </row>
    <row r="287" spans="4:4" ht="17.649999999999999" x14ac:dyDescent="0.5">
      <c r="D287" s="3" t="s">
        <v>120</v>
      </c>
    </row>
    <row r="288" spans="4:4" ht="17.649999999999999" x14ac:dyDescent="0.5">
      <c r="D288" s="3" t="s">
        <v>92</v>
      </c>
    </row>
    <row r="289" spans="4:4" ht="17.649999999999999" x14ac:dyDescent="0.5">
      <c r="D289" s="3" t="s">
        <v>69</v>
      </c>
    </row>
    <row r="290" spans="4:4" ht="17.649999999999999" x14ac:dyDescent="0.5">
      <c r="D290" s="3" t="s">
        <v>121</v>
      </c>
    </row>
    <row r="291" spans="4:4" ht="17.649999999999999" x14ac:dyDescent="0.5">
      <c r="D291" s="3" t="s">
        <v>69</v>
      </c>
    </row>
    <row r="292" spans="4:4" ht="17.649999999999999" x14ac:dyDescent="0.5">
      <c r="D292" s="3" t="s">
        <v>124</v>
      </c>
    </row>
    <row r="293" spans="4:4" ht="17.649999999999999" x14ac:dyDescent="0.5">
      <c r="D293" s="3" t="s">
        <v>117</v>
      </c>
    </row>
    <row r="294" spans="4:4" ht="17.649999999999999" x14ac:dyDescent="0.5">
      <c r="D294" s="3" t="s">
        <v>92</v>
      </c>
    </row>
    <row r="295" spans="4:4" ht="17.649999999999999" x14ac:dyDescent="0.5">
      <c r="D295" s="3" t="s">
        <v>59</v>
      </c>
    </row>
    <row r="296" spans="4:4" ht="17.649999999999999" x14ac:dyDescent="0.5">
      <c r="D296" s="3" t="s">
        <v>66</v>
      </c>
    </row>
    <row r="297" spans="4:4" ht="17.649999999999999" x14ac:dyDescent="0.5">
      <c r="D297" s="3" t="s">
        <v>67</v>
      </c>
    </row>
    <row r="298" spans="4:4" ht="17.649999999999999" x14ac:dyDescent="0.5">
      <c r="D298" s="3" t="s">
        <v>125</v>
      </c>
    </row>
    <row r="299" spans="4:4" ht="17.649999999999999" x14ac:dyDescent="0.5">
      <c r="D299" s="3" t="s">
        <v>108</v>
      </c>
    </row>
    <row r="300" spans="4:4" ht="17.649999999999999" x14ac:dyDescent="0.5">
      <c r="D300" s="3" t="s">
        <v>49</v>
      </c>
    </row>
    <row r="301" spans="4:4" ht="17.649999999999999" x14ac:dyDescent="0.5">
      <c r="D301" s="3" t="s">
        <v>117</v>
      </c>
    </row>
    <row r="302" spans="4:4" ht="17.649999999999999" x14ac:dyDescent="0.5">
      <c r="D302" s="3" t="s">
        <v>115</v>
      </c>
    </row>
    <row r="303" spans="4:4" ht="17.649999999999999" x14ac:dyDescent="0.5">
      <c r="D303" s="3" t="s">
        <v>66</v>
      </c>
    </row>
    <row r="304" spans="4:4" ht="17.649999999999999" x14ac:dyDescent="0.5">
      <c r="D304" s="3" t="s">
        <v>64</v>
      </c>
    </row>
    <row r="305" spans="4:4" ht="17.649999999999999" x14ac:dyDescent="0.5">
      <c r="D305" s="3" t="s">
        <v>41</v>
      </c>
    </row>
    <row r="306" spans="4:4" ht="17.649999999999999" x14ac:dyDescent="0.5">
      <c r="D306" s="3" t="s">
        <v>50</v>
      </c>
    </row>
    <row r="307" spans="4:4" ht="17.649999999999999" x14ac:dyDescent="0.5">
      <c r="D307" s="3" t="s">
        <v>70</v>
      </c>
    </row>
    <row r="308" spans="4:4" ht="17.649999999999999" x14ac:dyDescent="0.5">
      <c r="D308" s="3" t="s">
        <v>87</v>
      </c>
    </row>
    <row r="309" spans="4:4" ht="17.649999999999999" x14ac:dyDescent="0.5">
      <c r="D309" s="3" t="s">
        <v>112</v>
      </c>
    </row>
    <row r="310" spans="4:4" ht="17.649999999999999" x14ac:dyDescent="0.5">
      <c r="D310" s="3" t="s">
        <v>51</v>
      </c>
    </row>
    <row r="311" spans="4:4" ht="17.649999999999999" x14ac:dyDescent="0.5">
      <c r="D311" s="3" t="s">
        <v>98</v>
      </c>
    </row>
    <row r="312" spans="4:4" ht="17.649999999999999" x14ac:dyDescent="0.5">
      <c r="D312" s="3" t="s">
        <v>103</v>
      </c>
    </row>
    <row r="313" spans="4:4" ht="17.649999999999999" x14ac:dyDescent="0.5">
      <c r="D313" s="3" t="s">
        <v>80</v>
      </c>
    </row>
    <row r="314" spans="4:4" ht="17.649999999999999" x14ac:dyDescent="0.5">
      <c r="D314" s="3" t="s">
        <v>104</v>
      </c>
    </row>
    <row r="315" spans="4:4" ht="17.649999999999999" x14ac:dyDescent="0.5">
      <c r="D315" s="3" t="s">
        <v>83</v>
      </c>
    </row>
    <row r="316" spans="4:4" ht="17.649999999999999" x14ac:dyDescent="0.5">
      <c r="D316" s="3" t="s">
        <v>94</v>
      </c>
    </row>
    <row r="317" spans="4:4" ht="17.649999999999999" x14ac:dyDescent="0.5">
      <c r="D317" s="3" t="s">
        <v>64</v>
      </c>
    </row>
    <row r="318" spans="4:4" ht="17.649999999999999" x14ac:dyDescent="0.5">
      <c r="D318" s="3" t="s">
        <v>103</v>
      </c>
    </row>
    <row r="319" spans="4:4" ht="17.649999999999999" x14ac:dyDescent="0.5">
      <c r="D319" s="3" t="s">
        <v>88</v>
      </c>
    </row>
    <row r="320" spans="4:4" ht="17.649999999999999" x14ac:dyDescent="0.5">
      <c r="D320" s="3" t="s">
        <v>98</v>
      </c>
    </row>
    <row r="321" spans="4:4" ht="17.649999999999999" x14ac:dyDescent="0.5">
      <c r="D321" s="3" t="s">
        <v>44</v>
      </c>
    </row>
    <row r="322" spans="4:4" ht="17.649999999999999" x14ac:dyDescent="0.5">
      <c r="D322" s="3" t="s">
        <v>48</v>
      </c>
    </row>
    <row r="323" spans="4:4" ht="17.649999999999999" x14ac:dyDescent="0.5">
      <c r="D323" s="3" t="s">
        <v>105</v>
      </c>
    </row>
    <row r="324" spans="4:4" ht="17.649999999999999" x14ac:dyDescent="0.5">
      <c r="D324" s="3" t="s">
        <v>117</v>
      </c>
    </row>
    <row r="325" spans="4:4" ht="17.649999999999999" x14ac:dyDescent="0.5">
      <c r="D325" s="3" t="s">
        <v>54</v>
      </c>
    </row>
    <row r="326" spans="4:4" ht="17.649999999999999" x14ac:dyDescent="0.5">
      <c r="D326" s="3" t="s">
        <v>65</v>
      </c>
    </row>
    <row r="327" spans="4:4" ht="17.649999999999999" x14ac:dyDescent="0.5">
      <c r="D327" s="3" t="s">
        <v>75</v>
      </c>
    </row>
    <row r="328" spans="4:4" ht="17.649999999999999" x14ac:dyDescent="0.5">
      <c r="D328" s="3" t="s">
        <v>47</v>
      </c>
    </row>
    <row r="329" spans="4:4" ht="17.649999999999999" x14ac:dyDescent="0.5">
      <c r="D329" s="3" t="s">
        <v>65</v>
      </c>
    </row>
    <row r="330" spans="4:4" ht="17.649999999999999" x14ac:dyDescent="0.5">
      <c r="D330" s="3" t="s">
        <v>57</v>
      </c>
    </row>
    <row r="331" spans="4:4" ht="17.649999999999999" x14ac:dyDescent="0.5">
      <c r="D331" s="3" t="s">
        <v>78</v>
      </c>
    </row>
    <row r="332" spans="4:4" ht="17.649999999999999" x14ac:dyDescent="0.5">
      <c r="D332" s="3" t="s">
        <v>125</v>
      </c>
    </row>
    <row r="333" spans="4:4" ht="17.649999999999999" x14ac:dyDescent="0.5">
      <c r="D333" s="3" t="s">
        <v>72</v>
      </c>
    </row>
    <row r="334" spans="4:4" ht="17.649999999999999" x14ac:dyDescent="0.5">
      <c r="D334" s="3" t="s">
        <v>96</v>
      </c>
    </row>
    <row r="335" spans="4:4" ht="17.649999999999999" x14ac:dyDescent="0.5">
      <c r="D335" s="3" t="s">
        <v>69</v>
      </c>
    </row>
    <row r="336" spans="4:4" ht="17.649999999999999" x14ac:dyDescent="0.5">
      <c r="D336" s="3" t="s">
        <v>83</v>
      </c>
    </row>
    <row r="337" spans="4:4" ht="17.649999999999999" x14ac:dyDescent="0.5">
      <c r="D337" s="3" t="s">
        <v>53</v>
      </c>
    </row>
    <row r="338" spans="4:4" ht="17.649999999999999" x14ac:dyDescent="0.5">
      <c r="D338" s="3" t="s">
        <v>103</v>
      </c>
    </row>
    <row r="339" spans="4:4" ht="17.649999999999999" x14ac:dyDescent="0.5">
      <c r="D339" s="3" t="s">
        <v>126</v>
      </c>
    </row>
    <row r="340" spans="4:4" ht="17.649999999999999" x14ac:dyDescent="0.5">
      <c r="D340" s="3" t="s">
        <v>114</v>
      </c>
    </row>
    <row r="341" spans="4:4" ht="17.649999999999999" x14ac:dyDescent="0.5">
      <c r="D341" s="3" t="s">
        <v>91</v>
      </c>
    </row>
    <row r="342" spans="4:4" ht="17.649999999999999" x14ac:dyDescent="0.5">
      <c r="D342" s="3" t="s">
        <v>55</v>
      </c>
    </row>
    <row r="343" spans="4:4" ht="17.649999999999999" x14ac:dyDescent="0.5">
      <c r="D343" s="3" t="s">
        <v>136</v>
      </c>
    </row>
    <row r="344" spans="4:4" ht="17.649999999999999" x14ac:dyDescent="0.5">
      <c r="D344" s="3" t="s">
        <v>53</v>
      </c>
    </row>
    <row r="345" spans="4:4" ht="17.649999999999999" x14ac:dyDescent="0.5">
      <c r="D345" s="3" t="s">
        <v>118</v>
      </c>
    </row>
    <row r="346" spans="4:4" ht="17.649999999999999" x14ac:dyDescent="0.5">
      <c r="D346" s="3" t="s">
        <v>107</v>
      </c>
    </row>
    <row r="347" spans="4:4" ht="17.649999999999999" x14ac:dyDescent="0.5">
      <c r="D347" s="3" t="s">
        <v>101</v>
      </c>
    </row>
    <row r="348" spans="4:4" ht="17.649999999999999" x14ac:dyDescent="0.5">
      <c r="D348" s="3" t="s">
        <v>80</v>
      </c>
    </row>
    <row r="349" spans="4:4" ht="17.649999999999999" x14ac:dyDescent="0.5">
      <c r="D349" s="3" t="s">
        <v>92</v>
      </c>
    </row>
    <row r="350" spans="4:4" ht="17.649999999999999" x14ac:dyDescent="0.5">
      <c r="D350" s="3" t="s">
        <v>75</v>
      </c>
    </row>
    <row r="351" spans="4:4" ht="17.649999999999999" x14ac:dyDescent="0.5">
      <c r="D351" s="3" t="s">
        <v>85</v>
      </c>
    </row>
    <row r="352" spans="4:4" ht="17.649999999999999" x14ac:dyDescent="0.5">
      <c r="D352" s="3" t="s">
        <v>117</v>
      </c>
    </row>
    <row r="353" spans="4:4" ht="17.649999999999999" x14ac:dyDescent="0.5">
      <c r="D353" s="3" t="s">
        <v>79</v>
      </c>
    </row>
    <row r="354" spans="4:4" ht="17.649999999999999" x14ac:dyDescent="0.5">
      <c r="D354" s="3" t="s">
        <v>101</v>
      </c>
    </row>
    <row r="355" spans="4:4" ht="17.649999999999999" x14ac:dyDescent="0.5">
      <c r="D355" s="3" t="s">
        <v>100</v>
      </c>
    </row>
    <row r="356" spans="4:4" ht="17.649999999999999" x14ac:dyDescent="0.5">
      <c r="D356" s="3" t="s">
        <v>54</v>
      </c>
    </row>
    <row r="357" spans="4:4" ht="17.649999999999999" x14ac:dyDescent="0.5">
      <c r="D357" s="3" t="s">
        <v>68</v>
      </c>
    </row>
    <row r="358" spans="4:4" ht="17.649999999999999" x14ac:dyDescent="0.5">
      <c r="D358" s="3" t="s">
        <v>56</v>
      </c>
    </row>
    <row r="359" spans="4:4" ht="17.649999999999999" x14ac:dyDescent="0.5">
      <c r="D359" s="3" t="s">
        <v>69</v>
      </c>
    </row>
    <row r="360" spans="4:4" ht="17.649999999999999" x14ac:dyDescent="0.5">
      <c r="D360" s="3" t="s">
        <v>48</v>
      </c>
    </row>
    <row r="361" spans="4:4" ht="17.649999999999999" x14ac:dyDescent="0.5">
      <c r="D361" s="3" t="s">
        <v>74</v>
      </c>
    </row>
    <row r="362" spans="4:4" ht="17.649999999999999" x14ac:dyDescent="0.5">
      <c r="D362" s="3" t="s">
        <v>72</v>
      </c>
    </row>
    <row r="363" spans="4:4" ht="17.649999999999999" x14ac:dyDescent="0.5">
      <c r="D363" s="3" t="s">
        <v>78</v>
      </c>
    </row>
    <row r="364" spans="4:4" ht="17.649999999999999" x14ac:dyDescent="0.5">
      <c r="D364" s="3" t="s">
        <v>114</v>
      </c>
    </row>
    <row r="365" spans="4:4" ht="17.649999999999999" x14ac:dyDescent="0.5">
      <c r="D365" s="3" t="s">
        <v>59</v>
      </c>
    </row>
    <row r="366" spans="4:4" ht="17.649999999999999" x14ac:dyDescent="0.5">
      <c r="D366" s="3" t="s">
        <v>121</v>
      </c>
    </row>
    <row r="367" spans="4:4" ht="17.649999999999999" x14ac:dyDescent="0.5">
      <c r="D367" s="3" t="s">
        <v>43</v>
      </c>
    </row>
    <row r="368" spans="4:4" ht="17.649999999999999" x14ac:dyDescent="0.5">
      <c r="D368" s="3" t="s">
        <v>119</v>
      </c>
    </row>
    <row r="369" spans="4:4" ht="17.649999999999999" x14ac:dyDescent="0.5">
      <c r="D369" s="3" t="s">
        <v>44</v>
      </c>
    </row>
    <row r="370" spans="4:4" ht="17.649999999999999" x14ac:dyDescent="0.5">
      <c r="D370" s="3" t="s">
        <v>52</v>
      </c>
    </row>
    <row r="371" spans="4:4" ht="17.649999999999999" x14ac:dyDescent="0.5">
      <c r="D371" s="3" t="s">
        <v>109</v>
      </c>
    </row>
    <row r="372" spans="4:4" ht="17.649999999999999" x14ac:dyDescent="0.5">
      <c r="D372" s="3" t="s">
        <v>73</v>
      </c>
    </row>
    <row r="373" spans="4:4" ht="17.649999999999999" x14ac:dyDescent="0.5">
      <c r="D373" s="3" t="s">
        <v>92</v>
      </c>
    </row>
    <row r="374" spans="4:4" ht="17.649999999999999" x14ac:dyDescent="0.5">
      <c r="D374" s="3" t="s">
        <v>64</v>
      </c>
    </row>
    <row r="375" spans="4:4" ht="17.649999999999999" x14ac:dyDescent="0.5">
      <c r="D375" s="3" t="s">
        <v>42</v>
      </c>
    </row>
    <row r="376" spans="4:4" ht="17.649999999999999" x14ac:dyDescent="0.5">
      <c r="D376" s="3" t="s">
        <v>47</v>
      </c>
    </row>
    <row r="377" spans="4:4" ht="17.649999999999999" x14ac:dyDescent="0.5">
      <c r="D377" s="3" t="s">
        <v>57</v>
      </c>
    </row>
    <row r="378" spans="4:4" ht="17.649999999999999" x14ac:dyDescent="0.5">
      <c r="D378" s="3" t="s">
        <v>58</v>
      </c>
    </row>
    <row r="379" spans="4:4" ht="17.649999999999999" x14ac:dyDescent="0.5">
      <c r="D379" s="3" t="s">
        <v>94</v>
      </c>
    </row>
    <row r="380" spans="4:4" ht="17.649999999999999" x14ac:dyDescent="0.5">
      <c r="D380" s="3" t="s">
        <v>105</v>
      </c>
    </row>
    <row r="381" spans="4:4" ht="17.649999999999999" x14ac:dyDescent="0.5">
      <c r="D381" s="3" t="s">
        <v>63</v>
      </c>
    </row>
    <row r="382" spans="4:4" ht="17.649999999999999" x14ac:dyDescent="0.5">
      <c r="D382" s="3" t="s">
        <v>44</v>
      </c>
    </row>
    <row r="383" spans="4:4" ht="17.649999999999999" x14ac:dyDescent="0.5">
      <c r="D383" s="3" t="s">
        <v>66</v>
      </c>
    </row>
    <row r="384" spans="4:4" ht="17.649999999999999" x14ac:dyDescent="0.5">
      <c r="D384" s="3" t="s">
        <v>65</v>
      </c>
    </row>
    <row r="385" spans="4:4" ht="17.649999999999999" x14ac:dyDescent="0.5">
      <c r="D385" s="3" t="s">
        <v>42</v>
      </c>
    </row>
    <row r="386" spans="4:4" ht="17.649999999999999" x14ac:dyDescent="0.5">
      <c r="D386" s="3" t="s">
        <v>77</v>
      </c>
    </row>
    <row r="387" spans="4:4" ht="17.649999999999999" x14ac:dyDescent="0.5">
      <c r="D387" s="3" t="s">
        <v>51</v>
      </c>
    </row>
    <row r="388" spans="4:4" ht="17.649999999999999" x14ac:dyDescent="0.5">
      <c r="D388" s="3" t="s">
        <v>52</v>
      </c>
    </row>
    <row r="389" spans="4:4" ht="17.649999999999999" x14ac:dyDescent="0.5">
      <c r="D389" s="3" t="s">
        <v>68</v>
      </c>
    </row>
    <row r="390" spans="4:4" ht="17.649999999999999" x14ac:dyDescent="0.5">
      <c r="D390" s="3" t="s">
        <v>69</v>
      </c>
    </row>
    <row r="391" spans="4:4" ht="17.649999999999999" x14ac:dyDescent="0.5">
      <c r="D391" s="3" t="s">
        <v>48</v>
      </c>
    </row>
    <row r="392" spans="4:4" ht="17.649999999999999" x14ac:dyDescent="0.5">
      <c r="D392" s="3" t="s">
        <v>124</v>
      </c>
    </row>
    <row r="393" spans="4:4" ht="17.649999999999999" x14ac:dyDescent="0.5">
      <c r="D393" s="3" t="s">
        <v>96</v>
      </c>
    </row>
    <row r="394" spans="4:4" ht="17.649999999999999" x14ac:dyDescent="0.5">
      <c r="D394" s="3" t="s">
        <v>55</v>
      </c>
    </row>
    <row r="395" spans="4:4" ht="17.649999999999999" x14ac:dyDescent="0.5">
      <c r="D395" s="3" t="s">
        <v>97</v>
      </c>
    </row>
    <row r="396" spans="4:4" ht="17.649999999999999" x14ac:dyDescent="0.5">
      <c r="D396" s="3" t="s">
        <v>101</v>
      </c>
    </row>
    <row r="397" spans="4:4" ht="17.649999999999999" x14ac:dyDescent="0.5">
      <c r="D397" s="3" t="s">
        <v>55</v>
      </c>
    </row>
    <row r="398" spans="4:4" ht="17.649999999999999" x14ac:dyDescent="0.5">
      <c r="D398" s="3" t="s">
        <v>127</v>
      </c>
    </row>
    <row r="399" spans="4:4" ht="17.649999999999999" x14ac:dyDescent="0.5">
      <c r="D399" s="3" t="s">
        <v>63</v>
      </c>
    </row>
    <row r="400" spans="4:4" ht="17.649999999999999" x14ac:dyDescent="0.5">
      <c r="D400" s="3" t="s">
        <v>136</v>
      </c>
    </row>
    <row r="401" spans="4:4" ht="17.649999999999999" x14ac:dyDescent="0.5">
      <c r="D401" s="3" t="s">
        <v>95</v>
      </c>
    </row>
    <row r="402" spans="4:4" ht="17.649999999999999" x14ac:dyDescent="0.5">
      <c r="D402" s="3" t="s">
        <v>41</v>
      </c>
    </row>
    <row r="403" spans="4:4" ht="17.649999999999999" x14ac:dyDescent="0.5">
      <c r="D403" s="3" t="s">
        <v>69</v>
      </c>
    </row>
    <row r="404" spans="4:4" ht="17.649999999999999" x14ac:dyDescent="0.5">
      <c r="D404" s="3" t="s">
        <v>107</v>
      </c>
    </row>
    <row r="405" spans="4:4" ht="17.649999999999999" x14ac:dyDescent="0.5">
      <c r="D405" s="3" t="s">
        <v>109</v>
      </c>
    </row>
    <row r="406" spans="4:4" ht="17.649999999999999" x14ac:dyDescent="0.5">
      <c r="D406" s="3" t="s">
        <v>91</v>
      </c>
    </row>
    <row r="407" spans="4:4" ht="17.649999999999999" x14ac:dyDescent="0.5">
      <c r="D407" s="3" t="s">
        <v>77</v>
      </c>
    </row>
    <row r="408" spans="4:4" ht="17.649999999999999" x14ac:dyDescent="0.5">
      <c r="D408" s="3" t="s">
        <v>50</v>
      </c>
    </row>
    <row r="409" spans="4:4" ht="17.649999999999999" x14ac:dyDescent="0.5">
      <c r="D409" s="3" t="s">
        <v>130</v>
      </c>
    </row>
    <row r="410" spans="4:4" ht="17.649999999999999" x14ac:dyDescent="0.5">
      <c r="D410" s="3" t="s">
        <v>55</v>
      </c>
    </row>
    <row r="411" spans="4:4" ht="17.649999999999999" x14ac:dyDescent="0.5">
      <c r="D411" s="3" t="s">
        <v>126</v>
      </c>
    </row>
    <row r="412" spans="4:4" ht="17.649999999999999" x14ac:dyDescent="0.5">
      <c r="D412" s="3" t="s">
        <v>83</v>
      </c>
    </row>
    <row r="413" spans="4:4" ht="17.649999999999999" x14ac:dyDescent="0.5">
      <c r="D413" s="3" t="s">
        <v>80</v>
      </c>
    </row>
    <row r="414" spans="4:4" ht="17.649999999999999" x14ac:dyDescent="0.5">
      <c r="D414" s="3" t="s">
        <v>78</v>
      </c>
    </row>
    <row r="415" spans="4:4" ht="17.649999999999999" x14ac:dyDescent="0.5">
      <c r="D415" s="3" t="s">
        <v>84</v>
      </c>
    </row>
    <row r="416" spans="4:4" ht="17.649999999999999" x14ac:dyDescent="0.5">
      <c r="D416" s="3" t="s">
        <v>43</v>
      </c>
    </row>
    <row r="417" spans="4:4" ht="17.649999999999999" x14ac:dyDescent="0.5">
      <c r="D417" s="3" t="s">
        <v>63</v>
      </c>
    </row>
    <row r="418" spans="4:4" ht="17.649999999999999" x14ac:dyDescent="0.5">
      <c r="D418" s="3" t="s">
        <v>52</v>
      </c>
    </row>
    <row r="419" spans="4:4" ht="17.649999999999999" x14ac:dyDescent="0.5">
      <c r="D419" s="3" t="s">
        <v>106</v>
      </c>
    </row>
    <row r="420" spans="4:4" ht="17.649999999999999" x14ac:dyDescent="0.5">
      <c r="D420" s="3" t="s">
        <v>74</v>
      </c>
    </row>
    <row r="421" spans="4:4" ht="17.649999999999999" x14ac:dyDescent="0.5">
      <c r="D421" s="3" t="s">
        <v>41</v>
      </c>
    </row>
    <row r="422" spans="4:4" ht="17.649999999999999" x14ac:dyDescent="0.5">
      <c r="D422" s="3" t="s">
        <v>78</v>
      </c>
    </row>
    <row r="423" spans="4:4" ht="17.649999999999999" x14ac:dyDescent="0.5">
      <c r="D423" s="3" t="s">
        <v>84</v>
      </c>
    </row>
    <row r="424" spans="4:4" ht="17.649999999999999" x14ac:dyDescent="0.5">
      <c r="D424" s="3" t="s">
        <v>83</v>
      </c>
    </row>
    <row r="425" spans="4:4" ht="17.649999999999999" x14ac:dyDescent="0.5">
      <c r="D425" s="3" t="s">
        <v>84</v>
      </c>
    </row>
    <row r="426" spans="4:4" ht="17.649999999999999" x14ac:dyDescent="0.5">
      <c r="D426" s="3" t="s">
        <v>74</v>
      </c>
    </row>
    <row r="427" spans="4:4" ht="17.649999999999999" x14ac:dyDescent="0.5">
      <c r="D427" s="3" t="s">
        <v>90</v>
      </c>
    </row>
    <row r="428" spans="4:4" ht="17.649999999999999" x14ac:dyDescent="0.5">
      <c r="D428" s="3" t="s">
        <v>77</v>
      </c>
    </row>
    <row r="429" spans="4:4" ht="17.649999999999999" x14ac:dyDescent="0.5">
      <c r="D429" s="3" t="s">
        <v>85</v>
      </c>
    </row>
    <row r="430" spans="4:4" ht="17.649999999999999" x14ac:dyDescent="0.5">
      <c r="D430" s="3" t="s">
        <v>116</v>
      </c>
    </row>
    <row r="431" spans="4:4" ht="17.649999999999999" x14ac:dyDescent="0.5">
      <c r="D431" s="3" t="s">
        <v>84</v>
      </c>
    </row>
    <row r="432" spans="4:4" ht="17.649999999999999" x14ac:dyDescent="0.5">
      <c r="D432" s="3" t="s">
        <v>134</v>
      </c>
    </row>
    <row r="433" spans="4:4" ht="17.649999999999999" x14ac:dyDescent="0.5">
      <c r="D433" s="3" t="s">
        <v>46</v>
      </c>
    </row>
    <row r="434" spans="4:4" ht="17.649999999999999" x14ac:dyDescent="0.5">
      <c r="D434" s="3" t="s">
        <v>117</v>
      </c>
    </row>
    <row r="435" spans="4:4" ht="17.649999999999999" x14ac:dyDescent="0.5">
      <c r="D435" s="3" t="s">
        <v>74</v>
      </c>
    </row>
    <row r="436" spans="4:4" ht="17.649999999999999" x14ac:dyDescent="0.5">
      <c r="D436" s="3" t="s">
        <v>58</v>
      </c>
    </row>
    <row r="437" spans="4:4" ht="17.649999999999999" x14ac:dyDescent="0.5">
      <c r="D437" s="3" t="s">
        <v>66</v>
      </c>
    </row>
    <row r="438" spans="4:4" ht="17.649999999999999" x14ac:dyDescent="0.5">
      <c r="D438" s="3" t="s">
        <v>54</v>
      </c>
    </row>
    <row r="439" spans="4:4" ht="17.649999999999999" x14ac:dyDescent="0.5">
      <c r="D439" s="3" t="s">
        <v>94</v>
      </c>
    </row>
    <row r="440" spans="4:4" ht="17.649999999999999" x14ac:dyDescent="0.5">
      <c r="D440" s="3" t="s">
        <v>68</v>
      </c>
    </row>
    <row r="441" spans="4:4" ht="17.649999999999999" x14ac:dyDescent="0.5">
      <c r="D441" s="3" t="s">
        <v>48</v>
      </c>
    </row>
    <row r="442" spans="4:4" ht="17.649999999999999" x14ac:dyDescent="0.5">
      <c r="D442" s="3" t="s">
        <v>56</v>
      </c>
    </row>
    <row r="443" spans="4:4" ht="17.649999999999999" x14ac:dyDescent="0.5">
      <c r="D443" s="3" t="s">
        <v>119</v>
      </c>
    </row>
    <row r="444" spans="4:4" ht="17.649999999999999" x14ac:dyDescent="0.5">
      <c r="D444" s="3" t="s">
        <v>47</v>
      </c>
    </row>
    <row r="445" spans="4:4" ht="17.649999999999999" x14ac:dyDescent="0.5">
      <c r="D445" s="3" t="s">
        <v>110</v>
      </c>
    </row>
    <row r="446" spans="4:4" ht="17.649999999999999" x14ac:dyDescent="0.5">
      <c r="D446" s="3" t="s">
        <v>112</v>
      </c>
    </row>
    <row r="447" spans="4:4" ht="17.649999999999999" x14ac:dyDescent="0.5">
      <c r="D447" s="3" t="s">
        <v>51</v>
      </c>
    </row>
    <row r="448" spans="4:4" ht="17.649999999999999" x14ac:dyDescent="0.5">
      <c r="D448" s="3" t="s">
        <v>124</v>
      </c>
    </row>
    <row r="449" spans="4:4" ht="17.649999999999999" x14ac:dyDescent="0.5">
      <c r="D449" s="3" t="s">
        <v>69</v>
      </c>
    </row>
    <row r="450" spans="4:4" ht="17.649999999999999" x14ac:dyDescent="0.5">
      <c r="D450" s="3" t="s">
        <v>83</v>
      </c>
    </row>
    <row r="451" spans="4:4" ht="17.649999999999999" x14ac:dyDescent="0.5">
      <c r="D451" s="3" t="s">
        <v>43</v>
      </c>
    </row>
    <row r="452" spans="4:4" ht="17.649999999999999" x14ac:dyDescent="0.5">
      <c r="D452" s="3" t="s">
        <v>81</v>
      </c>
    </row>
    <row r="453" spans="4:4" ht="17.649999999999999" x14ac:dyDescent="0.5">
      <c r="D453" s="3" t="s">
        <v>41</v>
      </c>
    </row>
    <row r="454" spans="4:4" ht="17.649999999999999" x14ac:dyDescent="0.5">
      <c r="D454" s="3" t="s">
        <v>109</v>
      </c>
    </row>
    <row r="455" spans="4:4" ht="17.649999999999999" x14ac:dyDescent="0.5">
      <c r="D455" s="3" t="s">
        <v>103</v>
      </c>
    </row>
    <row r="456" spans="4:4" ht="17.649999999999999" x14ac:dyDescent="0.5">
      <c r="D456" s="3" t="s">
        <v>111</v>
      </c>
    </row>
    <row r="457" spans="4:4" ht="17.649999999999999" x14ac:dyDescent="0.5">
      <c r="D457" s="3" t="s">
        <v>77</v>
      </c>
    </row>
    <row r="458" spans="4:4" ht="17.649999999999999" x14ac:dyDescent="0.5">
      <c r="D458" s="3" t="s">
        <v>82</v>
      </c>
    </row>
    <row r="459" spans="4:4" ht="17.649999999999999" x14ac:dyDescent="0.5">
      <c r="D459" s="3" t="s">
        <v>41</v>
      </c>
    </row>
    <row r="460" spans="4:4" ht="17.649999999999999" x14ac:dyDescent="0.5">
      <c r="D460" s="3" t="s">
        <v>73</v>
      </c>
    </row>
    <row r="461" spans="4:4" ht="17.649999999999999" x14ac:dyDescent="0.5">
      <c r="D461" s="3" t="s">
        <v>70</v>
      </c>
    </row>
    <row r="462" spans="4:4" ht="17.649999999999999" x14ac:dyDescent="0.5">
      <c r="D462" s="3" t="s">
        <v>59</v>
      </c>
    </row>
    <row r="463" spans="4:4" ht="17.649999999999999" x14ac:dyDescent="0.5">
      <c r="D463" s="3" t="s">
        <v>115</v>
      </c>
    </row>
    <row r="464" spans="4:4" ht="17.649999999999999" x14ac:dyDescent="0.5">
      <c r="D464" s="3" t="s">
        <v>117</v>
      </c>
    </row>
    <row r="465" spans="4:4" ht="17.649999999999999" x14ac:dyDescent="0.5">
      <c r="D465" s="3" t="s">
        <v>69</v>
      </c>
    </row>
    <row r="466" spans="4:4" ht="17.649999999999999" x14ac:dyDescent="0.5">
      <c r="D466" s="3" t="s">
        <v>53</v>
      </c>
    </row>
    <row r="467" spans="4:4" ht="17.649999999999999" x14ac:dyDescent="0.5">
      <c r="D467" s="3" t="s">
        <v>64</v>
      </c>
    </row>
    <row r="468" spans="4:4" ht="17.649999999999999" x14ac:dyDescent="0.5">
      <c r="D468" s="3" t="s">
        <v>57</v>
      </c>
    </row>
    <row r="469" spans="4:4" ht="17.649999999999999" x14ac:dyDescent="0.5">
      <c r="D469" s="3" t="s">
        <v>46</v>
      </c>
    </row>
    <row r="470" spans="4:4" ht="17.649999999999999" x14ac:dyDescent="0.5">
      <c r="D470" s="3" t="s">
        <v>92</v>
      </c>
    </row>
    <row r="471" spans="4:4" ht="17.649999999999999" x14ac:dyDescent="0.5">
      <c r="D471" s="3" t="s">
        <v>77</v>
      </c>
    </row>
    <row r="472" spans="4:4" ht="17.649999999999999" x14ac:dyDescent="0.5">
      <c r="D472" s="3" t="s">
        <v>92</v>
      </c>
    </row>
    <row r="473" spans="4:4" ht="17.649999999999999" x14ac:dyDescent="0.5">
      <c r="D473" s="3" t="s">
        <v>49</v>
      </c>
    </row>
    <row r="474" spans="4:4" ht="17.649999999999999" x14ac:dyDescent="0.5">
      <c r="D474" s="3" t="s">
        <v>94</v>
      </c>
    </row>
    <row r="475" spans="4:4" ht="17.649999999999999" x14ac:dyDescent="0.5">
      <c r="D475" s="3" t="s">
        <v>103</v>
      </c>
    </row>
    <row r="476" spans="4:4" ht="17.649999999999999" x14ac:dyDescent="0.5">
      <c r="D476" s="3" t="s">
        <v>117</v>
      </c>
    </row>
    <row r="477" spans="4:4" ht="17.649999999999999" x14ac:dyDescent="0.5">
      <c r="D477" s="3" t="s">
        <v>107</v>
      </c>
    </row>
    <row r="478" spans="4:4" ht="17.649999999999999" x14ac:dyDescent="0.5">
      <c r="D478" s="3" t="s">
        <v>79</v>
      </c>
    </row>
    <row r="479" spans="4:4" ht="17.649999999999999" x14ac:dyDescent="0.5">
      <c r="D479" s="3" t="s">
        <v>92</v>
      </c>
    </row>
    <row r="480" spans="4:4" ht="17.649999999999999" x14ac:dyDescent="0.5">
      <c r="D480" s="3" t="s">
        <v>55</v>
      </c>
    </row>
    <row r="481" spans="4:4" ht="17.649999999999999" x14ac:dyDescent="0.5">
      <c r="D481" s="3" t="s">
        <v>123</v>
      </c>
    </row>
    <row r="482" spans="4:4" ht="17.649999999999999" x14ac:dyDescent="0.5">
      <c r="D482" s="3" t="s">
        <v>101</v>
      </c>
    </row>
    <row r="483" spans="4:4" ht="17.649999999999999" x14ac:dyDescent="0.5">
      <c r="D483" s="3" t="s">
        <v>75</v>
      </c>
    </row>
    <row r="484" spans="4:4" ht="17.649999999999999" x14ac:dyDescent="0.5">
      <c r="D484" s="3" t="s">
        <v>83</v>
      </c>
    </row>
    <row r="485" spans="4:4" ht="17.649999999999999" x14ac:dyDescent="0.5">
      <c r="D485" s="3" t="s">
        <v>67</v>
      </c>
    </row>
    <row r="486" spans="4:4" ht="17.649999999999999" x14ac:dyDescent="0.5">
      <c r="D486" s="3" t="s">
        <v>98</v>
      </c>
    </row>
    <row r="487" spans="4:4" ht="17.649999999999999" x14ac:dyDescent="0.5">
      <c r="D487" s="3" t="s">
        <v>103</v>
      </c>
    </row>
    <row r="488" spans="4:4" ht="17.649999999999999" x14ac:dyDescent="0.5">
      <c r="D488" s="3" t="s">
        <v>48</v>
      </c>
    </row>
    <row r="489" spans="4:4" ht="17.649999999999999" x14ac:dyDescent="0.5">
      <c r="D489" s="3" t="s">
        <v>69</v>
      </c>
    </row>
    <row r="490" spans="4:4" ht="17.649999999999999" x14ac:dyDescent="0.5">
      <c r="D490" s="3" t="s">
        <v>85</v>
      </c>
    </row>
    <row r="491" spans="4:4" ht="17.649999999999999" x14ac:dyDescent="0.5">
      <c r="D491" s="3" t="s">
        <v>68</v>
      </c>
    </row>
    <row r="492" spans="4:4" ht="17.649999999999999" x14ac:dyDescent="0.5">
      <c r="D492" s="3" t="s">
        <v>55</v>
      </c>
    </row>
    <row r="493" spans="4:4" ht="17.649999999999999" x14ac:dyDescent="0.5">
      <c r="D493" s="3" t="s">
        <v>115</v>
      </c>
    </row>
    <row r="494" spans="4:4" ht="17.649999999999999" x14ac:dyDescent="0.5">
      <c r="D494" s="3" t="s">
        <v>42</v>
      </c>
    </row>
    <row r="495" spans="4:4" ht="17.649999999999999" x14ac:dyDescent="0.5">
      <c r="D495" s="3" t="s">
        <v>52</v>
      </c>
    </row>
    <row r="496" spans="4:4" ht="17.649999999999999" x14ac:dyDescent="0.5">
      <c r="D496" s="3" t="s">
        <v>112</v>
      </c>
    </row>
    <row r="497" spans="4:4" ht="17.649999999999999" x14ac:dyDescent="0.5">
      <c r="D497" s="3" t="s">
        <v>66</v>
      </c>
    </row>
    <row r="498" spans="4:4" ht="17.649999999999999" x14ac:dyDescent="0.5">
      <c r="D498" s="3" t="s">
        <v>74</v>
      </c>
    </row>
    <row r="499" spans="4:4" ht="17.649999999999999" x14ac:dyDescent="0.5">
      <c r="D499" s="3" t="s">
        <v>80</v>
      </c>
    </row>
    <row r="500" spans="4:4" ht="17.649999999999999" x14ac:dyDescent="0.5">
      <c r="D500" s="3" t="s">
        <v>58</v>
      </c>
    </row>
    <row r="501" spans="4:4" ht="17.649999999999999" x14ac:dyDescent="0.5">
      <c r="D501" s="3" t="s">
        <v>94</v>
      </c>
    </row>
    <row r="502" spans="4:4" ht="17.649999999999999" x14ac:dyDescent="0.5">
      <c r="D502" s="3" t="s">
        <v>107</v>
      </c>
    </row>
    <row r="503" spans="4:4" ht="17.649999999999999" x14ac:dyDescent="0.5">
      <c r="D503" s="3" t="s">
        <v>91</v>
      </c>
    </row>
    <row r="504" spans="4:4" ht="17.649999999999999" x14ac:dyDescent="0.5">
      <c r="D504" s="3" t="s">
        <v>65</v>
      </c>
    </row>
    <row r="505" spans="4:4" ht="17.649999999999999" x14ac:dyDescent="0.5">
      <c r="D505" s="3" t="s">
        <v>100</v>
      </c>
    </row>
    <row r="506" spans="4:4" ht="17.649999999999999" x14ac:dyDescent="0.5">
      <c r="D506" s="3" t="s">
        <v>107</v>
      </c>
    </row>
    <row r="507" spans="4:4" ht="17.649999999999999" x14ac:dyDescent="0.5">
      <c r="D507" s="3" t="s">
        <v>63</v>
      </c>
    </row>
    <row r="508" spans="4:4" ht="17.649999999999999" x14ac:dyDescent="0.5">
      <c r="D508" s="3" t="s">
        <v>121</v>
      </c>
    </row>
    <row r="509" spans="4:4" ht="17.649999999999999" x14ac:dyDescent="0.5">
      <c r="D509" s="3" t="s">
        <v>46</v>
      </c>
    </row>
    <row r="510" spans="4:4" ht="17.649999999999999" x14ac:dyDescent="0.5">
      <c r="D510" s="3" t="s">
        <v>75</v>
      </c>
    </row>
    <row r="511" spans="4:4" ht="17.649999999999999" x14ac:dyDescent="0.5">
      <c r="D511" s="3" t="s">
        <v>135</v>
      </c>
    </row>
    <row r="512" spans="4:4" ht="17.649999999999999" x14ac:dyDescent="0.5">
      <c r="D512" s="3" t="s">
        <v>55</v>
      </c>
    </row>
    <row r="513" spans="4:4" ht="17.649999999999999" x14ac:dyDescent="0.5">
      <c r="D513" s="3" t="s">
        <v>123</v>
      </c>
    </row>
    <row r="514" spans="4:4" ht="17.649999999999999" x14ac:dyDescent="0.5">
      <c r="D514" s="3" t="s">
        <v>79</v>
      </c>
    </row>
    <row r="515" spans="4:4" ht="17.649999999999999" x14ac:dyDescent="0.5">
      <c r="D515" s="3" t="s">
        <v>133</v>
      </c>
    </row>
    <row r="516" spans="4:4" ht="17.649999999999999" x14ac:dyDescent="0.5">
      <c r="D516" s="3" t="s">
        <v>110</v>
      </c>
    </row>
    <row r="517" spans="4:4" ht="17.649999999999999" x14ac:dyDescent="0.5">
      <c r="D517" s="3" t="s">
        <v>48</v>
      </c>
    </row>
    <row r="518" spans="4:4" ht="17.649999999999999" x14ac:dyDescent="0.5">
      <c r="D518" s="3" t="s">
        <v>52</v>
      </c>
    </row>
    <row r="519" spans="4:4" ht="17.649999999999999" x14ac:dyDescent="0.5">
      <c r="D519" s="3" t="s">
        <v>129</v>
      </c>
    </row>
    <row r="520" spans="4:4" ht="17.649999999999999" x14ac:dyDescent="0.5">
      <c r="D520" s="3" t="s">
        <v>90</v>
      </c>
    </row>
    <row r="521" spans="4:4" ht="17.649999999999999" x14ac:dyDescent="0.5">
      <c r="D521" s="3" t="s">
        <v>80</v>
      </c>
    </row>
    <row r="522" spans="4:4" ht="17.649999999999999" x14ac:dyDescent="0.5">
      <c r="D522" s="3" t="s">
        <v>78</v>
      </c>
    </row>
    <row r="523" spans="4:4" ht="17.649999999999999" x14ac:dyDescent="0.5">
      <c r="D523" s="3" t="s">
        <v>105</v>
      </c>
    </row>
    <row r="524" spans="4:4" ht="17.649999999999999" x14ac:dyDescent="0.5">
      <c r="D524" s="3" t="s">
        <v>61</v>
      </c>
    </row>
    <row r="525" spans="4:4" ht="17.649999999999999" x14ac:dyDescent="0.5">
      <c r="D525" s="3" t="s">
        <v>99</v>
      </c>
    </row>
    <row r="526" spans="4:4" ht="17.649999999999999" x14ac:dyDescent="0.5">
      <c r="D526" s="3" t="s">
        <v>121</v>
      </c>
    </row>
    <row r="527" spans="4:4" ht="17.649999999999999" x14ac:dyDescent="0.5">
      <c r="D527" s="3" t="s">
        <v>127</v>
      </c>
    </row>
    <row r="528" spans="4:4" ht="17.649999999999999" x14ac:dyDescent="0.5">
      <c r="D528" s="3" t="s">
        <v>67</v>
      </c>
    </row>
    <row r="529" spans="4:4" ht="17.649999999999999" x14ac:dyDescent="0.5">
      <c r="D529" s="3" t="s">
        <v>78</v>
      </c>
    </row>
    <row r="530" spans="4:4" ht="17.649999999999999" x14ac:dyDescent="0.5">
      <c r="D530" s="3" t="s">
        <v>47</v>
      </c>
    </row>
    <row r="531" spans="4:4" ht="17.649999999999999" x14ac:dyDescent="0.5">
      <c r="D531" s="3" t="s">
        <v>69</v>
      </c>
    </row>
    <row r="532" spans="4:4" ht="17.649999999999999" x14ac:dyDescent="0.5">
      <c r="D532" s="3" t="s">
        <v>56</v>
      </c>
    </row>
    <row r="533" spans="4:4" ht="17.649999999999999" x14ac:dyDescent="0.5">
      <c r="D533" s="3" t="s">
        <v>102</v>
      </c>
    </row>
    <row r="534" spans="4:4" ht="17.649999999999999" x14ac:dyDescent="0.5">
      <c r="D534" s="3" t="s">
        <v>126</v>
      </c>
    </row>
    <row r="535" spans="4:4" ht="17.649999999999999" x14ac:dyDescent="0.5">
      <c r="D535" s="3" t="s">
        <v>134</v>
      </c>
    </row>
    <row r="536" spans="4:4" ht="17.649999999999999" x14ac:dyDescent="0.5">
      <c r="D536" s="3" t="s">
        <v>80</v>
      </c>
    </row>
    <row r="537" spans="4:4" ht="17.649999999999999" x14ac:dyDescent="0.5">
      <c r="D537" s="3" t="s">
        <v>83</v>
      </c>
    </row>
    <row r="538" spans="4:4" ht="17.649999999999999" x14ac:dyDescent="0.5">
      <c r="D538" s="3" t="s">
        <v>98</v>
      </c>
    </row>
    <row r="539" spans="4:4" ht="17.649999999999999" x14ac:dyDescent="0.5">
      <c r="D539" s="3" t="s">
        <v>83</v>
      </c>
    </row>
    <row r="540" spans="4:4" ht="17.649999999999999" x14ac:dyDescent="0.5">
      <c r="D540" s="3" t="s">
        <v>84</v>
      </c>
    </row>
    <row r="541" spans="4:4" ht="17.649999999999999" x14ac:dyDescent="0.5">
      <c r="D541" s="3" t="s">
        <v>69</v>
      </c>
    </row>
    <row r="542" spans="4:4" ht="17.649999999999999" x14ac:dyDescent="0.5">
      <c r="D542" s="3" t="s">
        <v>78</v>
      </c>
    </row>
    <row r="543" spans="4:4" ht="17.649999999999999" x14ac:dyDescent="0.5">
      <c r="D543" s="3" t="s">
        <v>48</v>
      </c>
    </row>
    <row r="544" spans="4:4" ht="17.649999999999999" x14ac:dyDescent="0.5">
      <c r="D544" s="3" t="s">
        <v>114</v>
      </c>
    </row>
    <row r="545" spans="4:4" ht="17.649999999999999" x14ac:dyDescent="0.5">
      <c r="D545" s="3" t="s">
        <v>133</v>
      </c>
    </row>
    <row r="546" spans="4:4" ht="17.649999999999999" x14ac:dyDescent="0.5">
      <c r="D546" s="3" t="s">
        <v>85</v>
      </c>
    </row>
    <row r="547" spans="4:4" ht="17.649999999999999" x14ac:dyDescent="0.5">
      <c r="D547" s="3" t="s">
        <v>50</v>
      </c>
    </row>
    <row r="548" spans="4:4" ht="17.649999999999999" x14ac:dyDescent="0.5">
      <c r="D548" s="3" t="s">
        <v>41</v>
      </c>
    </row>
    <row r="549" spans="4:4" ht="17.649999999999999" x14ac:dyDescent="0.5">
      <c r="D549" s="3" t="s">
        <v>87</v>
      </c>
    </row>
    <row r="550" spans="4:4" ht="17.649999999999999" x14ac:dyDescent="0.5">
      <c r="D550" s="3" t="s">
        <v>54</v>
      </c>
    </row>
    <row r="551" spans="4:4" ht="17.649999999999999" x14ac:dyDescent="0.5">
      <c r="D551" s="3" t="s">
        <v>51</v>
      </c>
    </row>
    <row r="552" spans="4:4" ht="17.649999999999999" x14ac:dyDescent="0.5">
      <c r="D552" s="3" t="s">
        <v>93</v>
      </c>
    </row>
    <row r="553" spans="4:4" ht="17.649999999999999" x14ac:dyDescent="0.5">
      <c r="D553" s="3" t="s">
        <v>117</v>
      </c>
    </row>
    <row r="554" spans="4:4" ht="17.649999999999999" x14ac:dyDescent="0.5">
      <c r="D554" s="3" t="s">
        <v>111</v>
      </c>
    </row>
    <row r="555" spans="4:4" ht="17.649999999999999" x14ac:dyDescent="0.5">
      <c r="D555" s="3" t="s">
        <v>46</v>
      </c>
    </row>
    <row r="556" spans="4:4" ht="17.649999999999999" x14ac:dyDescent="0.5">
      <c r="D556" s="3" t="s">
        <v>112</v>
      </c>
    </row>
    <row r="557" spans="4:4" ht="17.649999999999999" x14ac:dyDescent="0.5">
      <c r="D557" s="3" t="s">
        <v>85</v>
      </c>
    </row>
    <row r="558" spans="4:4" ht="17.649999999999999" x14ac:dyDescent="0.5">
      <c r="D558" s="3" t="s">
        <v>49</v>
      </c>
    </row>
    <row r="559" spans="4:4" ht="17.649999999999999" x14ac:dyDescent="0.5">
      <c r="D559" s="3" t="s">
        <v>96</v>
      </c>
    </row>
    <row r="560" spans="4:4" ht="17.649999999999999" x14ac:dyDescent="0.5">
      <c r="D560" s="3" t="s">
        <v>90</v>
      </c>
    </row>
    <row r="561" spans="4:4" ht="17.649999999999999" x14ac:dyDescent="0.5">
      <c r="D561" s="3" t="s">
        <v>81</v>
      </c>
    </row>
    <row r="562" spans="4:4" ht="17.649999999999999" x14ac:dyDescent="0.5">
      <c r="D562" s="3" t="s">
        <v>65</v>
      </c>
    </row>
    <row r="563" spans="4:4" ht="17.649999999999999" x14ac:dyDescent="0.5">
      <c r="D563" s="3" t="s">
        <v>43</v>
      </c>
    </row>
    <row r="564" spans="4:4" ht="17.649999999999999" x14ac:dyDescent="0.5">
      <c r="D564" s="3" t="s">
        <v>57</v>
      </c>
    </row>
    <row r="565" spans="4:4" ht="17.649999999999999" x14ac:dyDescent="0.5">
      <c r="D565" s="3" t="s">
        <v>101</v>
      </c>
    </row>
    <row r="566" spans="4:4" ht="17.649999999999999" x14ac:dyDescent="0.5">
      <c r="D566" s="3" t="s">
        <v>87</v>
      </c>
    </row>
    <row r="567" spans="4:4" ht="17.649999999999999" x14ac:dyDescent="0.5">
      <c r="D567" s="3" t="s">
        <v>50</v>
      </c>
    </row>
    <row r="568" spans="4:4" ht="17.649999999999999" x14ac:dyDescent="0.5">
      <c r="D568" s="3" t="s">
        <v>51</v>
      </c>
    </row>
    <row r="569" spans="4:4" ht="17.649999999999999" x14ac:dyDescent="0.5">
      <c r="D569" s="3" t="s">
        <v>49</v>
      </c>
    </row>
    <row r="570" spans="4:4" ht="17.649999999999999" x14ac:dyDescent="0.5">
      <c r="D570" s="3" t="s">
        <v>71</v>
      </c>
    </row>
    <row r="571" spans="4:4" ht="17.649999999999999" x14ac:dyDescent="0.5">
      <c r="D571" s="3" t="s">
        <v>50</v>
      </c>
    </row>
    <row r="572" spans="4:4" ht="17.649999999999999" x14ac:dyDescent="0.5">
      <c r="D572" s="3" t="s">
        <v>64</v>
      </c>
    </row>
    <row r="573" spans="4:4" ht="17.649999999999999" x14ac:dyDescent="0.5">
      <c r="D573" s="3" t="s">
        <v>109</v>
      </c>
    </row>
    <row r="574" spans="4:4" ht="17.649999999999999" x14ac:dyDescent="0.5">
      <c r="D574" s="3" t="s">
        <v>90</v>
      </c>
    </row>
    <row r="575" spans="4:4" ht="17.649999999999999" x14ac:dyDescent="0.5">
      <c r="D575" s="3" t="s">
        <v>87</v>
      </c>
    </row>
    <row r="576" spans="4:4" ht="17.649999999999999" x14ac:dyDescent="0.5">
      <c r="D576" s="3" t="s">
        <v>80</v>
      </c>
    </row>
    <row r="577" spans="4:4" ht="17.649999999999999" x14ac:dyDescent="0.5">
      <c r="D577" s="3" t="s">
        <v>85</v>
      </c>
    </row>
    <row r="578" spans="4:4" ht="17.649999999999999" x14ac:dyDescent="0.5">
      <c r="D578" s="3" t="s">
        <v>117</v>
      </c>
    </row>
    <row r="579" spans="4:4" ht="17.649999999999999" x14ac:dyDescent="0.5">
      <c r="D579" s="3" t="s">
        <v>76</v>
      </c>
    </row>
    <row r="580" spans="4:4" ht="17.649999999999999" x14ac:dyDescent="0.5">
      <c r="D580" s="3" t="s">
        <v>69</v>
      </c>
    </row>
    <row r="581" spans="4:4" ht="17.649999999999999" x14ac:dyDescent="0.5">
      <c r="D581" s="3" t="s">
        <v>106</v>
      </c>
    </row>
    <row r="582" spans="4:4" ht="17.649999999999999" x14ac:dyDescent="0.5">
      <c r="D582" s="3" t="s">
        <v>110</v>
      </c>
    </row>
    <row r="583" spans="4:4" ht="17.649999999999999" x14ac:dyDescent="0.5">
      <c r="D583" s="3" t="s">
        <v>119</v>
      </c>
    </row>
    <row r="584" spans="4:4" ht="17.649999999999999" x14ac:dyDescent="0.5">
      <c r="D584" s="3" t="s">
        <v>83</v>
      </c>
    </row>
    <row r="585" spans="4:4" ht="17.649999999999999" x14ac:dyDescent="0.5">
      <c r="D585" s="3" t="s">
        <v>46</v>
      </c>
    </row>
    <row r="586" spans="4:4" ht="17.649999999999999" x14ac:dyDescent="0.5">
      <c r="D586" s="3" t="s">
        <v>89</v>
      </c>
    </row>
    <row r="587" spans="4:4" ht="17.649999999999999" x14ac:dyDescent="0.5">
      <c r="D587" s="3" t="s">
        <v>59</v>
      </c>
    </row>
    <row r="588" spans="4:4" ht="17.649999999999999" x14ac:dyDescent="0.5">
      <c r="D588" s="3" t="s">
        <v>49</v>
      </c>
    </row>
    <row r="589" spans="4:4" ht="17.649999999999999" x14ac:dyDescent="0.5">
      <c r="D589" s="3" t="s">
        <v>44</v>
      </c>
    </row>
    <row r="590" spans="4:4" ht="17.649999999999999" x14ac:dyDescent="0.5">
      <c r="D590" s="3" t="s">
        <v>63</v>
      </c>
    </row>
    <row r="591" spans="4:4" ht="17.649999999999999" x14ac:dyDescent="0.5">
      <c r="D591" s="3" t="s">
        <v>54</v>
      </c>
    </row>
    <row r="592" spans="4:4" ht="17.649999999999999" x14ac:dyDescent="0.5">
      <c r="D592" s="3" t="s">
        <v>74</v>
      </c>
    </row>
    <row r="593" spans="4:4" ht="17.649999999999999" x14ac:dyDescent="0.5">
      <c r="D593" s="3" t="s">
        <v>85</v>
      </c>
    </row>
    <row r="594" spans="4:4" ht="17.649999999999999" x14ac:dyDescent="0.5">
      <c r="D594" s="3" t="s">
        <v>108</v>
      </c>
    </row>
    <row r="595" spans="4:4" ht="17.649999999999999" x14ac:dyDescent="0.5">
      <c r="D595" s="3" t="s">
        <v>67</v>
      </c>
    </row>
    <row r="596" spans="4:4" ht="17.649999999999999" x14ac:dyDescent="0.5">
      <c r="D596" s="3" t="s">
        <v>105</v>
      </c>
    </row>
    <row r="597" spans="4:4" ht="17.649999999999999" x14ac:dyDescent="0.5">
      <c r="D597" s="3" t="s">
        <v>72</v>
      </c>
    </row>
    <row r="598" spans="4:4" ht="17.649999999999999" x14ac:dyDescent="0.5">
      <c r="D598" s="3" t="s">
        <v>91</v>
      </c>
    </row>
    <row r="599" spans="4:4" ht="17.649999999999999" x14ac:dyDescent="0.5">
      <c r="D599" s="3" t="s">
        <v>90</v>
      </c>
    </row>
    <row r="600" spans="4:4" ht="17.649999999999999" x14ac:dyDescent="0.5">
      <c r="D600" s="3" t="s">
        <v>80</v>
      </c>
    </row>
    <row r="601" spans="4:4" ht="17.649999999999999" x14ac:dyDescent="0.5">
      <c r="D601" s="3" t="s">
        <v>82</v>
      </c>
    </row>
    <row r="602" spans="4:4" ht="17.649999999999999" x14ac:dyDescent="0.5">
      <c r="D602" s="3" t="s">
        <v>112</v>
      </c>
    </row>
    <row r="603" spans="4:4" ht="17.649999999999999" x14ac:dyDescent="0.5">
      <c r="D603" s="3" t="s">
        <v>47</v>
      </c>
    </row>
    <row r="604" spans="4:4" ht="17.649999999999999" x14ac:dyDescent="0.5">
      <c r="D604" s="3" t="s">
        <v>75</v>
      </c>
    </row>
    <row r="605" spans="4:4" ht="17.649999999999999" x14ac:dyDescent="0.5">
      <c r="D605" s="3" t="s">
        <v>61</v>
      </c>
    </row>
    <row r="606" spans="4:4" ht="17.649999999999999" x14ac:dyDescent="0.5">
      <c r="D606" s="3" t="s">
        <v>84</v>
      </c>
    </row>
    <row r="607" spans="4:4" ht="17.649999999999999" x14ac:dyDescent="0.5">
      <c r="D607" s="3" t="s">
        <v>90</v>
      </c>
    </row>
    <row r="608" spans="4:4" ht="17.649999999999999" x14ac:dyDescent="0.5">
      <c r="D608" s="3" t="s">
        <v>81</v>
      </c>
    </row>
    <row r="609" spans="4:4" ht="17.649999999999999" x14ac:dyDescent="0.5">
      <c r="D609" s="3" t="s">
        <v>44</v>
      </c>
    </row>
    <row r="610" spans="4:4" ht="17.649999999999999" x14ac:dyDescent="0.5">
      <c r="D610" s="3" t="s">
        <v>48</v>
      </c>
    </row>
    <row r="611" spans="4:4" ht="17.649999999999999" x14ac:dyDescent="0.5">
      <c r="D611" s="3" t="s">
        <v>63</v>
      </c>
    </row>
    <row r="612" spans="4:4" ht="17.649999999999999" x14ac:dyDescent="0.5">
      <c r="D612" s="3" t="s">
        <v>126</v>
      </c>
    </row>
    <row r="613" spans="4:4" ht="17.649999999999999" x14ac:dyDescent="0.5">
      <c r="D613" s="3" t="s">
        <v>77</v>
      </c>
    </row>
    <row r="614" spans="4:4" ht="17.649999999999999" x14ac:dyDescent="0.5">
      <c r="D614" s="3" t="s">
        <v>47</v>
      </c>
    </row>
    <row r="615" spans="4:4" ht="17.649999999999999" x14ac:dyDescent="0.5">
      <c r="D615" s="3" t="s">
        <v>88</v>
      </c>
    </row>
    <row r="616" spans="4:4" ht="17.649999999999999" x14ac:dyDescent="0.5">
      <c r="D616" s="3" t="s">
        <v>115</v>
      </c>
    </row>
    <row r="617" spans="4:4" ht="17.649999999999999" x14ac:dyDescent="0.5">
      <c r="D617" s="3" t="s">
        <v>83</v>
      </c>
    </row>
    <row r="618" spans="4:4" ht="17.649999999999999" x14ac:dyDescent="0.5">
      <c r="D618" s="3" t="s">
        <v>136</v>
      </c>
    </row>
    <row r="619" spans="4:4" ht="17.649999999999999" x14ac:dyDescent="0.5">
      <c r="D619" s="3" t="s">
        <v>120</v>
      </c>
    </row>
    <row r="620" spans="4:4" ht="17.649999999999999" x14ac:dyDescent="0.5">
      <c r="D620" s="3" t="s">
        <v>74</v>
      </c>
    </row>
    <row r="621" spans="4:4" ht="17.649999999999999" x14ac:dyDescent="0.5">
      <c r="D621" s="3" t="s">
        <v>94</v>
      </c>
    </row>
    <row r="622" spans="4:4" ht="17.649999999999999" x14ac:dyDescent="0.5">
      <c r="D622" s="3" t="s">
        <v>49</v>
      </c>
    </row>
    <row r="623" spans="4:4" ht="17.649999999999999" x14ac:dyDescent="0.5">
      <c r="D623" s="3" t="s">
        <v>69</v>
      </c>
    </row>
    <row r="624" spans="4:4" ht="17.649999999999999" x14ac:dyDescent="0.5">
      <c r="D624" s="3" t="s">
        <v>128</v>
      </c>
    </row>
    <row r="625" spans="4:4" ht="17.649999999999999" x14ac:dyDescent="0.5">
      <c r="D625" s="3" t="s">
        <v>135</v>
      </c>
    </row>
    <row r="626" spans="4:4" ht="17.649999999999999" x14ac:dyDescent="0.5">
      <c r="D626" s="3" t="s">
        <v>94</v>
      </c>
    </row>
    <row r="627" spans="4:4" ht="17.649999999999999" x14ac:dyDescent="0.5">
      <c r="D627" s="3" t="s">
        <v>49</v>
      </c>
    </row>
    <row r="628" spans="4:4" ht="17.649999999999999" x14ac:dyDescent="0.5">
      <c r="D628" s="3" t="s">
        <v>85</v>
      </c>
    </row>
    <row r="629" spans="4:4" ht="17.649999999999999" x14ac:dyDescent="0.5">
      <c r="D629" s="3" t="s">
        <v>101</v>
      </c>
    </row>
    <row r="630" spans="4:4" ht="17.649999999999999" x14ac:dyDescent="0.5">
      <c r="D630" s="3" t="s">
        <v>73</v>
      </c>
    </row>
    <row r="631" spans="4:4" ht="17.649999999999999" x14ac:dyDescent="0.5">
      <c r="D631" s="3" t="s">
        <v>85</v>
      </c>
    </row>
    <row r="632" spans="4:4" ht="17.649999999999999" x14ac:dyDescent="0.5">
      <c r="D632" s="3" t="s">
        <v>74</v>
      </c>
    </row>
    <row r="633" spans="4:4" ht="17.649999999999999" x14ac:dyDescent="0.5">
      <c r="D633" s="3" t="s">
        <v>57</v>
      </c>
    </row>
    <row r="634" spans="4:4" ht="17.649999999999999" x14ac:dyDescent="0.5">
      <c r="D634" s="3" t="s">
        <v>122</v>
      </c>
    </row>
    <row r="635" spans="4:4" ht="17.649999999999999" x14ac:dyDescent="0.5">
      <c r="D635" s="3" t="s">
        <v>115</v>
      </c>
    </row>
    <row r="636" spans="4:4" ht="17.649999999999999" x14ac:dyDescent="0.5">
      <c r="D636" s="3" t="s">
        <v>75</v>
      </c>
    </row>
    <row r="637" spans="4:4" ht="17.649999999999999" x14ac:dyDescent="0.5">
      <c r="D637" s="3" t="s">
        <v>50</v>
      </c>
    </row>
    <row r="638" spans="4:4" ht="17.649999999999999" x14ac:dyDescent="0.5">
      <c r="D638" s="3" t="s">
        <v>51</v>
      </c>
    </row>
    <row r="639" spans="4:4" ht="17.649999999999999" x14ac:dyDescent="0.5">
      <c r="D639" s="3" t="s">
        <v>87</v>
      </c>
    </row>
    <row r="640" spans="4:4" ht="17.649999999999999" x14ac:dyDescent="0.5">
      <c r="D640" s="3" t="s">
        <v>53</v>
      </c>
    </row>
    <row r="641" spans="4:4" ht="17.649999999999999" x14ac:dyDescent="0.5">
      <c r="D641" s="3" t="s">
        <v>89</v>
      </c>
    </row>
    <row r="642" spans="4:4" ht="17.649999999999999" x14ac:dyDescent="0.5">
      <c r="D642" s="3" t="s">
        <v>77</v>
      </c>
    </row>
    <row r="643" spans="4:4" ht="17.649999999999999" x14ac:dyDescent="0.5">
      <c r="D643" s="3" t="s">
        <v>68</v>
      </c>
    </row>
    <row r="644" spans="4:4" ht="17.649999999999999" x14ac:dyDescent="0.5">
      <c r="D644" s="3" t="s">
        <v>50</v>
      </c>
    </row>
    <row r="645" spans="4:4" ht="17.649999999999999" x14ac:dyDescent="0.5">
      <c r="D645" s="3" t="s">
        <v>105</v>
      </c>
    </row>
    <row r="646" spans="4:4" ht="17.649999999999999" x14ac:dyDescent="0.5">
      <c r="D646" s="3" t="s">
        <v>74</v>
      </c>
    </row>
    <row r="647" spans="4:4" ht="17.649999999999999" x14ac:dyDescent="0.5">
      <c r="D647" s="3" t="s">
        <v>82</v>
      </c>
    </row>
    <row r="648" spans="4:4" ht="17.649999999999999" x14ac:dyDescent="0.5">
      <c r="D648" s="3" t="s">
        <v>94</v>
      </c>
    </row>
    <row r="649" spans="4:4" ht="17.649999999999999" x14ac:dyDescent="0.5">
      <c r="D649" s="3" t="s">
        <v>64</v>
      </c>
    </row>
    <row r="650" spans="4:4" ht="17.649999999999999" x14ac:dyDescent="0.5">
      <c r="D650" s="3" t="s">
        <v>90</v>
      </c>
    </row>
    <row r="651" spans="4:4" ht="17.649999999999999" x14ac:dyDescent="0.5">
      <c r="D651" s="3" t="s">
        <v>103</v>
      </c>
    </row>
    <row r="652" spans="4:4" ht="17.649999999999999" x14ac:dyDescent="0.5">
      <c r="D652" s="3" t="s">
        <v>49</v>
      </c>
    </row>
    <row r="653" spans="4:4" ht="17.649999999999999" x14ac:dyDescent="0.5">
      <c r="D653" s="3" t="s">
        <v>50</v>
      </c>
    </row>
    <row r="654" spans="4:4" ht="17.649999999999999" x14ac:dyDescent="0.5">
      <c r="D654" s="3" t="s">
        <v>81</v>
      </c>
    </row>
    <row r="655" spans="4:4" ht="17.649999999999999" x14ac:dyDescent="0.5">
      <c r="D655" s="3" t="s">
        <v>41</v>
      </c>
    </row>
    <row r="656" spans="4:4" ht="17.649999999999999" x14ac:dyDescent="0.5">
      <c r="D656" s="3" t="s">
        <v>77</v>
      </c>
    </row>
    <row r="657" spans="4:4" ht="17.649999999999999" x14ac:dyDescent="0.5">
      <c r="D657" s="3" t="s">
        <v>94</v>
      </c>
    </row>
    <row r="658" spans="4:4" ht="17.649999999999999" x14ac:dyDescent="0.5">
      <c r="D658" s="3" t="s">
        <v>92</v>
      </c>
    </row>
    <row r="659" spans="4:4" ht="17.649999999999999" x14ac:dyDescent="0.5">
      <c r="D659" s="3" t="s">
        <v>47</v>
      </c>
    </row>
    <row r="660" spans="4:4" ht="17.649999999999999" x14ac:dyDescent="0.5">
      <c r="D660" s="3" t="s">
        <v>73</v>
      </c>
    </row>
    <row r="661" spans="4:4" ht="17.649999999999999" x14ac:dyDescent="0.5">
      <c r="D661" s="3" t="s">
        <v>64</v>
      </c>
    </row>
    <row r="662" spans="4:4" ht="17.649999999999999" x14ac:dyDescent="0.5">
      <c r="D662" s="3" t="s">
        <v>67</v>
      </c>
    </row>
    <row r="663" spans="4:4" ht="17.649999999999999" x14ac:dyDescent="0.5">
      <c r="D663" s="3" t="s">
        <v>47</v>
      </c>
    </row>
    <row r="664" spans="4:4" ht="17.649999999999999" x14ac:dyDescent="0.5">
      <c r="D664" s="3" t="s">
        <v>69</v>
      </c>
    </row>
    <row r="665" spans="4:4" ht="17.649999999999999" x14ac:dyDescent="0.5">
      <c r="D665" s="3" t="s">
        <v>41</v>
      </c>
    </row>
    <row r="666" spans="4:4" ht="17.649999999999999" x14ac:dyDescent="0.5">
      <c r="D666" s="3" t="s">
        <v>96</v>
      </c>
    </row>
    <row r="667" spans="4:4" ht="17.649999999999999" x14ac:dyDescent="0.5">
      <c r="D667" s="3" t="s">
        <v>59</v>
      </c>
    </row>
    <row r="668" spans="4:4" ht="17.649999999999999" x14ac:dyDescent="0.5">
      <c r="D668" s="3" t="s">
        <v>105</v>
      </c>
    </row>
    <row r="669" spans="4:4" ht="17.649999999999999" x14ac:dyDescent="0.5">
      <c r="D669" s="3" t="s">
        <v>121</v>
      </c>
    </row>
    <row r="670" spans="4:4" ht="17.649999999999999" x14ac:dyDescent="0.5">
      <c r="D670" s="3" t="s">
        <v>97</v>
      </c>
    </row>
    <row r="671" spans="4:4" ht="17.649999999999999" x14ac:dyDescent="0.5">
      <c r="D671" s="3" t="s">
        <v>115</v>
      </c>
    </row>
    <row r="672" spans="4:4" ht="17.649999999999999" x14ac:dyDescent="0.5">
      <c r="D672" s="3" t="s">
        <v>65</v>
      </c>
    </row>
    <row r="673" spans="4:4" ht="17.649999999999999" x14ac:dyDescent="0.5">
      <c r="D673" s="3" t="s">
        <v>64</v>
      </c>
    </row>
    <row r="674" spans="4:4" ht="17.649999999999999" x14ac:dyDescent="0.5">
      <c r="D674" s="3" t="s">
        <v>63</v>
      </c>
    </row>
    <row r="675" spans="4:4" ht="17.649999999999999" x14ac:dyDescent="0.5">
      <c r="D675" s="3" t="s">
        <v>47</v>
      </c>
    </row>
    <row r="676" spans="4:4" ht="17.649999999999999" x14ac:dyDescent="0.5">
      <c r="D676" s="3" t="s">
        <v>105</v>
      </c>
    </row>
    <row r="677" spans="4:4" ht="17.649999999999999" x14ac:dyDescent="0.5">
      <c r="D677" s="3" t="s">
        <v>132</v>
      </c>
    </row>
    <row r="678" spans="4:4" ht="17.649999999999999" x14ac:dyDescent="0.5">
      <c r="D678" s="3" t="s">
        <v>80</v>
      </c>
    </row>
    <row r="679" spans="4:4" ht="17.649999999999999" x14ac:dyDescent="0.5">
      <c r="D679" s="3" t="s">
        <v>41</v>
      </c>
    </row>
    <row r="680" spans="4:4" ht="17.649999999999999" x14ac:dyDescent="0.5">
      <c r="D680" s="3" t="s">
        <v>74</v>
      </c>
    </row>
    <row r="681" spans="4:4" ht="17.649999999999999" x14ac:dyDescent="0.5">
      <c r="D681" s="3" t="s">
        <v>56</v>
      </c>
    </row>
    <row r="682" spans="4:4" ht="17.649999999999999" x14ac:dyDescent="0.5">
      <c r="D682" s="3" t="s">
        <v>67</v>
      </c>
    </row>
    <row r="683" spans="4:4" ht="17.649999999999999" x14ac:dyDescent="0.5">
      <c r="D683" s="3" t="s">
        <v>86</v>
      </c>
    </row>
    <row r="684" spans="4:4" ht="17.649999999999999" x14ac:dyDescent="0.5">
      <c r="D684" s="3" t="s">
        <v>96</v>
      </c>
    </row>
    <row r="685" spans="4:4" ht="17.649999999999999" x14ac:dyDescent="0.5">
      <c r="D685" s="3" t="s">
        <v>80</v>
      </c>
    </row>
    <row r="686" spans="4:4" ht="17.649999999999999" x14ac:dyDescent="0.5">
      <c r="D686" s="3" t="s">
        <v>84</v>
      </c>
    </row>
    <row r="687" spans="4:4" ht="17.649999999999999" x14ac:dyDescent="0.5">
      <c r="D687" s="3" t="s">
        <v>117</v>
      </c>
    </row>
    <row r="688" spans="4:4" ht="17.649999999999999" x14ac:dyDescent="0.5">
      <c r="D688" s="3" t="s">
        <v>92</v>
      </c>
    </row>
    <row r="689" spans="4:4" ht="17.649999999999999" x14ac:dyDescent="0.5">
      <c r="D689" s="3" t="s">
        <v>47</v>
      </c>
    </row>
    <row r="690" spans="4:4" ht="17.649999999999999" x14ac:dyDescent="0.5">
      <c r="D690" s="3" t="s">
        <v>54</v>
      </c>
    </row>
    <row r="691" spans="4:4" ht="17.649999999999999" x14ac:dyDescent="0.5">
      <c r="D691" s="3" t="s">
        <v>135</v>
      </c>
    </row>
    <row r="692" spans="4:4" ht="17.649999999999999" x14ac:dyDescent="0.5">
      <c r="D692" s="3" t="s">
        <v>107</v>
      </c>
    </row>
    <row r="693" spans="4:4" ht="17.649999999999999" x14ac:dyDescent="0.5">
      <c r="D693" s="3" t="s">
        <v>55</v>
      </c>
    </row>
    <row r="694" spans="4:4" ht="17.649999999999999" x14ac:dyDescent="0.5">
      <c r="D694" s="3" t="s">
        <v>90</v>
      </c>
    </row>
    <row r="695" spans="4:4" ht="17.649999999999999" x14ac:dyDescent="0.5">
      <c r="D695" s="3" t="s">
        <v>77</v>
      </c>
    </row>
    <row r="696" spans="4:4" ht="17.649999999999999" x14ac:dyDescent="0.5">
      <c r="D696" s="3" t="s">
        <v>101</v>
      </c>
    </row>
    <row r="697" spans="4:4" ht="17.649999999999999" x14ac:dyDescent="0.5">
      <c r="D697" s="3" t="s">
        <v>97</v>
      </c>
    </row>
    <row r="698" spans="4:4" ht="17.649999999999999" x14ac:dyDescent="0.5">
      <c r="D698" s="3" t="s">
        <v>66</v>
      </c>
    </row>
    <row r="699" spans="4:4" ht="17.649999999999999" x14ac:dyDescent="0.5">
      <c r="D699" s="3" t="s">
        <v>110</v>
      </c>
    </row>
    <row r="700" spans="4:4" ht="17.649999999999999" x14ac:dyDescent="0.5">
      <c r="D700" s="3" t="s">
        <v>50</v>
      </c>
    </row>
    <row r="701" spans="4:4" ht="17.649999999999999" x14ac:dyDescent="0.5">
      <c r="D701" s="3" t="s">
        <v>47</v>
      </c>
    </row>
    <row r="702" spans="4:4" ht="17.649999999999999" x14ac:dyDescent="0.5">
      <c r="D702" s="3" t="s">
        <v>118</v>
      </c>
    </row>
    <row r="703" spans="4:4" ht="17.649999999999999" x14ac:dyDescent="0.5">
      <c r="D703" s="3" t="s">
        <v>108</v>
      </c>
    </row>
    <row r="704" spans="4:4" ht="17.649999999999999" x14ac:dyDescent="0.5">
      <c r="D704" s="3" t="s">
        <v>85</v>
      </c>
    </row>
    <row r="705" spans="4:4" ht="17.649999999999999" x14ac:dyDescent="0.5">
      <c r="D705" s="3" t="s">
        <v>44</v>
      </c>
    </row>
    <row r="706" spans="4:4" ht="17.649999999999999" x14ac:dyDescent="0.5">
      <c r="D706" s="3" t="s">
        <v>48</v>
      </c>
    </row>
    <row r="707" spans="4:4" ht="17.649999999999999" x14ac:dyDescent="0.5">
      <c r="D707" s="3" t="s">
        <v>66</v>
      </c>
    </row>
    <row r="708" spans="4:4" ht="17.649999999999999" x14ac:dyDescent="0.5">
      <c r="D708" s="3" t="s">
        <v>77</v>
      </c>
    </row>
    <row r="709" spans="4:4" ht="17.649999999999999" x14ac:dyDescent="0.5">
      <c r="D709" s="3" t="s">
        <v>51</v>
      </c>
    </row>
    <row r="710" spans="4:4" ht="17.649999999999999" x14ac:dyDescent="0.5">
      <c r="D710" s="3" t="s">
        <v>56</v>
      </c>
    </row>
    <row r="711" spans="4:4" ht="17.649999999999999" x14ac:dyDescent="0.5">
      <c r="D711" s="3" t="s">
        <v>113</v>
      </c>
    </row>
    <row r="712" spans="4:4" ht="17.649999999999999" x14ac:dyDescent="0.5">
      <c r="D712" s="3" t="s">
        <v>54</v>
      </c>
    </row>
    <row r="713" spans="4:4" ht="17.649999999999999" x14ac:dyDescent="0.5">
      <c r="D713" s="3" t="s">
        <v>51</v>
      </c>
    </row>
    <row r="714" spans="4:4" ht="17.649999999999999" x14ac:dyDescent="0.5">
      <c r="D714" s="3" t="s">
        <v>94</v>
      </c>
    </row>
    <row r="715" spans="4:4" ht="17.649999999999999" x14ac:dyDescent="0.5">
      <c r="D715" s="3" t="s">
        <v>57</v>
      </c>
    </row>
    <row r="716" spans="4:4" ht="17.649999999999999" x14ac:dyDescent="0.5">
      <c r="D716" s="3" t="s">
        <v>41</v>
      </c>
    </row>
    <row r="717" spans="4:4" ht="17.649999999999999" x14ac:dyDescent="0.5">
      <c r="D717" s="3" t="s">
        <v>48</v>
      </c>
    </row>
    <row r="718" spans="4:4" ht="17.649999999999999" x14ac:dyDescent="0.5">
      <c r="D718" s="3" t="s">
        <v>43</v>
      </c>
    </row>
    <row r="719" spans="4:4" ht="17.649999999999999" x14ac:dyDescent="0.5">
      <c r="D719" s="3" t="s">
        <v>116</v>
      </c>
    </row>
    <row r="720" spans="4:4" ht="17.649999999999999" x14ac:dyDescent="0.5">
      <c r="D720" s="3" t="s">
        <v>43</v>
      </c>
    </row>
    <row r="721" spans="4:4" ht="17.649999999999999" x14ac:dyDescent="0.5">
      <c r="D721" s="3" t="s">
        <v>63</v>
      </c>
    </row>
    <row r="722" spans="4:4" ht="17.649999999999999" x14ac:dyDescent="0.5">
      <c r="D722" s="3" t="s">
        <v>69</v>
      </c>
    </row>
    <row r="723" spans="4:4" ht="17.649999999999999" x14ac:dyDescent="0.5">
      <c r="D723" s="3" t="s">
        <v>123</v>
      </c>
    </row>
    <row r="724" spans="4:4" ht="17.649999999999999" x14ac:dyDescent="0.5">
      <c r="D724" s="3" t="s">
        <v>115</v>
      </c>
    </row>
    <row r="725" spans="4:4" ht="17.649999999999999" x14ac:dyDescent="0.5">
      <c r="D725" s="3" t="s">
        <v>96</v>
      </c>
    </row>
    <row r="726" spans="4:4" ht="17.649999999999999" x14ac:dyDescent="0.5">
      <c r="D726" s="3" t="s">
        <v>136</v>
      </c>
    </row>
    <row r="727" spans="4:4" ht="17.649999999999999" x14ac:dyDescent="0.5">
      <c r="D727" s="3" t="s">
        <v>78</v>
      </c>
    </row>
    <row r="728" spans="4:4" ht="17.649999999999999" x14ac:dyDescent="0.5">
      <c r="D728" s="3" t="s">
        <v>43</v>
      </c>
    </row>
    <row r="729" spans="4:4" ht="17.649999999999999" x14ac:dyDescent="0.5">
      <c r="D729" s="3" t="s">
        <v>51</v>
      </c>
    </row>
    <row r="730" spans="4:4" ht="17.649999999999999" x14ac:dyDescent="0.5">
      <c r="D730" s="3" t="s">
        <v>120</v>
      </c>
    </row>
    <row r="731" spans="4:4" ht="17.649999999999999" x14ac:dyDescent="0.5">
      <c r="D731" s="3" t="s">
        <v>63</v>
      </c>
    </row>
    <row r="732" spans="4:4" ht="17.649999999999999" x14ac:dyDescent="0.5">
      <c r="D732" s="3" t="s">
        <v>42</v>
      </c>
    </row>
    <row r="733" spans="4:4" ht="17.649999999999999" x14ac:dyDescent="0.5">
      <c r="D733" s="3" t="s">
        <v>123</v>
      </c>
    </row>
    <row r="734" spans="4:4" ht="17.649999999999999" x14ac:dyDescent="0.5">
      <c r="D734" s="3" t="s">
        <v>51</v>
      </c>
    </row>
    <row r="735" spans="4:4" ht="17.649999999999999" x14ac:dyDescent="0.5">
      <c r="D735" s="3" t="s">
        <v>49</v>
      </c>
    </row>
    <row r="736" spans="4:4" ht="17.649999999999999" x14ac:dyDescent="0.5">
      <c r="D736" s="3" t="s">
        <v>124</v>
      </c>
    </row>
    <row r="737" spans="4:4" ht="17.649999999999999" x14ac:dyDescent="0.5">
      <c r="D737" s="3" t="s">
        <v>72</v>
      </c>
    </row>
    <row r="738" spans="4:4" ht="17.649999999999999" x14ac:dyDescent="0.5">
      <c r="D738" s="3" t="s">
        <v>75</v>
      </c>
    </row>
    <row r="739" spans="4:4" ht="17.649999999999999" x14ac:dyDescent="0.5">
      <c r="D739" s="3" t="s">
        <v>87</v>
      </c>
    </row>
    <row r="740" spans="4:4" ht="17.649999999999999" x14ac:dyDescent="0.5">
      <c r="D740" s="3" t="s">
        <v>76</v>
      </c>
    </row>
    <row r="741" spans="4:4" ht="17.649999999999999" x14ac:dyDescent="0.5">
      <c r="D741" s="3" t="s">
        <v>109</v>
      </c>
    </row>
    <row r="742" spans="4:4" ht="17.649999999999999" x14ac:dyDescent="0.5">
      <c r="D742" s="3" t="s">
        <v>61</v>
      </c>
    </row>
    <row r="743" spans="4:4" ht="17.649999999999999" x14ac:dyDescent="0.5">
      <c r="D743" s="3" t="s">
        <v>94</v>
      </c>
    </row>
    <row r="744" spans="4:4" ht="17.649999999999999" x14ac:dyDescent="0.5">
      <c r="D744" s="3" t="s">
        <v>49</v>
      </c>
    </row>
    <row r="745" spans="4:4" ht="17.649999999999999" x14ac:dyDescent="0.5">
      <c r="D745" s="3" t="s">
        <v>84</v>
      </c>
    </row>
    <row r="746" spans="4:4" ht="17.649999999999999" x14ac:dyDescent="0.5">
      <c r="D746" s="3" t="s">
        <v>69</v>
      </c>
    </row>
    <row r="747" spans="4:4" ht="17.649999999999999" x14ac:dyDescent="0.5">
      <c r="D747" s="3" t="s">
        <v>73</v>
      </c>
    </row>
    <row r="748" spans="4:4" ht="17.649999999999999" x14ac:dyDescent="0.5">
      <c r="D748" s="3" t="s">
        <v>66</v>
      </c>
    </row>
    <row r="749" spans="4:4" ht="17.649999999999999" x14ac:dyDescent="0.5">
      <c r="D749" s="3" t="s">
        <v>67</v>
      </c>
    </row>
    <row r="750" spans="4:4" ht="17.649999999999999" x14ac:dyDescent="0.5">
      <c r="D750" s="3" t="s">
        <v>43</v>
      </c>
    </row>
    <row r="751" spans="4:4" ht="17.649999999999999" x14ac:dyDescent="0.5">
      <c r="D751" s="3" t="s">
        <v>92</v>
      </c>
    </row>
    <row r="752" spans="4:4" ht="17.649999999999999" x14ac:dyDescent="0.5">
      <c r="D752" s="3" t="s">
        <v>84</v>
      </c>
    </row>
    <row r="753" spans="4:4" ht="17.649999999999999" x14ac:dyDescent="0.5">
      <c r="D753" s="3" t="s">
        <v>81</v>
      </c>
    </row>
    <row r="754" spans="4:4" ht="17.649999999999999" x14ac:dyDescent="0.5">
      <c r="D754" s="3" t="s">
        <v>113</v>
      </c>
    </row>
    <row r="755" spans="4:4" ht="17.649999999999999" x14ac:dyDescent="0.5">
      <c r="D755" s="3" t="s">
        <v>116</v>
      </c>
    </row>
    <row r="756" spans="4:4" ht="17.649999999999999" x14ac:dyDescent="0.5">
      <c r="D756" s="3" t="s">
        <v>59</v>
      </c>
    </row>
    <row r="757" spans="4:4" ht="17.649999999999999" x14ac:dyDescent="0.5">
      <c r="D757" s="3" t="s">
        <v>59</v>
      </c>
    </row>
    <row r="758" spans="4:4" ht="17.649999999999999" x14ac:dyDescent="0.5">
      <c r="D758" s="3" t="s">
        <v>67</v>
      </c>
    </row>
    <row r="759" spans="4:4" ht="17.649999999999999" x14ac:dyDescent="0.5">
      <c r="D759" s="3" t="s">
        <v>94</v>
      </c>
    </row>
    <row r="760" spans="4:4" ht="17.649999999999999" x14ac:dyDescent="0.5">
      <c r="D760" s="3" t="s">
        <v>51</v>
      </c>
    </row>
    <row r="761" spans="4:4" ht="17.649999999999999" x14ac:dyDescent="0.5">
      <c r="D761" s="3" t="s">
        <v>101</v>
      </c>
    </row>
    <row r="762" spans="4:4" ht="17.649999999999999" x14ac:dyDescent="0.5">
      <c r="D762" s="3" t="s">
        <v>111</v>
      </c>
    </row>
    <row r="763" spans="4:4" ht="17.649999999999999" x14ac:dyDescent="0.5">
      <c r="D763" s="3" t="s">
        <v>57</v>
      </c>
    </row>
    <row r="764" spans="4:4" ht="17.649999999999999" x14ac:dyDescent="0.5">
      <c r="D764" s="3" t="s">
        <v>102</v>
      </c>
    </row>
    <row r="765" spans="4:4" ht="17.649999999999999" x14ac:dyDescent="0.5">
      <c r="D765" s="3" t="s">
        <v>107</v>
      </c>
    </row>
    <row r="766" spans="4:4" ht="17.649999999999999" x14ac:dyDescent="0.5">
      <c r="D766" s="3" t="s">
        <v>67</v>
      </c>
    </row>
    <row r="767" spans="4:4" ht="17.649999999999999" x14ac:dyDescent="0.5">
      <c r="D767" s="3" t="s">
        <v>96</v>
      </c>
    </row>
    <row r="768" spans="4:4" ht="17.649999999999999" x14ac:dyDescent="0.5">
      <c r="D768" s="3" t="s">
        <v>119</v>
      </c>
    </row>
    <row r="769" spans="4:4" ht="17.649999999999999" x14ac:dyDescent="0.5">
      <c r="D769" s="3" t="s">
        <v>49</v>
      </c>
    </row>
    <row r="770" spans="4:4" ht="17.649999999999999" x14ac:dyDescent="0.5">
      <c r="D770" s="3" t="s">
        <v>115</v>
      </c>
    </row>
    <row r="771" spans="4:4" ht="17.649999999999999" x14ac:dyDescent="0.5">
      <c r="D771" s="3" t="s">
        <v>52</v>
      </c>
    </row>
    <row r="772" spans="4:4" ht="17.649999999999999" x14ac:dyDescent="0.5">
      <c r="D772" s="3" t="s">
        <v>62</v>
      </c>
    </row>
    <row r="773" spans="4:4" ht="17.649999999999999" x14ac:dyDescent="0.5">
      <c r="D773" s="3" t="s">
        <v>113</v>
      </c>
    </row>
    <row r="774" spans="4:4" ht="17.649999999999999" x14ac:dyDescent="0.5">
      <c r="D774" s="3" t="s">
        <v>67</v>
      </c>
    </row>
    <row r="775" spans="4:4" ht="17.649999999999999" x14ac:dyDescent="0.5">
      <c r="D775" s="3" t="s">
        <v>127</v>
      </c>
    </row>
    <row r="776" spans="4:4" ht="17.649999999999999" x14ac:dyDescent="0.5">
      <c r="D776" s="3" t="s">
        <v>85</v>
      </c>
    </row>
    <row r="777" spans="4:4" ht="17.649999999999999" x14ac:dyDescent="0.5">
      <c r="D777" s="3" t="s">
        <v>96</v>
      </c>
    </row>
    <row r="778" spans="4:4" ht="17.649999999999999" x14ac:dyDescent="0.5">
      <c r="D778" s="3" t="s">
        <v>103</v>
      </c>
    </row>
    <row r="779" spans="4:4" ht="17.649999999999999" x14ac:dyDescent="0.5">
      <c r="D779" s="3" t="s">
        <v>112</v>
      </c>
    </row>
    <row r="780" spans="4:4" ht="17.649999999999999" x14ac:dyDescent="0.5">
      <c r="D780" s="3" t="s">
        <v>78</v>
      </c>
    </row>
    <row r="781" spans="4:4" ht="17.649999999999999" x14ac:dyDescent="0.5">
      <c r="D781" s="3" t="s">
        <v>67</v>
      </c>
    </row>
    <row r="782" spans="4:4" ht="17.649999999999999" x14ac:dyDescent="0.5">
      <c r="D782" s="3" t="s">
        <v>119</v>
      </c>
    </row>
    <row r="783" spans="4:4" ht="17.649999999999999" x14ac:dyDescent="0.5">
      <c r="D783" s="3" t="s">
        <v>47</v>
      </c>
    </row>
    <row r="784" spans="4:4" ht="17.649999999999999" x14ac:dyDescent="0.5">
      <c r="D784" s="3" t="s">
        <v>112</v>
      </c>
    </row>
    <row r="785" spans="4:4" ht="17.649999999999999" x14ac:dyDescent="0.5">
      <c r="D785" s="3" t="s">
        <v>75</v>
      </c>
    </row>
    <row r="786" spans="4:4" ht="17.649999999999999" x14ac:dyDescent="0.5">
      <c r="D786" s="3" t="s">
        <v>51</v>
      </c>
    </row>
    <row r="787" spans="4:4" ht="17.649999999999999" x14ac:dyDescent="0.5">
      <c r="D787" s="3" t="s">
        <v>97</v>
      </c>
    </row>
    <row r="788" spans="4:4" ht="17.649999999999999" x14ac:dyDescent="0.5">
      <c r="D788" s="3" t="s">
        <v>61</v>
      </c>
    </row>
    <row r="789" spans="4:4" ht="17.649999999999999" x14ac:dyDescent="0.5">
      <c r="D789" s="3" t="s">
        <v>48</v>
      </c>
    </row>
    <row r="790" spans="4:4" ht="17.649999999999999" x14ac:dyDescent="0.5">
      <c r="D790" s="3" t="s">
        <v>111</v>
      </c>
    </row>
    <row r="791" spans="4:4" ht="17.649999999999999" x14ac:dyDescent="0.5">
      <c r="D791" s="3" t="s">
        <v>90</v>
      </c>
    </row>
    <row r="792" spans="4:4" ht="17.649999999999999" x14ac:dyDescent="0.5">
      <c r="D792" s="3" t="s">
        <v>95</v>
      </c>
    </row>
    <row r="793" spans="4:4" ht="17.649999999999999" x14ac:dyDescent="0.5">
      <c r="D793" s="3" t="s">
        <v>69</v>
      </c>
    </row>
    <row r="794" spans="4:4" ht="17.649999999999999" x14ac:dyDescent="0.5">
      <c r="D794" s="3" t="s">
        <v>107</v>
      </c>
    </row>
    <row r="795" spans="4:4" ht="17.649999999999999" x14ac:dyDescent="0.5">
      <c r="D795" s="3" t="s">
        <v>51</v>
      </c>
    </row>
    <row r="796" spans="4:4" ht="17.649999999999999" x14ac:dyDescent="0.5">
      <c r="D796" s="3" t="s">
        <v>50</v>
      </c>
    </row>
    <row r="797" spans="4:4" ht="17.649999999999999" x14ac:dyDescent="0.5">
      <c r="D797" s="3" t="s">
        <v>107</v>
      </c>
    </row>
    <row r="798" spans="4:4" ht="17.649999999999999" x14ac:dyDescent="0.5">
      <c r="D798" s="3" t="s">
        <v>41</v>
      </c>
    </row>
    <row r="799" spans="4:4" ht="17.649999999999999" x14ac:dyDescent="0.5">
      <c r="D799" s="3" t="s">
        <v>47</v>
      </c>
    </row>
    <row r="800" spans="4:4" ht="17.649999999999999" x14ac:dyDescent="0.5">
      <c r="D800" s="3" t="s">
        <v>112</v>
      </c>
    </row>
    <row r="801" spans="4:4" ht="17.649999999999999" x14ac:dyDescent="0.5">
      <c r="D801" s="3" t="s">
        <v>80</v>
      </c>
    </row>
    <row r="802" spans="4:4" ht="17.649999999999999" x14ac:dyDescent="0.5">
      <c r="D802" s="3" t="s">
        <v>43</v>
      </c>
    </row>
    <row r="803" spans="4:4" ht="17.649999999999999" x14ac:dyDescent="0.5">
      <c r="D803" s="3" t="s">
        <v>75</v>
      </c>
    </row>
    <row r="804" spans="4:4" ht="17.649999999999999" x14ac:dyDescent="0.5">
      <c r="D804" s="3" t="s">
        <v>134</v>
      </c>
    </row>
    <row r="805" spans="4:4" ht="17.649999999999999" x14ac:dyDescent="0.5">
      <c r="D805" s="3" t="s">
        <v>84</v>
      </c>
    </row>
    <row r="806" spans="4:4" ht="17.649999999999999" x14ac:dyDescent="0.5">
      <c r="D806" s="3" t="s">
        <v>102</v>
      </c>
    </row>
    <row r="807" spans="4:4" ht="17.649999999999999" x14ac:dyDescent="0.5">
      <c r="D807" s="3" t="s">
        <v>109</v>
      </c>
    </row>
    <row r="808" spans="4:4" ht="17.649999999999999" x14ac:dyDescent="0.5">
      <c r="D808" s="3" t="s">
        <v>105</v>
      </c>
    </row>
    <row r="809" spans="4:4" ht="17.649999999999999" x14ac:dyDescent="0.5">
      <c r="D809" s="3" t="s">
        <v>65</v>
      </c>
    </row>
    <row r="810" spans="4:4" ht="17.649999999999999" x14ac:dyDescent="0.5">
      <c r="D810" s="3" t="s">
        <v>107</v>
      </c>
    </row>
    <row r="811" spans="4:4" ht="17.649999999999999" x14ac:dyDescent="0.5">
      <c r="D811" s="3" t="s">
        <v>77</v>
      </c>
    </row>
    <row r="812" spans="4:4" ht="17.649999999999999" x14ac:dyDescent="0.5">
      <c r="D812" s="3" t="s">
        <v>114</v>
      </c>
    </row>
    <row r="813" spans="4:4" ht="17.649999999999999" x14ac:dyDescent="0.5">
      <c r="D813" s="3" t="s">
        <v>105</v>
      </c>
    </row>
    <row r="814" spans="4:4" ht="17.649999999999999" x14ac:dyDescent="0.5">
      <c r="D814" s="3" t="s">
        <v>112</v>
      </c>
    </row>
    <row r="815" spans="4:4" ht="17.649999999999999" x14ac:dyDescent="0.5">
      <c r="D815" s="3" t="s">
        <v>46</v>
      </c>
    </row>
    <row r="816" spans="4:4" ht="17.649999999999999" x14ac:dyDescent="0.5">
      <c r="D816" s="3" t="s">
        <v>75</v>
      </c>
    </row>
    <row r="817" spans="4:4" ht="17.649999999999999" x14ac:dyDescent="0.5">
      <c r="D817" s="3" t="s">
        <v>94</v>
      </c>
    </row>
    <row r="818" spans="4:4" ht="17.649999999999999" x14ac:dyDescent="0.5">
      <c r="D818" s="3" t="s">
        <v>128</v>
      </c>
    </row>
    <row r="819" spans="4:4" ht="17.649999999999999" x14ac:dyDescent="0.5">
      <c r="D819" s="3" t="s">
        <v>43</v>
      </c>
    </row>
    <row r="820" spans="4:4" ht="17.649999999999999" x14ac:dyDescent="0.5">
      <c r="D820" s="3" t="s">
        <v>42</v>
      </c>
    </row>
    <row r="821" spans="4:4" ht="17.649999999999999" x14ac:dyDescent="0.5">
      <c r="D821" s="3" t="s">
        <v>49</v>
      </c>
    </row>
    <row r="822" spans="4:4" ht="17.649999999999999" x14ac:dyDescent="0.5">
      <c r="D822" s="3" t="s">
        <v>61</v>
      </c>
    </row>
    <row r="823" spans="4:4" ht="17.649999999999999" x14ac:dyDescent="0.5">
      <c r="D823" s="3" t="s">
        <v>60</v>
      </c>
    </row>
    <row r="824" spans="4:4" ht="17.649999999999999" x14ac:dyDescent="0.5">
      <c r="D824" s="3" t="s">
        <v>83</v>
      </c>
    </row>
    <row r="825" spans="4:4" ht="17.649999999999999" x14ac:dyDescent="0.5">
      <c r="D825" s="3" t="s">
        <v>90</v>
      </c>
    </row>
    <row r="826" spans="4:4" ht="17.649999999999999" x14ac:dyDescent="0.5">
      <c r="D826" s="3" t="s">
        <v>127</v>
      </c>
    </row>
    <row r="827" spans="4:4" ht="17.649999999999999" x14ac:dyDescent="0.5">
      <c r="D827" s="3" t="s">
        <v>103</v>
      </c>
    </row>
    <row r="828" spans="4:4" ht="17.649999999999999" x14ac:dyDescent="0.5">
      <c r="D828" s="3" t="s">
        <v>107</v>
      </c>
    </row>
    <row r="829" spans="4:4" ht="17.649999999999999" x14ac:dyDescent="0.5">
      <c r="D829" s="3" t="s">
        <v>112</v>
      </c>
    </row>
    <row r="830" spans="4:4" ht="17.649999999999999" x14ac:dyDescent="0.5">
      <c r="D830" s="3" t="s">
        <v>115</v>
      </c>
    </row>
    <row r="831" spans="4:4" ht="17.649999999999999" x14ac:dyDescent="0.5">
      <c r="D831" s="3" t="s">
        <v>85</v>
      </c>
    </row>
    <row r="832" spans="4:4" ht="17.649999999999999" x14ac:dyDescent="0.5">
      <c r="D832" s="3" t="s">
        <v>134</v>
      </c>
    </row>
    <row r="833" spans="4:4" ht="17.649999999999999" x14ac:dyDescent="0.5">
      <c r="D833" s="3" t="s">
        <v>105</v>
      </c>
    </row>
    <row r="834" spans="4:4" ht="17.649999999999999" x14ac:dyDescent="0.5">
      <c r="D834" s="3" t="s">
        <v>68</v>
      </c>
    </row>
    <row r="835" spans="4:4" ht="17.649999999999999" x14ac:dyDescent="0.5">
      <c r="D835" s="3" t="s">
        <v>136</v>
      </c>
    </row>
    <row r="836" spans="4:4" ht="17.649999999999999" x14ac:dyDescent="0.5">
      <c r="D836" s="3" t="s">
        <v>66</v>
      </c>
    </row>
    <row r="837" spans="4:4" ht="17.649999999999999" x14ac:dyDescent="0.5">
      <c r="D837" s="3" t="s">
        <v>102</v>
      </c>
    </row>
    <row r="838" spans="4:4" ht="17.649999999999999" x14ac:dyDescent="0.5">
      <c r="D838" s="3" t="s">
        <v>120</v>
      </c>
    </row>
    <row r="839" spans="4:4" ht="17.649999999999999" x14ac:dyDescent="0.5">
      <c r="D839" s="3" t="s">
        <v>83</v>
      </c>
    </row>
    <row r="840" spans="4:4" ht="17.649999999999999" x14ac:dyDescent="0.5">
      <c r="D840" s="3" t="s">
        <v>55</v>
      </c>
    </row>
    <row r="841" spans="4:4" ht="17.649999999999999" x14ac:dyDescent="0.5">
      <c r="D841" s="3" t="s">
        <v>136</v>
      </c>
    </row>
    <row r="842" spans="4:4" ht="17.649999999999999" x14ac:dyDescent="0.5">
      <c r="D842" s="3" t="s">
        <v>61</v>
      </c>
    </row>
    <row r="843" spans="4:4" ht="17.649999999999999" x14ac:dyDescent="0.5">
      <c r="D843" s="3" t="s">
        <v>49</v>
      </c>
    </row>
    <row r="844" spans="4:4" ht="17.649999999999999" x14ac:dyDescent="0.5">
      <c r="D844" s="3" t="s">
        <v>47</v>
      </c>
    </row>
    <row r="845" spans="4:4" ht="17.649999999999999" x14ac:dyDescent="0.5">
      <c r="D845" s="3" t="s">
        <v>112</v>
      </c>
    </row>
    <row r="846" spans="4:4" ht="17.649999999999999" x14ac:dyDescent="0.5">
      <c r="D846" s="3" t="s">
        <v>80</v>
      </c>
    </row>
    <row r="847" spans="4:4" ht="17.649999999999999" x14ac:dyDescent="0.5">
      <c r="D847" s="3" t="s">
        <v>53</v>
      </c>
    </row>
    <row r="848" spans="4:4" ht="17.649999999999999" x14ac:dyDescent="0.5">
      <c r="D848" s="3" t="s">
        <v>105</v>
      </c>
    </row>
    <row r="849" spans="4:4" ht="17.649999999999999" x14ac:dyDescent="0.5">
      <c r="D849" s="3" t="s">
        <v>41</v>
      </c>
    </row>
    <row r="850" spans="4:4" ht="17.649999999999999" x14ac:dyDescent="0.5">
      <c r="D850" s="3" t="s">
        <v>130</v>
      </c>
    </row>
    <row r="851" spans="4:4" ht="17.649999999999999" x14ac:dyDescent="0.5">
      <c r="D851" s="3" t="s">
        <v>74</v>
      </c>
    </row>
    <row r="852" spans="4:4" ht="17.649999999999999" x14ac:dyDescent="0.5">
      <c r="D852" s="3" t="s">
        <v>115</v>
      </c>
    </row>
    <row r="853" spans="4:4" ht="17.649999999999999" x14ac:dyDescent="0.5">
      <c r="D853" s="3" t="s">
        <v>89</v>
      </c>
    </row>
    <row r="854" spans="4:4" ht="17.649999999999999" x14ac:dyDescent="0.5">
      <c r="D854" s="3" t="s">
        <v>117</v>
      </c>
    </row>
    <row r="855" spans="4:4" ht="17.649999999999999" x14ac:dyDescent="0.5">
      <c r="D855" s="3" t="s">
        <v>59</v>
      </c>
    </row>
    <row r="856" spans="4:4" ht="17.649999999999999" x14ac:dyDescent="0.5">
      <c r="D856" s="3" t="s">
        <v>117</v>
      </c>
    </row>
    <row r="857" spans="4:4" ht="17.649999999999999" x14ac:dyDescent="0.5">
      <c r="D857" s="3" t="s">
        <v>71</v>
      </c>
    </row>
    <row r="858" spans="4:4" ht="17.649999999999999" x14ac:dyDescent="0.5">
      <c r="D858" s="3" t="s">
        <v>68</v>
      </c>
    </row>
    <row r="859" spans="4:4" ht="17.649999999999999" x14ac:dyDescent="0.5">
      <c r="D859" s="3" t="s">
        <v>64</v>
      </c>
    </row>
    <row r="860" spans="4:4" ht="17.649999999999999" x14ac:dyDescent="0.5">
      <c r="D860" s="3" t="s">
        <v>92</v>
      </c>
    </row>
    <row r="861" spans="4:4" ht="17.649999999999999" x14ac:dyDescent="0.5">
      <c r="D861" s="3" t="s">
        <v>69</v>
      </c>
    </row>
    <row r="862" spans="4:4" ht="17.649999999999999" x14ac:dyDescent="0.5">
      <c r="D862" s="3" t="s">
        <v>63</v>
      </c>
    </row>
    <row r="863" spans="4:4" ht="17.649999999999999" x14ac:dyDescent="0.5">
      <c r="D863" s="3" t="s">
        <v>69</v>
      </c>
    </row>
    <row r="864" spans="4:4" ht="17.649999999999999" x14ac:dyDescent="0.5">
      <c r="D864" s="3" t="s">
        <v>96</v>
      </c>
    </row>
    <row r="865" spans="4:4" ht="17.649999999999999" x14ac:dyDescent="0.5">
      <c r="D865" s="3" t="s">
        <v>115</v>
      </c>
    </row>
    <row r="866" spans="4:4" ht="17.649999999999999" x14ac:dyDescent="0.5">
      <c r="D866" s="3" t="s">
        <v>131</v>
      </c>
    </row>
    <row r="867" spans="4:4" ht="17.649999999999999" x14ac:dyDescent="0.5">
      <c r="D867" s="3" t="s">
        <v>75</v>
      </c>
    </row>
    <row r="868" spans="4:4" ht="17.649999999999999" x14ac:dyDescent="0.5">
      <c r="D868" s="3" t="s">
        <v>48</v>
      </c>
    </row>
    <row r="869" spans="4:4" ht="17.649999999999999" x14ac:dyDescent="0.5">
      <c r="D869" s="3" t="s">
        <v>77</v>
      </c>
    </row>
    <row r="870" spans="4:4" ht="17.649999999999999" x14ac:dyDescent="0.5">
      <c r="D870" s="3" t="s">
        <v>46</v>
      </c>
    </row>
    <row r="871" spans="4:4" ht="17.649999999999999" x14ac:dyDescent="0.5">
      <c r="D871" s="3" t="s">
        <v>52</v>
      </c>
    </row>
    <row r="872" spans="4:4" ht="17.649999999999999" x14ac:dyDescent="0.5">
      <c r="D872" s="3" t="s">
        <v>83</v>
      </c>
    </row>
    <row r="873" spans="4:4" ht="17.649999999999999" x14ac:dyDescent="0.5">
      <c r="D873" s="3" t="s">
        <v>43</v>
      </c>
    </row>
    <row r="874" spans="4:4" ht="17.649999999999999" x14ac:dyDescent="0.5">
      <c r="D874" s="3" t="s">
        <v>77</v>
      </c>
    </row>
    <row r="875" spans="4:4" ht="17.649999999999999" x14ac:dyDescent="0.5">
      <c r="D875" s="3" t="s">
        <v>106</v>
      </c>
    </row>
    <row r="876" spans="4:4" ht="17.649999999999999" x14ac:dyDescent="0.5">
      <c r="D876" s="3" t="s">
        <v>41</v>
      </c>
    </row>
    <row r="877" spans="4:4" ht="17.649999999999999" x14ac:dyDescent="0.5">
      <c r="D877" s="3" t="s">
        <v>103</v>
      </c>
    </row>
    <row r="878" spans="4:4" ht="17.649999999999999" x14ac:dyDescent="0.5">
      <c r="D878" s="3" t="s">
        <v>56</v>
      </c>
    </row>
    <row r="879" spans="4:4" ht="17.649999999999999" x14ac:dyDescent="0.5">
      <c r="D879" s="3" t="s">
        <v>101</v>
      </c>
    </row>
    <row r="880" spans="4:4" ht="17.649999999999999" x14ac:dyDescent="0.5">
      <c r="D880" s="3" t="s">
        <v>74</v>
      </c>
    </row>
    <row r="881" spans="4:4" ht="17.649999999999999" x14ac:dyDescent="0.5">
      <c r="D881" s="3" t="s">
        <v>101</v>
      </c>
    </row>
    <row r="882" spans="4:4" ht="17.649999999999999" x14ac:dyDescent="0.5">
      <c r="D882" s="3" t="s">
        <v>105</v>
      </c>
    </row>
    <row r="883" spans="4:4" ht="17.649999999999999" x14ac:dyDescent="0.5">
      <c r="D883" s="3" t="s">
        <v>109</v>
      </c>
    </row>
    <row r="884" spans="4:4" ht="17.649999999999999" x14ac:dyDescent="0.5">
      <c r="D884" s="3" t="s">
        <v>101</v>
      </c>
    </row>
    <row r="885" spans="4:4" ht="17.649999999999999" x14ac:dyDescent="0.5">
      <c r="D885" s="3" t="s">
        <v>43</v>
      </c>
    </row>
    <row r="886" spans="4:4" ht="17.649999999999999" x14ac:dyDescent="0.5">
      <c r="D886" s="3" t="s">
        <v>75</v>
      </c>
    </row>
    <row r="887" spans="4:4" ht="17.649999999999999" x14ac:dyDescent="0.5">
      <c r="D887" s="3" t="s">
        <v>73</v>
      </c>
    </row>
    <row r="888" spans="4:4" ht="17.649999999999999" x14ac:dyDescent="0.5">
      <c r="D888" s="3" t="s">
        <v>61</v>
      </c>
    </row>
    <row r="889" spans="4:4" ht="17.649999999999999" x14ac:dyDescent="0.5">
      <c r="D889" s="3" t="s">
        <v>77</v>
      </c>
    </row>
    <row r="890" spans="4:4" ht="17.649999999999999" x14ac:dyDescent="0.5">
      <c r="D890" s="3" t="s">
        <v>61</v>
      </c>
    </row>
    <row r="891" spans="4:4" ht="17.649999999999999" x14ac:dyDescent="0.5">
      <c r="D891" s="3" t="s">
        <v>66</v>
      </c>
    </row>
    <row r="892" spans="4:4" ht="17.649999999999999" x14ac:dyDescent="0.5">
      <c r="D892" s="3" t="s">
        <v>55</v>
      </c>
    </row>
    <row r="893" spans="4:4" ht="17.649999999999999" x14ac:dyDescent="0.5">
      <c r="D893" s="3" t="s">
        <v>68</v>
      </c>
    </row>
    <row r="894" spans="4:4" ht="17.649999999999999" x14ac:dyDescent="0.5">
      <c r="D894" s="3" t="s">
        <v>129</v>
      </c>
    </row>
    <row r="895" spans="4:4" ht="17.649999999999999" x14ac:dyDescent="0.5">
      <c r="D895" s="3" t="s">
        <v>107</v>
      </c>
    </row>
    <row r="896" spans="4:4" ht="17.649999999999999" x14ac:dyDescent="0.5">
      <c r="D896" s="3" t="s">
        <v>75</v>
      </c>
    </row>
    <row r="897" spans="4:4" ht="17.649999999999999" x14ac:dyDescent="0.5">
      <c r="D897" s="3" t="s">
        <v>117</v>
      </c>
    </row>
    <row r="898" spans="4:4" ht="17.649999999999999" x14ac:dyDescent="0.5">
      <c r="D898" s="3" t="s">
        <v>92</v>
      </c>
    </row>
    <row r="899" spans="4:4" ht="17.649999999999999" x14ac:dyDescent="0.5">
      <c r="D899" s="3" t="s">
        <v>75</v>
      </c>
    </row>
    <row r="900" spans="4:4" ht="17.649999999999999" x14ac:dyDescent="0.5">
      <c r="D900" s="3" t="s">
        <v>54</v>
      </c>
    </row>
    <row r="901" spans="4:4" ht="17.649999999999999" x14ac:dyDescent="0.5">
      <c r="D901" s="3" t="s">
        <v>61</v>
      </c>
    </row>
    <row r="902" spans="4:4" ht="17.649999999999999" x14ac:dyDescent="0.5">
      <c r="D902" s="3" t="s">
        <v>84</v>
      </c>
    </row>
    <row r="903" spans="4:4" ht="17.649999999999999" x14ac:dyDescent="0.5">
      <c r="D903" s="3" t="s">
        <v>130</v>
      </c>
    </row>
    <row r="904" spans="4:4" ht="17.649999999999999" x14ac:dyDescent="0.5">
      <c r="D904" s="3" t="s">
        <v>83</v>
      </c>
    </row>
    <row r="905" spans="4:4" ht="17.649999999999999" x14ac:dyDescent="0.5">
      <c r="D905" s="3" t="s">
        <v>66</v>
      </c>
    </row>
    <row r="906" spans="4:4" ht="17.649999999999999" x14ac:dyDescent="0.5">
      <c r="D906" s="3" t="s">
        <v>41</v>
      </c>
    </row>
    <row r="907" spans="4:4" ht="17.649999999999999" x14ac:dyDescent="0.5">
      <c r="D907" s="3" t="s">
        <v>111</v>
      </c>
    </row>
    <row r="908" spans="4:4" ht="17.649999999999999" x14ac:dyDescent="0.5">
      <c r="D908" s="3" t="s">
        <v>68</v>
      </c>
    </row>
    <row r="909" spans="4:4" ht="17.649999999999999" x14ac:dyDescent="0.5">
      <c r="D909" s="3" t="s">
        <v>69</v>
      </c>
    </row>
    <row r="910" spans="4:4" ht="17.649999999999999" x14ac:dyDescent="0.5">
      <c r="D910" s="3" t="s">
        <v>84</v>
      </c>
    </row>
    <row r="911" spans="4:4" ht="17.649999999999999" x14ac:dyDescent="0.5">
      <c r="D911" s="3" t="s">
        <v>51</v>
      </c>
    </row>
    <row r="912" spans="4:4" ht="17.649999999999999" x14ac:dyDescent="0.5">
      <c r="D912" s="3" t="s">
        <v>56</v>
      </c>
    </row>
    <row r="913" spans="4:4" ht="17.649999999999999" x14ac:dyDescent="0.5">
      <c r="D913" s="3" t="s">
        <v>109</v>
      </c>
    </row>
    <row r="914" spans="4:4" ht="17.649999999999999" x14ac:dyDescent="0.5">
      <c r="D914" s="3" t="s">
        <v>105</v>
      </c>
    </row>
    <row r="915" spans="4:4" ht="17.649999999999999" x14ac:dyDescent="0.5">
      <c r="D915" s="3" t="s">
        <v>78</v>
      </c>
    </row>
    <row r="916" spans="4:4" ht="17.649999999999999" x14ac:dyDescent="0.5">
      <c r="D916" s="3" t="s">
        <v>98</v>
      </c>
    </row>
    <row r="917" spans="4:4" ht="17.649999999999999" x14ac:dyDescent="0.5">
      <c r="D917" s="3" t="s">
        <v>56</v>
      </c>
    </row>
    <row r="918" spans="4:4" ht="17.649999999999999" x14ac:dyDescent="0.5">
      <c r="D918" s="3" t="s">
        <v>65</v>
      </c>
    </row>
    <row r="919" spans="4:4" ht="17.649999999999999" x14ac:dyDescent="0.5">
      <c r="D919" s="3" t="s">
        <v>51</v>
      </c>
    </row>
    <row r="920" spans="4:4" ht="17.649999999999999" x14ac:dyDescent="0.5">
      <c r="D920" s="3" t="s">
        <v>50</v>
      </c>
    </row>
    <row r="921" spans="4:4" ht="17.649999999999999" x14ac:dyDescent="0.5">
      <c r="D921" s="3" t="s">
        <v>103</v>
      </c>
    </row>
    <row r="922" spans="4:4" ht="17.649999999999999" x14ac:dyDescent="0.5">
      <c r="D922" s="3" t="s">
        <v>72</v>
      </c>
    </row>
    <row r="923" spans="4:4" ht="17.649999999999999" x14ac:dyDescent="0.5">
      <c r="D923" s="3" t="s">
        <v>68</v>
      </c>
    </row>
    <row r="924" spans="4:4" ht="17.649999999999999" x14ac:dyDescent="0.5">
      <c r="D924" s="3" t="s">
        <v>79</v>
      </c>
    </row>
    <row r="925" spans="4:4" ht="17.649999999999999" x14ac:dyDescent="0.5">
      <c r="D925" s="3" t="s">
        <v>112</v>
      </c>
    </row>
    <row r="926" spans="4:4" ht="17.649999999999999" x14ac:dyDescent="0.5">
      <c r="D926" s="3" t="s">
        <v>105</v>
      </c>
    </row>
    <row r="927" spans="4:4" ht="17.649999999999999" x14ac:dyDescent="0.5">
      <c r="D927" s="3" t="s">
        <v>54</v>
      </c>
    </row>
    <row r="928" spans="4:4" ht="17.649999999999999" x14ac:dyDescent="0.5">
      <c r="D928" s="3" t="s">
        <v>54</v>
      </c>
    </row>
    <row r="929" spans="4:4" ht="17.649999999999999" x14ac:dyDescent="0.5">
      <c r="D929" s="3" t="s">
        <v>65</v>
      </c>
    </row>
    <row r="930" spans="4:4" ht="17.649999999999999" x14ac:dyDescent="0.5">
      <c r="D930" s="3" t="s">
        <v>82</v>
      </c>
    </row>
    <row r="931" spans="4:4" ht="17.649999999999999" x14ac:dyDescent="0.5">
      <c r="D931" s="3" t="s">
        <v>97</v>
      </c>
    </row>
    <row r="932" spans="4:4" ht="17.649999999999999" x14ac:dyDescent="0.5">
      <c r="D932" s="3" t="s">
        <v>76</v>
      </c>
    </row>
    <row r="933" spans="4:4" ht="17.649999999999999" x14ac:dyDescent="0.5">
      <c r="D933" s="3" t="s">
        <v>131</v>
      </c>
    </row>
    <row r="934" spans="4:4" ht="17.649999999999999" x14ac:dyDescent="0.5">
      <c r="D934" s="3" t="s">
        <v>102</v>
      </c>
    </row>
    <row r="935" spans="4:4" ht="17.649999999999999" x14ac:dyDescent="0.5">
      <c r="D935" s="3" t="s">
        <v>54</v>
      </c>
    </row>
    <row r="936" spans="4:4" ht="17.649999999999999" x14ac:dyDescent="0.5">
      <c r="D936" s="3" t="s">
        <v>53</v>
      </c>
    </row>
    <row r="937" spans="4:4" ht="17.649999999999999" x14ac:dyDescent="0.5">
      <c r="D937" s="3" t="s">
        <v>127</v>
      </c>
    </row>
    <row r="938" spans="4:4" ht="17.649999999999999" x14ac:dyDescent="0.5">
      <c r="D938" s="3" t="s">
        <v>101</v>
      </c>
    </row>
    <row r="939" spans="4:4" ht="17.649999999999999" x14ac:dyDescent="0.5">
      <c r="D939" s="3" t="s">
        <v>136</v>
      </c>
    </row>
    <row r="940" spans="4:4" ht="17.649999999999999" x14ac:dyDescent="0.5">
      <c r="D940" s="3" t="s">
        <v>81</v>
      </c>
    </row>
    <row r="941" spans="4:4" ht="17.649999999999999" x14ac:dyDescent="0.5">
      <c r="D941" s="3" t="s">
        <v>55</v>
      </c>
    </row>
    <row r="942" spans="4:4" ht="17.649999999999999" x14ac:dyDescent="0.5">
      <c r="D942" s="3" t="s">
        <v>51</v>
      </c>
    </row>
    <row r="943" spans="4:4" ht="17.649999999999999" x14ac:dyDescent="0.5">
      <c r="D943" s="3" t="s">
        <v>53</v>
      </c>
    </row>
    <row r="944" spans="4:4" ht="17.649999999999999" x14ac:dyDescent="0.5">
      <c r="D944" s="3" t="s">
        <v>49</v>
      </c>
    </row>
    <row r="945" spans="4:4" ht="17.649999999999999" x14ac:dyDescent="0.5">
      <c r="D945" s="3" t="s">
        <v>46</v>
      </c>
    </row>
    <row r="946" spans="4:4" ht="17.649999999999999" x14ac:dyDescent="0.5">
      <c r="D946" s="3" t="s">
        <v>80</v>
      </c>
    </row>
    <row r="947" spans="4:4" ht="17.649999999999999" x14ac:dyDescent="0.5">
      <c r="D947" s="3" t="s">
        <v>87</v>
      </c>
    </row>
    <row r="948" spans="4:4" ht="17.649999999999999" x14ac:dyDescent="0.5">
      <c r="D948" s="3" t="s">
        <v>103</v>
      </c>
    </row>
    <row r="949" spans="4:4" ht="17.649999999999999" x14ac:dyDescent="0.5">
      <c r="D949" s="3" t="s">
        <v>116</v>
      </c>
    </row>
    <row r="950" spans="4:4" ht="17.649999999999999" x14ac:dyDescent="0.5">
      <c r="D950" s="3" t="s">
        <v>87</v>
      </c>
    </row>
    <row r="951" spans="4:4" ht="17.649999999999999" x14ac:dyDescent="0.5">
      <c r="D951" s="3" t="s">
        <v>75</v>
      </c>
    </row>
    <row r="952" spans="4:4" ht="17.649999999999999" x14ac:dyDescent="0.5">
      <c r="D952" s="3" t="s">
        <v>128</v>
      </c>
    </row>
    <row r="953" spans="4:4" ht="17.649999999999999" x14ac:dyDescent="0.5">
      <c r="D953" s="3" t="s">
        <v>98</v>
      </c>
    </row>
    <row r="954" spans="4:4" ht="17.649999999999999" x14ac:dyDescent="0.5">
      <c r="D954" s="3" t="s">
        <v>135</v>
      </c>
    </row>
    <row r="955" spans="4:4" ht="17.649999999999999" x14ac:dyDescent="0.5">
      <c r="D955" s="3" t="s">
        <v>67</v>
      </c>
    </row>
    <row r="956" spans="4:4" ht="17.649999999999999" x14ac:dyDescent="0.5">
      <c r="D956" s="3" t="s">
        <v>107</v>
      </c>
    </row>
    <row r="957" spans="4:4" ht="17.649999999999999" x14ac:dyDescent="0.5">
      <c r="D957" s="3" t="s">
        <v>69</v>
      </c>
    </row>
    <row r="958" spans="4:4" ht="17.649999999999999" x14ac:dyDescent="0.5">
      <c r="D958" s="3" t="s">
        <v>50</v>
      </c>
    </row>
    <row r="959" spans="4:4" ht="17.649999999999999" x14ac:dyDescent="0.5">
      <c r="D959" s="3" t="s">
        <v>87</v>
      </c>
    </row>
    <row r="960" spans="4:4" ht="17.649999999999999" x14ac:dyDescent="0.5">
      <c r="D960" s="3" t="s">
        <v>128</v>
      </c>
    </row>
    <row r="961" spans="4:4" ht="17.649999999999999" x14ac:dyDescent="0.5">
      <c r="D961" s="3" t="s">
        <v>58</v>
      </c>
    </row>
    <row r="962" spans="4:4" ht="17.649999999999999" x14ac:dyDescent="0.5">
      <c r="D962" s="3" t="s">
        <v>64</v>
      </c>
    </row>
    <row r="963" spans="4:4" ht="17.649999999999999" x14ac:dyDescent="0.5">
      <c r="D963" s="3" t="s">
        <v>53</v>
      </c>
    </row>
    <row r="964" spans="4:4" ht="17.649999999999999" x14ac:dyDescent="0.5">
      <c r="D964" s="3" t="s">
        <v>69</v>
      </c>
    </row>
    <row r="965" spans="4:4" ht="17.649999999999999" x14ac:dyDescent="0.5">
      <c r="D965" s="3" t="s">
        <v>61</v>
      </c>
    </row>
    <row r="966" spans="4:4" ht="17.649999999999999" x14ac:dyDescent="0.5">
      <c r="D966" s="3" t="s">
        <v>84</v>
      </c>
    </row>
    <row r="967" spans="4:4" ht="17.649999999999999" x14ac:dyDescent="0.5">
      <c r="D967" s="3" t="s">
        <v>85</v>
      </c>
    </row>
    <row r="968" spans="4:4" ht="17.649999999999999" x14ac:dyDescent="0.5">
      <c r="D968" s="3" t="s">
        <v>135</v>
      </c>
    </row>
    <row r="969" spans="4:4" ht="17.649999999999999" x14ac:dyDescent="0.5">
      <c r="D969" s="3" t="s">
        <v>41</v>
      </c>
    </row>
    <row r="970" spans="4:4" ht="17.649999999999999" x14ac:dyDescent="0.5">
      <c r="D970" s="3" t="s">
        <v>101</v>
      </c>
    </row>
    <row r="971" spans="4:4" ht="17.649999999999999" x14ac:dyDescent="0.5">
      <c r="D971" s="3" t="s">
        <v>71</v>
      </c>
    </row>
    <row r="972" spans="4:4" ht="17.649999999999999" x14ac:dyDescent="0.5">
      <c r="D972" s="3" t="s">
        <v>45</v>
      </c>
    </row>
    <row r="973" spans="4:4" ht="17.649999999999999" x14ac:dyDescent="0.5">
      <c r="D973" s="3" t="s">
        <v>117</v>
      </c>
    </row>
    <row r="974" spans="4:4" ht="17.649999999999999" x14ac:dyDescent="0.5">
      <c r="D974" s="3" t="s">
        <v>74</v>
      </c>
    </row>
    <row r="975" spans="4:4" ht="17.649999999999999" x14ac:dyDescent="0.5">
      <c r="D975" s="3" t="s">
        <v>53</v>
      </c>
    </row>
    <row r="976" spans="4:4" ht="17.649999999999999" x14ac:dyDescent="0.5">
      <c r="D976" s="3" t="s">
        <v>57</v>
      </c>
    </row>
    <row r="977" spans="4:4" ht="17.649999999999999" x14ac:dyDescent="0.5">
      <c r="D977" s="3" t="s">
        <v>92</v>
      </c>
    </row>
    <row r="978" spans="4:4" ht="17.649999999999999" x14ac:dyDescent="0.5">
      <c r="D978" s="3" t="s">
        <v>111</v>
      </c>
    </row>
    <row r="979" spans="4:4" ht="17.649999999999999" x14ac:dyDescent="0.5">
      <c r="D979" s="3" t="s">
        <v>61</v>
      </c>
    </row>
    <row r="980" spans="4:4" ht="17.649999999999999" x14ac:dyDescent="0.5">
      <c r="D980" s="3" t="s">
        <v>72</v>
      </c>
    </row>
    <row r="981" spans="4:4" ht="17.649999999999999" x14ac:dyDescent="0.5">
      <c r="D981" s="3" t="s">
        <v>126</v>
      </c>
    </row>
    <row r="982" spans="4:4" ht="17.649999999999999" x14ac:dyDescent="0.5">
      <c r="D982" s="3" t="s">
        <v>115</v>
      </c>
    </row>
    <row r="983" spans="4:4" ht="17.649999999999999" x14ac:dyDescent="0.5">
      <c r="D983" s="3" t="s">
        <v>42</v>
      </c>
    </row>
    <row r="984" spans="4:4" ht="17.649999999999999" x14ac:dyDescent="0.5">
      <c r="D984" s="3" t="s">
        <v>105</v>
      </c>
    </row>
    <row r="985" spans="4:4" ht="17.649999999999999" x14ac:dyDescent="0.5">
      <c r="D985" s="3" t="s">
        <v>117</v>
      </c>
    </row>
    <row r="986" spans="4:4" ht="17.649999999999999" x14ac:dyDescent="0.5">
      <c r="D986" s="3" t="s">
        <v>69</v>
      </c>
    </row>
    <row r="987" spans="4:4" ht="17.649999999999999" x14ac:dyDescent="0.5">
      <c r="D987" s="3" t="s">
        <v>122</v>
      </c>
    </row>
    <row r="988" spans="4:4" ht="17.649999999999999" x14ac:dyDescent="0.5">
      <c r="D988" s="3" t="s">
        <v>73</v>
      </c>
    </row>
    <row r="989" spans="4:4" ht="17.649999999999999" x14ac:dyDescent="0.5">
      <c r="D989" s="3" t="s">
        <v>81</v>
      </c>
    </row>
    <row r="990" spans="4:4" ht="17.649999999999999" x14ac:dyDescent="0.5">
      <c r="D990" s="3" t="s">
        <v>78</v>
      </c>
    </row>
    <row r="991" spans="4:4" ht="17.649999999999999" x14ac:dyDescent="0.5">
      <c r="D991" s="3" t="s">
        <v>105</v>
      </c>
    </row>
    <row r="992" spans="4:4" ht="17.649999999999999" x14ac:dyDescent="0.5">
      <c r="D992" s="3" t="s">
        <v>90</v>
      </c>
    </row>
    <row r="993" spans="4:4" ht="17.649999999999999" x14ac:dyDescent="0.5">
      <c r="D993" s="3" t="s">
        <v>117</v>
      </c>
    </row>
    <row r="994" spans="4:4" ht="17.649999999999999" x14ac:dyDescent="0.5">
      <c r="D994" s="3" t="s">
        <v>126</v>
      </c>
    </row>
    <row r="995" spans="4:4" ht="17.649999999999999" x14ac:dyDescent="0.5">
      <c r="D995" s="3" t="s">
        <v>105</v>
      </c>
    </row>
    <row r="996" spans="4:4" ht="17.649999999999999" x14ac:dyDescent="0.5">
      <c r="D996" s="3" t="s">
        <v>67</v>
      </c>
    </row>
    <row r="997" spans="4:4" ht="17.649999999999999" x14ac:dyDescent="0.5">
      <c r="D997" s="3" t="s">
        <v>74</v>
      </c>
    </row>
    <row r="998" spans="4:4" ht="17.649999999999999" x14ac:dyDescent="0.5">
      <c r="D998" s="3" t="s">
        <v>59</v>
      </c>
    </row>
    <row r="999" spans="4:4" ht="17.649999999999999" x14ac:dyDescent="0.5">
      <c r="D999" s="3" t="s">
        <v>121</v>
      </c>
    </row>
    <row r="1000" spans="4:4" ht="17.649999999999999" x14ac:dyDescent="0.5">
      <c r="D1000" s="3" t="s">
        <v>85</v>
      </c>
    </row>
    <row r="1001" spans="4:4" ht="17.649999999999999" x14ac:dyDescent="0.5">
      <c r="D1001" s="3" t="s">
        <v>101</v>
      </c>
    </row>
    <row r="1002" spans="4:4" ht="17.649999999999999" x14ac:dyDescent="0.5">
      <c r="D1002" s="3" t="s">
        <v>56</v>
      </c>
    </row>
    <row r="1003" spans="4:4" ht="17.649999999999999" x14ac:dyDescent="0.5">
      <c r="D1003" s="3" t="s">
        <v>50</v>
      </c>
    </row>
    <row r="1004" spans="4:4" ht="17.649999999999999" x14ac:dyDescent="0.5">
      <c r="D1004" s="3" t="s">
        <v>54</v>
      </c>
    </row>
    <row r="1005" spans="4:4" ht="17.649999999999999" x14ac:dyDescent="0.5">
      <c r="D1005" s="3" t="s">
        <v>69</v>
      </c>
    </row>
    <row r="1006" spans="4:4" ht="17.649999999999999" x14ac:dyDescent="0.5">
      <c r="D1006" s="3" t="s">
        <v>82</v>
      </c>
    </row>
    <row r="1007" spans="4:4" ht="17.649999999999999" x14ac:dyDescent="0.5">
      <c r="D1007" s="3" t="s">
        <v>112</v>
      </c>
    </row>
    <row r="1008" spans="4:4" ht="17.649999999999999" x14ac:dyDescent="0.5">
      <c r="D1008" s="3" t="s">
        <v>68</v>
      </c>
    </row>
    <row r="1009" spans="4:4" ht="17.649999999999999" x14ac:dyDescent="0.5">
      <c r="D1009" s="3" t="s">
        <v>64</v>
      </c>
    </row>
    <row r="1010" spans="4:4" ht="17.649999999999999" x14ac:dyDescent="0.5">
      <c r="D1010" s="3" t="s">
        <v>110</v>
      </c>
    </row>
    <row r="1011" spans="4:4" ht="17.649999999999999" x14ac:dyDescent="0.5">
      <c r="D1011" s="3" t="s">
        <v>98</v>
      </c>
    </row>
    <row r="1012" spans="4:4" ht="17.649999999999999" x14ac:dyDescent="0.5">
      <c r="D1012" s="3" t="s">
        <v>49</v>
      </c>
    </row>
    <row r="1013" spans="4:4" ht="17.649999999999999" x14ac:dyDescent="0.5">
      <c r="D1013" s="3" t="s">
        <v>58</v>
      </c>
    </row>
    <row r="1014" spans="4:4" ht="17.649999999999999" x14ac:dyDescent="0.5">
      <c r="D1014" s="3" t="s">
        <v>91</v>
      </c>
    </row>
    <row r="1015" spans="4:4" ht="17.649999999999999" x14ac:dyDescent="0.5">
      <c r="D1015" s="3" t="s">
        <v>67</v>
      </c>
    </row>
    <row r="1016" spans="4:4" ht="17.649999999999999" x14ac:dyDescent="0.5">
      <c r="D1016" s="3" t="s">
        <v>104</v>
      </c>
    </row>
    <row r="1017" spans="4:4" ht="17.649999999999999" x14ac:dyDescent="0.5">
      <c r="D1017" s="3" t="s">
        <v>44</v>
      </c>
    </row>
    <row r="1018" spans="4:4" ht="17.649999999999999" x14ac:dyDescent="0.5">
      <c r="D1018" s="3" t="s">
        <v>42</v>
      </c>
    </row>
    <row r="1019" spans="4:4" ht="17.649999999999999" x14ac:dyDescent="0.5">
      <c r="D1019" s="3" t="s">
        <v>111</v>
      </c>
    </row>
    <row r="1020" spans="4:4" ht="17.649999999999999" x14ac:dyDescent="0.5">
      <c r="D1020" s="3" t="s">
        <v>50</v>
      </c>
    </row>
    <row r="1021" spans="4:4" ht="17.649999999999999" x14ac:dyDescent="0.5">
      <c r="D1021" s="3" t="s">
        <v>129</v>
      </c>
    </row>
    <row r="1022" spans="4:4" ht="17.649999999999999" x14ac:dyDescent="0.5">
      <c r="D1022" s="3" t="s">
        <v>81</v>
      </c>
    </row>
    <row r="1023" spans="4:4" ht="17.649999999999999" x14ac:dyDescent="0.5">
      <c r="D1023" s="3" t="s">
        <v>116</v>
      </c>
    </row>
    <row r="1024" spans="4:4" ht="17.649999999999999" x14ac:dyDescent="0.5">
      <c r="D1024" s="3" t="s">
        <v>74</v>
      </c>
    </row>
    <row r="1025" spans="4:4" ht="17.649999999999999" x14ac:dyDescent="0.5">
      <c r="D1025" s="3" t="s">
        <v>83</v>
      </c>
    </row>
    <row r="1026" spans="4:4" ht="17.649999999999999" x14ac:dyDescent="0.5">
      <c r="D1026" s="3" t="s">
        <v>82</v>
      </c>
    </row>
    <row r="1027" spans="4:4" ht="17.649999999999999" x14ac:dyDescent="0.5">
      <c r="D1027" s="3" t="s">
        <v>91</v>
      </c>
    </row>
    <row r="1028" spans="4:4" ht="17.649999999999999" x14ac:dyDescent="0.5">
      <c r="D1028" s="3" t="s">
        <v>46</v>
      </c>
    </row>
    <row r="1029" spans="4:4" ht="17.649999999999999" x14ac:dyDescent="0.5">
      <c r="D1029" s="3" t="s">
        <v>69</v>
      </c>
    </row>
    <row r="1030" spans="4:4" ht="17.649999999999999" x14ac:dyDescent="0.5">
      <c r="D1030" s="3" t="s">
        <v>96</v>
      </c>
    </row>
    <row r="1031" spans="4:4" ht="17.649999999999999" x14ac:dyDescent="0.5">
      <c r="D1031" s="3" t="s">
        <v>55</v>
      </c>
    </row>
    <row r="1032" spans="4:4" ht="17.649999999999999" x14ac:dyDescent="0.5">
      <c r="D1032" s="3" t="s">
        <v>79</v>
      </c>
    </row>
    <row r="1033" spans="4:4" ht="17.649999999999999" x14ac:dyDescent="0.5">
      <c r="D1033" s="3" t="s">
        <v>84</v>
      </c>
    </row>
    <row r="1034" spans="4:4" ht="17.649999999999999" x14ac:dyDescent="0.5">
      <c r="D1034" s="3" t="s">
        <v>117</v>
      </c>
    </row>
    <row r="1035" spans="4:4" ht="17.649999999999999" x14ac:dyDescent="0.5">
      <c r="D1035" s="3" t="s">
        <v>45</v>
      </c>
    </row>
    <row r="1036" spans="4:4" ht="17.649999999999999" x14ac:dyDescent="0.5">
      <c r="D1036" s="3" t="s">
        <v>50</v>
      </c>
    </row>
    <row r="1037" spans="4:4" ht="17.649999999999999" x14ac:dyDescent="0.5">
      <c r="D1037" s="3" t="s">
        <v>91</v>
      </c>
    </row>
    <row r="1038" spans="4:4" ht="17.649999999999999" x14ac:dyDescent="0.5">
      <c r="D1038" s="3" t="s">
        <v>105</v>
      </c>
    </row>
    <row r="1039" spans="4:4" ht="17.649999999999999" x14ac:dyDescent="0.5">
      <c r="D1039" s="3" t="s">
        <v>56</v>
      </c>
    </row>
    <row r="1040" spans="4:4" ht="17.649999999999999" x14ac:dyDescent="0.5">
      <c r="D1040" s="3" t="s">
        <v>67</v>
      </c>
    </row>
    <row r="1041" spans="4:4" ht="17.649999999999999" x14ac:dyDescent="0.5">
      <c r="D1041" s="3" t="s">
        <v>103</v>
      </c>
    </row>
    <row r="1042" spans="4:4" ht="17.649999999999999" x14ac:dyDescent="0.5">
      <c r="D1042" s="3" t="s">
        <v>55</v>
      </c>
    </row>
    <row r="1043" spans="4:4" ht="17.649999999999999" x14ac:dyDescent="0.5">
      <c r="D1043" s="3" t="s">
        <v>135</v>
      </c>
    </row>
    <row r="1044" spans="4:4" ht="17.649999999999999" x14ac:dyDescent="0.5">
      <c r="D1044" s="3" t="s">
        <v>72</v>
      </c>
    </row>
    <row r="1045" spans="4:4" ht="17.649999999999999" x14ac:dyDescent="0.5">
      <c r="D1045" s="3" t="s">
        <v>111</v>
      </c>
    </row>
    <row r="1046" spans="4:4" ht="17.649999999999999" x14ac:dyDescent="0.5">
      <c r="D1046" s="3" t="s">
        <v>62</v>
      </c>
    </row>
    <row r="1047" spans="4:4" ht="17.649999999999999" x14ac:dyDescent="0.5">
      <c r="D1047" s="3" t="s">
        <v>130</v>
      </c>
    </row>
    <row r="1048" spans="4:4" ht="17.649999999999999" x14ac:dyDescent="0.5">
      <c r="D1048" s="3" t="s">
        <v>51</v>
      </c>
    </row>
    <row r="1049" spans="4:4" ht="17.649999999999999" x14ac:dyDescent="0.5">
      <c r="D1049" s="3" t="s">
        <v>46</v>
      </c>
    </row>
    <row r="1050" spans="4:4" ht="17.649999999999999" x14ac:dyDescent="0.5">
      <c r="D1050" s="3" t="s">
        <v>129</v>
      </c>
    </row>
    <row r="1051" spans="4:4" ht="17.649999999999999" x14ac:dyDescent="0.5">
      <c r="D1051" s="3" t="s">
        <v>63</v>
      </c>
    </row>
    <row r="1052" spans="4:4" ht="17.649999999999999" x14ac:dyDescent="0.5">
      <c r="D1052" s="3" t="s">
        <v>62</v>
      </c>
    </row>
    <row r="1053" spans="4:4" ht="17.649999999999999" x14ac:dyDescent="0.5">
      <c r="D1053" s="3" t="s">
        <v>56</v>
      </c>
    </row>
    <row r="1054" spans="4:4" ht="17.649999999999999" x14ac:dyDescent="0.5">
      <c r="D1054" s="3" t="s">
        <v>76</v>
      </c>
    </row>
    <row r="1055" spans="4:4" ht="17.649999999999999" x14ac:dyDescent="0.5">
      <c r="D1055" s="3" t="s">
        <v>77</v>
      </c>
    </row>
    <row r="1056" spans="4:4" ht="17.649999999999999" x14ac:dyDescent="0.5">
      <c r="D1056" s="3" t="s">
        <v>59</v>
      </c>
    </row>
    <row r="1057" spans="4:4" ht="17.649999999999999" x14ac:dyDescent="0.5">
      <c r="D1057" s="3" t="s">
        <v>90</v>
      </c>
    </row>
    <row r="1058" spans="4:4" ht="17.649999999999999" x14ac:dyDescent="0.5">
      <c r="D1058" s="3" t="s">
        <v>46</v>
      </c>
    </row>
    <row r="1059" spans="4:4" ht="17.649999999999999" x14ac:dyDescent="0.5">
      <c r="D1059" s="3" t="s">
        <v>49</v>
      </c>
    </row>
    <row r="1060" spans="4:4" ht="17.649999999999999" x14ac:dyDescent="0.5">
      <c r="D1060" s="3" t="s">
        <v>101</v>
      </c>
    </row>
    <row r="1061" spans="4:4" ht="17.649999999999999" x14ac:dyDescent="0.5">
      <c r="D1061" s="3" t="s">
        <v>92</v>
      </c>
    </row>
    <row r="1062" spans="4:4" ht="17.649999999999999" x14ac:dyDescent="0.5">
      <c r="D1062" s="3" t="s">
        <v>54</v>
      </c>
    </row>
    <row r="1063" spans="4:4" ht="17.649999999999999" x14ac:dyDescent="0.5">
      <c r="D1063" s="3" t="s">
        <v>43</v>
      </c>
    </row>
    <row r="1064" spans="4:4" ht="17.649999999999999" x14ac:dyDescent="0.5">
      <c r="D1064" s="3" t="s">
        <v>75</v>
      </c>
    </row>
    <row r="1065" spans="4:4" ht="17.649999999999999" x14ac:dyDescent="0.5">
      <c r="D1065" s="3" t="s">
        <v>60</v>
      </c>
    </row>
    <row r="1066" spans="4:4" ht="17.649999999999999" x14ac:dyDescent="0.5">
      <c r="D1066" s="3" t="s">
        <v>115</v>
      </c>
    </row>
    <row r="1067" spans="4:4" ht="17.649999999999999" x14ac:dyDescent="0.5">
      <c r="D1067" s="3" t="s">
        <v>91</v>
      </c>
    </row>
    <row r="1068" spans="4:4" ht="17.649999999999999" x14ac:dyDescent="0.5">
      <c r="D1068" s="3" t="s">
        <v>96</v>
      </c>
    </row>
    <row r="1069" spans="4:4" ht="17.649999999999999" x14ac:dyDescent="0.5">
      <c r="D1069" s="3" t="s">
        <v>89</v>
      </c>
    </row>
    <row r="1070" spans="4:4" ht="17.649999999999999" x14ac:dyDescent="0.5">
      <c r="D1070" s="3" t="s">
        <v>46</v>
      </c>
    </row>
    <row r="1071" spans="4:4" ht="17.649999999999999" x14ac:dyDescent="0.5">
      <c r="D1071" s="3" t="s">
        <v>47</v>
      </c>
    </row>
    <row r="1072" spans="4:4" ht="17.649999999999999" x14ac:dyDescent="0.5">
      <c r="D1072" s="3" t="s">
        <v>87</v>
      </c>
    </row>
    <row r="1073" spans="4:4" ht="17.649999999999999" x14ac:dyDescent="0.5">
      <c r="D1073" s="3" t="s">
        <v>56</v>
      </c>
    </row>
    <row r="1074" spans="4:4" ht="17.649999999999999" x14ac:dyDescent="0.5">
      <c r="D1074" s="3" t="s">
        <v>134</v>
      </c>
    </row>
    <row r="1075" spans="4:4" ht="17.649999999999999" x14ac:dyDescent="0.5">
      <c r="D1075" s="3" t="s">
        <v>75</v>
      </c>
    </row>
    <row r="1076" spans="4:4" ht="17.649999999999999" x14ac:dyDescent="0.5">
      <c r="D1076" s="3" t="s">
        <v>122</v>
      </c>
    </row>
    <row r="1077" spans="4:4" ht="17.649999999999999" x14ac:dyDescent="0.5">
      <c r="D1077" s="3" t="s">
        <v>107</v>
      </c>
    </row>
    <row r="1078" spans="4:4" ht="17.649999999999999" x14ac:dyDescent="0.5">
      <c r="D1078" s="3" t="s">
        <v>90</v>
      </c>
    </row>
    <row r="1079" spans="4:4" ht="17.649999999999999" x14ac:dyDescent="0.5">
      <c r="D1079" s="3" t="s">
        <v>46</v>
      </c>
    </row>
    <row r="1080" spans="4:4" ht="17.649999999999999" x14ac:dyDescent="0.5">
      <c r="D1080" s="3" t="s">
        <v>119</v>
      </c>
    </row>
    <row r="1081" spans="4:4" ht="17.649999999999999" x14ac:dyDescent="0.5">
      <c r="D1081" s="3" t="s">
        <v>61</v>
      </c>
    </row>
    <row r="1082" spans="4:4" ht="17.649999999999999" x14ac:dyDescent="0.5">
      <c r="D1082" s="3" t="s">
        <v>107</v>
      </c>
    </row>
    <row r="1083" spans="4:4" ht="17.649999999999999" x14ac:dyDescent="0.5">
      <c r="D1083" s="3" t="s">
        <v>56</v>
      </c>
    </row>
    <row r="1084" spans="4:4" ht="17.649999999999999" x14ac:dyDescent="0.5">
      <c r="D1084" s="3" t="s">
        <v>87</v>
      </c>
    </row>
    <row r="1085" spans="4:4" ht="17.649999999999999" x14ac:dyDescent="0.5">
      <c r="D1085" s="3" t="s">
        <v>106</v>
      </c>
    </row>
    <row r="1086" spans="4:4" ht="17.649999999999999" x14ac:dyDescent="0.5">
      <c r="D1086" s="3" t="s">
        <v>110</v>
      </c>
    </row>
    <row r="1087" spans="4:4" ht="17.649999999999999" x14ac:dyDescent="0.5">
      <c r="D1087" s="3" t="s">
        <v>51</v>
      </c>
    </row>
    <row r="1088" spans="4:4" ht="17.649999999999999" x14ac:dyDescent="0.5">
      <c r="D1088" s="3" t="s">
        <v>81</v>
      </c>
    </row>
    <row r="1089" spans="4:4" ht="17.649999999999999" x14ac:dyDescent="0.5">
      <c r="D1089" s="3" t="s">
        <v>67</v>
      </c>
    </row>
    <row r="1090" spans="4:4" ht="17.649999999999999" x14ac:dyDescent="0.5">
      <c r="D1090" s="3" t="s">
        <v>56</v>
      </c>
    </row>
    <row r="1091" spans="4:4" ht="17.649999999999999" x14ac:dyDescent="0.5">
      <c r="D1091" s="3" t="s">
        <v>50</v>
      </c>
    </row>
    <row r="1092" spans="4:4" ht="17.649999999999999" x14ac:dyDescent="0.5">
      <c r="D1092" s="3" t="s">
        <v>116</v>
      </c>
    </row>
    <row r="1093" spans="4:4" ht="17.649999999999999" x14ac:dyDescent="0.5">
      <c r="D1093" s="3" t="s">
        <v>52</v>
      </c>
    </row>
    <row r="1094" spans="4:4" ht="17.649999999999999" x14ac:dyDescent="0.5">
      <c r="D1094" s="3" t="s">
        <v>111</v>
      </c>
    </row>
    <row r="1095" spans="4:4" ht="17.649999999999999" x14ac:dyDescent="0.5">
      <c r="D1095" s="3" t="s">
        <v>54</v>
      </c>
    </row>
    <row r="1096" spans="4:4" ht="17.649999999999999" x14ac:dyDescent="0.5">
      <c r="D1096" s="3" t="s">
        <v>110</v>
      </c>
    </row>
    <row r="1097" spans="4:4" ht="17.649999999999999" x14ac:dyDescent="0.5">
      <c r="D1097" s="3" t="s">
        <v>47</v>
      </c>
    </row>
    <row r="1098" spans="4:4" ht="17.649999999999999" x14ac:dyDescent="0.5">
      <c r="D1098" s="3" t="s">
        <v>122</v>
      </c>
    </row>
    <row r="1099" spans="4:4" ht="17.649999999999999" x14ac:dyDescent="0.5">
      <c r="D1099" s="3" t="s">
        <v>64</v>
      </c>
    </row>
    <row r="1100" spans="4:4" ht="17.649999999999999" x14ac:dyDescent="0.5">
      <c r="D1100" s="3" t="s">
        <v>108</v>
      </c>
    </row>
    <row r="1101" spans="4:4" ht="17.649999999999999" x14ac:dyDescent="0.5">
      <c r="D1101" s="3" t="s">
        <v>117</v>
      </c>
    </row>
    <row r="1102" spans="4:4" ht="17.649999999999999" x14ac:dyDescent="0.5">
      <c r="D1102" s="3" t="s">
        <v>105</v>
      </c>
    </row>
    <row r="1103" spans="4:4" ht="17.649999999999999" x14ac:dyDescent="0.5">
      <c r="D1103" s="3" t="s">
        <v>82</v>
      </c>
    </row>
    <row r="1104" spans="4:4" ht="17.649999999999999" x14ac:dyDescent="0.5">
      <c r="D1104" s="3" t="s">
        <v>98</v>
      </c>
    </row>
    <row r="1105" spans="4:4" ht="17.649999999999999" x14ac:dyDescent="0.5">
      <c r="D1105" s="3" t="s">
        <v>83</v>
      </c>
    </row>
    <row r="1106" spans="4:4" ht="17.649999999999999" x14ac:dyDescent="0.5">
      <c r="D1106" s="3" t="s">
        <v>87</v>
      </c>
    </row>
    <row r="1107" spans="4:4" ht="17.649999999999999" x14ac:dyDescent="0.5">
      <c r="D1107" s="3" t="s">
        <v>68</v>
      </c>
    </row>
    <row r="1108" spans="4:4" ht="17.649999999999999" x14ac:dyDescent="0.5">
      <c r="D1108" s="3" t="s">
        <v>74</v>
      </c>
    </row>
    <row r="1109" spans="4:4" ht="17.649999999999999" x14ac:dyDescent="0.5">
      <c r="D1109" s="3" t="s">
        <v>75</v>
      </c>
    </row>
    <row r="1110" spans="4:4" ht="17.649999999999999" x14ac:dyDescent="0.5">
      <c r="D1110" s="3" t="s">
        <v>41</v>
      </c>
    </row>
    <row r="1111" spans="4:4" ht="17.649999999999999" x14ac:dyDescent="0.5">
      <c r="D1111" s="3" t="s">
        <v>65</v>
      </c>
    </row>
    <row r="1112" spans="4:4" ht="17.649999999999999" x14ac:dyDescent="0.5">
      <c r="D1112" s="3" t="s">
        <v>60</v>
      </c>
    </row>
    <row r="1113" spans="4:4" ht="17.649999999999999" x14ac:dyDescent="0.5">
      <c r="D1113" s="3" t="s">
        <v>105</v>
      </c>
    </row>
    <row r="1114" spans="4:4" ht="17.649999999999999" x14ac:dyDescent="0.5">
      <c r="D1114" s="3" t="s">
        <v>86</v>
      </c>
    </row>
    <row r="1115" spans="4:4" ht="17.649999999999999" x14ac:dyDescent="0.5">
      <c r="D1115" s="3" t="s">
        <v>69</v>
      </c>
    </row>
    <row r="1116" spans="4:4" ht="17.649999999999999" x14ac:dyDescent="0.5">
      <c r="D1116" s="3" t="s">
        <v>65</v>
      </c>
    </row>
    <row r="1117" spans="4:4" ht="17.649999999999999" x14ac:dyDescent="0.5">
      <c r="D1117" s="3" t="s">
        <v>121</v>
      </c>
    </row>
    <row r="1118" spans="4:4" ht="17.649999999999999" x14ac:dyDescent="0.5">
      <c r="D1118" s="3" t="s">
        <v>71</v>
      </c>
    </row>
    <row r="1119" spans="4:4" ht="17.649999999999999" x14ac:dyDescent="0.5">
      <c r="D1119" s="3" t="s">
        <v>60</v>
      </c>
    </row>
    <row r="1120" spans="4:4" ht="17.649999999999999" x14ac:dyDescent="0.5">
      <c r="D1120" s="3" t="s">
        <v>99</v>
      </c>
    </row>
    <row r="1121" spans="4:4" ht="17.649999999999999" x14ac:dyDescent="0.5">
      <c r="D1121" s="3" t="s">
        <v>119</v>
      </c>
    </row>
    <row r="1122" spans="4:4" ht="17.649999999999999" x14ac:dyDescent="0.5">
      <c r="D1122" s="3" t="s">
        <v>97</v>
      </c>
    </row>
    <row r="1123" spans="4:4" ht="17.649999999999999" x14ac:dyDescent="0.5">
      <c r="D1123" s="3" t="s">
        <v>66</v>
      </c>
    </row>
    <row r="1124" spans="4:4" ht="17.649999999999999" x14ac:dyDescent="0.5">
      <c r="D1124" s="3" t="s">
        <v>134</v>
      </c>
    </row>
    <row r="1125" spans="4:4" ht="17.649999999999999" x14ac:dyDescent="0.5">
      <c r="D1125" s="3" t="s">
        <v>135</v>
      </c>
    </row>
    <row r="1126" spans="4:4" ht="17.649999999999999" x14ac:dyDescent="0.5">
      <c r="D1126" s="3" t="s">
        <v>115</v>
      </c>
    </row>
    <row r="1127" spans="4:4" ht="17.649999999999999" x14ac:dyDescent="0.5">
      <c r="D1127" s="3" t="s">
        <v>75</v>
      </c>
    </row>
    <row r="1128" spans="4:4" ht="17.649999999999999" x14ac:dyDescent="0.5">
      <c r="D1128" s="3" t="s">
        <v>46</v>
      </c>
    </row>
    <row r="1129" spans="4:4" ht="17.649999999999999" x14ac:dyDescent="0.5">
      <c r="D1129" s="3" t="s">
        <v>47</v>
      </c>
    </row>
    <row r="1130" spans="4:4" ht="17.649999999999999" x14ac:dyDescent="0.5">
      <c r="D1130" s="3" t="s">
        <v>68</v>
      </c>
    </row>
    <row r="1131" spans="4:4" ht="17.649999999999999" x14ac:dyDescent="0.5">
      <c r="D1131" s="3" t="s">
        <v>81</v>
      </c>
    </row>
    <row r="1132" spans="4:4" ht="17.649999999999999" x14ac:dyDescent="0.5">
      <c r="D1132" s="3" t="s">
        <v>63</v>
      </c>
    </row>
    <row r="1133" spans="4:4" ht="17.649999999999999" x14ac:dyDescent="0.5">
      <c r="D1133" s="3" t="s">
        <v>75</v>
      </c>
    </row>
    <row r="1134" spans="4:4" ht="17.649999999999999" x14ac:dyDescent="0.5">
      <c r="D1134" s="3" t="s">
        <v>96</v>
      </c>
    </row>
    <row r="1135" spans="4:4" ht="17.649999999999999" x14ac:dyDescent="0.5">
      <c r="D1135" s="3" t="s">
        <v>120</v>
      </c>
    </row>
    <row r="1136" spans="4:4" ht="17.649999999999999" x14ac:dyDescent="0.5">
      <c r="D1136" s="3" t="s">
        <v>57</v>
      </c>
    </row>
    <row r="1137" spans="4:4" ht="17.649999999999999" x14ac:dyDescent="0.5">
      <c r="D1137" s="3" t="s">
        <v>103</v>
      </c>
    </row>
    <row r="1138" spans="4:4" ht="17.649999999999999" x14ac:dyDescent="0.5">
      <c r="D1138" s="3" t="s">
        <v>88</v>
      </c>
    </row>
    <row r="1139" spans="4:4" ht="17.649999999999999" x14ac:dyDescent="0.5">
      <c r="D1139" s="3" t="s">
        <v>104</v>
      </c>
    </row>
    <row r="1140" spans="4:4" ht="17.649999999999999" x14ac:dyDescent="0.5">
      <c r="D1140" s="3" t="s">
        <v>54</v>
      </c>
    </row>
    <row r="1141" spans="4:4" ht="17.649999999999999" x14ac:dyDescent="0.5">
      <c r="D1141" s="3" t="s">
        <v>86</v>
      </c>
    </row>
    <row r="1142" spans="4:4" ht="17.649999999999999" x14ac:dyDescent="0.5">
      <c r="D1142" s="3" t="s">
        <v>107</v>
      </c>
    </row>
    <row r="1143" spans="4:4" ht="17.649999999999999" x14ac:dyDescent="0.5">
      <c r="D1143" s="3" t="s">
        <v>54</v>
      </c>
    </row>
    <row r="1144" spans="4:4" ht="17.649999999999999" x14ac:dyDescent="0.5">
      <c r="D1144" s="3" t="s">
        <v>110</v>
      </c>
    </row>
    <row r="1145" spans="4:4" ht="17.649999999999999" x14ac:dyDescent="0.5">
      <c r="D1145" s="3" t="s">
        <v>63</v>
      </c>
    </row>
    <row r="1146" spans="4:4" ht="17.649999999999999" x14ac:dyDescent="0.5">
      <c r="D1146" s="3" t="s">
        <v>73</v>
      </c>
    </row>
    <row r="1147" spans="4:4" ht="17.649999999999999" x14ac:dyDescent="0.5">
      <c r="D1147" s="3" t="s">
        <v>79</v>
      </c>
    </row>
    <row r="1148" spans="4:4" ht="17.649999999999999" x14ac:dyDescent="0.5">
      <c r="D1148" s="3" t="s">
        <v>67</v>
      </c>
    </row>
    <row r="1149" spans="4:4" ht="17.649999999999999" x14ac:dyDescent="0.5">
      <c r="D1149" s="3" t="s">
        <v>57</v>
      </c>
    </row>
    <row r="1150" spans="4:4" ht="17.649999999999999" x14ac:dyDescent="0.5">
      <c r="D1150" s="3" t="s">
        <v>66</v>
      </c>
    </row>
    <row r="1151" spans="4:4" ht="17.649999999999999" x14ac:dyDescent="0.5">
      <c r="D1151" s="3" t="s">
        <v>68</v>
      </c>
    </row>
    <row r="1152" spans="4:4" ht="17.649999999999999" x14ac:dyDescent="0.5">
      <c r="D1152" s="3" t="s">
        <v>85</v>
      </c>
    </row>
    <row r="1153" spans="4:4" ht="17.649999999999999" x14ac:dyDescent="0.5">
      <c r="D1153" s="3" t="s">
        <v>56</v>
      </c>
    </row>
    <row r="1154" spans="4:4" ht="17.649999999999999" x14ac:dyDescent="0.5">
      <c r="D1154" s="3" t="s">
        <v>83</v>
      </c>
    </row>
    <row r="1155" spans="4:4" ht="17.649999999999999" x14ac:dyDescent="0.5">
      <c r="D1155" s="3" t="s">
        <v>90</v>
      </c>
    </row>
    <row r="1156" spans="4:4" ht="17.649999999999999" x14ac:dyDescent="0.5">
      <c r="D1156" s="3" t="s">
        <v>135</v>
      </c>
    </row>
    <row r="1157" spans="4:4" ht="17.649999999999999" x14ac:dyDescent="0.5">
      <c r="D1157" s="3" t="s">
        <v>69</v>
      </c>
    </row>
    <row r="1158" spans="4:4" ht="17.649999999999999" x14ac:dyDescent="0.5">
      <c r="D1158" s="3" t="s">
        <v>107</v>
      </c>
    </row>
    <row r="1159" spans="4:4" ht="17.649999999999999" x14ac:dyDescent="0.5">
      <c r="D1159" s="3" t="s">
        <v>88</v>
      </c>
    </row>
    <row r="1160" spans="4:4" ht="17.649999999999999" x14ac:dyDescent="0.5">
      <c r="D1160" s="3" t="s">
        <v>50</v>
      </c>
    </row>
    <row r="1161" spans="4:4" ht="17.649999999999999" x14ac:dyDescent="0.5">
      <c r="D1161" s="3" t="s">
        <v>59</v>
      </c>
    </row>
    <row r="1162" spans="4:4" ht="17.649999999999999" x14ac:dyDescent="0.5">
      <c r="D1162" s="3" t="s">
        <v>96</v>
      </c>
    </row>
    <row r="1163" spans="4:4" ht="17.649999999999999" x14ac:dyDescent="0.5">
      <c r="D1163" s="3" t="s">
        <v>84</v>
      </c>
    </row>
    <row r="1164" spans="4:4" ht="17.649999999999999" x14ac:dyDescent="0.5">
      <c r="D1164" s="3" t="s">
        <v>53</v>
      </c>
    </row>
    <row r="1165" spans="4:4" ht="17.649999999999999" x14ac:dyDescent="0.5">
      <c r="D1165" s="3" t="s">
        <v>95</v>
      </c>
    </row>
    <row r="1166" spans="4:4" ht="17.649999999999999" x14ac:dyDescent="0.5">
      <c r="D1166" s="3" t="s">
        <v>92</v>
      </c>
    </row>
    <row r="1167" spans="4:4" ht="17.649999999999999" x14ac:dyDescent="0.5">
      <c r="D1167" s="3" t="s">
        <v>50</v>
      </c>
    </row>
    <row r="1168" spans="4:4" ht="17.649999999999999" x14ac:dyDescent="0.5">
      <c r="D1168" s="3" t="s">
        <v>111</v>
      </c>
    </row>
    <row r="1169" spans="4:4" ht="17.649999999999999" x14ac:dyDescent="0.5">
      <c r="D1169" s="3" t="s">
        <v>107</v>
      </c>
    </row>
    <row r="1170" spans="4:4" ht="17.649999999999999" x14ac:dyDescent="0.5">
      <c r="D1170" s="3" t="s">
        <v>91</v>
      </c>
    </row>
    <row r="1171" spans="4:4" ht="17.649999999999999" x14ac:dyDescent="0.5">
      <c r="D1171" s="3" t="s">
        <v>101</v>
      </c>
    </row>
    <row r="1172" spans="4:4" ht="17.649999999999999" x14ac:dyDescent="0.5">
      <c r="D1172" s="3" t="s">
        <v>108</v>
      </c>
    </row>
    <row r="1173" spans="4:4" ht="17.649999999999999" x14ac:dyDescent="0.5">
      <c r="D1173" s="3" t="s">
        <v>75</v>
      </c>
    </row>
    <row r="1174" spans="4:4" ht="17.649999999999999" x14ac:dyDescent="0.5">
      <c r="D1174" s="3" t="s">
        <v>59</v>
      </c>
    </row>
    <row r="1175" spans="4:4" ht="17.649999999999999" x14ac:dyDescent="0.5">
      <c r="D1175" s="3" t="s">
        <v>48</v>
      </c>
    </row>
    <row r="1176" spans="4:4" ht="17.649999999999999" x14ac:dyDescent="0.5">
      <c r="D1176" s="3" t="s">
        <v>49</v>
      </c>
    </row>
    <row r="1177" spans="4:4" ht="17.649999999999999" x14ac:dyDescent="0.5">
      <c r="D1177" s="3" t="s">
        <v>82</v>
      </c>
    </row>
    <row r="1178" spans="4:4" ht="17.649999999999999" x14ac:dyDescent="0.5">
      <c r="D1178" s="3" t="s">
        <v>74</v>
      </c>
    </row>
    <row r="1179" spans="4:4" ht="17.649999999999999" x14ac:dyDescent="0.5">
      <c r="D1179" s="3" t="s">
        <v>46</v>
      </c>
    </row>
    <row r="1180" spans="4:4" ht="17.649999999999999" x14ac:dyDescent="0.5">
      <c r="D1180" s="3" t="s">
        <v>112</v>
      </c>
    </row>
    <row r="1181" spans="4:4" ht="17.649999999999999" x14ac:dyDescent="0.5">
      <c r="D1181" s="3" t="s">
        <v>131</v>
      </c>
    </row>
    <row r="1182" spans="4:4" ht="17.649999999999999" x14ac:dyDescent="0.5">
      <c r="D1182" s="3" t="s">
        <v>43</v>
      </c>
    </row>
    <row r="1183" spans="4:4" ht="17.649999999999999" x14ac:dyDescent="0.5">
      <c r="D1183" s="3" t="s">
        <v>101</v>
      </c>
    </row>
    <row r="1184" spans="4:4" ht="17.649999999999999" x14ac:dyDescent="0.5">
      <c r="D1184" s="3" t="s">
        <v>49</v>
      </c>
    </row>
    <row r="1185" spans="4:4" ht="17.649999999999999" x14ac:dyDescent="0.5">
      <c r="D1185" s="3" t="s">
        <v>114</v>
      </c>
    </row>
    <row r="1186" spans="4:4" ht="17.649999999999999" x14ac:dyDescent="0.5">
      <c r="D1186" s="3" t="s">
        <v>87</v>
      </c>
    </row>
    <row r="1187" spans="4:4" ht="17.649999999999999" x14ac:dyDescent="0.5">
      <c r="D1187" s="3" t="s">
        <v>68</v>
      </c>
    </row>
    <row r="1188" spans="4:4" ht="17.649999999999999" x14ac:dyDescent="0.5">
      <c r="D1188" s="3" t="s">
        <v>69</v>
      </c>
    </row>
    <row r="1189" spans="4:4" ht="17.649999999999999" x14ac:dyDescent="0.5">
      <c r="D1189" s="3" t="s">
        <v>102</v>
      </c>
    </row>
    <row r="1190" spans="4:4" ht="17.649999999999999" x14ac:dyDescent="0.5">
      <c r="D1190" s="3" t="s">
        <v>116</v>
      </c>
    </row>
    <row r="1191" spans="4:4" ht="17.649999999999999" x14ac:dyDescent="0.5">
      <c r="D1191" s="3" t="s">
        <v>85</v>
      </c>
    </row>
    <row r="1192" spans="4:4" ht="17.649999999999999" x14ac:dyDescent="0.5">
      <c r="D1192" s="3" t="s">
        <v>57</v>
      </c>
    </row>
    <row r="1193" spans="4:4" ht="17.649999999999999" x14ac:dyDescent="0.5">
      <c r="D1193" s="3" t="s">
        <v>78</v>
      </c>
    </row>
    <row r="1194" spans="4:4" ht="17.649999999999999" x14ac:dyDescent="0.5">
      <c r="D1194" s="3" t="s">
        <v>119</v>
      </c>
    </row>
    <row r="1195" spans="4:4" ht="17.649999999999999" x14ac:dyDescent="0.5">
      <c r="D1195" s="3" t="s">
        <v>46</v>
      </c>
    </row>
    <row r="1196" spans="4:4" ht="17.649999999999999" x14ac:dyDescent="0.5">
      <c r="D1196" s="3" t="s">
        <v>53</v>
      </c>
    </row>
    <row r="1197" spans="4:4" ht="17.649999999999999" x14ac:dyDescent="0.5">
      <c r="D1197" s="3" t="s">
        <v>41</v>
      </c>
    </row>
    <row r="1198" spans="4:4" ht="17.649999999999999" x14ac:dyDescent="0.5">
      <c r="D1198" s="3" t="s">
        <v>91</v>
      </c>
    </row>
    <row r="1199" spans="4:4" ht="17.649999999999999" x14ac:dyDescent="0.5">
      <c r="D1199" s="3" t="s">
        <v>127</v>
      </c>
    </row>
    <row r="1200" spans="4:4" ht="17.649999999999999" x14ac:dyDescent="0.5">
      <c r="D1200" s="3" t="s">
        <v>57</v>
      </c>
    </row>
    <row r="1201" spans="4:4" ht="17.649999999999999" x14ac:dyDescent="0.5">
      <c r="D1201" s="3" t="s">
        <v>85</v>
      </c>
    </row>
    <row r="1202" spans="4:4" ht="17.649999999999999" x14ac:dyDescent="0.5">
      <c r="D1202" s="3" t="s">
        <v>92</v>
      </c>
    </row>
    <row r="1203" spans="4:4" ht="17.649999999999999" x14ac:dyDescent="0.5">
      <c r="D1203" s="3" t="s">
        <v>135</v>
      </c>
    </row>
    <row r="1204" spans="4:4" ht="17.649999999999999" x14ac:dyDescent="0.5">
      <c r="D1204" s="3" t="s">
        <v>48</v>
      </c>
    </row>
    <row r="1205" spans="4:4" ht="17.649999999999999" x14ac:dyDescent="0.5">
      <c r="D1205" s="3" t="s">
        <v>126</v>
      </c>
    </row>
    <row r="1206" spans="4:4" ht="17.649999999999999" x14ac:dyDescent="0.5">
      <c r="D1206" s="3" t="s">
        <v>73</v>
      </c>
    </row>
    <row r="1207" spans="4:4" ht="17.649999999999999" x14ac:dyDescent="0.5">
      <c r="D1207" s="3" t="s">
        <v>61</v>
      </c>
    </row>
    <row r="1208" spans="4:4" ht="17.649999999999999" x14ac:dyDescent="0.5">
      <c r="D1208" s="3" t="s">
        <v>49</v>
      </c>
    </row>
    <row r="1209" spans="4:4" ht="17.649999999999999" x14ac:dyDescent="0.5">
      <c r="D1209" s="3" t="s">
        <v>103</v>
      </c>
    </row>
    <row r="1210" spans="4:4" ht="17.649999999999999" x14ac:dyDescent="0.5">
      <c r="D1210" s="3" t="s">
        <v>85</v>
      </c>
    </row>
    <row r="1211" spans="4:4" ht="17.649999999999999" x14ac:dyDescent="0.5">
      <c r="D1211" s="3" t="s">
        <v>41</v>
      </c>
    </row>
    <row r="1212" spans="4:4" ht="17.649999999999999" x14ac:dyDescent="0.5">
      <c r="D1212" s="3" t="s">
        <v>117</v>
      </c>
    </row>
    <row r="1213" spans="4:4" ht="17.649999999999999" x14ac:dyDescent="0.5">
      <c r="D1213" s="3" t="s">
        <v>115</v>
      </c>
    </row>
    <row r="1214" spans="4:4" ht="17.649999999999999" x14ac:dyDescent="0.5">
      <c r="D1214" s="3" t="s">
        <v>136</v>
      </c>
    </row>
    <row r="1215" spans="4:4" ht="17.649999999999999" x14ac:dyDescent="0.5">
      <c r="D1215" s="3" t="s">
        <v>80</v>
      </c>
    </row>
    <row r="1216" spans="4:4" ht="17.649999999999999" x14ac:dyDescent="0.5">
      <c r="D1216" s="3" t="s">
        <v>43</v>
      </c>
    </row>
    <row r="1217" spans="4:4" ht="17.649999999999999" x14ac:dyDescent="0.5">
      <c r="D1217" s="3" t="s">
        <v>61</v>
      </c>
    </row>
    <row r="1218" spans="4:4" ht="17.649999999999999" x14ac:dyDescent="0.5">
      <c r="D1218" s="3" t="s">
        <v>83</v>
      </c>
    </row>
    <row r="1219" spans="4:4" ht="17.649999999999999" x14ac:dyDescent="0.5">
      <c r="D1219" s="3" t="s">
        <v>47</v>
      </c>
    </row>
    <row r="1220" spans="4:4" ht="17.649999999999999" x14ac:dyDescent="0.5">
      <c r="D1220" s="3" t="s">
        <v>80</v>
      </c>
    </row>
    <row r="1221" spans="4:4" ht="17.649999999999999" x14ac:dyDescent="0.5">
      <c r="D1221" s="3" t="s">
        <v>50</v>
      </c>
    </row>
    <row r="1222" spans="4:4" ht="17.649999999999999" x14ac:dyDescent="0.5">
      <c r="D1222" s="3" t="s">
        <v>48</v>
      </c>
    </row>
    <row r="1223" spans="4:4" ht="17.649999999999999" x14ac:dyDescent="0.5">
      <c r="D1223" s="3" t="s">
        <v>84</v>
      </c>
    </row>
    <row r="1224" spans="4:4" ht="17.649999999999999" x14ac:dyDescent="0.5">
      <c r="D1224" s="3" t="s">
        <v>83</v>
      </c>
    </row>
    <row r="1225" spans="4:4" ht="17.649999999999999" x14ac:dyDescent="0.5">
      <c r="D1225" s="3" t="s">
        <v>103</v>
      </c>
    </row>
    <row r="1226" spans="4:4" ht="17.649999999999999" x14ac:dyDescent="0.5">
      <c r="D1226" s="3" t="s">
        <v>75</v>
      </c>
    </row>
    <row r="1227" spans="4:4" ht="17.649999999999999" x14ac:dyDescent="0.5">
      <c r="D1227" s="3" t="s">
        <v>101</v>
      </c>
    </row>
    <row r="1228" spans="4:4" ht="17.649999999999999" x14ac:dyDescent="0.5">
      <c r="D1228" s="3" t="s">
        <v>63</v>
      </c>
    </row>
    <row r="1229" spans="4:4" ht="17.649999999999999" x14ac:dyDescent="0.5">
      <c r="D1229" s="3" t="s">
        <v>51</v>
      </c>
    </row>
    <row r="1230" spans="4:4" ht="17.649999999999999" x14ac:dyDescent="0.5">
      <c r="D1230" s="3" t="s">
        <v>127</v>
      </c>
    </row>
    <row r="1231" spans="4:4" ht="17.649999999999999" x14ac:dyDescent="0.5">
      <c r="D1231" s="3" t="s">
        <v>84</v>
      </c>
    </row>
    <row r="1232" spans="4:4" ht="17.649999999999999" x14ac:dyDescent="0.5">
      <c r="D1232" s="3" t="s">
        <v>78</v>
      </c>
    </row>
    <row r="1233" spans="4:4" ht="17.649999999999999" x14ac:dyDescent="0.5">
      <c r="D1233" s="3" t="s">
        <v>81</v>
      </c>
    </row>
    <row r="1234" spans="4:4" ht="17.649999999999999" x14ac:dyDescent="0.5">
      <c r="D1234" s="3" t="s">
        <v>117</v>
      </c>
    </row>
    <row r="1235" spans="4:4" ht="17.649999999999999" x14ac:dyDescent="0.5">
      <c r="D1235" s="3" t="s">
        <v>62</v>
      </c>
    </row>
    <row r="1236" spans="4:4" ht="17.649999999999999" x14ac:dyDescent="0.5">
      <c r="D1236" s="3" t="s">
        <v>55</v>
      </c>
    </row>
    <row r="1237" spans="4:4" ht="17.649999999999999" x14ac:dyDescent="0.5">
      <c r="D1237" s="3" t="s">
        <v>81</v>
      </c>
    </row>
    <row r="1238" spans="4:4" ht="17.649999999999999" x14ac:dyDescent="0.5">
      <c r="D1238" s="3" t="s">
        <v>63</v>
      </c>
    </row>
    <row r="1239" spans="4:4" ht="17.649999999999999" x14ac:dyDescent="0.5">
      <c r="D1239" s="3" t="s">
        <v>67</v>
      </c>
    </row>
    <row r="1240" spans="4:4" ht="17.649999999999999" x14ac:dyDescent="0.5">
      <c r="D1240" s="3" t="s">
        <v>107</v>
      </c>
    </row>
    <row r="1241" spans="4:4" ht="17.649999999999999" x14ac:dyDescent="0.5">
      <c r="D1241" s="3" t="s">
        <v>90</v>
      </c>
    </row>
    <row r="1242" spans="4:4" ht="17.649999999999999" x14ac:dyDescent="0.5">
      <c r="D1242" s="3" t="s">
        <v>75</v>
      </c>
    </row>
    <row r="1243" spans="4:4" ht="17.649999999999999" x14ac:dyDescent="0.5">
      <c r="D1243" s="3" t="s">
        <v>95</v>
      </c>
    </row>
    <row r="1244" spans="4:4" ht="17.649999999999999" x14ac:dyDescent="0.5">
      <c r="D1244" s="3" t="s">
        <v>87</v>
      </c>
    </row>
    <row r="1245" spans="4:4" ht="17.649999999999999" x14ac:dyDescent="0.5">
      <c r="D1245" s="3" t="s">
        <v>94</v>
      </c>
    </row>
    <row r="1246" spans="4:4" ht="17.649999999999999" x14ac:dyDescent="0.5">
      <c r="D1246" s="3" t="s">
        <v>100</v>
      </c>
    </row>
    <row r="1247" spans="4:4" ht="17.649999999999999" x14ac:dyDescent="0.5">
      <c r="D1247" s="3" t="s">
        <v>91</v>
      </c>
    </row>
    <row r="1248" spans="4:4" ht="17.649999999999999" x14ac:dyDescent="0.5">
      <c r="D1248" s="3" t="s">
        <v>54</v>
      </c>
    </row>
    <row r="1249" spans="4:4" ht="17.649999999999999" x14ac:dyDescent="0.5">
      <c r="D1249" s="3" t="s">
        <v>57</v>
      </c>
    </row>
    <row r="1250" spans="4:4" ht="17.649999999999999" x14ac:dyDescent="0.5">
      <c r="D1250" s="3" t="s">
        <v>68</v>
      </c>
    </row>
    <row r="1251" spans="4:4" ht="17.649999999999999" x14ac:dyDescent="0.5">
      <c r="D1251" s="3" t="s">
        <v>82</v>
      </c>
    </row>
    <row r="1252" spans="4:4" ht="17.649999999999999" x14ac:dyDescent="0.5">
      <c r="D1252" s="3" t="s">
        <v>112</v>
      </c>
    </row>
    <row r="1253" spans="4:4" ht="17.649999999999999" x14ac:dyDescent="0.5">
      <c r="D1253" s="3" t="s">
        <v>73</v>
      </c>
    </row>
    <row r="1254" spans="4:4" ht="17.649999999999999" x14ac:dyDescent="0.5">
      <c r="D1254" s="3" t="s">
        <v>54</v>
      </c>
    </row>
    <row r="1255" spans="4:4" ht="17.649999999999999" x14ac:dyDescent="0.5">
      <c r="D1255" s="3" t="s">
        <v>97</v>
      </c>
    </row>
    <row r="1256" spans="4:4" ht="17.649999999999999" x14ac:dyDescent="0.5">
      <c r="D1256" s="3" t="s">
        <v>63</v>
      </c>
    </row>
    <row r="1257" spans="4:4" ht="17.649999999999999" x14ac:dyDescent="0.5">
      <c r="D1257" s="3" t="s">
        <v>84</v>
      </c>
    </row>
    <row r="1258" spans="4:4" ht="17.649999999999999" x14ac:dyDescent="0.5">
      <c r="D1258" s="3" t="s">
        <v>62</v>
      </c>
    </row>
    <row r="1259" spans="4:4" ht="17.649999999999999" x14ac:dyDescent="0.5">
      <c r="D1259" s="3" t="s">
        <v>96</v>
      </c>
    </row>
    <row r="1260" spans="4:4" ht="17.649999999999999" x14ac:dyDescent="0.5">
      <c r="D1260" s="3" t="s">
        <v>80</v>
      </c>
    </row>
    <row r="1261" spans="4:4" ht="17.649999999999999" x14ac:dyDescent="0.5">
      <c r="D1261" s="3" t="s">
        <v>43</v>
      </c>
    </row>
    <row r="1262" spans="4:4" ht="17.649999999999999" x14ac:dyDescent="0.5">
      <c r="D1262" s="3" t="s">
        <v>46</v>
      </c>
    </row>
    <row r="1263" spans="4:4" ht="17.649999999999999" x14ac:dyDescent="0.5">
      <c r="D1263" s="3" t="s">
        <v>113</v>
      </c>
    </row>
    <row r="1264" spans="4:4" ht="17.649999999999999" x14ac:dyDescent="0.5">
      <c r="D1264" s="3" t="s">
        <v>55</v>
      </c>
    </row>
    <row r="1265" spans="4:4" ht="17.649999999999999" x14ac:dyDescent="0.5">
      <c r="D1265" s="3" t="s">
        <v>69</v>
      </c>
    </row>
    <row r="1266" spans="4:4" ht="17.649999999999999" x14ac:dyDescent="0.5">
      <c r="D1266" s="3" t="s">
        <v>83</v>
      </c>
    </row>
    <row r="1267" spans="4:4" ht="17.649999999999999" x14ac:dyDescent="0.5">
      <c r="D1267" s="3" t="s">
        <v>119</v>
      </c>
    </row>
    <row r="1268" spans="4:4" ht="17.649999999999999" x14ac:dyDescent="0.5">
      <c r="D1268" s="3" t="s">
        <v>90</v>
      </c>
    </row>
    <row r="1269" spans="4:4" ht="17.649999999999999" x14ac:dyDescent="0.5">
      <c r="D1269" s="3" t="s">
        <v>54</v>
      </c>
    </row>
    <row r="1270" spans="4:4" ht="17.649999999999999" x14ac:dyDescent="0.5">
      <c r="D1270" s="3" t="s">
        <v>50</v>
      </c>
    </row>
    <row r="1271" spans="4:4" ht="17.649999999999999" x14ac:dyDescent="0.5">
      <c r="D1271" s="3" t="s">
        <v>53</v>
      </c>
    </row>
    <row r="1272" spans="4:4" ht="17.649999999999999" x14ac:dyDescent="0.5">
      <c r="D1272" s="3" t="s">
        <v>62</v>
      </c>
    </row>
    <row r="1273" spans="4:4" ht="17.649999999999999" x14ac:dyDescent="0.5">
      <c r="D1273" s="3" t="s">
        <v>52</v>
      </c>
    </row>
    <row r="1274" spans="4:4" ht="17.649999999999999" x14ac:dyDescent="0.5">
      <c r="D1274" s="3" t="s">
        <v>81</v>
      </c>
    </row>
    <row r="1275" spans="4:4" ht="17.649999999999999" x14ac:dyDescent="0.5">
      <c r="D1275" s="3" t="s">
        <v>63</v>
      </c>
    </row>
    <row r="1276" spans="4:4" ht="17.649999999999999" x14ac:dyDescent="0.5">
      <c r="D1276" s="3" t="s">
        <v>68</v>
      </c>
    </row>
    <row r="1277" spans="4:4" ht="17.649999999999999" x14ac:dyDescent="0.5">
      <c r="D1277" s="3" t="s">
        <v>59</v>
      </c>
    </row>
    <row r="1278" spans="4:4" ht="17.649999999999999" x14ac:dyDescent="0.5">
      <c r="D1278" s="3" t="s">
        <v>75</v>
      </c>
    </row>
    <row r="1279" spans="4:4" ht="17.649999999999999" x14ac:dyDescent="0.5">
      <c r="D1279" s="3" t="s">
        <v>115</v>
      </c>
    </row>
    <row r="1280" spans="4:4" ht="17.649999999999999" x14ac:dyDescent="0.5">
      <c r="D1280" s="3" t="s">
        <v>78</v>
      </c>
    </row>
    <row r="1281" spans="4:4" ht="17.649999999999999" x14ac:dyDescent="0.5">
      <c r="D1281" s="3" t="s">
        <v>75</v>
      </c>
    </row>
    <row r="1282" spans="4:4" ht="17.649999999999999" x14ac:dyDescent="0.5">
      <c r="D1282" s="3" t="s">
        <v>57</v>
      </c>
    </row>
    <row r="1283" spans="4:4" ht="17.649999999999999" x14ac:dyDescent="0.5">
      <c r="D1283" s="3" t="s">
        <v>49</v>
      </c>
    </row>
    <row r="1284" spans="4:4" ht="17.649999999999999" x14ac:dyDescent="0.5">
      <c r="D1284" s="3" t="s">
        <v>65</v>
      </c>
    </row>
    <row r="1285" spans="4:4" ht="17.649999999999999" x14ac:dyDescent="0.5">
      <c r="D1285" s="3" t="s">
        <v>64</v>
      </c>
    </row>
    <row r="1286" spans="4:4" ht="17.649999999999999" x14ac:dyDescent="0.5">
      <c r="D1286" s="3" t="s">
        <v>115</v>
      </c>
    </row>
    <row r="1287" spans="4:4" ht="17.649999999999999" x14ac:dyDescent="0.5">
      <c r="D1287" s="3" t="s">
        <v>68</v>
      </c>
    </row>
    <row r="1288" spans="4:4" ht="17.649999999999999" x14ac:dyDescent="0.5">
      <c r="D1288" s="3" t="s">
        <v>55</v>
      </c>
    </row>
    <row r="1289" spans="4:4" ht="17.649999999999999" x14ac:dyDescent="0.5">
      <c r="D1289" s="3" t="s">
        <v>53</v>
      </c>
    </row>
    <row r="1290" spans="4:4" ht="17.649999999999999" x14ac:dyDescent="0.5">
      <c r="D1290" s="3" t="s">
        <v>70</v>
      </c>
    </row>
    <row r="1291" spans="4:4" ht="17.649999999999999" x14ac:dyDescent="0.5">
      <c r="D1291" s="3" t="s">
        <v>50</v>
      </c>
    </row>
    <row r="1292" spans="4:4" ht="17.649999999999999" x14ac:dyDescent="0.5">
      <c r="D1292" s="3" t="s">
        <v>105</v>
      </c>
    </row>
    <row r="1293" spans="4:4" ht="17.649999999999999" x14ac:dyDescent="0.5">
      <c r="D1293" s="3" t="s">
        <v>47</v>
      </c>
    </row>
    <row r="1294" spans="4:4" ht="17.649999999999999" x14ac:dyDescent="0.5">
      <c r="D1294" s="3" t="s">
        <v>94</v>
      </c>
    </row>
    <row r="1295" spans="4:4" ht="17.649999999999999" x14ac:dyDescent="0.5">
      <c r="D1295" s="3" t="s">
        <v>133</v>
      </c>
    </row>
    <row r="1296" spans="4:4" ht="17.649999999999999" x14ac:dyDescent="0.5">
      <c r="D1296" s="3" t="s">
        <v>121</v>
      </c>
    </row>
    <row r="1297" spans="4:4" ht="17.649999999999999" x14ac:dyDescent="0.5">
      <c r="D1297" s="3" t="s">
        <v>127</v>
      </c>
    </row>
    <row r="1298" spans="4:4" ht="17.649999999999999" x14ac:dyDescent="0.5">
      <c r="D1298" s="3" t="s">
        <v>67</v>
      </c>
    </row>
    <row r="1299" spans="4:4" ht="17.649999999999999" x14ac:dyDescent="0.5">
      <c r="D1299" s="3" t="s">
        <v>91</v>
      </c>
    </row>
    <row r="1300" spans="4:4" ht="17.649999999999999" x14ac:dyDescent="0.5">
      <c r="D1300" s="3" t="s">
        <v>80</v>
      </c>
    </row>
    <row r="1301" spans="4:4" ht="17.649999999999999" x14ac:dyDescent="0.5">
      <c r="D1301" s="3" t="s">
        <v>68</v>
      </c>
    </row>
    <row r="1302" spans="4:4" ht="17.649999999999999" x14ac:dyDescent="0.5">
      <c r="D1302" s="3" t="s">
        <v>73</v>
      </c>
    </row>
    <row r="1303" spans="4:4" ht="17.649999999999999" x14ac:dyDescent="0.5">
      <c r="D1303" s="3" t="s">
        <v>57</v>
      </c>
    </row>
    <row r="1304" spans="4:4" ht="17.649999999999999" x14ac:dyDescent="0.5">
      <c r="D1304" s="3" t="s">
        <v>78</v>
      </c>
    </row>
    <row r="1305" spans="4:4" ht="17.649999999999999" x14ac:dyDescent="0.5">
      <c r="D1305" s="3" t="s">
        <v>43</v>
      </c>
    </row>
    <row r="1306" spans="4:4" ht="17.649999999999999" x14ac:dyDescent="0.5">
      <c r="D1306" s="3" t="s">
        <v>67</v>
      </c>
    </row>
    <row r="1307" spans="4:4" ht="17.649999999999999" x14ac:dyDescent="0.5">
      <c r="D1307" s="3" t="s">
        <v>66</v>
      </c>
    </row>
    <row r="1308" spans="4:4" ht="17.649999999999999" x14ac:dyDescent="0.5">
      <c r="D1308" s="3" t="s">
        <v>96</v>
      </c>
    </row>
    <row r="1309" spans="4:4" ht="17.649999999999999" x14ac:dyDescent="0.5">
      <c r="D1309" s="3" t="s">
        <v>63</v>
      </c>
    </row>
    <row r="1310" spans="4:4" ht="17.649999999999999" x14ac:dyDescent="0.5">
      <c r="D1310" s="3" t="s">
        <v>75</v>
      </c>
    </row>
    <row r="1311" spans="4:4" ht="17.649999999999999" x14ac:dyDescent="0.5">
      <c r="D1311" s="3" t="s">
        <v>64</v>
      </c>
    </row>
    <row r="1312" spans="4:4" ht="17.649999999999999" x14ac:dyDescent="0.5">
      <c r="D1312" s="3" t="s">
        <v>125</v>
      </c>
    </row>
    <row r="1313" spans="4:4" ht="17.649999999999999" x14ac:dyDescent="0.5">
      <c r="D1313" s="3" t="s">
        <v>130</v>
      </c>
    </row>
    <row r="1314" spans="4:4" ht="17.649999999999999" x14ac:dyDescent="0.5">
      <c r="D1314" s="3" t="s">
        <v>48</v>
      </c>
    </row>
    <row r="1315" spans="4:4" ht="17.649999999999999" x14ac:dyDescent="0.5">
      <c r="D1315" s="3" t="s">
        <v>105</v>
      </c>
    </row>
    <row r="1316" spans="4:4" ht="17.649999999999999" x14ac:dyDescent="0.5">
      <c r="D1316" s="3" t="s">
        <v>83</v>
      </c>
    </row>
    <row r="1317" spans="4:4" ht="17.649999999999999" x14ac:dyDescent="0.5">
      <c r="D1317" s="3" t="s">
        <v>61</v>
      </c>
    </row>
    <row r="1318" spans="4:4" ht="17.649999999999999" x14ac:dyDescent="0.5">
      <c r="D1318" s="3" t="s">
        <v>95</v>
      </c>
    </row>
    <row r="1319" spans="4:4" ht="17.649999999999999" x14ac:dyDescent="0.5">
      <c r="D1319" s="3" t="s">
        <v>112</v>
      </c>
    </row>
    <row r="1320" spans="4:4" ht="17.649999999999999" x14ac:dyDescent="0.5">
      <c r="D1320" s="3" t="s">
        <v>43</v>
      </c>
    </row>
    <row r="1321" spans="4:4" ht="17.649999999999999" x14ac:dyDescent="0.5">
      <c r="D1321" s="3" t="s">
        <v>115</v>
      </c>
    </row>
    <row r="1322" spans="4:4" ht="17.649999999999999" x14ac:dyDescent="0.5">
      <c r="D1322" s="3" t="s">
        <v>71</v>
      </c>
    </row>
    <row r="1323" spans="4:4" ht="17.649999999999999" x14ac:dyDescent="0.5">
      <c r="D1323" s="3" t="s">
        <v>56</v>
      </c>
    </row>
    <row r="1324" spans="4:4" ht="17.649999999999999" x14ac:dyDescent="0.5">
      <c r="D1324" s="3" t="s">
        <v>59</v>
      </c>
    </row>
    <row r="1325" spans="4:4" ht="17.649999999999999" x14ac:dyDescent="0.5">
      <c r="D1325" s="3" t="s">
        <v>83</v>
      </c>
    </row>
    <row r="1326" spans="4:4" ht="17.649999999999999" x14ac:dyDescent="0.5">
      <c r="D1326" s="3" t="s">
        <v>102</v>
      </c>
    </row>
    <row r="1327" spans="4:4" ht="17.649999999999999" x14ac:dyDescent="0.5">
      <c r="D1327" s="3" t="s">
        <v>52</v>
      </c>
    </row>
    <row r="1328" spans="4:4" ht="17.649999999999999" x14ac:dyDescent="0.5">
      <c r="D1328" s="3" t="s">
        <v>68</v>
      </c>
    </row>
    <row r="1329" spans="4:4" ht="17.649999999999999" x14ac:dyDescent="0.5">
      <c r="D1329" s="3" t="s">
        <v>99</v>
      </c>
    </row>
    <row r="1330" spans="4:4" ht="17.649999999999999" x14ac:dyDescent="0.5">
      <c r="D1330" s="3" t="s">
        <v>63</v>
      </c>
    </row>
    <row r="1331" spans="4:4" ht="17.649999999999999" x14ac:dyDescent="0.5">
      <c r="D1331" s="3" t="s">
        <v>66</v>
      </c>
    </row>
    <row r="1332" spans="4:4" ht="17.649999999999999" x14ac:dyDescent="0.5">
      <c r="D1332" s="3" t="s">
        <v>99</v>
      </c>
    </row>
    <row r="1333" spans="4:4" ht="17.649999999999999" x14ac:dyDescent="0.5">
      <c r="D1333" s="3" t="s">
        <v>114</v>
      </c>
    </row>
    <row r="1334" spans="4:4" ht="17.649999999999999" x14ac:dyDescent="0.5">
      <c r="D1334" s="3" t="s">
        <v>96</v>
      </c>
    </row>
    <row r="1335" spans="4:4" ht="17.649999999999999" x14ac:dyDescent="0.5">
      <c r="D1335" s="3" t="s">
        <v>98</v>
      </c>
    </row>
    <row r="1336" spans="4:4" ht="17.649999999999999" x14ac:dyDescent="0.5">
      <c r="D1336" s="3" t="s">
        <v>67</v>
      </c>
    </row>
    <row r="1337" spans="4:4" ht="17.649999999999999" x14ac:dyDescent="0.5">
      <c r="D1337" s="3" t="s">
        <v>51</v>
      </c>
    </row>
    <row r="1338" spans="4:4" ht="17.649999999999999" x14ac:dyDescent="0.5">
      <c r="D1338" s="3" t="s">
        <v>119</v>
      </c>
    </row>
    <row r="1339" spans="4:4" ht="17.649999999999999" x14ac:dyDescent="0.5">
      <c r="D1339" s="3" t="s">
        <v>56</v>
      </c>
    </row>
    <row r="1340" spans="4:4" ht="17.649999999999999" x14ac:dyDescent="0.5">
      <c r="D1340" s="3" t="s">
        <v>79</v>
      </c>
    </row>
    <row r="1341" spans="4:4" ht="17.649999999999999" x14ac:dyDescent="0.5">
      <c r="D1341" s="3" t="s">
        <v>43</v>
      </c>
    </row>
    <row r="1342" spans="4:4" ht="17.649999999999999" x14ac:dyDescent="0.5">
      <c r="D1342" s="3" t="s">
        <v>46</v>
      </c>
    </row>
    <row r="1343" spans="4:4" ht="17.649999999999999" x14ac:dyDescent="0.5">
      <c r="D1343" s="3" t="s">
        <v>58</v>
      </c>
    </row>
    <row r="1344" spans="4:4" ht="17.649999999999999" x14ac:dyDescent="0.5">
      <c r="D1344" s="3" t="s">
        <v>105</v>
      </c>
    </row>
    <row r="1345" spans="4:4" ht="17.649999999999999" x14ac:dyDescent="0.5">
      <c r="D1345" s="3" t="s">
        <v>53</v>
      </c>
    </row>
    <row r="1346" spans="4:4" ht="17.649999999999999" x14ac:dyDescent="0.5">
      <c r="D1346" s="3" t="s">
        <v>49</v>
      </c>
    </row>
    <row r="1347" spans="4:4" ht="17.649999999999999" x14ac:dyDescent="0.5">
      <c r="D1347" s="3" t="s">
        <v>41</v>
      </c>
    </row>
    <row r="1348" spans="4:4" ht="17.649999999999999" x14ac:dyDescent="0.5">
      <c r="D1348" s="3" t="s">
        <v>83</v>
      </c>
    </row>
    <row r="1349" spans="4:4" ht="17.649999999999999" x14ac:dyDescent="0.5">
      <c r="D1349" s="3" t="s">
        <v>64</v>
      </c>
    </row>
    <row r="1350" spans="4:4" ht="17.649999999999999" x14ac:dyDescent="0.5">
      <c r="D1350" s="3" t="s">
        <v>97</v>
      </c>
    </row>
    <row r="1351" spans="4:4" ht="17.649999999999999" x14ac:dyDescent="0.5">
      <c r="D1351" s="3" t="s">
        <v>115</v>
      </c>
    </row>
    <row r="1352" spans="4:4" ht="17.649999999999999" x14ac:dyDescent="0.5">
      <c r="D1352" s="3" t="s">
        <v>64</v>
      </c>
    </row>
    <row r="1353" spans="4:4" ht="17.649999999999999" x14ac:dyDescent="0.5">
      <c r="D1353" s="3" t="s">
        <v>47</v>
      </c>
    </row>
    <row r="1354" spans="4:4" ht="17.649999999999999" x14ac:dyDescent="0.5">
      <c r="D1354" s="3" t="s">
        <v>115</v>
      </c>
    </row>
    <row r="1355" spans="4:4" ht="17.649999999999999" x14ac:dyDescent="0.5">
      <c r="D1355" s="3" t="s">
        <v>41</v>
      </c>
    </row>
    <row r="1356" spans="4:4" ht="17.649999999999999" x14ac:dyDescent="0.5">
      <c r="D1356" s="3" t="s">
        <v>78</v>
      </c>
    </row>
    <row r="1357" spans="4:4" ht="17.649999999999999" x14ac:dyDescent="0.5">
      <c r="D1357" s="3" t="s">
        <v>71</v>
      </c>
    </row>
    <row r="1358" spans="4:4" ht="17.649999999999999" x14ac:dyDescent="0.5">
      <c r="D1358" s="3" t="s">
        <v>74</v>
      </c>
    </row>
    <row r="1359" spans="4:4" ht="17.649999999999999" x14ac:dyDescent="0.5">
      <c r="D1359" s="3" t="s">
        <v>81</v>
      </c>
    </row>
    <row r="1360" spans="4:4" ht="17.649999999999999" x14ac:dyDescent="0.5">
      <c r="D1360" s="3" t="s">
        <v>48</v>
      </c>
    </row>
    <row r="1361" spans="4:4" ht="17.649999999999999" x14ac:dyDescent="0.5">
      <c r="D1361" s="3" t="s">
        <v>112</v>
      </c>
    </row>
    <row r="1362" spans="4:4" ht="17.649999999999999" x14ac:dyDescent="0.5">
      <c r="D1362" s="3" t="s">
        <v>50</v>
      </c>
    </row>
    <row r="1363" spans="4:4" ht="17.649999999999999" x14ac:dyDescent="0.5">
      <c r="D1363" s="3" t="s">
        <v>54</v>
      </c>
    </row>
    <row r="1364" spans="4:4" ht="17.649999999999999" x14ac:dyDescent="0.5">
      <c r="D1364" s="3" t="s">
        <v>93</v>
      </c>
    </row>
    <row r="1365" spans="4:4" ht="17.649999999999999" x14ac:dyDescent="0.5">
      <c r="D1365" s="3" t="s">
        <v>88</v>
      </c>
    </row>
    <row r="1366" spans="4:4" ht="17.649999999999999" x14ac:dyDescent="0.5">
      <c r="D1366" s="3" t="s">
        <v>85</v>
      </c>
    </row>
    <row r="1367" spans="4:4" ht="17.649999999999999" x14ac:dyDescent="0.5">
      <c r="D1367" s="3" t="s">
        <v>55</v>
      </c>
    </row>
    <row r="1368" spans="4:4" ht="17.649999999999999" x14ac:dyDescent="0.5">
      <c r="D1368" s="3" t="s">
        <v>85</v>
      </c>
    </row>
    <row r="1369" spans="4:4" ht="17.649999999999999" x14ac:dyDescent="0.5">
      <c r="D1369" s="3" t="s">
        <v>48</v>
      </c>
    </row>
    <row r="1370" spans="4:4" ht="17.649999999999999" x14ac:dyDescent="0.5">
      <c r="D1370" s="3" t="s">
        <v>74</v>
      </c>
    </row>
    <row r="1371" spans="4:4" ht="17.649999999999999" x14ac:dyDescent="0.5">
      <c r="D1371" s="3" t="s">
        <v>48</v>
      </c>
    </row>
    <row r="1372" spans="4:4" ht="17.649999999999999" x14ac:dyDescent="0.5">
      <c r="D1372" s="3" t="s">
        <v>117</v>
      </c>
    </row>
    <row r="1373" spans="4:4" ht="17.649999999999999" x14ac:dyDescent="0.5">
      <c r="D1373" s="3" t="s">
        <v>115</v>
      </c>
    </row>
    <row r="1374" spans="4:4" ht="17.649999999999999" x14ac:dyDescent="0.5">
      <c r="D1374" s="3" t="s">
        <v>59</v>
      </c>
    </row>
    <row r="1375" spans="4:4" ht="17.649999999999999" x14ac:dyDescent="0.5">
      <c r="D1375" s="3" t="s">
        <v>103</v>
      </c>
    </row>
    <row r="1376" spans="4:4" ht="17.649999999999999" x14ac:dyDescent="0.5">
      <c r="D1376" s="3" t="s">
        <v>52</v>
      </c>
    </row>
    <row r="1377" spans="4:4" ht="17.649999999999999" x14ac:dyDescent="0.5">
      <c r="D1377" s="3" t="s">
        <v>61</v>
      </c>
    </row>
    <row r="1378" spans="4:4" ht="17.649999999999999" x14ac:dyDescent="0.5">
      <c r="D1378" s="3" t="s">
        <v>50</v>
      </c>
    </row>
    <row r="1379" spans="4:4" ht="17.649999999999999" x14ac:dyDescent="0.5">
      <c r="D1379" s="3" t="s">
        <v>85</v>
      </c>
    </row>
    <row r="1380" spans="4:4" ht="17.649999999999999" x14ac:dyDescent="0.5">
      <c r="D1380" s="3" t="s">
        <v>96</v>
      </c>
    </row>
    <row r="1381" spans="4:4" ht="17.649999999999999" x14ac:dyDescent="0.5">
      <c r="D1381" s="3" t="s">
        <v>81</v>
      </c>
    </row>
    <row r="1382" spans="4:4" ht="17.649999999999999" x14ac:dyDescent="0.5">
      <c r="D1382" s="3" t="s">
        <v>47</v>
      </c>
    </row>
    <row r="1383" spans="4:4" ht="17.649999999999999" x14ac:dyDescent="0.5">
      <c r="D1383" s="3" t="s">
        <v>44</v>
      </c>
    </row>
    <row r="1384" spans="4:4" ht="17.649999999999999" x14ac:dyDescent="0.5">
      <c r="D1384" s="3" t="s">
        <v>91</v>
      </c>
    </row>
    <row r="1385" spans="4:4" ht="17.649999999999999" x14ac:dyDescent="0.5">
      <c r="D1385" s="3" t="s">
        <v>48</v>
      </c>
    </row>
    <row r="1386" spans="4:4" ht="17.649999999999999" x14ac:dyDescent="0.5">
      <c r="D1386" s="3" t="s">
        <v>68</v>
      </c>
    </row>
    <row r="1387" spans="4:4" ht="17.649999999999999" x14ac:dyDescent="0.5">
      <c r="D1387" s="3" t="s">
        <v>127</v>
      </c>
    </row>
    <row r="1388" spans="4:4" ht="17.649999999999999" x14ac:dyDescent="0.5">
      <c r="D1388" s="3" t="s">
        <v>63</v>
      </c>
    </row>
    <row r="1389" spans="4:4" ht="17.649999999999999" x14ac:dyDescent="0.5">
      <c r="D1389" s="3" t="s">
        <v>87</v>
      </c>
    </row>
    <row r="1390" spans="4:4" ht="17.649999999999999" x14ac:dyDescent="0.5">
      <c r="D1390" s="3" t="s">
        <v>91</v>
      </c>
    </row>
    <row r="1391" spans="4:4" ht="17.649999999999999" x14ac:dyDescent="0.5">
      <c r="D1391" s="3" t="s">
        <v>46</v>
      </c>
    </row>
    <row r="1392" spans="4:4" ht="17.649999999999999" x14ac:dyDescent="0.5">
      <c r="D1392" s="3" t="s">
        <v>83</v>
      </c>
    </row>
    <row r="1393" spans="4:4" ht="17.649999999999999" x14ac:dyDescent="0.5">
      <c r="D1393" s="3" t="s">
        <v>107</v>
      </c>
    </row>
    <row r="1394" spans="4:4" ht="17.649999999999999" x14ac:dyDescent="0.5">
      <c r="D1394" s="3" t="s">
        <v>43</v>
      </c>
    </row>
    <row r="1395" spans="4:4" ht="17.649999999999999" x14ac:dyDescent="0.5">
      <c r="D1395" s="3" t="s">
        <v>67</v>
      </c>
    </row>
    <row r="1396" spans="4:4" ht="17.649999999999999" x14ac:dyDescent="0.5">
      <c r="D1396" s="3" t="s">
        <v>80</v>
      </c>
    </row>
    <row r="1397" spans="4:4" ht="17.649999999999999" x14ac:dyDescent="0.5">
      <c r="D1397" s="3" t="s">
        <v>67</v>
      </c>
    </row>
    <row r="1398" spans="4:4" ht="17.649999999999999" x14ac:dyDescent="0.5">
      <c r="D1398" s="3" t="s">
        <v>53</v>
      </c>
    </row>
    <row r="1399" spans="4:4" ht="17.649999999999999" x14ac:dyDescent="0.5">
      <c r="D1399" s="3" t="s">
        <v>85</v>
      </c>
    </row>
    <row r="1400" spans="4:4" ht="17.649999999999999" x14ac:dyDescent="0.5">
      <c r="D1400" s="3" t="s">
        <v>78</v>
      </c>
    </row>
    <row r="1401" spans="4:4" ht="17.649999999999999" x14ac:dyDescent="0.5">
      <c r="D1401" s="3" t="s">
        <v>126</v>
      </c>
    </row>
    <row r="1402" spans="4:4" ht="17.649999999999999" x14ac:dyDescent="0.5">
      <c r="D1402" s="3" t="s">
        <v>108</v>
      </c>
    </row>
    <row r="1403" spans="4:4" ht="17.649999999999999" x14ac:dyDescent="0.5">
      <c r="D1403" s="3" t="s">
        <v>43</v>
      </c>
    </row>
    <row r="1404" spans="4:4" ht="17.649999999999999" x14ac:dyDescent="0.5">
      <c r="D1404" s="3" t="s">
        <v>52</v>
      </c>
    </row>
    <row r="1405" spans="4:4" ht="17.649999999999999" x14ac:dyDescent="0.5">
      <c r="D1405" s="3" t="s">
        <v>50</v>
      </c>
    </row>
    <row r="1406" spans="4:4" ht="17.649999999999999" x14ac:dyDescent="0.5">
      <c r="D1406" s="3" t="s">
        <v>122</v>
      </c>
    </row>
    <row r="1407" spans="4:4" ht="17.649999999999999" x14ac:dyDescent="0.5">
      <c r="D1407" s="3" t="s">
        <v>120</v>
      </c>
    </row>
    <row r="1408" spans="4:4" ht="17.649999999999999" x14ac:dyDescent="0.5">
      <c r="D1408" s="3" t="s">
        <v>44</v>
      </c>
    </row>
    <row r="1409" spans="4:4" ht="17.649999999999999" x14ac:dyDescent="0.5">
      <c r="D1409" s="3" t="s">
        <v>69</v>
      </c>
    </row>
    <row r="1410" spans="4:4" ht="17.649999999999999" x14ac:dyDescent="0.5">
      <c r="D1410" s="3" t="s">
        <v>53</v>
      </c>
    </row>
    <row r="1411" spans="4:4" ht="17.649999999999999" x14ac:dyDescent="0.5">
      <c r="D1411" s="3" t="s">
        <v>45</v>
      </c>
    </row>
    <row r="1412" spans="4:4" ht="17.649999999999999" x14ac:dyDescent="0.5">
      <c r="D1412" s="3" t="s">
        <v>64</v>
      </c>
    </row>
    <row r="1413" spans="4:4" ht="17.649999999999999" x14ac:dyDescent="0.5">
      <c r="D1413" s="3" t="s">
        <v>73</v>
      </c>
    </row>
    <row r="1414" spans="4:4" ht="17.649999999999999" x14ac:dyDescent="0.5">
      <c r="D1414" s="3" t="s">
        <v>57</v>
      </c>
    </row>
    <row r="1415" spans="4:4" ht="17.649999999999999" x14ac:dyDescent="0.5">
      <c r="D1415" s="3" t="s">
        <v>101</v>
      </c>
    </row>
    <row r="1416" spans="4:4" ht="17.649999999999999" x14ac:dyDescent="0.5">
      <c r="D1416" s="3" t="s">
        <v>66</v>
      </c>
    </row>
    <row r="1417" spans="4:4" ht="17.649999999999999" x14ac:dyDescent="0.5">
      <c r="D1417" s="3" t="s">
        <v>51</v>
      </c>
    </row>
    <row r="1418" spans="4:4" ht="17.649999999999999" x14ac:dyDescent="0.5">
      <c r="D1418" s="3" t="s">
        <v>47</v>
      </c>
    </row>
    <row r="1419" spans="4:4" ht="17.649999999999999" x14ac:dyDescent="0.5">
      <c r="D1419" s="3" t="s">
        <v>55</v>
      </c>
    </row>
    <row r="1420" spans="4:4" ht="17.649999999999999" x14ac:dyDescent="0.5">
      <c r="D1420" s="3" t="s">
        <v>136</v>
      </c>
    </row>
    <row r="1421" spans="4:4" ht="17.649999999999999" x14ac:dyDescent="0.5">
      <c r="D1421" s="3" t="s">
        <v>112</v>
      </c>
    </row>
    <row r="1422" spans="4:4" ht="17.649999999999999" x14ac:dyDescent="0.5">
      <c r="D1422" s="3" t="s">
        <v>65</v>
      </c>
    </row>
    <row r="1423" spans="4:4" ht="17.649999999999999" x14ac:dyDescent="0.5">
      <c r="D1423" s="3" t="s">
        <v>64</v>
      </c>
    </row>
    <row r="1424" spans="4:4" ht="17.649999999999999" x14ac:dyDescent="0.5">
      <c r="D1424" s="3" t="s">
        <v>49</v>
      </c>
    </row>
    <row r="1425" spans="4:4" ht="17.649999999999999" x14ac:dyDescent="0.5">
      <c r="D1425" s="3" t="s">
        <v>52</v>
      </c>
    </row>
    <row r="1426" spans="4:4" ht="17.649999999999999" x14ac:dyDescent="0.5">
      <c r="D1426" s="3" t="s">
        <v>101</v>
      </c>
    </row>
    <row r="1427" spans="4:4" ht="17.649999999999999" x14ac:dyDescent="0.5">
      <c r="D1427" s="3" t="s">
        <v>132</v>
      </c>
    </row>
    <row r="1428" spans="4:4" ht="17.649999999999999" x14ac:dyDescent="0.5">
      <c r="D1428" s="3" t="s">
        <v>46</v>
      </c>
    </row>
    <row r="1429" spans="4:4" ht="17.649999999999999" x14ac:dyDescent="0.5">
      <c r="D1429" s="3" t="s">
        <v>85</v>
      </c>
    </row>
    <row r="1430" spans="4:4" ht="17.649999999999999" x14ac:dyDescent="0.5">
      <c r="D1430" s="3" t="s">
        <v>83</v>
      </c>
    </row>
    <row r="1431" spans="4:4" ht="17.649999999999999" x14ac:dyDescent="0.5">
      <c r="D1431" s="3" t="s">
        <v>59</v>
      </c>
    </row>
    <row r="1432" spans="4:4" ht="17.649999999999999" x14ac:dyDescent="0.5">
      <c r="D1432" s="3" t="s">
        <v>61</v>
      </c>
    </row>
    <row r="1433" spans="4:4" ht="17.649999999999999" x14ac:dyDescent="0.5">
      <c r="D1433" s="3" t="s">
        <v>43</v>
      </c>
    </row>
    <row r="1434" spans="4:4" ht="17.649999999999999" x14ac:dyDescent="0.5">
      <c r="D1434" s="3" t="s">
        <v>49</v>
      </c>
    </row>
    <row r="1435" spans="4:4" ht="17.649999999999999" x14ac:dyDescent="0.5">
      <c r="D1435" s="3" t="s">
        <v>60</v>
      </c>
    </row>
    <row r="1436" spans="4:4" ht="17.649999999999999" x14ac:dyDescent="0.5">
      <c r="D1436" s="3" t="s">
        <v>52</v>
      </c>
    </row>
    <row r="1437" spans="4:4" ht="17.649999999999999" x14ac:dyDescent="0.5">
      <c r="D1437" s="3" t="s">
        <v>68</v>
      </c>
    </row>
    <row r="1438" spans="4:4" ht="17.649999999999999" x14ac:dyDescent="0.5">
      <c r="D1438" s="3" t="s">
        <v>56</v>
      </c>
    </row>
    <row r="1439" spans="4:4" ht="17.649999999999999" x14ac:dyDescent="0.5">
      <c r="D1439" s="3" t="s">
        <v>50</v>
      </c>
    </row>
    <row r="1440" spans="4:4" ht="17.649999999999999" x14ac:dyDescent="0.5">
      <c r="D1440" s="3" t="s">
        <v>78</v>
      </c>
    </row>
    <row r="1441" spans="4:4" ht="17.649999999999999" x14ac:dyDescent="0.5">
      <c r="D1441" s="3" t="s">
        <v>81</v>
      </c>
    </row>
    <row r="1442" spans="4:4" ht="17.649999999999999" x14ac:dyDescent="0.5">
      <c r="D1442" s="3" t="s">
        <v>51</v>
      </c>
    </row>
    <row r="1443" spans="4:4" ht="17.649999999999999" x14ac:dyDescent="0.5">
      <c r="D1443" s="3" t="s">
        <v>80</v>
      </c>
    </row>
    <row r="1444" spans="4:4" ht="17.649999999999999" x14ac:dyDescent="0.5">
      <c r="D1444" s="3" t="s">
        <v>78</v>
      </c>
    </row>
    <row r="1445" spans="4:4" ht="17.649999999999999" x14ac:dyDescent="0.5">
      <c r="D1445" s="3" t="s">
        <v>124</v>
      </c>
    </row>
    <row r="1446" spans="4:4" ht="17.649999999999999" x14ac:dyDescent="0.5">
      <c r="D1446" s="3" t="s">
        <v>107</v>
      </c>
    </row>
    <row r="1447" spans="4:4" ht="17.649999999999999" x14ac:dyDescent="0.5">
      <c r="D1447" s="3" t="s">
        <v>51</v>
      </c>
    </row>
    <row r="1448" spans="4:4" ht="17.649999999999999" x14ac:dyDescent="0.5">
      <c r="D1448" s="3" t="s">
        <v>94</v>
      </c>
    </row>
    <row r="1449" spans="4:4" ht="17.649999999999999" x14ac:dyDescent="0.5">
      <c r="D1449" s="3" t="s">
        <v>117</v>
      </c>
    </row>
    <row r="1450" spans="4:4" ht="17.649999999999999" x14ac:dyDescent="0.5">
      <c r="D1450" s="3" t="s">
        <v>64</v>
      </c>
    </row>
    <row r="1451" spans="4:4" ht="17.649999999999999" x14ac:dyDescent="0.5">
      <c r="D1451" s="3" t="s">
        <v>42</v>
      </c>
    </row>
    <row r="1452" spans="4:4" ht="17.649999999999999" x14ac:dyDescent="0.5">
      <c r="D1452" s="3" t="s">
        <v>48</v>
      </c>
    </row>
    <row r="1453" spans="4:4" ht="17.649999999999999" x14ac:dyDescent="0.5">
      <c r="D1453" s="3" t="s">
        <v>57</v>
      </c>
    </row>
    <row r="1454" spans="4:4" ht="17.649999999999999" x14ac:dyDescent="0.5">
      <c r="D1454" s="3" t="s">
        <v>101</v>
      </c>
    </row>
    <row r="1455" spans="4:4" ht="17.649999999999999" x14ac:dyDescent="0.5">
      <c r="D1455" s="3" t="s">
        <v>64</v>
      </c>
    </row>
    <row r="1456" spans="4:4" ht="17.649999999999999" x14ac:dyDescent="0.5">
      <c r="D1456" s="3" t="s">
        <v>42</v>
      </c>
    </row>
    <row r="1457" spans="4:4" ht="17.649999999999999" x14ac:dyDescent="0.5">
      <c r="D1457" s="3" t="s">
        <v>69</v>
      </c>
    </row>
    <row r="1458" spans="4:4" ht="17.649999999999999" x14ac:dyDescent="0.5">
      <c r="D1458" s="3" t="s">
        <v>132</v>
      </c>
    </row>
    <row r="1459" spans="4:4" ht="17.649999999999999" x14ac:dyDescent="0.5">
      <c r="D1459" s="3" t="s">
        <v>92</v>
      </c>
    </row>
    <row r="1460" spans="4:4" ht="17.649999999999999" x14ac:dyDescent="0.5">
      <c r="D1460" s="3" t="s">
        <v>50</v>
      </c>
    </row>
    <row r="1461" spans="4:4" ht="17.649999999999999" x14ac:dyDescent="0.5">
      <c r="D1461" s="3" t="s">
        <v>84</v>
      </c>
    </row>
    <row r="1462" spans="4:4" ht="17.649999999999999" x14ac:dyDescent="0.5">
      <c r="D1462" s="3" t="s">
        <v>115</v>
      </c>
    </row>
    <row r="1463" spans="4:4" ht="17.649999999999999" x14ac:dyDescent="0.5">
      <c r="D1463" s="3" t="s">
        <v>129</v>
      </c>
    </row>
    <row r="1464" spans="4:4" ht="17.649999999999999" x14ac:dyDescent="0.5">
      <c r="D1464" s="3" t="s">
        <v>91</v>
      </c>
    </row>
    <row r="1465" spans="4:4" ht="17.649999999999999" x14ac:dyDescent="0.5">
      <c r="D1465" s="3" t="s">
        <v>96</v>
      </c>
    </row>
    <row r="1466" spans="4:4" ht="17.649999999999999" x14ac:dyDescent="0.5">
      <c r="D1466" s="3" t="s">
        <v>66</v>
      </c>
    </row>
    <row r="1467" spans="4:4" ht="17.649999999999999" x14ac:dyDescent="0.5">
      <c r="D1467" s="3" t="s">
        <v>78</v>
      </c>
    </row>
    <row r="1468" spans="4:4" ht="17.649999999999999" x14ac:dyDescent="0.5">
      <c r="D1468" s="3" t="s">
        <v>66</v>
      </c>
    </row>
    <row r="1469" spans="4:4" ht="17.649999999999999" x14ac:dyDescent="0.5">
      <c r="D1469" s="3" t="s">
        <v>87</v>
      </c>
    </row>
    <row r="1470" spans="4:4" ht="17.649999999999999" x14ac:dyDescent="0.5">
      <c r="D1470" s="3" t="s">
        <v>92</v>
      </c>
    </row>
    <row r="1471" spans="4:4" ht="17.649999999999999" x14ac:dyDescent="0.5">
      <c r="D1471" s="3" t="s">
        <v>68</v>
      </c>
    </row>
    <row r="1472" spans="4:4" ht="17.649999999999999" x14ac:dyDescent="0.5">
      <c r="D1472" s="3" t="s">
        <v>64</v>
      </c>
    </row>
    <row r="1473" spans="4:4" ht="17.649999999999999" x14ac:dyDescent="0.5">
      <c r="D1473" s="3" t="s">
        <v>82</v>
      </c>
    </row>
    <row r="1474" spans="4:4" ht="17.649999999999999" x14ac:dyDescent="0.5">
      <c r="D1474" s="3" t="s">
        <v>52</v>
      </c>
    </row>
    <row r="1475" spans="4:4" ht="17.649999999999999" x14ac:dyDescent="0.5">
      <c r="D1475" s="3" t="s">
        <v>96</v>
      </c>
    </row>
    <row r="1476" spans="4:4" ht="17.649999999999999" x14ac:dyDescent="0.5">
      <c r="D1476" s="3" t="s">
        <v>117</v>
      </c>
    </row>
    <row r="1477" spans="4:4" ht="17.649999999999999" x14ac:dyDescent="0.5">
      <c r="D1477" s="3" t="s">
        <v>84</v>
      </c>
    </row>
    <row r="1478" spans="4:4" ht="17.649999999999999" x14ac:dyDescent="0.5">
      <c r="D1478" s="3" t="s">
        <v>57</v>
      </c>
    </row>
    <row r="1479" spans="4:4" ht="17.649999999999999" x14ac:dyDescent="0.5">
      <c r="D1479" s="3" t="s">
        <v>103</v>
      </c>
    </row>
    <row r="1480" spans="4:4" ht="17.649999999999999" x14ac:dyDescent="0.5">
      <c r="D1480" s="3" t="s">
        <v>106</v>
      </c>
    </row>
    <row r="1481" spans="4:4" ht="17.649999999999999" x14ac:dyDescent="0.5">
      <c r="D1481" s="3" t="s">
        <v>117</v>
      </c>
    </row>
    <row r="1482" spans="4:4" ht="17.649999999999999" x14ac:dyDescent="0.5">
      <c r="D1482" s="3" t="s">
        <v>96</v>
      </c>
    </row>
    <row r="1483" spans="4:4" ht="17.649999999999999" x14ac:dyDescent="0.5">
      <c r="D1483" s="3" t="s">
        <v>98</v>
      </c>
    </row>
    <row r="1484" spans="4:4" ht="17.649999999999999" x14ac:dyDescent="0.5">
      <c r="D1484" s="3" t="s">
        <v>55</v>
      </c>
    </row>
    <row r="1485" spans="4:4" ht="17.649999999999999" x14ac:dyDescent="0.5">
      <c r="D1485" s="3" t="s">
        <v>67</v>
      </c>
    </row>
    <row r="1486" spans="4:4" ht="17.649999999999999" x14ac:dyDescent="0.5">
      <c r="D1486" s="3" t="s">
        <v>64</v>
      </c>
    </row>
    <row r="1487" spans="4:4" ht="17.649999999999999" x14ac:dyDescent="0.5">
      <c r="D1487" s="3" t="s">
        <v>95</v>
      </c>
    </row>
    <row r="1488" spans="4:4" ht="17.649999999999999" x14ac:dyDescent="0.5">
      <c r="D1488" s="3" t="s">
        <v>92</v>
      </c>
    </row>
    <row r="1489" spans="4:4" ht="17.649999999999999" x14ac:dyDescent="0.5">
      <c r="D1489" s="3" t="s">
        <v>111</v>
      </c>
    </row>
    <row r="1490" spans="4:4" ht="17.649999999999999" x14ac:dyDescent="0.5">
      <c r="D1490" s="3" t="s">
        <v>65</v>
      </c>
    </row>
    <row r="1491" spans="4:4" ht="17.649999999999999" x14ac:dyDescent="0.5">
      <c r="D1491" s="3" t="s">
        <v>103</v>
      </c>
    </row>
    <row r="1492" spans="4:4" ht="17.649999999999999" x14ac:dyDescent="0.5">
      <c r="D1492" s="3" t="s">
        <v>112</v>
      </c>
    </row>
    <row r="1493" spans="4:4" ht="17.649999999999999" x14ac:dyDescent="0.5">
      <c r="D1493" s="3" t="s">
        <v>80</v>
      </c>
    </row>
    <row r="1494" spans="4:4" ht="17.649999999999999" x14ac:dyDescent="0.5">
      <c r="D1494" s="3" t="s">
        <v>54</v>
      </c>
    </row>
    <row r="1495" spans="4:4" ht="17.649999999999999" x14ac:dyDescent="0.5">
      <c r="D1495" s="3" t="s">
        <v>94</v>
      </c>
    </row>
    <row r="1496" spans="4:4" ht="17.649999999999999" x14ac:dyDescent="0.5">
      <c r="D1496" s="3" t="s">
        <v>103</v>
      </c>
    </row>
    <row r="1497" spans="4:4" ht="17.649999999999999" x14ac:dyDescent="0.5">
      <c r="D1497" s="3" t="s">
        <v>108</v>
      </c>
    </row>
    <row r="1498" spans="4:4" ht="17.649999999999999" x14ac:dyDescent="0.5">
      <c r="D1498" s="3" t="s">
        <v>59</v>
      </c>
    </row>
    <row r="1499" spans="4:4" ht="17.649999999999999" x14ac:dyDescent="0.5">
      <c r="D1499" s="3" t="s">
        <v>67</v>
      </c>
    </row>
    <row r="1500" spans="4:4" ht="17.649999999999999" x14ac:dyDescent="0.5">
      <c r="D1500" s="3" t="s">
        <v>66</v>
      </c>
    </row>
    <row r="1501" spans="4:4" ht="17.649999999999999" x14ac:dyDescent="0.5">
      <c r="D1501" s="3" t="s">
        <v>77</v>
      </c>
    </row>
    <row r="1502" spans="4:4" ht="17.649999999999999" x14ac:dyDescent="0.5">
      <c r="D1502" s="3" t="s">
        <v>102</v>
      </c>
    </row>
    <row r="1503" spans="4:4" ht="17.649999999999999" x14ac:dyDescent="0.5">
      <c r="D1503" s="3" t="s">
        <v>46</v>
      </c>
    </row>
    <row r="1504" spans="4:4" ht="17.649999999999999" x14ac:dyDescent="0.5">
      <c r="D1504" s="3" t="s">
        <v>65</v>
      </c>
    </row>
    <row r="1505" spans="4:4" ht="17.649999999999999" x14ac:dyDescent="0.5">
      <c r="D1505" s="3" t="s">
        <v>81</v>
      </c>
    </row>
    <row r="1506" spans="4:4" ht="17.649999999999999" x14ac:dyDescent="0.5">
      <c r="D1506" s="3" t="s">
        <v>55</v>
      </c>
    </row>
    <row r="1507" spans="4:4" ht="17.649999999999999" x14ac:dyDescent="0.5">
      <c r="D1507" s="3" t="s">
        <v>45</v>
      </c>
    </row>
    <row r="1508" spans="4:4" ht="17.649999999999999" x14ac:dyDescent="0.5">
      <c r="D1508" s="3" t="s">
        <v>92</v>
      </c>
    </row>
    <row r="1509" spans="4:4" ht="17.649999999999999" x14ac:dyDescent="0.5">
      <c r="D1509" s="3" t="s">
        <v>105</v>
      </c>
    </row>
    <row r="1510" spans="4:4" ht="17.649999999999999" x14ac:dyDescent="0.5">
      <c r="D1510" s="3" t="s">
        <v>63</v>
      </c>
    </row>
    <row r="1511" spans="4:4" ht="17.649999999999999" x14ac:dyDescent="0.5">
      <c r="D1511" s="3" t="s">
        <v>125</v>
      </c>
    </row>
    <row r="1512" spans="4:4" ht="17.649999999999999" x14ac:dyDescent="0.5">
      <c r="D1512" s="3" t="s">
        <v>92</v>
      </c>
    </row>
    <row r="1513" spans="4:4" ht="17.649999999999999" x14ac:dyDescent="0.5">
      <c r="D1513" s="3" t="s">
        <v>69</v>
      </c>
    </row>
    <row r="1514" spans="4:4" ht="17.649999999999999" x14ac:dyDescent="0.5">
      <c r="D1514" s="3" t="s">
        <v>84</v>
      </c>
    </row>
    <row r="1515" spans="4:4" ht="17.649999999999999" x14ac:dyDescent="0.5">
      <c r="D1515" s="3" t="s">
        <v>67</v>
      </c>
    </row>
    <row r="1516" spans="4:4" ht="17.649999999999999" x14ac:dyDescent="0.5">
      <c r="D1516" s="3" t="s">
        <v>98</v>
      </c>
    </row>
    <row r="1517" spans="4:4" ht="17.649999999999999" x14ac:dyDescent="0.5">
      <c r="D1517" s="3" t="s">
        <v>135</v>
      </c>
    </row>
    <row r="1518" spans="4:4" ht="17.649999999999999" x14ac:dyDescent="0.5">
      <c r="D1518" s="3" t="s">
        <v>80</v>
      </c>
    </row>
    <row r="1519" spans="4:4" ht="17.649999999999999" x14ac:dyDescent="0.5">
      <c r="D1519" s="3" t="s">
        <v>55</v>
      </c>
    </row>
    <row r="1520" spans="4:4" ht="17.649999999999999" x14ac:dyDescent="0.5">
      <c r="D1520" s="3" t="s">
        <v>84</v>
      </c>
    </row>
    <row r="1521" spans="4:4" ht="17.649999999999999" x14ac:dyDescent="0.5">
      <c r="D1521" s="3" t="s">
        <v>122</v>
      </c>
    </row>
    <row r="1522" spans="4:4" ht="17.649999999999999" x14ac:dyDescent="0.5">
      <c r="D1522" s="3" t="s">
        <v>74</v>
      </c>
    </row>
    <row r="1523" spans="4:4" ht="17.649999999999999" x14ac:dyDescent="0.5">
      <c r="D1523" s="3" t="s">
        <v>109</v>
      </c>
    </row>
    <row r="1524" spans="4:4" ht="17.649999999999999" x14ac:dyDescent="0.5">
      <c r="D1524" s="3" t="s">
        <v>47</v>
      </c>
    </row>
    <row r="1525" spans="4:4" ht="17.649999999999999" x14ac:dyDescent="0.5">
      <c r="D1525" s="3" t="s">
        <v>49</v>
      </c>
    </row>
    <row r="1526" spans="4:4" ht="17.649999999999999" x14ac:dyDescent="0.5">
      <c r="D1526" s="3" t="s">
        <v>121</v>
      </c>
    </row>
    <row r="1527" spans="4:4" ht="17.649999999999999" x14ac:dyDescent="0.5">
      <c r="D1527" s="3" t="s">
        <v>55</v>
      </c>
    </row>
    <row r="1528" spans="4:4" ht="17.649999999999999" x14ac:dyDescent="0.5">
      <c r="D1528" s="3" t="s">
        <v>117</v>
      </c>
    </row>
    <row r="1529" spans="4:4" ht="17.649999999999999" x14ac:dyDescent="0.5">
      <c r="D1529" s="3" t="s">
        <v>77</v>
      </c>
    </row>
    <row r="1530" spans="4:4" ht="17.649999999999999" x14ac:dyDescent="0.5">
      <c r="D1530" s="3" t="s">
        <v>101</v>
      </c>
    </row>
    <row r="1531" spans="4:4" ht="17.649999999999999" x14ac:dyDescent="0.5">
      <c r="D1531" s="3" t="s">
        <v>42</v>
      </c>
    </row>
    <row r="1532" spans="4:4" ht="17.649999999999999" x14ac:dyDescent="0.5">
      <c r="D1532" s="3" t="s">
        <v>113</v>
      </c>
    </row>
    <row r="1533" spans="4:4" ht="17.649999999999999" x14ac:dyDescent="0.5">
      <c r="D1533" s="3" t="s">
        <v>62</v>
      </c>
    </row>
    <row r="1534" spans="4:4" ht="17.649999999999999" x14ac:dyDescent="0.5">
      <c r="D1534" s="3" t="s">
        <v>59</v>
      </c>
    </row>
    <row r="1535" spans="4:4" ht="17.649999999999999" x14ac:dyDescent="0.5">
      <c r="D1535" s="3" t="s">
        <v>116</v>
      </c>
    </row>
    <row r="1536" spans="4:4" ht="17.649999999999999" x14ac:dyDescent="0.5">
      <c r="D1536" s="3" t="s">
        <v>52</v>
      </c>
    </row>
    <row r="1537" spans="4:4" ht="17.649999999999999" x14ac:dyDescent="0.5">
      <c r="D1537" s="3" t="s">
        <v>106</v>
      </c>
    </row>
    <row r="1538" spans="4:4" ht="17.649999999999999" x14ac:dyDescent="0.5">
      <c r="D1538" s="3" t="s">
        <v>101</v>
      </c>
    </row>
    <row r="1539" spans="4:4" ht="17.649999999999999" x14ac:dyDescent="0.5">
      <c r="D1539" s="3" t="s">
        <v>47</v>
      </c>
    </row>
    <row r="1540" spans="4:4" ht="17.649999999999999" x14ac:dyDescent="0.5">
      <c r="D1540" s="3" t="s">
        <v>44</v>
      </c>
    </row>
    <row r="1541" spans="4:4" ht="17.649999999999999" x14ac:dyDescent="0.5">
      <c r="D1541" s="3" t="s">
        <v>81</v>
      </c>
    </row>
    <row r="1542" spans="4:4" ht="17.649999999999999" x14ac:dyDescent="0.5">
      <c r="D1542" s="3" t="s">
        <v>101</v>
      </c>
    </row>
    <row r="1543" spans="4:4" ht="17.649999999999999" x14ac:dyDescent="0.5">
      <c r="D1543" s="3" t="s">
        <v>124</v>
      </c>
    </row>
    <row r="1544" spans="4:4" ht="17.649999999999999" x14ac:dyDescent="0.5">
      <c r="D1544" s="3" t="s">
        <v>74</v>
      </c>
    </row>
    <row r="1545" spans="4:4" ht="17.649999999999999" x14ac:dyDescent="0.5">
      <c r="D1545" s="3" t="s">
        <v>53</v>
      </c>
    </row>
    <row r="1546" spans="4:4" ht="17.649999999999999" x14ac:dyDescent="0.5">
      <c r="D1546" s="3" t="s">
        <v>115</v>
      </c>
    </row>
    <row r="1547" spans="4:4" ht="17.649999999999999" x14ac:dyDescent="0.5">
      <c r="D1547" s="3" t="s">
        <v>95</v>
      </c>
    </row>
    <row r="1548" spans="4:4" ht="17.649999999999999" x14ac:dyDescent="0.5">
      <c r="D1548" s="3" t="s">
        <v>51</v>
      </c>
    </row>
    <row r="1549" spans="4:4" ht="17.649999999999999" x14ac:dyDescent="0.5">
      <c r="D1549" s="3" t="s">
        <v>49</v>
      </c>
    </row>
    <row r="1550" spans="4:4" ht="17.649999999999999" x14ac:dyDescent="0.5">
      <c r="D1550" s="3" t="s">
        <v>78</v>
      </c>
    </row>
    <row r="1551" spans="4:4" ht="17.649999999999999" x14ac:dyDescent="0.5">
      <c r="D1551" s="3" t="s">
        <v>98</v>
      </c>
    </row>
    <row r="1552" spans="4:4" ht="17.649999999999999" x14ac:dyDescent="0.5">
      <c r="D1552" s="3" t="s">
        <v>73</v>
      </c>
    </row>
    <row r="1553" spans="4:4" ht="17.649999999999999" x14ac:dyDescent="0.5">
      <c r="D1553" s="3" t="s">
        <v>97</v>
      </c>
    </row>
    <row r="1554" spans="4:4" ht="17.649999999999999" x14ac:dyDescent="0.5">
      <c r="D1554" s="3" t="s">
        <v>49</v>
      </c>
    </row>
    <row r="1555" spans="4:4" ht="17.649999999999999" x14ac:dyDescent="0.5">
      <c r="D1555" s="3" t="s">
        <v>101</v>
      </c>
    </row>
    <row r="1556" spans="4:4" ht="17.649999999999999" x14ac:dyDescent="0.5">
      <c r="D1556" s="3" t="s">
        <v>62</v>
      </c>
    </row>
    <row r="1557" spans="4:4" ht="17.649999999999999" x14ac:dyDescent="0.5">
      <c r="D1557" s="3" t="s">
        <v>67</v>
      </c>
    </row>
    <row r="1558" spans="4:4" ht="17.649999999999999" x14ac:dyDescent="0.5">
      <c r="D1558" s="3" t="s">
        <v>107</v>
      </c>
    </row>
    <row r="1559" spans="4:4" ht="17.649999999999999" x14ac:dyDescent="0.5">
      <c r="D1559" s="3" t="s">
        <v>82</v>
      </c>
    </row>
    <row r="1560" spans="4:4" ht="17.649999999999999" x14ac:dyDescent="0.5">
      <c r="D1560" s="3" t="s">
        <v>90</v>
      </c>
    </row>
    <row r="1561" spans="4:4" ht="17.649999999999999" x14ac:dyDescent="0.5">
      <c r="D1561" s="3" t="s">
        <v>91</v>
      </c>
    </row>
    <row r="1562" spans="4:4" ht="17.649999999999999" x14ac:dyDescent="0.5">
      <c r="D1562" s="3" t="s">
        <v>115</v>
      </c>
    </row>
    <row r="1563" spans="4:4" ht="17.649999999999999" x14ac:dyDescent="0.5">
      <c r="D1563" s="3" t="s">
        <v>84</v>
      </c>
    </row>
    <row r="1564" spans="4:4" ht="17.649999999999999" x14ac:dyDescent="0.5">
      <c r="D1564" s="3" t="s">
        <v>59</v>
      </c>
    </row>
    <row r="1565" spans="4:4" ht="17.649999999999999" x14ac:dyDescent="0.5">
      <c r="D1565" s="3" t="s">
        <v>132</v>
      </c>
    </row>
    <row r="1566" spans="4:4" ht="17.649999999999999" x14ac:dyDescent="0.5">
      <c r="D1566" s="3" t="s">
        <v>57</v>
      </c>
    </row>
    <row r="1567" spans="4:4" ht="17.649999999999999" x14ac:dyDescent="0.5">
      <c r="D1567" s="3" t="s">
        <v>112</v>
      </c>
    </row>
    <row r="1568" spans="4:4" ht="17.649999999999999" x14ac:dyDescent="0.5">
      <c r="D1568" s="3" t="s">
        <v>85</v>
      </c>
    </row>
    <row r="1569" spans="4:4" ht="17.649999999999999" x14ac:dyDescent="0.5">
      <c r="D1569" s="3" t="s">
        <v>83</v>
      </c>
    </row>
    <row r="1570" spans="4:4" ht="17.649999999999999" x14ac:dyDescent="0.5">
      <c r="D1570" s="3" t="s">
        <v>103</v>
      </c>
    </row>
    <row r="1571" spans="4:4" ht="17.649999999999999" x14ac:dyDescent="0.5">
      <c r="D1571" s="3" t="s">
        <v>48</v>
      </c>
    </row>
    <row r="1572" spans="4:4" ht="17.649999999999999" x14ac:dyDescent="0.5">
      <c r="D1572" s="3" t="s">
        <v>114</v>
      </c>
    </row>
    <row r="1573" spans="4:4" ht="17.649999999999999" x14ac:dyDescent="0.5">
      <c r="D1573" s="3" t="s">
        <v>77</v>
      </c>
    </row>
    <row r="1574" spans="4:4" ht="17.649999999999999" x14ac:dyDescent="0.5">
      <c r="D1574" s="3" t="s">
        <v>57</v>
      </c>
    </row>
    <row r="1575" spans="4:4" ht="17.649999999999999" x14ac:dyDescent="0.5">
      <c r="D1575" s="3" t="s">
        <v>74</v>
      </c>
    </row>
    <row r="1576" spans="4:4" ht="17.649999999999999" x14ac:dyDescent="0.5">
      <c r="D1576" s="3" t="s">
        <v>60</v>
      </c>
    </row>
    <row r="1577" spans="4:4" ht="17.649999999999999" x14ac:dyDescent="0.5">
      <c r="D1577" s="3" t="s">
        <v>114</v>
      </c>
    </row>
    <row r="1578" spans="4:4" ht="17.649999999999999" x14ac:dyDescent="0.5">
      <c r="D1578" s="3" t="s">
        <v>103</v>
      </c>
    </row>
    <row r="1579" spans="4:4" ht="17.649999999999999" x14ac:dyDescent="0.5">
      <c r="D1579" s="3" t="s">
        <v>101</v>
      </c>
    </row>
    <row r="1580" spans="4:4" ht="17.649999999999999" x14ac:dyDescent="0.5">
      <c r="D1580" s="3" t="s">
        <v>49</v>
      </c>
    </row>
    <row r="1581" spans="4:4" ht="17.649999999999999" x14ac:dyDescent="0.5">
      <c r="D1581" s="3" t="s">
        <v>56</v>
      </c>
    </row>
    <row r="1582" spans="4:4" ht="17.649999999999999" x14ac:dyDescent="0.5">
      <c r="D1582" s="3" t="s">
        <v>88</v>
      </c>
    </row>
    <row r="1583" spans="4:4" ht="17.649999999999999" x14ac:dyDescent="0.5">
      <c r="D1583" s="3" t="s">
        <v>80</v>
      </c>
    </row>
    <row r="1584" spans="4:4" ht="17.649999999999999" x14ac:dyDescent="0.5">
      <c r="D1584" s="3" t="s">
        <v>114</v>
      </c>
    </row>
    <row r="1585" spans="4:4" ht="17.649999999999999" x14ac:dyDescent="0.5">
      <c r="D1585" s="3" t="s">
        <v>128</v>
      </c>
    </row>
    <row r="1586" spans="4:4" ht="17.649999999999999" x14ac:dyDescent="0.5">
      <c r="D1586" s="3" t="s">
        <v>83</v>
      </c>
    </row>
    <row r="1587" spans="4:4" ht="17.649999999999999" x14ac:dyDescent="0.5">
      <c r="D1587" s="3" t="s">
        <v>81</v>
      </c>
    </row>
    <row r="1588" spans="4:4" ht="17.649999999999999" x14ac:dyDescent="0.5">
      <c r="D1588" s="3" t="s">
        <v>48</v>
      </c>
    </row>
    <row r="1589" spans="4:4" ht="17.649999999999999" x14ac:dyDescent="0.5">
      <c r="D1589" s="3" t="s">
        <v>74</v>
      </c>
    </row>
    <row r="1590" spans="4:4" ht="17.649999999999999" x14ac:dyDescent="0.5">
      <c r="D1590" s="3" t="s">
        <v>82</v>
      </c>
    </row>
    <row r="1591" spans="4:4" ht="17.649999999999999" x14ac:dyDescent="0.5">
      <c r="D1591" s="3" t="s">
        <v>107</v>
      </c>
    </row>
    <row r="1592" spans="4:4" ht="17.649999999999999" x14ac:dyDescent="0.5">
      <c r="D1592" s="3" t="s">
        <v>78</v>
      </c>
    </row>
    <row r="1593" spans="4:4" ht="17.649999999999999" x14ac:dyDescent="0.5">
      <c r="D1593" s="3" t="s">
        <v>87</v>
      </c>
    </row>
    <row r="1594" spans="4:4" ht="17.649999999999999" x14ac:dyDescent="0.5">
      <c r="D1594" s="3" t="s">
        <v>52</v>
      </c>
    </row>
    <row r="1595" spans="4:4" ht="17.649999999999999" x14ac:dyDescent="0.5">
      <c r="D1595" s="3" t="s">
        <v>109</v>
      </c>
    </row>
    <row r="1596" spans="4:4" ht="17.649999999999999" x14ac:dyDescent="0.5">
      <c r="D1596" s="3" t="s">
        <v>61</v>
      </c>
    </row>
    <row r="1597" spans="4:4" ht="17.649999999999999" x14ac:dyDescent="0.5">
      <c r="D1597" s="3" t="s">
        <v>69</v>
      </c>
    </row>
    <row r="1598" spans="4:4" ht="17.649999999999999" x14ac:dyDescent="0.5">
      <c r="D1598" s="3" t="s">
        <v>77</v>
      </c>
    </row>
    <row r="1599" spans="4:4" ht="17.649999999999999" x14ac:dyDescent="0.5">
      <c r="D1599" s="3" t="s">
        <v>55</v>
      </c>
    </row>
    <row r="1600" spans="4:4" ht="17.649999999999999" x14ac:dyDescent="0.5">
      <c r="D1600" s="3" t="s">
        <v>73</v>
      </c>
    </row>
    <row r="1601" spans="4:4" ht="17.649999999999999" x14ac:dyDescent="0.5">
      <c r="D1601" s="3" t="s">
        <v>70</v>
      </c>
    </row>
    <row r="1602" spans="4:4" ht="17.649999999999999" x14ac:dyDescent="0.5">
      <c r="D1602" s="3" t="s">
        <v>47</v>
      </c>
    </row>
    <row r="1603" spans="4:4" ht="17.649999999999999" x14ac:dyDescent="0.5">
      <c r="D1603" s="3" t="s">
        <v>52</v>
      </c>
    </row>
    <row r="1604" spans="4:4" ht="17.649999999999999" x14ac:dyDescent="0.5">
      <c r="D1604" s="3" t="s">
        <v>116</v>
      </c>
    </row>
    <row r="1605" spans="4:4" ht="17.649999999999999" x14ac:dyDescent="0.5">
      <c r="D1605" s="3" t="s">
        <v>53</v>
      </c>
    </row>
    <row r="1606" spans="4:4" ht="17.649999999999999" x14ac:dyDescent="0.5">
      <c r="D1606" s="3" t="s">
        <v>80</v>
      </c>
    </row>
    <row r="1607" spans="4:4" ht="17.649999999999999" x14ac:dyDescent="0.5">
      <c r="D1607" s="3" t="s">
        <v>104</v>
      </c>
    </row>
    <row r="1608" spans="4:4" ht="17.649999999999999" x14ac:dyDescent="0.5">
      <c r="D1608" s="3" t="s">
        <v>108</v>
      </c>
    </row>
    <row r="1609" spans="4:4" ht="17.649999999999999" x14ac:dyDescent="0.5">
      <c r="D1609" s="3" t="s">
        <v>66</v>
      </c>
    </row>
    <row r="1610" spans="4:4" ht="17.649999999999999" x14ac:dyDescent="0.5">
      <c r="D1610" s="3" t="s">
        <v>67</v>
      </c>
    </row>
    <row r="1611" spans="4:4" ht="17.649999999999999" x14ac:dyDescent="0.5">
      <c r="D1611" s="3" t="s">
        <v>74</v>
      </c>
    </row>
    <row r="1612" spans="4:4" ht="17.649999999999999" x14ac:dyDescent="0.5">
      <c r="D1612" s="3" t="s">
        <v>58</v>
      </c>
    </row>
    <row r="1613" spans="4:4" ht="17.649999999999999" x14ac:dyDescent="0.5">
      <c r="D1613" s="3" t="s">
        <v>127</v>
      </c>
    </row>
    <row r="1614" spans="4:4" ht="17.649999999999999" x14ac:dyDescent="0.5">
      <c r="D1614" s="3" t="s">
        <v>65</v>
      </c>
    </row>
    <row r="1615" spans="4:4" ht="17.649999999999999" x14ac:dyDescent="0.5">
      <c r="D1615" s="3" t="s">
        <v>101</v>
      </c>
    </row>
    <row r="1616" spans="4:4" ht="17.649999999999999" x14ac:dyDescent="0.5">
      <c r="D1616" s="3" t="s">
        <v>98</v>
      </c>
    </row>
    <row r="1617" spans="4:4" ht="17.649999999999999" x14ac:dyDescent="0.5">
      <c r="D1617" s="3" t="s">
        <v>47</v>
      </c>
    </row>
    <row r="1618" spans="4:4" ht="17.649999999999999" x14ac:dyDescent="0.5">
      <c r="D1618" s="3" t="s">
        <v>68</v>
      </c>
    </row>
    <row r="1619" spans="4:4" ht="17.649999999999999" x14ac:dyDescent="0.5">
      <c r="D1619" s="3" t="s">
        <v>120</v>
      </c>
    </row>
    <row r="1620" spans="4:4" ht="17.649999999999999" x14ac:dyDescent="0.5">
      <c r="D1620" s="3" t="s">
        <v>56</v>
      </c>
    </row>
    <row r="1621" spans="4:4" ht="17.649999999999999" x14ac:dyDescent="0.5">
      <c r="D1621" s="3" t="s">
        <v>48</v>
      </c>
    </row>
    <row r="1622" spans="4:4" ht="17.649999999999999" x14ac:dyDescent="0.5">
      <c r="D1622" s="3" t="s">
        <v>119</v>
      </c>
    </row>
    <row r="1623" spans="4:4" ht="17.649999999999999" x14ac:dyDescent="0.5">
      <c r="D1623" s="3" t="s">
        <v>57</v>
      </c>
    </row>
    <row r="1624" spans="4:4" ht="17.649999999999999" x14ac:dyDescent="0.5">
      <c r="D1624" s="3" t="s">
        <v>67</v>
      </c>
    </row>
    <row r="1625" spans="4:4" ht="17.649999999999999" x14ac:dyDescent="0.5">
      <c r="D1625" s="3" t="s">
        <v>46</v>
      </c>
    </row>
    <row r="1626" spans="4:4" ht="17.649999999999999" x14ac:dyDescent="0.5">
      <c r="D1626" s="3" t="s">
        <v>84</v>
      </c>
    </row>
    <row r="1627" spans="4:4" ht="17.649999999999999" x14ac:dyDescent="0.5">
      <c r="D1627" s="3" t="s">
        <v>98</v>
      </c>
    </row>
    <row r="1628" spans="4:4" ht="17.649999999999999" x14ac:dyDescent="0.5">
      <c r="D1628" s="3" t="s">
        <v>116</v>
      </c>
    </row>
    <row r="1629" spans="4:4" ht="17.649999999999999" x14ac:dyDescent="0.5">
      <c r="D1629" s="3" t="s">
        <v>44</v>
      </c>
    </row>
    <row r="1630" spans="4:4" ht="17.649999999999999" x14ac:dyDescent="0.5">
      <c r="D1630" s="3" t="s">
        <v>78</v>
      </c>
    </row>
    <row r="1631" spans="4:4" ht="17.649999999999999" x14ac:dyDescent="0.5">
      <c r="D1631" s="3" t="s">
        <v>48</v>
      </c>
    </row>
    <row r="1632" spans="4:4" ht="17.649999999999999" x14ac:dyDescent="0.5">
      <c r="D1632" s="3" t="s">
        <v>125</v>
      </c>
    </row>
    <row r="1633" spans="4:4" ht="17.649999999999999" x14ac:dyDescent="0.5">
      <c r="D1633" s="3" t="s">
        <v>64</v>
      </c>
    </row>
    <row r="1634" spans="4:4" ht="17.649999999999999" x14ac:dyDescent="0.5">
      <c r="D1634" s="3" t="s">
        <v>96</v>
      </c>
    </row>
    <row r="1635" spans="4:4" ht="17.649999999999999" x14ac:dyDescent="0.5">
      <c r="D1635" s="3" t="s">
        <v>52</v>
      </c>
    </row>
    <row r="1636" spans="4:4" ht="17.649999999999999" x14ac:dyDescent="0.5">
      <c r="D1636" s="3" t="s">
        <v>122</v>
      </c>
    </row>
    <row r="1637" spans="4:4" ht="17.649999999999999" x14ac:dyDescent="0.5">
      <c r="D1637" s="3" t="s">
        <v>65</v>
      </c>
    </row>
    <row r="1638" spans="4:4" ht="17.649999999999999" x14ac:dyDescent="0.5">
      <c r="D1638" s="3" t="s">
        <v>77</v>
      </c>
    </row>
    <row r="1639" spans="4:4" ht="17.649999999999999" x14ac:dyDescent="0.5">
      <c r="D1639" s="3" t="s">
        <v>66</v>
      </c>
    </row>
    <row r="1640" spans="4:4" ht="17.649999999999999" x14ac:dyDescent="0.5">
      <c r="D1640" s="3" t="s">
        <v>69</v>
      </c>
    </row>
    <row r="1641" spans="4:4" ht="17.649999999999999" x14ac:dyDescent="0.5">
      <c r="D1641" s="3" t="s">
        <v>90</v>
      </c>
    </row>
    <row r="1642" spans="4:4" ht="17.649999999999999" x14ac:dyDescent="0.5">
      <c r="D1642" s="3" t="s">
        <v>78</v>
      </c>
    </row>
    <row r="1643" spans="4:4" ht="17.649999999999999" x14ac:dyDescent="0.5">
      <c r="D1643" s="3" t="s">
        <v>79</v>
      </c>
    </row>
    <row r="1644" spans="4:4" ht="17.649999999999999" x14ac:dyDescent="0.5">
      <c r="D1644" s="3" t="s">
        <v>55</v>
      </c>
    </row>
    <row r="1645" spans="4:4" ht="17.649999999999999" x14ac:dyDescent="0.5">
      <c r="D1645" s="3" t="s">
        <v>103</v>
      </c>
    </row>
    <row r="1646" spans="4:4" ht="17.649999999999999" x14ac:dyDescent="0.5">
      <c r="D1646" s="3" t="s">
        <v>107</v>
      </c>
    </row>
    <row r="1647" spans="4:4" ht="17.649999999999999" x14ac:dyDescent="0.5">
      <c r="D1647" s="3" t="s">
        <v>41</v>
      </c>
    </row>
    <row r="1648" spans="4:4" ht="17.649999999999999" x14ac:dyDescent="0.5">
      <c r="D1648" s="3" t="s">
        <v>98</v>
      </c>
    </row>
    <row r="1649" spans="4:4" ht="17.649999999999999" x14ac:dyDescent="0.5">
      <c r="D1649" s="3" t="s">
        <v>44</v>
      </c>
    </row>
    <row r="1650" spans="4:4" ht="17.649999999999999" x14ac:dyDescent="0.5">
      <c r="D1650" s="3" t="s">
        <v>69</v>
      </c>
    </row>
    <row r="1651" spans="4:4" ht="17.649999999999999" x14ac:dyDescent="0.5">
      <c r="D1651" s="3" t="s">
        <v>41</v>
      </c>
    </row>
    <row r="1652" spans="4:4" ht="17.649999999999999" x14ac:dyDescent="0.5">
      <c r="D1652" s="3" t="s">
        <v>98</v>
      </c>
    </row>
    <row r="1653" spans="4:4" ht="17.649999999999999" x14ac:dyDescent="0.5">
      <c r="D1653" s="3" t="s">
        <v>122</v>
      </c>
    </row>
    <row r="1654" spans="4:4" ht="17.649999999999999" x14ac:dyDescent="0.5">
      <c r="D1654" s="3" t="s">
        <v>63</v>
      </c>
    </row>
    <row r="1655" spans="4:4" ht="17.649999999999999" x14ac:dyDescent="0.5">
      <c r="D1655" s="3" t="s">
        <v>93</v>
      </c>
    </row>
    <row r="1656" spans="4:4" ht="17.649999999999999" x14ac:dyDescent="0.5">
      <c r="D1656" s="3" t="s">
        <v>105</v>
      </c>
    </row>
    <row r="1657" spans="4:4" ht="17.649999999999999" x14ac:dyDescent="0.5">
      <c r="D1657" s="3" t="s">
        <v>80</v>
      </c>
    </row>
    <row r="1658" spans="4:4" ht="17.649999999999999" x14ac:dyDescent="0.5">
      <c r="D1658" s="3" t="s">
        <v>83</v>
      </c>
    </row>
    <row r="1659" spans="4:4" ht="17.649999999999999" x14ac:dyDescent="0.5">
      <c r="D1659" s="3" t="s">
        <v>90</v>
      </c>
    </row>
    <row r="1660" spans="4:4" ht="17.649999999999999" x14ac:dyDescent="0.5">
      <c r="D1660" s="3" t="s">
        <v>85</v>
      </c>
    </row>
    <row r="1661" spans="4:4" ht="17.649999999999999" x14ac:dyDescent="0.5">
      <c r="D1661" s="3" t="s">
        <v>61</v>
      </c>
    </row>
    <row r="1662" spans="4:4" ht="17.649999999999999" x14ac:dyDescent="0.5">
      <c r="D1662" s="3" t="s">
        <v>77</v>
      </c>
    </row>
    <row r="1663" spans="4:4" ht="17.649999999999999" x14ac:dyDescent="0.5">
      <c r="D1663" s="3" t="s">
        <v>104</v>
      </c>
    </row>
    <row r="1664" spans="4:4" ht="17.649999999999999" x14ac:dyDescent="0.5">
      <c r="D1664" s="3" t="s">
        <v>50</v>
      </c>
    </row>
    <row r="1665" spans="4:4" ht="17.649999999999999" x14ac:dyDescent="0.5">
      <c r="D1665" s="3" t="s">
        <v>69</v>
      </c>
    </row>
    <row r="1666" spans="4:4" ht="17.649999999999999" x14ac:dyDescent="0.5">
      <c r="D1666" s="3" t="s">
        <v>55</v>
      </c>
    </row>
    <row r="1667" spans="4:4" ht="17.649999999999999" x14ac:dyDescent="0.5">
      <c r="D1667" s="3" t="s">
        <v>56</v>
      </c>
    </row>
    <row r="1668" spans="4:4" ht="17.649999999999999" x14ac:dyDescent="0.5">
      <c r="D1668" s="3" t="s">
        <v>101</v>
      </c>
    </row>
    <row r="1669" spans="4:4" ht="17.649999999999999" x14ac:dyDescent="0.5">
      <c r="D1669" s="3" t="s">
        <v>81</v>
      </c>
    </row>
    <row r="1670" spans="4:4" ht="17.649999999999999" x14ac:dyDescent="0.5">
      <c r="D1670" s="3" t="s">
        <v>48</v>
      </c>
    </row>
    <row r="1671" spans="4:4" ht="17.649999999999999" x14ac:dyDescent="0.5">
      <c r="D1671" s="3" t="s">
        <v>133</v>
      </c>
    </row>
    <row r="1672" spans="4:4" ht="17.649999999999999" x14ac:dyDescent="0.5">
      <c r="D1672" s="3" t="s">
        <v>100</v>
      </c>
    </row>
    <row r="1673" spans="4:4" ht="17.649999999999999" x14ac:dyDescent="0.5">
      <c r="D1673" s="3" t="s">
        <v>59</v>
      </c>
    </row>
    <row r="1674" spans="4:4" ht="17.649999999999999" x14ac:dyDescent="0.5">
      <c r="D1674" s="3" t="s">
        <v>65</v>
      </c>
    </row>
    <row r="1675" spans="4:4" ht="17.649999999999999" x14ac:dyDescent="0.5">
      <c r="D1675" s="3" t="s">
        <v>131</v>
      </c>
    </row>
    <row r="1676" spans="4:4" ht="17.649999999999999" x14ac:dyDescent="0.5">
      <c r="D1676" s="3" t="s">
        <v>53</v>
      </c>
    </row>
    <row r="1677" spans="4:4" ht="17.649999999999999" x14ac:dyDescent="0.5">
      <c r="D1677" s="3" t="s">
        <v>85</v>
      </c>
    </row>
    <row r="1678" spans="4:4" ht="17.649999999999999" x14ac:dyDescent="0.5">
      <c r="D1678" s="3" t="s">
        <v>44</v>
      </c>
    </row>
    <row r="1679" spans="4:4" ht="17.649999999999999" x14ac:dyDescent="0.5">
      <c r="D1679" s="3" t="s">
        <v>74</v>
      </c>
    </row>
    <row r="1680" spans="4:4" ht="17.649999999999999" x14ac:dyDescent="0.5">
      <c r="D1680" s="3" t="s">
        <v>44</v>
      </c>
    </row>
    <row r="1681" spans="4:4" ht="17.649999999999999" x14ac:dyDescent="0.5">
      <c r="D1681" s="3" t="s">
        <v>85</v>
      </c>
    </row>
    <row r="1682" spans="4:4" ht="17.649999999999999" x14ac:dyDescent="0.5">
      <c r="D1682" s="3" t="s">
        <v>41</v>
      </c>
    </row>
    <row r="1683" spans="4:4" ht="17.649999999999999" x14ac:dyDescent="0.5">
      <c r="D1683" s="3" t="s">
        <v>45</v>
      </c>
    </row>
    <row r="1684" spans="4:4" ht="17.649999999999999" x14ac:dyDescent="0.5">
      <c r="D1684" s="3" t="s">
        <v>77</v>
      </c>
    </row>
    <row r="1685" spans="4:4" ht="17.649999999999999" x14ac:dyDescent="0.5">
      <c r="D1685" s="3" t="s">
        <v>94</v>
      </c>
    </row>
    <row r="1686" spans="4:4" ht="17.649999999999999" x14ac:dyDescent="0.5">
      <c r="D1686" s="3" t="s">
        <v>67</v>
      </c>
    </row>
    <row r="1687" spans="4:4" ht="17.649999999999999" x14ac:dyDescent="0.5">
      <c r="D1687" s="3" t="s">
        <v>129</v>
      </c>
    </row>
    <row r="1688" spans="4:4" ht="17.649999999999999" x14ac:dyDescent="0.5">
      <c r="D1688" s="3" t="s">
        <v>90</v>
      </c>
    </row>
    <row r="1689" spans="4:4" ht="17.649999999999999" x14ac:dyDescent="0.5">
      <c r="D1689" s="3" t="s">
        <v>127</v>
      </c>
    </row>
    <row r="1690" spans="4:4" ht="17.649999999999999" x14ac:dyDescent="0.5">
      <c r="D1690" s="3" t="s">
        <v>84</v>
      </c>
    </row>
    <row r="1691" spans="4:4" ht="17.649999999999999" x14ac:dyDescent="0.5">
      <c r="D1691" s="3" t="s">
        <v>48</v>
      </c>
    </row>
    <row r="1692" spans="4:4" ht="17.649999999999999" x14ac:dyDescent="0.5">
      <c r="D1692" s="3" t="s">
        <v>59</v>
      </c>
    </row>
    <row r="1693" spans="4:4" ht="17.649999999999999" x14ac:dyDescent="0.5">
      <c r="D1693" s="3" t="s">
        <v>128</v>
      </c>
    </row>
    <row r="1694" spans="4:4" ht="17.649999999999999" x14ac:dyDescent="0.5">
      <c r="D1694" s="3" t="s">
        <v>101</v>
      </c>
    </row>
    <row r="1695" spans="4:4" ht="17.649999999999999" x14ac:dyDescent="0.5">
      <c r="D1695" s="3" t="s">
        <v>69</v>
      </c>
    </row>
    <row r="1696" spans="4:4" ht="17.649999999999999" x14ac:dyDescent="0.5">
      <c r="D1696" s="3" t="s">
        <v>102</v>
      </c>
    </row>
    <row r="1697" spans="4:4" ht="17.649999999999999" x14ac:dyDescent="0.5">
      <c r="D1697" s="3" t="s">
        <v>54</v>
      </c>
    </row>
    <row r="1698" spans="4:4" ht="17.649999999999999" x14ac:dyDescent="0.5">
      <c r="D1698" s="3" t="s">
        <v>117</v>
      </c>
    </row>
    <row r="1699" spans="4:4" ht="17.649999999999999" x14ac:dyDescent="0.5">
      <c r="D1699" s="3" t="s">
        <v>71</v>
      </c>
    </row>
    <row r="1700" spans="4:4" ht="17.649999999999999" x14ac:dyDescent="0.5">
      <c r="D1700" s="3" t="s">
        <v>107</v>
      </c>
    </row>
    <row r="1701" spans="4:4" ht="17.649999999999999" x14ac:dyDescent="0.5">
      <c r="D1701" s="3" t="s">
        <v>117</v>
      </c>
    </row>
    <row r="1702" spans="4:4" ht="17.649999999999999" x14ac:dyDescent="0.5">
      <c r="D1702" s="3" t="s">
        <v>47</v>
      </c>
    </row>
    <row r="1703" spans="4:4" ht="17.649999999999999" x14ac:dyDescent="0.5">
      <c r="D1703" s="3" t="s">
        <v>100</v>
      </c>
    </row>
    <row r="1704" spans="4:4" ht="17.649999999999999" x14ac:dyDescent="0.5">
      <c r="D1704" s="3" t="s">
        <v>75</v>
      </c>
    </row>
    <row r="1705" spans="4:4" ht="17.649999999999999" x14ac:dyDescent="0.5">
      <c r="D1705" s="3" t="s">
        <v>134</v>
      </c>
    </row>
    <row r="1706" spans="4:4" ht="17.649999999999999" x14ac:dyDescent="0.5">
      <c r="D1706" s="3" t="s">
        <v>63</v>
      </c>
    </row>
    <row r="1707" spans="4:4" ht="17.649999999999999" x14ac:dyDescent="0.5">
      <c r="D1707" s="3" t="s">
        <v>68</v>
      </c>
    </row>
    <row r="1708" spans="4:4" ht="17.649999999999999" x14ac:dyDescent="0.5">
      <c r="D1708" s="3" t="s">
        <v>107</v>
      </c>
    </row>
    <row r="1709" spans="4:4" ht="17.649999999999999" x14ac:dyDescent="0.5">
      <c r="D1709" s="3" t="s">
        <v>41</v>
      </c>
    </row>
    <row r="1710" spans="4:4" ht="17.649999999999999" x14ac:dyDescent="0.5">
      <c r="D1710" s="3" t="s">
        <v>84</v>
      </c>
    </row>
    <row r="1711" spans="4:4" ht="17.649999999999999" x14ac:dyDescent="0.5">
      <c r="D1711" s="3" t="s">
        <v>70</v>
      </c>
    </row>
    <row r="1712" spans="4:4" ht="17.649999999999999" x14ac:dyDescent="0.5">
      <c r="D1712" s="3" t="s">
        <v>66</v>
      </c>
    </row>
    <row r="1713" spans="4:4" ht="17.649999999999999" x14ac:dyDescent="0.5">
      <c r="D1713" s="3" t="s">
        <v>49</v>
      </c>
    </row>
    <row r="1714" spans="4:4" ht="17.649999999999999" x14ac:dyDescent="0.5">
      <c r="D1714" s="3" t="s">
        <v>113</v>
      </c>
    </row>
    <row r="1715" spans="4:4" ht="17.649999999999999" x14ac:dyDescent="0.5">
      <c r="D1715" s="3" t="s">
        <v>78</v>
      </c>
    </row>
    <row r="1716" spans="4:4" ht="17.649999999999999" x14ac:dyDescent="0.5">
      <c r="D1716" s="3" t="s">
        <v>81</v>
      </c>
    </row>
    <row r="1717" spans="4:4" ht="17.649999999999999" x14ac:dyDescent="0.5">
      <c r="D1717" s="3" t="s">
        <v>101</v>
      </c>
    </row>
    <row r="1718" spans="4:4" ht="17.649999999999999" x14ac:dyDescent="0.5">
      <c r="D1718" s="3" t="s">
        <v>53</v>
      </c>
    </row>
    <row r="1719" spans="4:4" ht="17.649999999999999" x14ac:dyDescent="0.5">
      <c r="D1719" s="3" t="s">
        <v>99</v>
      </c>
    </row>
    <row r="1720" spans="4:4" ht="17.649999999999999" x14ac:dyDescent="0.5">
      <c r="D1720" s="3" t="s">
        <v>77</v>
      </c>
    </row>
    <row r="1721" spans="4:4" ht="17.649999999999999" x14ac:dyDescent="0.5">
      <c r="D1721" s="3" t="s">
        <v>108</v>
      </c>
    </row>
    <row r="1722" spans="4:4" ht="17.649999999999999" x14ac:dyDescent="0.5">
      <c r="D1722" s="3" t="s">
        <v>89</v>
      </c>
    </row>
    <row r="1723" spans="4:4" ht="17.649999999999999" x14ac:dyDescent="0.5">
      <c r="D1723" s="3" t="s">
        <v>92</v>
      </c>
    </row>
    <row r="1724" spans="4:4" ht="17.649999999999999" x14ac:dyDescent="0.5">
      <c r="D1724" s="3" t="s">
        <v>97</v>
      </c>
    </row>
    <row r="1725" spans="4:4" ht="17.649999999999999" x14ac:dyDescent="0.5">
      <c r="D1725" s="3" t="s">
        <v>102</v>
      </c>
    </row>
    <row r="1726" spans="4:4" ht="17.649999999999999" x14ac:dyDescent="0.5">
      <c r="D1726" s="3" t="s">
        <v>53</v>
      </c>
    </row>
    <row r="1727" spans="4:4" ht="17.649999999999999" x14ac:dyDescent="0.5">
      <c r="D1727" s="3" t="s">
        <v>48</v>
      </c>
    </row>
    <row r="1728" spans="4:4" ht="17.649999999999999" x14ac:dyDescent="0.5">
      <c r="D1728" s="3" t="s">
        <v>42</v>
      </c>
    </row>
    <row r="1729" spans="4:4" ht="17.649999999999999" x14ac:dyDescent="0.5">
      <c r="D1729" s="3" t="s">
        <v>49</v>
      </c>
    </row>
    <row r="1730" spans="4:4" ht="17.649999999999999" x14ac:dyDescent="0.5">
      <c r="D1730" s="3" t="s">
        <v>54</v>
      </c>
    </row>
    <row r="1731" spans="4:4" ht="17.649999999999999" x14ac:dyDescent="0.5">
      <c r="D1731" s="3" t="s">
        <v>56</v>
      </c>
    </row>
    <row r="1732" spans="4:4" ht="17.649999999999999" x14ac:dyDescent="0.5">
      <c r="D1732" s="3" t="s">
        <v>135</v>
      </c>
    </row>
    <row r="1733" spans="4:4" ht="17.649999999999999" x14ac:dyDescent="0.5">
      <c r="D1733" s="3" t="s">
        <v>41</v>
      </c>
    </row>
    <row r="1734" spans="4:4" ht="17.649999999999999" x14ac:dyDescent="0.5">
      <c r="D1734" s="3" t="s">
        <v>63</v>
      </c>
    </row>
    <row r="1735" spans="4:4" ht="17.649999999999999" x14ac:dyDescent="0.5">
      <c r="D1735" s="3" t="s">
        <v>97</v>
      </c>
    </row>
    <row r="1736" spans="4:4" ht="17.649999999999999" x14ac:dyDescent="0.5">
      <c r="D1736" s="3" t="s">
        <v>65</v>
      </c>
    </row>
    <row r="1737" spans="4:4" ht="17.649999999999999" x14ac:dyDescent="0.5">
      <c r="D1737" s="3" t="s">
        <v>84</v>
      </c>
    </row>
    <row r="1738" spans="4:4" ht="17.649999999999999" x14ac:dyDescent="0.5">
      <c r="D1738" s="3" t="s">
        <v>66</v>
      </c>
    </row>
    <row r="1739" spans="4:4" ht="17.649999999999999" x14ac:dyDescent="0.5">
      <c r="D1739" s="3" t="s">
        <v>122</v>
      </c>
    </row>
    <row r="1740" spans="4:4" ht="17.649999999999999" x14ac:dyDescent="0.5">
      <c r="D1740" s="3" t="s">
        <v>47</v>
      </c>
    </row>
    <row r="1741" spans="4:4" ht="17.649999999999999" x14ac:dyDescent="0.5">
      <c r="D1741" s="3" t="s">
        <v>52</v>
      </c>
    </row>
    <row r="1742" spans="4:4" ht="17.649999999999999" x14ac:dyDescent="0.5">
      <c r="D1742" s="3" t="s">
        <v>65</v>
      </c>
    </row>
    <row r="1743" spans="4:4" ht="17.649999999999999" x14ac:dyDescent="0.5">
      <c r="D1743" s="3" t="s">
        <v>135</v>
      </c>
    </row>
    <row r="1744" spans="4:4" ht="17.649999999999999" x14ac:dyDescent="0.5">
      <c r="D1744" s="3" t="s">
        <v>84</v>
      </c>
    </row>
    <row r="1745" spans="4:4" ht="17.649999999999999" x14ac:dyDescent="0.5">
      <c r="D1745" s="3" t="s">
        <v>115</v>
      </c>
    </row>
    <row r="1746" spans="4:4" ht="17.649999999999999" x14ac:dyDescent="0.5">
      <c r="D1746" s="3" t="s">
        <v>61</v>
      </c>
    </row>
    <row r="1747" spans="4:4" ht="17.649999999999999" x14ac:dyDescent="0.5">
      <c r="D1747" s="3" t="s">
        <v>111</v>
      </c>
    </row>
    <row r="1748" spans="4:4" ht="17.649999999999999" x14ac:dyDescent="0.5">
      <c r="D1748" s="3" t="s">
        <v>54</v>
      </c>
    </row>
    <row r="1749" spans="4:4" ht="17.649999999999999" x14ac:dyDescent="0.5">
      <c r="D1749" s="3" t="s">
        <v>122</v>
      </c>
    </row>
    <row r="1750" spans="4:4" ht="17.649999999999999" x14ac:dyDescent="0.5">
      <c r="D1750" s="3" t="s">
        <v>47</v>
      </c>
    </row>
    <row r="1751" spans="4:4" ht="17.649999999999999" x14ac:dyDescent="0.5">
      <c r="D1751" s="3" t="s">
        <v>90</v>
      </c>
    </row>
    <row r="1752" spans="4:4" ht="17.649999999999999" x14ac:dyDescent="0.5">
      <c r="D1752" s="3" t="s">
        <v>98</v>
      </c>
    </row>
    <row r="1753" spans="4:4" ht="17.649999999999999" x14ac:dyDescent="0.5">
      <c r="D1753" s="3" t="s">
        <v>51</v>
      </c>
    </row>
    <row r="1754" spans="4:4" ht="17.649999999999999" x14ac:dyDescent="0.5">
      <c r="D1754" s="3" t="s">
        <v>50</v>
      </c>
    </row>
    <row r="1755" spans="4:4" ht="17.649999999999999" x14ac:dyDescent="0.5">
      <c r="D1755" s="3" t="s">
        <v>57</v>
      </c>
    </row>
    <row r="1756" spans="4:4" ht="17.649999999999999" x14ac:dyDescent="0.5">
      <c r="D1756" s="3" t="s">
        <v>105</v>
      </c>
    </row>
    <row r="1757" spans="4:4" ht="17.649999999999999" x14ac:dyDescent="0.5">
      <c r="D1757" s="3" t="s">
        <v>101</v>
      </c>
    </row>
    <row r="1758" spans="4:4" ht="17.649999999999999" x14ac:dyDescent="0.5">
      <c r="D1758" s="3" t="s">
        <v>64</v>
      </c>
    </row>
    <row r="1759" spans="4:4" ht="17.649999999999999" x14ac:dyDescent="0.5">
      <c r="D1759" s="3" t="s">
        <v>44</v>
      </c>
    </row>
    <row r="1760" spans="4:4" ht="17.649999999999999" x14ac:dyDescent="0.5">
      <c r="D1760" s="3" t="s">
        <v>94</v>
      </c>
    </row>
    <row r="1761" spans="4:4" ht="17.649999999999999" x14ac:dyDescent="0.5">
      <c r="D1761" s="3" t="s">
        <v>93</v>
      </c>
    </row>
    <row r="1762" spans="4:4" ht="17.649999999999999" x14ac:dyDescent="0.5">
      <c r="D1762" s="3" t="s">
        <v>90</v>
      </c>
    </row>
    <row r="1763" spans="4:4" ht="17.649999999999999" x14ac:dyDescent="0.5">
      <c r="D1763" s="3" t="s">
        <v>124</v>
      </c>
    </row>
    <row r="1764" spans="4:4" ht="17.649999999999999" x14ac:dyDescent="0.5">
      <c r="D1764" s="3" t="s">
        <v>92</v>
      </c>
    </row>
    <row r="1765" spans="4:4" ht="17.649999999999999" x14ac:dyDescent="0.5">
      <c r="D1765" s="3" t="s">
        <v>55</v>
      </c>
    </row>
    <row r="1766" spans="4:4" ht="17.649999999999999" x14ac:dyDescent="0.5">
      <c r="D1766" s="3" t="s">
        <v>131</v>
      </c>
    </row>
    <row r="1767" spans="4:4" ht="17.649999999999999" x14ac:dyDescent="0.5">
      <c r="D1767" s="3" t="s">
        <v>64</v>
      </c>
    </row>
    <row r="1768" spans="4:4" ht="17.649999999999999" x14ac:dyDescent="0.5">
      <c r="D1768" s="3" t="s">
        <v>103</v>
      </c>
    </row>
    <row r="1769" spans="4:4" ht="17.649999999999999" x14ac:dyDescent="0.5">
      <c r="D1769" s="3" t="s">
        <v>50</v>
      </c>
    </row>
    <row r="1770" spans="4:4" ht="17.649999999999999" x14ac:dyDescent="0.5">
      <c r="D1770" s="3" t="s">
        <v>64</v>
      </c>
    </row>
    <row r="1771" spans="4:4" ht="17.649999999999999" x14ac:dyDescent="0.5">
      <c r="D1771" s="3" t="s">
        <v>46</v>
      </c>
    </row>
    <row r="1772" spans="4:4" ht="17.649999999999999" x14ac:dyDescent="0.5">
      <c r="D1772" s="3" t="s">
        <v>56</v>
      </c>
    </row>
    <row r="1773" spans="4:4" ht="17.649999999999999" x14ac:dyDescent="0.5">
      <c r="D1773" s="3" t="s">
        <v>129</v>
      </c>
    </row>
    <row r="1774" spans="4:4" ht="17.649999999999999" x14ac:dyDescent="0.5">
      <c r="D1774" s="3" t="s">
        <v>110</v>
      </c>
    </row>
    <row r="1775" spans="4:4" ht="17.649999999999999" x14ac:dyDescent="0.5">
      <c r="D1775" s="3" t="s">
        <v>72</v>
      </c>
    </row>
    <row r="1776" spans="4:4" ht="17.649999999999999" x14ac:dyDescent="0.5">
      <c r="D1776" s="3" t="s">
        <v>81</v>
      </c>
    </row>
    <row r="1777" spans="4:4" ht="17.649999999999999" x14ac:dyDescent="0.5">
      <c r="D1777" s="3" t="s">
        <v>106</v>
      </c>
    </row>
    <row r="1778" spans="4:4" ht="17.649999999999999" x14ac:dyDescent="0.5">
      <c r="D1778" s="3" t="s">
        <v>63</v>
      </c>
    </row>
    <row r="1779" spans="4:4" ht="17.649999999999999" x14ac:dyDescent="0.5">
      <c r="D1779" s="3" t="s">
        <v>64</v>
      </c>
    </row>
    <row r="1780" spans="4:4" ht="17.649999999999999" x14ac:dyDescent="0.5">
      <c r="D1780" s="3" t="s">
        <v>43</v>
      </c>
    </row>
    <row r="1781" spans="4:4" ht="17.649999999999999" x14ac:dyDescent="0.5">
      <c r="D1781" s="3" t="s">
        <v>58</v>
      </c>
    </row>
    <row r="1782" spans="4:4" ht="17.649999999999999" x14ac:dyDescent="0.5">
      <c r="D1782" s="3" t="s">
        <v>78</v>
      </c>
    </row>
    <row r="1783" spans="4:4" ht="17.649999999999999" x14ac:dyDescent="0.5">
      <c r="D1783" s="3" t="s">
        <v>85</v>
      </c>
    </row>
    <row r="1784" spans="4:4" ht="17.649999999999999" x14ac:dyDescent="0.5">
      <c r="D1784" s="3" t="s">
        <v>77</v>
      </c>
    </row>
    <row r="1785" spans="4:4" ht="17.649999999999999" x14ac:dyDescent="0.5">
      <c r="D1785" s="3" t="s">
        <v>52</v>
      </c>
    </row>
    <row r="1786" spans="4:4" ht="17.649999999999999" x14ac:dyDescent="0.5">
      <c r="D1786" s="3" t="s">
        <v>115</v>
      </c>
    </row>
    <row r="1787" spans="4:4" ht="17.649999999999999" x14ac:dyDescent="0.5">
      <c r="D1787" s="3" t="s">
        <v>87</v>
      </c>
    </row>
    <row r="1788" spans="4:4" ht="17.649999999999999" x14ac:dyDescent="0.5">
      <c r="D1788" s="3" t="s">
        <v>101</v>
      </c>
    </row>
    <row r="1789" spans="4:4" ht="17.649999999999999" x14ac:dyDescent="0.5">
      <c r="D1789" s="3" t="s">
        <v>113</v>
      </c>
    </row>
    <row r="1790" spans="4:4" ht="17.649999999999999" x14ac:dyDescent="0.5">
      <c r="D1790" s="3" t="s">
        <v>44</v>
      </c>
    </row>
    <row r="1791" spans="4:4" ht="17.649999999999999" x14ac:dyDescent="0.5">
      <c r="D1791" s="3" t="s">
        <v>95</v>
      </c>
    </row>
    <row r="1792" spans="4:4" ht="17.649999999999999" x14ac:dyDescent="0.5">
      <c r="D1792" s="3" t="s">
        <v>57</v>
      </c>
    </row>
    <row r="1793" spans="4:4" ht="17.649999999999999" x14ac:dyDescent="0.5">
      <c r="D1793" s="3" t="s">
        <v>132</v>
      </c>
    </row>
    <row r="1794" spans="4:4" ht="17.649999999999999" x14ac:dyDescent="0.5">
      <c r="D1794" s="3" t="s">
        <v>47</v>
      </c>
    </row>
    <row r="1795" spans="4:4" ht="17.649999999999999" x14ac:dyDescent="0.5">
      <c r="D1795" s="3" t="s">
        <v>77</v>
      </c>
    </row>
    <row r="1796" spans="4:4" ht="17.649999999999999" x14ac:dyDescent="0.5">
      <c r="D1796" s="3" t="s">
        <v>58</v>
      </c>
    </row>
    <row r="1797" spans="4:4" ht="17.649999999999999" x14ac:dyDescent="0.5">
      <c r="D1797" s="3" t="s">
        <v>65</v>
      </c>
    </row>
    <row r="1798" spans="4:4" ht="17.649999999999999" x14ac:dyDescent="0.5">
      <c r="D1798" s="3" t="s">
        <v>54</v>
      </c>
    </row>
    <row r="1799" spans="4:4" ht="17.649999999999999" x14ac:dyDescent="0.5">
      <c r="D1799" s="3" t="s">
        <v>76</v>
      </c>
    </row>
    <row r="1800" spans="4:4" ht="17.649999999999999" x14ac:dyDescent="0.5">
      <c r="D1800" s="3" t="s">
        <v>110</v>
      </c>
    </row>
    <row r="1801" spans="4:4" ht="17.649999999999999" x14ac:dyDescent="0.5">
      <c r="D1801" s="3" t="s">
        <v>49</v>
      </c>
    </row>
    <row r="1802" spans="4:4" ht="17.649999999999999" x14ac:dyDescent="0.5">
      <c r="D1802" s="3" t="s">
        <v>56</v>
      </c>
    </row>
    <row r="1803" spans="4:4" ht="17.649999999999999" x14ac:dyDescent="0.5">
      <c r="D1803" s="3" t="s">
        <v>91</v>
      </c>
    </row>
    <row r="1804" spans="4:4" ht="17.649999999999999" x14ac:dyDescent="0.5">
      <c r="D1804" s="3" t="s">
        <v>114</v>
      </c>
    </row>
    <row r="1805" spans="4:4" ht="17.649999999999999" x14ac:dyDescent="0.5">
      <c r="D1805" s="3" t="s">
        <v>46</v>
      </c>
    </row>
    <row r="1806" spans="4:4" ht="17.649999999999999" x14ac:dyDescent="0.5">
      <c r="D1806" s="3" t="s">
        <v>60</v>
      </c>
    </row>
    <row r="1807" spans="4:4" ht="17.649999999999999" x14ac:dyDescent="0.5">
      <c r="D1807" s="3" t="s">
        <v>57</v>
      </c>
    </row>
    <row r="1808" spans="4:4" ht="17.649999999999999" x14ac:dyDescent="0.5">
      <c r="D1808" s="3" t="s">
        <v>53</v>
      </c>
    </row>
    <row r="1809" spans="4:4" ht="17.649999999999999" x14ac:dyDescent="0.5">
      <c r="D1809" s="3" t="s">
        <v>101</v>
      </c>
    </row>
    <row r="1810" spans="4:4" ht="17.649999999999999" x14ac:dyDescent="0.5">
      <c r="D1810" s="3" t="s">
        <v>118</v>
      </c>
    </row>
    <row r="1811" spans="4:4" ht="17.649999999999999" x14ac:dyDescent="0.5">
      <c r="D1811" s="3" t="s">
        <v>107</v>
      </c>
    </row>
    <row r="1812" spans="4:4" ht="17.649999999999999" x14ac:dyDescent="0.5">
      <c r="D1812" s="3" t="s">
        <v>103</v>
      </c>
    </row>
    <row r="1813" spans="4:4" ht="17.649999999999999" x14ac:dyDescent="0.5">
      <c r="D1813" s="3" t="s">
        <v>41</v>
      </c>
    </row>
    <row r="1814" spans="4:4" ht="17.649999999999999" x14ac:dyDescent="0.5">
      <c r="D1814" s="3" t="s">
        <v>128</v>
      </c>
    </row>
    <row r="1815" spans="4:4" ht="17.649999999999999" x14ac:dyDescent="0.5">
      <c r="D1815" s="3" t="s">
        <v>127</v>
      </c>
    </row>
    <row r="1816" spans="4:4" ht="17.649999999999999" x14ac:dyDescent="0.5">
      <c r="D1816" s="3" t="s">
        <v>116</v>
      </c>
    </row>
    <row r="1817" spans="4:4" ht="17.649999999999999" x14ac:dyDescent="0.5">
      <c r="D1817" s="3" t="s">
        <v>47</v>
      </c>
    </row>
    <row r="1818" spans="4:4" ht="17.649999999999999" x14ac:dyDescent="0.5">
      <c r="D1818" s="3" t="s">
        <v>54</v>
      </c>
    </row>
    <row r="1819" spans="4:4" ht="17.649999999999999" x14ac:dyDescent="0.5">
      <c r="D1819" s="3" t="s">
        <v>46</v>
      </c>
    </row>
    <row r="1820" spans="4:4" ht="17.649999999999999" x14ac:dyDescent="0.5">
      <c r="D1820" s="3" t="s">
        <v>78</v>
      </c>
    </row>
    <row r="1821" spans="4:4" ht="17.649999999999999" x14ac:dyDescent="0.5">
      <c r="D1821" s="3" t="s">
        <v>74</v>
      </c>
    </row>
    <row r="1822" spans="4:4" ht="17.649999999999999" x14ac:dyDescent="0.5">
      <c r="D1822" s="3" t="s">
        <v>96</v>
      </c>
    </row>
    <row r="1823" spans="4:4" ht="17.649999999999999" x14ac:dyDescent="0.5">
      <c r="D1823" s="3" t="s">
        <v>80</v>
      </c>
    </row>
    <row r="1824" spans="4:4" ht="17.649999999999999" x14ac:dyDescent="0.5">
      <c r="D1824" s="3" t="s">
        <v>90</v>
      </c>
    </row>
    <row r="1825" spans="4:4" ht="17.649999999999999" x14ac:dyDescent="0.5">
      <c r="D1825" s="3" t="s">
        <v>57</v>
      </c>
    </row>
    <row r="1826" spans="4:4" ht="17.649999999999999" x14ac:dyDescent="0.5">
      <c r="D1826" s="3" t="s">
        <v>121</v>
      </c>
    </row>
    <row r="1827" spans="4:4" ht="17.649999999999999" x14ac:dyDescent="0.5">
      <c r="D1827" s="3" t="s">
        <v>69</v>
      </c>
    </row>
    <row r="1828" spans="4:4" ht="17.649999999999999" x14ac:dyDescent="0.5">
      <c r="D1828" s="3" t="s">
        <v>53</v>
      </c>
    </row>
    <row r="1829" spans="4:4" ht="17.649999999999999" x14ac:dyDescent="0.5">
      <c r="D1829" s="3" t="s">
        <v>99</v>
      </c>
    </row>
    <row r="1830" spans="4:4" ht="17.649999999999999" x14ac:dyDescent="0.5">
      <c r="D1830" s="3" t="s">
        <v>74</v>
      </c>
    </row>
    <row r="1831" spans="4:4" ht="17.649999999999999" x14ac:dyDescent="0.5">
      <c r="D1831" s="3" t="s">
        <v>72</v>
      </c>
    </row>
    <row r="1832" spans="4:4" ht="17.649999999999999" x14ac:dyDescent="0.5">
      <c r="D1832" s="3" t="s">
        <v>57</v>
      </c>
    </row>
    <row r="1833" spans="4:4" ht="17.649999999999999" x14ac:dyDescent="0.5">
      <c r="D1833" s="3" t="s">
        <v>121</v>
      </c>
    </row>
    <row r="1834" spans="4:4" ht="17.649999999999999" x14ac:dyDescent="0.5">
      <c r="D1834" s="3" t="s">
        <v>74</v>
      </c>
    </row>
    <row r="1835" spans="4:4" ht="17.649999999999999" x14ac:dyDescent="0.5">
      <c r="D1835" s="3" t="s">
        <v>60</v>
      </c>
    </row>
    <row r="1836" spans="4:4" ht="17.649999999999999" x14ac:dyDescent="0.5">
      <c r="D1836" s="3" t="s">
        <v>94</v>
      </c>
    </row>
    <row r="1837" spans="4:4" ht="17.649999999999999" x14ac:dyDescent="0.5">
      <c r="D1837" s="3" t="s">
        <v>49</v>
      </c>
    </row>
    <row r="1838" spans="4:4" ht="17.649999999999999" x14ac:dyDescent="0.5">
      <c r="D1838" s="3" t="s">
        <v>50</v>
      </c>
    </row>
    <row r="1839" spans="4:4" ht="17.649999999999999" x14ac:dyDescent="0.5">
      <c r="D1839" s="3" t="s">
        <v>73</v>
      </c>
    </row>
    <row r="1840" spans="4:4" ht="17.649999999999999" x14ac:dyDescent="0.5">
      <c r="D1840" s="3" t="s">
        <v>77</v>
      </c>
    </row>
    <row r="1841" spans="4:4" ht="17.649999999999999" x14ac:dyDescent="0.5">
      <c r="D1841" s="3" t="s">
        <v>90</v>
      </c>
    </row>
    <row r="1842" spans="4:4" ht="17.649999999999999" x14ac:dyDescent="0.5">
      <c r="D1842" s="3" t="s">
        <v>59</v>
      </c>
    </row>
    <row r="1843" spans="4:4" ht="17.649999999999999" x14ac:dyDescent="0.5">
      <c r="D1843" s="3" t="s">
        <v>93</v>
      </c>
    </row>
    <row r="1844" spans="4:4" ht="17.649999999999999" x14ac:dyDescent="0.5">
      <c r="D1844" s="3" t="s">
        <v>55</v>
      </c>
    </row>
    <row r="1845" spans="4:4" ht="17.649999999999999" x14ac:dyDescent="0.5">
      <c r="D1845" s="3" t="s">
        <v>133</v>
      </c>
    </row>
    <row r="1846" spans="4:4" ht="17.649999999999999" x14ac:dyDescent="0.5">
      <c r="D1846" s="3" t="s">
        <v>68</v>
      </c>
    </row>
    <row r="1847" spans="4:4" ht="17.649999999999999" x14ac:dyDescent="0.5">
      <c r="D1847" s="3" t="s">
        <v>117</v>
      </c>
    </row>
    <row r="1848" spans="4:4" ht="17.649999999999999" x14ac:dyDescent="0.5">
      <c r="D1848" s="3" t="s">
        <v>80</v>
      </c>
    </row>
    <row r="1849" spans="4:4" ht="17.649999999999999" x14ac:dyDescent="0.5">
      <c r="D1849" s="3" t="s">
        <v>97</v>
      </c>
    </row>
    <row r="1850" spans="4:4" ht="17.649999999999999" x14ac:dyDescent="0.5">
      <c r="D1850" s="3" t="s">
        <v>65</v>
      </c>
    </row>
    <row r="1851" spans="4:4" ht="17.649999999999999" x14ac:dyDescent="0.5">
      <c r="D1851" s="3" t="s">
        <v>117</v>
      </c>
    </row>
    <row r="1852" spans="4:4" ht="17.649999999999999" x14ac:dyDescent="0.5">
      <c r="D1852" s="3" t="s">
        <v>95</v>
      </c>
    </row>
    <row r="1853" spans="4:4" ht="17.649999999999999" x14ac:dyDescent="0.5">
      <c r="D1853" s="3" t="s">
        <v>80</v>
      </c>
    </row>
    <row r="1854" spans="4:4" ht="17.649999999999999" x14ac:dyDescent="0.5">
      <c r="D1854" s="3" t="s">
        <v>51</v>
      </c>
    </row>
    <row r="1855" spans="4:4" ht="17.649999999999999" x14ac:dyDescent="0.5">
      <c r="D1855" s="3" t="s">
        <v>83</v>
      </c>
    </row>
    <row r="1856" spans="4:4" ht="17.649999999999999" x14ac:dyDescent="0.5">
      <c r="D1856" s="3" t="s">
        <v>81</v>
      </c>
    </row>
    <row r="1857" spans="4:4" ht="17.649999999999999" x14ac:dyDescent="0.5">
      <c r="D1857" s="3" t="s">
        <v>95</v>
      </c>
    </row>
    <row r="1858" spans="4:4" ht="17.649999999999999" x14ac:dyDescent="0.5">
      <c r="D1858" s="3" t="s">
        <v>43</v>
      </c>
    </row>
    <row r="1859" spans="4:4" ht="17.649999999999999" x14ac:dyDescent="0.5">
      <c r="D1859" s="3" t="s">
        <v>60</v>
      </c>
    </row>
    <row r="1860" spans="4:4" ht="17.649999999999999" x14ac:dyDescent="0.5">
      <c r="D1860" s="3" t="s">
        <v>91</v>
      </c>
    </row>
    <row r="1861" spans="4:4" ht="17.649999999999999" x14ac:dyDescent="0.5">
      <c r="D1861" s="3" t="s">
        <v>67</v>
      </c>
    </row>
    <row r="1862" spans="4:4" ht="17.649999999999999" x14ac:dyDescent="0.5">
      <c r="D1862" s="3" t="s">
        <v>105</v>
      </c>
    </row>
    <row r="1863" spans="4:4" ht="17.649999999999999" x14ac:dyDescent="0.5">
      <c r="D1863" s="3" t="s">
        <v>60</v>
      </c>
    </row>
    <row r="1864" spans="4:4" ht="17.649999999999999" x14ac:dyDescent="0.5">
      <c r="D1864" s="3" t="s">
        <v>55</v>
      </c>
    </row>
    <row r="1865" spans="4:4" ht="17.649999999999999" x14ac:dyDescent="0.5">
      <c r="D1865" s="3" t="s">
        <v>53</v>
      </c>
    </row>
    <row r="1866" spans="4:4" ht="17.649999999999999" x14ac:dyDescent="0.5">
      <c r="D1866" s="3" t="s">
        <v>62</v>
      </c>
    </row>
    <row r="1867" spans="4:4" ht="17.649999999999999" x14ac:dyDescent="0.5">
      <c r="D1867" s="3" t="s">
        <v>107</v>
      </c>
    </row>
    <row r="1868" spans="4:4" ht="17.649999999999999" x14ac:dyDescent="0.5">
      <c r="D1868" s="3" t="s">
        <v>43</v>
      </c>
    </row>
    <row r="1869" spans="4:4" ht="17.649999999999999" x14ac:dyDescent="0.5">
      <c r="D1869" s="3" t="s">
        <v>86</v>
      </c>
    </row>
    <row r="1870" spans="4:4" ht="17.649999999999999" x14ac:dyDescent="0.5">
      <c r="D1870" s="3" t="s">
        <v>98</v>
      </c>
    </row>
    <row r="1871" spans="4:4" ht="17.649999999999999" x14ac:dyDescent="0.5">
      <c r="D1871" s="3" t="s">
        <v>68</v>
      </c>
    </row>
    <row r="1872" spans="4:4" ht="17.649999999999999" x14ac:dyDescent="0.5">
      <c r="D1872" s="3" t="s">
        <v>81</v>
      </c>
    </row>
    <row r="1873" spans="4:4" ht="17.649999999999999" x14ac:dyDescent="0.5">
      <c r="D1873" s="3" t="s">
        <v>96</v>
      </c>
    </row>
    <row r="1874" spans="4:4" ht="17.649999999999999" x14ac:dyDescent="0.5">
      <c r="D1874" s="3" t="s">
        <v>117</v>
      </c>
    </row>
    <row r="1875" spans="4:4" ht="17.649999999999999" x14ac:dyDescent="0.5">
      <c r="D1875" s="3" t="s">
        <v>87</v>
      </c>
    </row>
    <row r="1876" spans="4:4" ht="17.649999999999999" x14ac:dyDescent="0.5">
      <c r="D1876" s="3" t="s">
        <v>74</v>
      </c>
    </row>
    <row r="1877" spans="4:4" ht="17.649999999999999" x14ac:dyDescent="0.5">
      <c r="D1877" s="3" t="s">
        <v>103</v>
      </c>
    </row>
    <row r="1878" spans="4:4" ht="17.649999999999999" x14ac:dyDescent="0.5">
      <c r="D1878" s="3" t="s">
        <v>41</v>
      </c>
    </row>
    <row r="1879" spans="4:4" ht="17.649999999999999" x14ac:dyDescent="0.5">
      <c r="D1879" s="3" t="s">
        <v>112</v>
      </c>
    </row>
    <row r="1880" spans="4:4" ht="17.649999999999999" x14ac:dyDescent="0.5">
      <c r="D1880" s="3" t="s">
        <v>93</v>
      </c>
    </row>
    <row r="1881" spans="4:4" ht="17.649999999999999" x14ac:dyDescent="0.5">
      <c r="D1881" s="3" t="s">
        <v>109</v>
      </c>
    </row>
    <row r="1882" spans="4:4" ht="17.649999999999999" x14ac:dyDescent="0.5">
      <c r="D1882" s="3" t="s">
        <v>107</v>
      </c>
    </row>
    <row r="1883" spans="4:4" ht="17.649999999999999" x14ac:dyDescent="0.5">
      <c r="D1883" s="3" t="s">
        <v>117</v>
      </c>
    </row>
    <row r="1884" spans="4:4" ht="17.649999999999999" x14ac:dyDescent="0.5">
      <c r="D1884" s="3" t="s">
        <v>55</v>
      </c>
    </row>
    <row r="1885" spans="4:4" ht="17.649999999999999" x14ac:dyDescent="0.5">
      <c r="D1885" s="3" t="s">
        <v>49</v>
      </c>
    </row>
    <row r="1886" spans="4:4" ht="17.649999999999999" x14ac:dyDescent="0.5">
      <c r="D1886" s="3" t="s">
        <v>66</v>
      </c>
    </row>
    <row r="1887" spans="4:4" ht="17.649999999999999" x14ac:dyDescent="0.5">
      <c r="D1887" s="3" t="s">
        <v>61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43</v>
      </c>
    </row>
    <row r="1890" spans="4:4" ht="17.649999999999999" x14ac:dyDescent="0.5">
      <c r="D1890" s="3" t="s">
        <v>53</v>
      </c>
    </row>
    <row r="1891" spans="4:4" ht="17.649999999999999" x14ac:dyDescent="0.5">
      <c r="D1891" s="3" t="s">
        <v>81</v>
      </c>
    </row>
    <row r="1892" spans="4:4" ht="17.649999999999999" x14ac:dyDescent="0.5">
      <c r="D1892" s="3" t="s">
        <v>65</v>
      </c>
    </row>
    <row r="1893" spans="4:4" ht="17.649999999999999" x14ac:dyDescent="0.5">
      <c r="D1893" s="3" t="s">
        <v>77</v>
      </c>
    </row>
    <row r="1894" spans="4:4" ht="17.649999999999999" x14ac:dyDescent="0.5">
      <c r="D1894" s="3" t="s">
        <v>78</v>
      </c>
    </row>
    <row r="1895" spans="4:4" ht="17.649999999999999" x14ac:dyDescent="0.5">
      <c r="D1895" s="3" t="s">
        <v>101</v>
      </c>
    </row>
    <row r="1896" spans="4:4" ht="17.649999999999999" x14ac:dyDescent="0.5">
      <c r="D1896" s="3" t="s">
        <v>69</v>
      </c>
    </row>
    <row r="1897" spans="4:4" ht="17.649999999999999" x14ac:dyDescent="0.5">
      <c r="D1897" s="3" t="s">
        <v>56</v>
      </c>
    </row>
    <row r="1898" spans="4:4" ht="17.649999999999999" x14ac:dyDescent="0.5">
      <c r="D1898" s="3" t="s">
        <v>78</v>
      </c>
    </row>
    <row r="1899" spans="4:4" ht="17.649999999999999" x14ac:dyDescent="0.5">
      <c r="D1899" s="3" t="s">
        <v>49</v>
      </c>
    </row>
    <row r="1900" spans="4:4" ht="17.649999999999999" x14ac:dyDescent="0.5">
      <c r="D1900" s="3" t="s">
        <v>63</v>
      </c>
    </row>
    <row r="1901" spans="4:4" ht="17.649999999999999" x14ac:dyDescent="0.5">
      <c r="D1901" s="3" t="s">
        <v>119</v>
      </c>
    </row>
    <row r="1902" spans="4:4" ht="17.649999999999999" x14ac:dyDescent="0.5">
      <c r="D1902" s="3" t="s">
        <v>81</v>
      </c>
    </row>
    <row r="1903" spans="4:4" ht="17.649999999999999" x14ac:dyDescent="0.5">
      <c r="D1903" s="3" t="s">
        <v>73</v>
      </c>
    </row>
    <row r="1904" spans="4:4" ht="17.649999999999999" x14ac:dyDescent="0.5">
      <c r="D1904" s="3" t="s">
        <v>62</v>
      </c>
    </row>
    <row r="1905" spans="4:4" ht="17.649999999999999" x14ac:dyDescent="0.5">
      <c r="D1905" s="3" t="s">
        <v>94</v>
      </c>
    </row>
    <row r="1906" spans="4:4" ht="17.649999999999999" x14ac:dyDescent="0.5">
      <c r="D1906" s="3" t="s">
        <v>83</v>
      </c>
    </row>
    <row r="1907" spans="4:4" ht="17.649999999999999" x14ac:dyDescent="0.5">
      <c r="D1907" s="3" t="s">
        <v>79</v>
      </c>
    </row>
    <row r="1908" spans="4:4" ht="17.649999999999999" x14ac:dyDescent="0.5">
      <c r="D1908" s="3" t="s">
        <v>48</v>
      </c>
    </row>
    <row r="1909" spans="4:4" ht="17.649999999999999" x14ac:dyDescent="0.5">
      <c r="D1909" s="3" t="s">
        <v>94</v>
      </c>
    </row>
    <row r="1910" spans="4:4" ht="17.649999999999999" x14ac:dyDescent="0.5">
      <c r="D1910" s="3" t="s">
        <v>133</v>
      </c>
    </row>
    <row r="1911" spans="4:4" ht="17.649999999999999" x14ac:dyDescent="0.5">
      <c r="D1911" s="3" t="s">
        <v>47</v>
      </c>
    </row>
    <row r="1912" spans="4:4" ht="17.649999999999999" x14ac:dyDescent="0.5">
      <c r="D1912" s="3" t="s">
        <v>115</v>
      </c>
    </row>
    <row r="1913" spans="4:4" ht="17.649999999999999" x14ac:dyDescent="0.5">
      <c r="D1913" s="3" t="s">
        <v>85</v>
      </c>
    </row>
    <row r="1914" spans="4:4" ht="17.649999999999999" x14ac:dyDescent="0.5">
      <c r="D1914" s="3" t="s">
        <v>83</v>
      </c>
    </row>
    <row r="1915" spans="4:4" ht="17.649999999999999" x14ac:dyDescent="0.5">
      <c r="D1915" s="3" t="s">
        <v>118</v>
      </c>
    </row>
    <row r="1916" spans="4:4" ht="17.649999999999999" x14ac:dyDescent="0.5">
      <c r="D1916" s="3" t="s">
        <v>81</v>
      </c>
    </row>
    <row r="1917" spans="4:4" ht="17.649999999999999" x14ac:dyDescent="0.5">
      <c r="D1917" s="3" t="s">
        <v>63</v>
      </c>
    </row>
    <row r="1918" spans="4:4" ht="17.649999999999999" x14ac:dyDescent="0.5">
      <c r="D1918" s="3" t="s">
        <v>69</v>
      </c>
    </row>
    <row r="1919" spans="4:4" ht="17.649999999999999" x14ac:dyDescent="0.5">
      <c r="D1919" s="3" t="s">
        <v>54</v>
      </c>
    </row>
    <row r="1920" spans="4:4" ht="17.649999999999999" x14ac:dyDescent="0.5">
      <c r="D1920" s="3" t="s">
        <v>94</v>
      </c>
    </row>
    <row r="1921" spans="4:4" ht="17.649999999999999" x14ac:dyDescent="0.5">
      <c r="D1921" s="3" t="s">
        <v>101</v>
      </c>
    </row>
    <row r="1922" spans="4:4" ht="17.649999999999999" x14ac:dyDescent="0.5">
      <c r="D1922" s="3" t="s">
        <v>57</v>
      </c>
    </row>
    <row r="1923" spans="4:4" ht="17.649999999999999" x14ac:dyDescent="0.5">
      <c r="D1923" s="3" t="s">
        <v>132</v>
      </c>
    </row>
    <row r="1924" spans="4:4" ht="17.649999999999999" x14ac:dyDescent="0.5">
      <c r="D1924" s="3" t="s">
        <v>74</v>
      </c>
    </row>
    <row r="1925" spans="4:4" ht="17.649999999999999" x14ac:dyDescent="0.5">
      <c r="D1925" s="3" t="s">
        <v>116</v>
      </c>
    </row>
    <row r="1926" spans="4:4" ht="17.649999999999999" x14ac:dyDescent="0.5">
      <c r="D1926" s="3" t="s">
        <v>49</v>
      </c>
    </row>
    <row r="1927" spans="4:4" ht="17.649999999999999" x14ac:dyDescent="0.5">
      <c r="D1927" s="3" t="s">
        <v>44</v>
      </c>
    </row>
    <row r="1928" spans="4:4" ht="17.649999999999999" x14ac:dyDescent="0.5">
      <c r="D1928" s="3" t="s">
        <v>87</v>
      </c>
    </row>
    <row r="1929" spans="4:4" ht="17.649999999999999" x14ac:dyDescent="0.5">
      <c r="D1929" s="3" t="s">
        <v>66</v>
      </c>
    </row>
    <row r="1930" spans="4:4" ht="17.649999999999999" x14ac:dyDescent="0.5">
      <c r="D1930" s="3" t="s">
        <v>112</v>
      </c>
    </row>
    <row r="1931" spans="4:4" ht="17.649999999999999" x14ac:dyDescent="0.5">
      <c r="D1931" s="3" t="s">
        <v>48</v>
      </c>
    </row>
    <row r="1932" spans="4:4" ht="17.649999999999999" x14ac:dyDescent="0.5">
      <c r="D1932" s="3" t="s">
        <v>98</v>
      </c>
    </row>
    <row r="1933" spans="4:4" ht="17.649999999999999" x14ac:dyDescent="0.5">
      <c r="D1933" s="3" t="s">
        <v>109</v>
      </c>
    </row>
    <row r="1934" spans="4:4" ht="17.649999999999999" x14ac:dyDescent="0.5">
      <c r="D1934" s="3" t="s">
        <v>103</v>
      </c>
    </row>
    <row r="1935" spans="4:4" ht="17.649999999999999" x14ac:dyDescent="0.5">
      <c r="D1935" s="3" t="s">
        <v>68</v>
      </c>
    </row>
    <row r="1936" spans="4:4" ht="17.649999999999999" x14ac:dyDescent="0.5">
      <c r="D1936" s="3" t="s">
        <v>41</v>
      </c>
    </row>
    <row r="1937" spans="4:4" ht="17.649999999999999" x14ac:dyDescent="0.5">
      <c r="D1937" s="3" t="s">
        <v>77</v>
      </c>
    </row>
    <row r="1938" spans="4:4" ht="17.649999999999999" x14ac:dyDescent="0.5">
      <c r="D1938" s="3" t="s">
        <v>78</v>
      </c>
    </row>
    <row r="1939" spans="4:4" ht="17.649999999999999" x14ac:dyDescent="0.5">
      <c r="D1939" s="3" t="s">
        <v>47</v>
      </c>
    </row>
    <row r="1940" spans="4:4" ht="17.649999999999999" x14ac:dyDescent="0.5">
      <c r="D1940" s="3" t="s">
        <v>66</v>
      </c>
    </row>
    <row r="1941" spans="4:4" ht="17.649999999999999" x14ac:dyDescent="0.5">
      <c r="D1941" s="3" t="s">
        <v>61</v>
      </c>
    </row>
    <row r="1942" spans="4:4" ht="17.649999999999999" x14ac:dyDescent="0.5">
      <c r="D1942" s="3" t="s">
        <v>92</v>
      </c>
    </row>
    <row r="1943" spans="4:4" ht="17.649999999999999" x14ac:dyDescent="0.5">
      <c r="D1943" s="3" t="s">
        <v>75</v>
      </c>
    </row>
    <row r="1944" spans="4:4" ht="17.649999999999999" x14ac:dyDescent="0.5">
      <c r="D1944" s="3" t="s">
        <v>118</v>
      </c>
    </row>
    <row r="1945" spans="4:4" ht="17.649999999999999" x14ac:dyDescent="0.5">
      <c r="D1945" s="3" t="s">
        <v>103</v>
      </c>
    </row>
    <row r="1946" spans="4:4" ht="17.649999999999999" x14ac:dyDescent="0.5">
      <c r="D1946" s="3" t="s">
        <v>84</v>
      </c>
    </row>
    <row r="1947" spans="4:4" ht="17.649999999999999" x14ac:dyDescent="0.5">
      <c r="D1947" s="3" t="s">
        <v>86</v>
      </c>
    </row>
    <row r="1948" spans="4:4" ht="17.649999999999999" x14ac:dyDescent="0.5">
      <c r="D1948" s="3" t="s">
        <v>134</v>
      </c>
    </row>
    <row r="1949" spans="4:4" ht="17.649999999999999" x14ac:dyDescent="0.5">
      <c r="D1949" s="3" t="s">
        <v>98</v>
      </c>
    </row>
    <row r="1950" spans="4:4" ht="17.649999999999999" x14ac:dyDescent="0.5">
      <c r="D1950" s="3" t="s">
        <v>109</v>
      </c>
    </row>
    <row r="1951" spans="4:4" ht="17.649999999999999" x14ac:dyDescent="0.5">
      <c r="D1951" s="3" t="s">
        <v>84</v>
      </c>
    </row>
    <row r="1952" spans="4:4" ht="17.649999999999999" x14ac:dyDescent="0.5">
      <c r="D1952" s="3" t="s">
        <v>135</v>
      </c>
    </row>
    <row r="1953" spans="4:4" ht="17.649999999999999" x14ac:dyDescent="0.5">
      <c r="D1953" s="3" t="s">
        <v>108</v>
      </c>
    </row>
    <row r="1954" spans="4:4" ht="17.649999999999999" x14ac:dyDescent="0.5">
      <c r="D1954" s="3" t="s">
        <v>51</v>
      </c>
    </row>
    <row r="1955" spans="4:4" ht="17.649999999999999" x14ac:dyDescent="0.5">
      <c r="D1955" s="3" t="s">
        <v>93</v>
      </c>
    </row>
    <row r="1956" spans="4:4" ht="17.649999999999999" x14ac:dyDescent="0.5">
      <c r="D1956" s="3" t="s">
        <v>59</v>
      </c>
    </row>
    <row r="1957" spans="4:4" ht="17.649999999999999" x14ac:dyDescent="0.5">
      <c r="D1957" s="3" t="s">
        <v>55</v>
      </c>
    </row>
    <row r="1958" spans="4:4" ht="17.649999999999999" x14ac:dyDescent="0.5">
      <c r="D1958" s="3" t="s">
        <v>43</v>
      </c>
    </row>
    <row r="1959" spans="4:4" ht="17.649999999999999" x14ac:dyDescent="0.5">
      <c r="D1959" s="3" t="s">
        <v>109</v>
      </c>
    </row>
    <row r="1960" spans="4:4" ht="17.649999999999999" x14ac:dyDescent="0.5">
      <c r="D1960" s="3" t="s">
        <v>63</v>
      </c>
    </row>
    <row r="1961" spans="4:4" ht="17.649999999999999" x14ac:dyDescent="0.5">
      <c r="D1961" s="3" t="s">
        <v>129</v>
      </c>
    </row>
    <row r="1962" spans="4:4" ht="17.649999999999999" x14ac:dyDescent="0.5">
      <c r="D1962" s="3" t="s">
        <v>72</v>
      </c>
    </row>
    <row r="1963" spans="4:4" ht="17.649999999999999" x14ac:dyDescent="0.5">
      <c r="D1963" s="3" t="s">
        <v>64</v>
      </c>
    </row>
    <row r="1964" spans="4:4" ht="17.649999999999999" x14ac:dyDescent="0.5">
      <c r="D1964" s="3" t="s">
        <v>52</v>
      </c>
    </row>
    <row r="1965" spans="4:4" ht="17.649999999999999" x14ac:dyDescent="0.5">
      <c r="D1965" s="3" t="s">
        <v>61</v>
      </c>
    </row>
    <row r="1966" spans="4:4" ht="17.649999999999999" x14ac:dyDescent="0.5">
      <c r="D1966" s="3" t="s">
        <v>59</v>
      </c>
    </row>
    <row r="1967" spans="4:4" ht="17.649999999999999" x14ac:dyDescent="0.5">
      <c r="D1967" s="3" t="s">
        <v>68</v>
      </c>
    </row>
    <row r="1968" spans="4:4" ht="17.649999999999999" x14ac:dyDescent="0.5">
      <c r="D1968" s="3" t="s">
        <v>98</v>
      </c>
    </row>
    <row r="1969" spans="4:4" ht="17.649999999999999" x14ac:dyDescent="0.5">
      <c r="D1969" s="3" t="s">
        <v>65</v>
      </c>
    </row>
    <row r="1970" spans="4:4" ht="17.649999999999999" x14ac:dyDescent="0.5">
      <c r="D1970" s="3" t="s">
        <v>56</v>
      </c>
    </row>
    <row r="1971" spans="4:4" ht="17.649999999999999" x14ac:dyDescent="0.5">
      <c r="D1971" s="3" t="s">
        <v>105</v>
      </c>
    </row>
    <row r="1972" spans="4:4" ht="17.649999999999999" x14ac:dyDescent="0.5">
      <c r="D1972" s="3" t="s">
        <v>122</v>
      </c>
    </row>
    <row r="1973" spans="4:4" ht="17.649999999999999" x14ac:dyDescent="0.5">
      <c r="D1973" s="3" t="s">
        <v>41</v>
      </c>
    </row>
    <row r="1974" spans="4:4" ht="17.649999999999999" x14ac:dyDescent="0.5">
      <c r="D1974" s="3" t="s">
        <v>44</v>
      </c>
    </row>
    <row r="1975" spans="4:4" ht="17.649999999999999" x14ac:dyDescent="0.5">
      <c r="D1975" s="3" t="s">
        <v>73</v>
      </c>
    </row>
    <row r="1976" spans="4:4" ht="17.649999999999999" x14ac:dyDescent="0.5">
      <c r="D1976" s="3" t="s">
        <v>123</v>
      </c>
    </row>
    <row r="1977" spans="4:4" ht="17.649999999999999" x14ac:dyDescent="0.5">
      <c r="D1977" s="3" t="s">
        <v>97</v>
      </c>
    </row>
    <row r="1978" spans="4:4" ht="17.649999999999999" x14ac:dyDescent="0.5">
      <c r="D1978" s="3" t="s">
        <v>63</v>
      </c>
    </row>
    <row r="1979" spans="4:4" ht="17.649999999999999" x14ac:dyDescent="0.5">
      <c r="D1979" s="3" t="s">
        <v>81</v>
      </c>
    </row>
    <row r="1980" spans="4:4" ht="17.649999999999999" x14ac:dyDescent="0.5">
      <c r="D1980" s="3" t="s">
        <v>94</v>
      </c>
    </row>
    <row r="1981" spans="4:4" ht="17.649999999999999" x14ac:dyDescent="0.5">
      <c r="D1981" s="3" t="s">
        <v>87</v>
      </c>
    </row>
    <row r="1982" spans="4:4" ht="17.649999999999999" x14ac:dyDescent="0.5">
      <c r="D1982" s="3" t="s">
        <v>70</v>
      </c>
    </row>
    <row r="1983" spans="4:4" ht="17.649999999999999" x14ac:dyDescent="0.5">
      <c r="D1983" s="3" t="s">
        <v>67</v>
      </c>
    </row>
    <row r="1984" spans="4:4" ht="17.649999999999999" x14ac:dyDescent="0.5">
      <c r="D1984" s="3" t="s">
        <v>49</v>
      </c>
    </row>
    <row r="1985" spans="4:4" ht="17.649999999999999" x14ac:dyDescent="0.5">
      <c r="D1985" s="3" t="s">
        <v>94</v>
      </c>
    </row>
    <row r="1986" spans="4:4" ht="17.649999999999999" x14ac:dyDescent="0.5">
      <c r="D1986" s="3" t="s">
        <v>63</v>
      </c>
    </row>
    <row r="1987" spans="4:4" ht="17.649999999999999" x14ac:dyDescent="0.5">
      <c r="D1987" s="3" t="s">
        <v>47</v>
      </c>
    </row>
    <row r="1988" spans="4:4" ht="17.649999999999999" x14ac:dyDescent="0.5">
      <c r="D1988" s="3" t="s">
        <v>80</v>
      </c>
    </row>
    <row r="1989" spans="4:4" ht="17.649999999999999" x14ac:dyDescent="0.5">
      <c r="D1989" s="3" t="s">
        <v>96</v>
      </c>
    </row>
    <row r="1990" spans="4:4" ht="17.649999999999999" x14ac:dyDescent="0.5">
      <c r="D1990" s="3" t="s">
        <v>92</v>
      </c>
    </row>
    <row r="1991" spans="4:4" ht="17.649999999999999" x14ac:dyDescent="0.5">
      <c r="D1991" s="3" t="s">
        <v>118</v>
      </c>
    </row>
    <row r="1992" spans="4:4" ht="17.649999999999999" x14ac:dyDescent="0.5">
      <c r="D1992" s="3" t="s">
        <v>80</v>
      </c>
    </row>
    <row r="1993" spans="4:4" ht="17.649999999999999" x14ac:dyDescent="0.5">
      <c r="D1993" s="3" t="s">
        <v>44</v>
      </c>
    </row>
    <row r="1994" spans="4:4" ht="17.649999999999999" x14ac:dyDescent="0.5">
      <c r="D1994" s="3" t="s">
        <v>42</v>
      </c>
    </row>
    <row r="1995" spans="4:4" ht="17.649999999999999" x14ac:dyDescent="0.5">
      <c r="D1995" s="3" t="s">
        <v>44</v>
      </c>
    </row>
    <row r="1996" spans="4:4" ht="17.649999999999999" x14ac:dyDescent="0.5">
      <c r="D1996" s="3" t="s">
        <v>65</v>
      </c>
    </row>
    <row r="1997" spans="4:4" ht="17.649999999999999" x14ac:dyDescent="0.5">
      <c r="D1997" s="3" t="s">
        <v>77</v>
      </c>
    </row>
    <row r="1998" spans="4:4" ht="17.649999999999999" x14ac:dyDescent="0.5">
      <c r="D1998" s="3" t="s">
        <v>65</v>
      </c>
    </row>
    <row r="1999" spans="4:4" ht="17.649999999999999" x14ac:dyDescent="0.5">
      <c r="D1999" s="3" t="s">
        <v>87</v>
      </c>
    </row>
    <row r="2000" spans="4:4" ht="17.649999999999999" x14ac:dyDescent="0.5">
      <c r="D2000" s="3" t="s">
        <v>103</v>
      </c>
    </row>
    <row r="2001" spans="4:4" ht="17.649999999999999" x14ac:dyDescent="0.5">
      <c r="D2001" s="3" t="s">
        <v>115</v>
      </c>
    </row>
    <row r="2002" spans="4:4" ht="17.649999999999999" x14ac:dyDescent="0.5">
      <c r="D2002" s="3" t="s">
        <v>64</v>
      </c>
    </row>
    <row r="2003" spans="4:4" ht="17.649999999999999" x14ac:dyDescent="0.5">
      <c r="D2003" s="3" t="s">
        <v>83</v>
      </c>
    </row>
    <row r="2004" spans="4:4" ht="17.649999999999999" x14ac:dyDescent="0.5">
      <c r="D2004" s="3" t="s">
        <v>124</v>
      </c>
    </row>
    <row r="2005" spans="4:4" ht="17.649999999999999" x14ac:dyDescent="0.5">
      <c r="D2005" s="3" t="s">
        <v>52</v>
      </c>
    </row>
    <row r="2006" spans="4:4" ht="17.649999999999999" x14ac:dyDescent="0.5">
      <c r="D2006" s="3" t="s">
        <v>108</v>
      </c>
    </row>
    <row r="2007" spans="4:4" ht="17.649999999999999" x14ac:dyDescent="0.5">
      <c r="D2007" s="3" t="s">
        <v>98</v>
      </c>
    </row>
    <row r="2008" spans="4:4" ht="17.649999999999999" x14ac:dyDescent="0.5">
      <c r="D2008" s="3" t="s">
        <v>73</v>
      </c>
    </row>
    <row r="2009" spans="4:4" ht="17.649999999999999" x14ac:dyDescent="0.5">
      <c r="D2009" s="3" t="s">
        <v>106</v>
      </c>
    </row>
    <row r="2010" spans="4:4" ht="17.649999999999999" x14ac:dyDescent="0.5">
      <c r="D2010" s="3" t="s">
        <v>113</v>
      </c>
    </row>
    <row r="2011" spans="4:4" ht="17.649999999999999" x14ac:dyDescent="0.5">
      <c r="D2011" s="3" t="s">
        <v>133</v>
      </c>
    </row>
    <row r="2012" spans="4:4" ht="17.649999999999999" x14ac:dyDescent="0.5">
      <c r="D2012" s="3" t="s">
        <v>46</v>
      </c>
    </row>
    <row r="2013" spans="4:4" ht="17.649999999999999" x14ac:dyDescent="0.5">
      <c r="D2013" s="3" t="s">
        <v>95</v>
      </c>
    </row>
    <row r="2014" spans="4:4" ht="17.649999999999999" x14ac:dyDescent="0.5">
      <c r="D2014" s="3" t="s">
        <v>92</v>
      </c>
    </row>
    <row r="2015" spans="4:4" ht="17.649999999999999" x14ac:dyDescent="0.5">
      <c r="D2015" s="3" t="s">
        <v>81</v>
      </c>
    </row>
    <row r="2016" spans="4:4" ht="17.649999999999999" x14ac:dyDescent="0.5">
      <c r="D2016" s="3" t="s">
        <v>63</v>
      </c>
    </row>
    <row r="2017" spans="4:4" ht="17.649999999999999" x14ac:dyDescent="0.5">
      <c r="D2017" s="3" t="s">
        <v>84</v>
      </c>
    </row>
    <row r="2018" spans="4:4" ht="17.649999999999999" x14ac:dyDescent="0.5">
      <c r="D2018" s="3" t="s">
        <v>55</v>
      </c>
    </row>
    <row r="2019" spans="4:4" ht="17.649999999999999" x14ac:dyDescent="0.5">
      <c r="D2019" s="3" t="s">
        <v>90</v>
      </c>
    </row>
    <row r="2020" spans="4:4" ht="17.649999999999999" x14ac:dyDescent="0.5">
      <c r="D2020" s="3" t="s">
        <v>118</v>
      </c>
    </row>
    <row r="2021" spans="4:4" ht="17.649999999999999" x14ac:dyDescent="0.5">
      <c r="D2021" s="3" t="s">
        <v>70</v>
      </c>
    </row>
    <row r="2022" spans="4:4" ht="17.649999999999999" x14ac:dyDescent="0.5">
      <c r="D2022" s="3" t="s">
        <v>59</v>
      </c>
    </row>
    <row r="2023" spans="4:4" ht="17.649999999999999" x14ac:dyDescent="0.5">
      <c r="D2023" s="3" t="s">
        <v>54</v>
      </c>
    </row>
    <row r="2024" spans="4:4" ht="17.649999999999999" x14ac:dyDescent="0.5">
      <c r="D2024" s="3" t="s">
        <v>41</v>
      </c>
    </row>
    <row r="2025" spans="4:4" ht="17.649999999999999" x14ac:dyDescent="0.5">
      <c r="D2025" s="3" t="s">
        <v>133</v>
      </c>
    </row>
    <row r="2026" spans="4:4" ht="17.649999999999999" x14ac:dyDescent="0.5">
      <c r="D2026" s="3" t="s">
        <v>56</v>
      </c>
    </row>
    <row r="2027" spans="4:4" ht="17.649999999999999" x14ac:dyDescent="0.5">
      <c r="D2027" s="3" t="s">
        <v>130</v>
      </c>
    </row>
    <row r="2028" spans="4:4" ht="17.649999999999999" x14ac:dyDescent="0.5">
      <c r="D2028" s="3" t="s">
        <v>72</v>
      </c>
    </row>
    <row r="2029" spans="4:4" ht="17.649999999999999" x14ac:dyDescent="0.5">
      <c r="D2029" s="3" t="s">
        <v>91</v>
      </c>
    </row>
    <row r="2030" spans="4:4" ht="17.649999999999999" x14ac:dyDescent="0.5">
      <c r="D2030" s="3" t="s">
        <v>122</v>
      </c>
    </row>
    <row r="2031" spans="4:4" ht="17.649999999999999" x14ac:dyDescent="0.5">
      <c r="D2031" s="3" t="s">
        <v>98</v>
      </c>
    </row>
    <row r="2032" spans="4:4" ht="17.649999999999999" x14ac:dyDescent="0.5">
      <c r="D2032" s="3" t="s">
        <v>121</v>
      </c>
    </row>
    <row r="2033" spans="4:4" ht="17.649999999999999" x14ac:dyDescent="0.5">
      <c r="D2033" s="3" t="s">
        <v>43</v>
      </c>
    </row>
    <row r="2034" spans="4:4" ht="17.649999999999999" x14ac:dyDescent="0.5">
      <c r="D2034" s="3" t="s">
        <v>128</v>
      </c>
    </row>
    <row r="2035" spans="4:4" ht="17.649999999999999" x14ac:dyDescent="0.5">
      <c r="D2035" s="3" t="s">
        <v>135</v>
      </c>
    </row>
    <row r="2036" spans="4:4" ht="17.649999999999999" x14ac:dyDescent="0.5">
      <c r="D2036" s="3" t="s">
        <v>98</v>
      </c>
    </row>
    <row r="2037" spans="4:4" ht="17.649999999999999" x14ac:dyDescent="0.5">
      <c r="D2037" s="3" t="s">
        <v>66</v>
      </c>
    </row>
    <row r="2038" spans="4:4" ht="17.649999999999999" x14ac:dyDescent="0.5">
      <c r="D2038" s="3" t="s">
        <v>110</v>
      </c>
    </row>
    <row r="2039" spans="4:4" ht="17.649999999999999" x14ac:dyDescent="0.5">
      <c r="D2039" s="3" t="s">
        <v>80</v>
      </c>
    </row>
    <row r="2040" spans="4:4" ht="17.649999999999999" x14ac:dyDescent="0.5">
      <c r="D2040" s="3" t="s">
        <v>117</v>
      </c>
    </row>
    <row r="2041" spans="4:4" ht="17.649999999999999" x14ac:dyDescent="0.5">
      <c r="D2041" s="3" t="s">
        <v>105</v>
      </c>
    </row>
    <row r="2042" spans="4:4" ht="17.649999999999999" x14ac:dyDescent="0.5">
      <c r="D2042" s="3" t="s">
        <v>134</v>
      </c>
    </row>
    <row r="2043" spans="4:4" ht="17.649999999999999" x14ac:dyDescent="0.5">
      <c r="D2043" s="3" t="s">
        <v>60</v>
      </c>
    </row>
    <row r="2044" spans="4:4" ht="17.649999999999999" x14ac:dyDescent="0.5">
      <c r="D2044" s="3" t="s">
        <v>85</v>
      </c>
    </row>
    <row r="2045" spans="4:4" ht="17.649999999999999" x14ac:dyDescent="0.5">
      <c r="D2045" s="3" t="s">
        <v>96</v>
      </c>
    </row>
    <row r="2046" spans="4:4" ht="17.649999999999999" x14ac:dyDescent="0.5">
      <c r="D2046" s="3" t="s">
        <v>84</v>
      </c>
    </row>
    <row r="2047" spans="4:4" ht="17.649999999999999" x14ac:dyDescent="0.5">
      <c r="D2047" s="3" t="s">
        <v>106</v>
      </c>
    </row>
    <row r="2048" spans="4:4" ht="17.649999999999999" x14ac:dyDescent="0.5">
      <c r="D2048" s="3" t="s">
        <v>47</v>
      </c>
    </row>
    <row r="2049" spans="4:4" ht="17.649999999999999" x14ac:dyDescent="0.5">
      <c r="D2049" s="3" t="s">
        <v>54</v>
      </c>
    </row>
    <row r="2050" spans="4:4" ht="17.649999999999999" x14ac:dyDescent="0.5">
      <c r="D2050" s="3" t="s">
        <v>55</v>
      </c>
    </row>
    <row r="2051" spans="4:4" ht="17.649999999999999" x14ac:dyDescent="0.5">
      <c r="D2051" s="3" t="s">
        <v>102</v>
      </c>
    </row>
    <row r="2052" spans="4:4" ht="17.649999999999999" x14ac:dyDescent="0.5">
      <c r="D2052" s="3" t="s">
        <v>85</v>
      </c>
    </row>
    <row r="2053" spans="4:4" ht="17.649999999999999" x14ac:dyDescent="0.5">
      <c r="D2053" s="3" t="s">
        <v>48</v>
      </c>
    </row>
    <row r="2054" spans="4:4" ht="17.649999999999999" x14ac:dyDescent="0.5">
      <c r="D2054" s="3" t="s">
        <v>78</v>
      </c>
    </row>
    <row r="2055" spans="4:4" ht="17.649999999999999" x14ac:dyDescent="0.5">
      <c r="D2055" s="3" t="s">
        <v>101</v>
      </c>
    </row>
    <row r="2056" spans="4:4" ht="17.649999999999999" x14ac:dyDescent="0.5">
      <c r="D2056" s="3" t="s">
        <v>49</v>
      </c>
    </row>
    <row r="2057" spans="4:4" ht="17.649999999999999" x14ac:dyDescent="0.5">
      <c r="D2057" s="3" t="s">
        <v>93</v>
      </c>
    </row>
    <row r="2058" spans="4:4" ht="17.649999999999999" x14ac:dyDescent="0.5">
      <c r="D2058" s="3" t="s">
        <v>75</v>
      </c>
    </row>
    <row r="2059" spans="4:4" ht="17.649999999999999" x14ac:dyDescent="0.5">
      <c r="D2059" s="3" t="s">
        <v>69</v>
      </c>
    </row>
    <row r="2060" spans="4:4" ht="17.649999999999999" x14ac:dyDescent="0.5">
      <c r="D2060" s="3" t="s">
        <v>130</v>
      </c>
    </row>
    <row r="2061" spans="4:4" ht="17.649999999999999" x14ac:dyDescent="0.5">
      <c r="D2061" s="3" t="s">
        <v>135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D1:P2061"/>
  <sheetViews>
    <sheetView topLeftCell="A2033" workbookViewId="0">
      <selection activeCell="D62" sqref="D62:D2061"/>
    </sheetView>
  </sheetViews>
  <sheetFormatPr baseColWidth="10" defaultRowHeight="15.75" x14ac:dyDescent="0.5"/>
  <sheetData>
    <row r="1" spans="4:10" ht="25.15" x14ac:dyDescent="0.7">
      <c r="D1" s="1" t="s">
        <v>162</v>
      </c>
    </row>
    <row r="2" spans="4:10" x14ac:dyDescent="0.5">
      <c r="D2" s="2" t="s">
        <v>8</v>
      </c>
      <c r="E2" s="2" t="s">
        <v>9</v>
      </c>
      <c r="F2" s="2" t="s">
        <v>10</v>
      </c>
    </row>
    <row r="3" spans="4:10" x14ac:dyDescent="0.5">
      <c r="D3" s="2" t="s">
        <v>11</v>
      </c>
      <c r="E3" s="2" t="s">
        <v>12</v>
      </c>
      <c r="F3" s="2" t="s">
        <v>13</v>
      </c>
      <c r="G3" s="2" t="s">
        <v>14</v>
      </c>
      <c r="H3" s="2" t="s">
        <v>15</v>
      </c>
      <c r="I3" s="2" t="s">
        <v>16</v>
      </c>
      <c r="J3" s="2" t="s">
        <v>17</v>
      </c>
    </row>
    <row r="4" spans="4:10" x14ac:dyDescent="0.5">
      <c r="D4" s="2">
        <v>1</v>
      </c>
      <c r="E4" s="2">
        <v>0</v>
      </c>
      <c r="F4" s="2">
        <v>0</v>
      </c>
      <c r="G4" s="2">
        <v>0</v>
      </c>
      <c r="H4" s="2">
        <v>1</v>
      </c>
      <c r="I4" s="2">
        <v>1</v>
      </c>
      <c r="J4" s="2">
        <v>0</v>
      </c>
    </row>
    <row r="5" spans="4:10" ht="17.649999999999999" x14ac:dyDescent="0.5">
      <c r="D5" s="3"/>
    </row>
    <row r="6" spans="4:10" ht="17.649999999999999" x14ac:dyDescent="0.5">
      <c r="D6" s="3" t="s">
        <v>18</v>
      </c>
    </row>
    <row r="7" spans="4:10" ht="17.649999999999999" x14ac:dyDescent="0.5">
      <c r="D7" s="3" t="s">
        <v>19</v>
      </c>
    </row>
    <row r="8" spans="4:10" ht="17.649999999999999" x14ac:dyDescent="0.5">
      <c r="D8" s="3" t="s">
        <v>20</v>
      </c>
    </row>
    <row r="10" spans="4:10" ht="25.15" x14ac:dyDescent="0.7">
      <c r="D10" s="1" t="s">
        <v>21</v>
      </c>
    </row>
    <row r="11" spans="4:10" x14ac:dyDescent="0.5">
      <c r="D11" s="2" t="s">
        <v>8</v>
      </c>
      <c r="E11" s="2" t="s">
        <v>9</v>
      </c>
      <c r="F11" s="2" t="s">
        <v>10</v>
      </c>
    </row>
    <row r="12" spans="4:10" x14ac:dyDescent="0.5">
      <c r="D12" s="2" t="s">
        <v>11</v>
      </c>
      <c r="E12" s="2" t="s">
        <v>12</v>
      </c>
      <c r="F12" s="2" t="s">
        <v>13</v>
      </c>
      <c r="G12" s="2" t="s">
        <v>14</v>
      </c>
      <c r="H12" s="2" t="s">
        <v>15</v>
      </c>
      <c r="I12" s="2" t="s">
        <v>16</v>
      </c>
      <c r="J12" s="2" t="s">
        <v>17</v>
      </c>
    </row>
    <row r="13" spans="4:10" x14ac:dyDescent="0.5">
      <c r="D13" s="2">
        <v>500</v>
      </c>
      <c r="E13" s="2">
        <v>500</v>
      </c>
      <c r="F13" s="2">
        <v>332</v>
      </c>
      <c r="G13" s="2">
        <v>333</v>
      </c>
      <c r="H13" s="2">
        <v>335</v>
      </c>
      <c r="I13" s="2">
        <v>501</v>
      </c>
      <c r="J13" s="2">
        <v>499</v>
      </c>
    </row>
    <row r="14" spans="4:10" ht="17.649999999999999" x14ac:dyDescent="0.5">
      <c r="D14" s="3"/>
    </row>
    <row r="15" spans="4:10" x14ac:dyDescent="0.5">
      <c r="D15" s="2" t="s">
        <v>22</v>
      </c>
    </row>
    <row r="16" spans="4:10" x14ac:dyDescent="0.5">
      <c r="D16" s="2">
        <v>1000</v>
      </c>
    </row>
    <row r="17" spans="4:16" ht="17.649999999999999" x14ac:dyDescent="0.5">
      <c r="D17" s="3"/>
    </row>
    <row r="18" spans="4:16" ht="17.649999999999999" x14ac:dyDescent="0.5">
      <c r="D18" s="3"/>
    </row>
    <row r="20" spans="4:16" ht="25.15" x14ac:dyDescent="0.7">
      <c r="D20" s="1" t="s">
        <v>23</v>
      </c>
    </row>
    <row r="21" spans="4:16" x14ac:dyDescent="0.5">
      <c r="D21" s="2" t="s">
        <v>8</v>
      </c>
      <c r="E21" s="2" t="s">
        <v>9</v>
      </c>
      <c r="F21" s="2" t="s">
        <v>10</v>
      </c>
    </row>
    <row r="22" spans="4:16" x14ac:dyDescent="0.5">
      <c r="D22" s="2" t="s">
        <v>11</v>
      </c>
      <c r="E22" s="2" t="s">
        <v>12</v>
      </c>
      <c r="F22" s="2" t="s">
        <v>13</v>
      </c>
      <c r="G22" s="2" t="s">
        <v>14</v>
      </c>
      <c r="H22" s="2" t="s">
        <v>15</v>
      </c>
      <c r="I22" s="2" t="s">
        <v>16</v>
      </c>
      <c r="J22" s="2" t="s">
        <v>17</v>
      </c>
    </row>
    <row r="23" spans="4:16" x14ac:dyDescent="0.5">
      <c r="D23" s="2">
        <v>500</v>
      </c>
      <c r="E23" s="2">
        <v>500</v>
      </c>
      <c r="F23" s="2">
        <v>332</v>
      </c>
      <c r="G23" s="2">
        <v>335</v>
      </c>
      <c r="H23" s="2">
        <v>333</v>
      </c>
      <c r="I23" s="2">
        <v>501</v>
      </c>
      <c r="J23" s="2">
        <v>499</v>
      </c>
    </row>
    <row r="24" spans="4:16" ht="17.649999999999999" x14ac:dyDescent="0.5">
      <c r="D24" s="3"/>
    </row>
    <row r="25" spans="4:16" x14ac:dyDescent="0.5">
      <c r="D25" s="2" t="s">
        <v>22</v>
      </c>
    </row>
    <row r="26" spans="4:16" x14ac:dyDescent="0.5">
      <c r="D26" s="2">
        <v>1000</v>
      </c>
    </row>
    <row r="27" spans="4:16" ht="17.649999999999999" x14ac:dyDescent="0.5">
      <c r="D27" s="3" t="s">
        <v>24</v>
      </c>
    </row>
    <row r="28" spans="4:16" x14ac:dyDescent="0.5">
      <c r="D28" s="2" t="s">
        <v>25</v>
      </c>
    </row>
    <row r="29" spans="4:16" x14ac:dyDescent="0.5">
      <c r="D29" s="2"/>
      <c r="E29" s="2" t="s">
        <v>26</v>
      </c>
    </row>
    <row r="30" spans="4:16" x14ac:dyDescent="0.5">
      <c r="D30" s="2" t="s">
        <v>27</v>
      </c>
      <c r="E30" s="2">
        <v>1</v>
      </c>
      <c r="F30" s="2">
        <v>2</v>
      </c>
      <c r="G30" s="2">
        <v>3</v>
      </c>
      <c r="H30" s="2">
        <v>4</v>
      </c>
      <c r="I30" s="2">
        <v>5</v>
      </c>
      <c r="J30" s="2">
        <v>6</v>
      </c>
      <c r="K30" s="2">
        <v>7</v>
      </c>
      <c r="L30" s="2">
        <v>8</v>
      </c>
      <c r="M30" s="2">
        <v>9</v>
      </c>
      <c r="N30" s="2">
        <v>10</v>
      </c>
      <c r="O30" s="2">
        <v>11</v>
      </c>
      <c r="P30" s="2">
        <v>12</v>
      </c>
    </row>
    <row r="31" spans="4:16" x14ac:dyDescent="0.5">
      <c r="D31" s="2">
        <v>1</v>
      </c>
      <c r="E31" s="2">
        <v>36</v>
      </c>
      <c r="F31" s="2">
        <v>50</v>
      </c>
      <c r="G31" s="2">
        <v>43</v>
      </c>
      <c r="H31" s="2">
        <v>43</v>
      </c>
      <c r="I31" s="2">
        <v>45</v>
      </c>
      <c r="J31" s="2">
        <v>45</v>
      </c>
      <c r="K31" s="2">
        <v>40</v>
      </c>
      <c r="L31" s="2">
        <v>40</v>
      </c>
      <c r="M31" s="2">
        <v>48</v>
      </c>
      <c r="N31" s="2">
        <v>37</v>
      </c>
      <c r="O31" s="2">
        <v>34</v>
      </c>
      <c r="P31" s="2">
        <v>43</v>
      </c>
    </row>
    <row r="32" spans="4:16" x14ac:dyDescent="0.5">
      <c r="D32" s="2">
        <v>2</v>
      </c>
      <c r="E32" s="2">
        <v>42</v>
      </c>
      <c r="F32" s="2">
        <v>38</v>
      </c>
      <c r="G32" s="2">
        <v>42</v>
      </c>
      <c r="H32" s="2">
        <v>43</v>
      </c>
      <c r="I32" s="2">
        <v>38</v>
      </c>
      <c r="J32" s="2">
        <v>35</v>
      </c>
      <c r="K32" s="2">
        <v>46</v>
      </c>
      <c r="L32" s="2">
        <v>40</v>
      </c>
      <c r="M32" s="2">
        <v>43</v>
      </c>
      <c r="N32" s="2">
        <v>34</v>
      </c>
      <c r="O32" s="2">
        <v>44</v>
      </c>
      <c r="P32" s="2">
        <v>51</v>
      </c>
    </row>
    <row r="33" spans="4:16" ht="17.649999999999999" x14ac:dyDescent="0.5">
      <c r="D33" s="3"/>
    </row>
    <row r="34" spans="4:16" x14ac:dyDescent="0.5">
      <c r="D34" s="2" t="s">
        <v>28</v>
      </c>
    </row>
    <row r="35" spans="4:16" x14ac:dyDescent="0.5">
      <c r="D35" s="2"/>
      <c r="E35" s="2" t="s">
        <v>26</v>
      </c>
    </row>
    <row r="36" spans="4:16" x14ac:dyDescent="0.5">
      <c r="D36" s="2" t="s">
        <v>27</v>
      </c>
      <c r="E36" s="2">
        <v>1</v>
      </c>
      <c r="F36" s="2">
        <v>2</v>
      </c>
      <c r="G36" s="2">
        <v>3</v>
      </c>
      <c r="H36" s="2">
        <v>4</v>
      </c>
      <c r="I36" s="2">
        <v>5</v>
      </c>
      <c r="J36" s="2">
        <v>6</v>
      </c>
      <c r="K36" s="2">
        <v>7</v>
      </c>
      <c r="L36" s="2">
        <v>8</v>
      </c>
      <c r="M36" s="2">
        <v>9</v>
      </c>
      <c r="N36" s="2">
        <v>10</v>
      </c>
      <c r="O36" s="2">
        <v>11</v>
      </c>
      <c r="P36" s="2">
        <v>12</v>
      </c>
    </row>
    <row r="37" spans="4:16" x14ac:dyDescent="0.5">
      <c r="D37" s="2">
        <v>1</v>
      </c>
      <c r="E37" s="2">
        <v>47</v>
      </c>
      <c r="F37" s="2">
        <v>33</v>
      </c>
      <c r="G37" s="2">
        <v>41</v>
      </c>
      <c r="H37" s="2">
        <v>40</v>
      </c>
      <c r="I37" s="2">
        <v>39</v>
      </c>
      <c r="J37" s="2">
        <v>38</v>
      </c>
      <c r="K37" s="2">
        <v>43</v>
      </c>
      <c r="L37" s="2">
        <v>43</v>
      </c>
      <c r="M37" s="2">
        <v>36</v>
      </c>
      <c r="N37" s="2">
        <v>46</v>
      </c>
      <c r="O37" s="2">
        <v>49</v>
      </c>
      <c r="P37" s="2">
        <v>41</v>
      </c>
    </row>
    <row r="38" spans="4:16" x14ac:dyDescent="0.5">
      <c r="D38" s="2">
        <v>2</v>
      </c>
      <c r="E38" s="2">
        <v>41</v>
      </c>
      <c r="F38" s="2">
        <v>45</v>
      </c>
      <c r="G38" s="2">
        <v>42</v>
      </c>
      <c r="H38" s="2">
        <v>40</v>
      </c>
      <c r="I38" s="2">
        <v>46</v>
      </c>
      <c r="J38" s="2">
        <v>48</v>
      </c>
      <c r="K38" s="2">
        <v>37</v>
      </c>
      <c r="L38" s="2">
        <v>43</v>
      </c>
      <c r="M38" s="2">
        <v>41</v>
      </c>
      <c r="N38" s="2">
        <v>49</v>
      </c>
      <c r="O38" s="2">
        <v>39</v>
      </c>
      <c r="P38" s="2">
        <v>33</v>
      </c>
    </row>
    <row r="39" spans="4:16" ht="17.649999999999999" x14ac:dyDescent="0.5">
      <c r="D39" s="3" t="s">
        <v>137</v>
      </c>
      <c r="E39">
        <f t="shared" ref="E39:P39" si="0">E31-E37</f>
        <v>-11</v>
      </c>
      <c r="F39">
        <f t="shared" si="0"/>
        <v>17</v>
      </c>
      <c r="G39">
        <f t="shared" si="0"/>
        <v>2</v>
      </c>
      <c r="H39">
        <f t="shared" si="0"/>
        <v>3</v>
      </c>
      <c r="I39">
        <f t="shared" si="0"/>
        <v>6</v>
      </c>
      <c r="J39">
        <f t="shared" si="0"/>
        <v>7</v>
      </c>
      <c r="K39">
        <f t="shared" si="0"/>
        <v>-3</v>
      </c>
      <c r="L39">
        <f t="shared" si="0"/>
        <v>-3</v>
      </c>
      <c r="M39">
        <f t="shared" si="0"/>
        <v>12</v>
      </c>
      <c r="N39">
        <f t="shared" si="0"/>
        <v>-9</v>
      </c>
      <c r="O39">
        <f t="shared" si="0"/>
        <v>-15</v>
      </c>
      <c r="P39">
        <f t="shared" si="0"/>
        <v>2</v>
      </c>
    </row>
    <row r="40" spans="4:16" ht="17.649999999999999" x14ac:dyDescent="0.5">
      <c r="D40" s="3" t="s">
        <v>138</v>
      </c>
      <c r="E40">
        <f t="shared" ref="E40:P40" si="1">E32-E38</f>
        <v>1</v>
      </c>
      <c r="F40">
        <f t="shared" si="1"/>
        <v>-7</v>
      </c>
      <c r="G40">
        <f t="shared" si="1"/>
        <v>0</v>
      </c>
      <c r="H40">
        <f t="shared" si="1"/>
        <v>3</v>
      </c>
      <c r="I40">
        <f t="shared" si="1"/>
        <v>-8</v>
      </c>
      <c r="J40">
        <f t="shared" si="1"/>
        <v>-13</v>
      </c>
      <c r="K40">
        <f t="shared" si="1"/>
        <v>9</v>
      </c>
      <c r="L40">
        <f t="shared" si="1"/>
        <v>-3</v>
      </c>
      <c r="M40">
        <f t="shared" si="1"/>
        <v>2</v>
      </c>
      <c r="N40">
        <f t="shared" si="1"/>
        <v>-15</v>
      </c>
      <c r="O40">
        <f t="shared" si="1"/>
        <v>5</v>
      </c>
      <c r="P40">
        <f t="shared" si="1"/>
        <v>18</v>
      </c>
    </row>
    <row r="41" spans="4:16" x14ac:dyDescent="0.5">
      <c r="D41" s="2" t="s">
        <v>29</v>
      </c>
    </row>
    <row r="42" spans="4:16" x14ac:dyDescent="0.5">
      <c r="D42" s="2"/>
      <c r="E42" s="2" t="s">
        <v>26</v>
      </c>
    </row>
    <row r="43" spans="4:16" x14ac:dyDescent="0.5">
      <c r="D43" s="2" t="s">
        <v>27</v>
      </c>
      <c r="E43" s="2">
        <v>1</v>
      </c>
      <c r="F43" s="2">
        <v>2</v>
      </c>
      <c r="G43" s="2">
        <v>3</v>
      </c>
      <c r="H43" s="2">
        <v>4</v>
      </c>
      <c r="I43" s="2">
        <v>5</v>
      </c>
      <c r="J43" s="2">
        <v>6</v>
      </c>
      <c r="K43" s="2">
        <v>7</v>
      </c>
      <c r="L43" s="2">
        <v>8</v>
      </c>
      <c r="M43" s="2">
        <v>9</v>
      </c>
      <c r="N43" s="2">
        <v>10</v>
      </c>
      <c r="O43" s="2">
        <v>11</v>
      </c>
      <c r="P43" s="2">
        <v>12</v>
      </c>
    </row>
    <row r="44" spans="4:16" x14ac:dyDescent="0.5">
      <c r="D44" s="2" t="s">
        <v>25</v>
      </c>
      <c r="E44" s="2">
        <v>78</v>
      </c>
      <c r="F44" s="2">
        <v>88</v>
      </c>
      <c r="G44" s="2">
        <v>85</v>
      </c>
      <c r="H44" s="2">
        <v>86</v>
      </c>
      <c r="I44" s="2">
        <v>83</v>
      </c>
      <c r="J44" s="2">
        <v>80</v>
      </c>
      <c r="K44" s="2">
        <v>86</v>
      </c>
      <c r="L44" s="2">
        <v>80</v>
      </c>
      <c r="M44" s="2">
        <v>91</v>
      </c>
      <c r="N44" s="2">
        <v>71</v>
      </c>
      <c r="O44" s="2">
        <v>78</v>
      </c>
      <c r="P44" s="2">
        <v>94</v>
      </c>
    </row>
    <row r="45" spans="4:16" x14ac:dyDescent="0.5">
      <c r="D45" s="2" t="s">
        <v>28</v>
      </c>
      <c r="E45" s="2">
        <v>88</v>
      </c>
      <c r="F45" s="2">
        <v>78</v>
      </c>
      <c r="G45" s="2">
        <v>83</v>
      </c>
      <c r="H45" s="2">
        <v>80</v>
      </c>
      <c r="I45" s="2">
        <v>85</v>
      </c>
      <c r="J45" s="2">
        <v>86</v>
      </c>
      <c r="K45" s="2">
        <v>80</v>
      </c>
      <c r="L45" s="2">
        <v>86</v>
      </c>
      <c r="M45" s="2">
        <v>77</v>
      </c>
      <c r="N45" s="2">
        <v>95</v>
      </c>
      <c r="O45" s="2">
        <v>88</v>
      </c>
      <c r="P45" s="2">
        <v>74</v>
      </c>
    </row>
    <row r="46" spans="4:16" x14ac:dyDescent="0.5">
      <c r="D46" s="2" t="s">
        <v>30</v>
      </c>
      <c r="E46" s="2">
        <v>-10</v>
      </c>
      <c r="F46" s="2">
        <v>10</v>
      </c>
      <c r="G46" s="2">
        <v>2</v>
      </c>
      <c r="H46" s="2">
        <v>6</v>
      </c>
      <c r="I46" s="2">
        <v>-2</v>
      </c>
      <c r="J46" s="2">
        <v>-6</v>
      </c>
      <c r="K46" s="2">
        <v>6</v>
      </c>
      <c r="L46" s="2">
        <v>-6</v>
      </c>
      <c r="M46" s="2">
        <v>14</v>
      </c>
      <c r="N46" s="2">
        <v>-24</v>
      </c>
      <c r="O46" s="2">
        <v>-10</v>
      </c>
      <c r="P46" s="2">
        <v>20</v>
      </c>
    </row>
    <row r="47" spans="4:16" ht="17.649999999999999" x14ac:dyDescent="0.5">
      <c r="D47" s="3"/>
    </row>
    <row r="48" spans="4:16" x14ac:dyDescent="0.5">
      <c r="D48" s="2" t="s">
        <v>31</v>
      </c>
    </row>
    <row r="49" spans="4:11" x14ac:dyDescent="0.5">
      <c r="D49" s="2"/>
      <c r="E49" s="2" t="s">
        <v>32</v>
      </c>
    </row>
    <row r="50" spans="4:11" x14ac:dyDescent="0.5">
      <c r="D50" s="2"/>
      <c r="E50" s="2" t="s">
        <v>11</v>
      </c>
      <c r="F50" s="2" t="s">
        <v>12</v>
      </c>
      <c r="G50" s="2" t="s">
        <v>33</v>
      </c>
      <c r="H50" s="2" t="s">
        <v>34</v>
      </c>
      <c r="I50" s="2" t="s">
        <v>35</v>
      </c>
      <c r="J50" s="2" t="s">
        <v>16</v>
      </c>
      <c r="K50" s="2" t="s">
        <v>17</v>
      </c>
    </row>
    <row r="51" spans="4:11" x14ac:dyDescent="0.5">
      <c r="D51" s="2" t="s">
        <v>25</v>
      </c>
      <c r="E51" s="2">
        <v>500</v>
      </c>
      <c r="F51" s="2">
        <v>500</v>
      </c>
      <c r="G51" s="2">
        <v>332</v>
      </c>
      <c r="H51" s="2">
        <v>333</v>
      </c>
      <c r="I51" s="2">
        <v>335</v>
      </c>
      <c r="J51" s="2">
        <v>501</v>
      </c>
      <c r="K51" s="2">
        <v>499</v>
      </c>
    </row>
    <row r="52" spans="4:11" x14ac:dyDescent="0.5">
      <c r="D52" s="2" t="s">
        <v>28</v>
      </c>
      <c r="E52" s="2">
        <v>500</v>
      </c>
      <c r="F52" s="2">
        <v>500</v>
      </c>
      <c r="G52" s="2">
        <v>332</v>
      </c>
      <c r="H52" s="2">
        <v>335</v>
      </c>
      <c r="I52" s="2">
        <v>333</v>
      </c>
      <c r="J52" s="2">
        <v>501</v>
      </c>
      <c r="K52" s="2">
        <v>499</v>
      </c>
    </row>
    <row r="53" spans="4:11" x14ac:dyDescent="0.5">
      <c r="D53" s="2" t="s">
        <v>30</v>
      </c>
      <c r="E53" s="2">
        <v>0</v>
      </c>
      <c r="F53" s="2">
        <v>0</v>
      </c>
      <c r="G53" s="2">
        <v>0</v>
      </c>
      <c r="H53" s="2">
        <v>-2</v>
      </c>
      <c r="I53" s="2">
        <v>2</v>
      </c>
      <c r="J53" s="2">
        <v>0</v>
      </c>
      <c r="K53" s="2">
        <v>0</v>
      </c>
    </row>
    <row r="54" spans="4:11" ht="17.649999999999999" x14ac:dyDescent="0.5">
      <c r="D54" s="3"/>
    </row>
    <row r="56" spans="4:11" x14ac:dyDescent="0.5">
      <c r="D56" s="2" t="s">
        <v>36</v>
      </c>
      <c r="E56" s="2">
        <v>3</v>
      </c>
      <c r="F56" s="2">
        <v>116</v>
      </c>
      <c r="G56" s="2">
        <v>513</v>
      </c>
      <c r="H56" s="2">
        <v>777</v>
      </c>
      <c r="I56" s="2">
        <v>481</v>
      </c>
      <c r="J56" s="2">
        <v>107</v>
      </c>
      <c r="K56" s="2">
        <v>3</v>
      </c>
    </row>
    <row r="57" spans="4:11" x14ac:dyDescent="0.5">
      <c r="D57" s="2" t="s">
        <v>37</v>
      </c>
      <c r="E57" s="2">
        <v>3</v>
      </c>
      <c r="F57" s="2">
        <v>2</v>
      </c>
      <c r="G57" s="2">
        <v>1</v>
      </c>
      <c r="H57" s="2">
        <v>0</v>
      </c>
      <c r="I57" s="2">
        <v>-1</v>
      </c>
      <c r="J57" s="2">
        <v>-2</v>
      </c>
      <c r="K57" s="2">
        <v>-3</v>
      </c>
    </row>
    <row r="59" spans="4:11" ht="25.15" x14ac:dyDescent="0.7">
      <c r="D59" s="1" t="s">
        <v>38</v>
      </c>
    </row>
    <row r="60" spans="4:11" ht="17.649999999999999" x14ac:dyDescent="0.5">
      <c r="D60" s="3" t="s">
        <v>147</v>
      </c>
    </row>
    <row r="61" spans="4:11" ht="17.649999999999999" x14ac:dyDescent="0.5">
      <c r="D61" s="3" t="s">
        <v>330</v>
      </c>
    </row>
    <row r="62" spans="4:11" ht="17.649999999999999" x14ac:dyDescent="0.5">
      <c r="D62" s="3" t="s">
        <v>107</v>
      </c>
    </row>
    <row r="63" spans="4:11" ht="17.649999999999999" x14ac:dyDescent="0.5">
      <c r="D63" s="3" t="s">
        <v>82</v>
      </c>
    </row>
    <row r="64" spans="4:11" ht="17.649999999999999" x14ac:dyDescent="0.5">
      <c r="D64" s="3" t="s">
        <v>85</v>
      </c>
    </row>
    <row r="65" spans="4:4" ht="17.649999999999999" x14ac:dyDescent="0.5">
      <c r="D65" s="3" t="s">
        <v>113</v>
      </c>
    </row>
    <row r="66" spans="4:4" ht="17.649999999999999" x14ac:dyDescent="0.5">
      <c r="D66" s="3" t="s">
        <v>92</v>
      </c>
    </row>
    <row r="67" spans="4:4" ht="17.649999999999999" x14ac:dyDescent="0.5">
      <c r="D67" s="3" t="s">
        <v>123</v>
      </c>
    </row>
    <row r="68" spans="4:4" ht="17.649999999999999" x14ac:dyDescent="0.5">
      <c r="D68" s="3" t="s">
        <v>78</v>
      </c>
    </row>
    <row r="69" spans="4:4" ht="17.649999999999999" x14ac:dyDescent="0.5">
      <c r="D69" s="3" t="s">
        <v>91</v>
      </c>
    </row>
    <row r="70" spans="4:4" ht="17.649999999999999" x14ac:dyDescent="0.5">
      <c r="D70" s="3" t="s">
        <v>52</v>
      </c>
    </row>
    <row r="71" spans="4:4" ht="17.649999999999999" x14ac:dyDescent="0.5">
      <c r="D71" s="3" t="s">
        <v>107</v>
      </c>
    </row>
    <row r="72" spans="4:4" ht="17.649999999999999" x14ac:dyDescent="0.5">
      <c r="D72" s="3" t="s">
        <v>104</v>
      </c>
    </row>
    <row r="73" spans="4:4" ht="17.649999999999999" x14ac:dyDescent="0.5">
      <c r="D73" s="3" t="s">
        <v>91</v>
      </c>
    </row>
    <row r="74" spans="4:4" ht="17.649999999999999" x14ac:dyDescent="0.5">
      <c r="D74" s="3" t="s">
        <v>72</v>
      </c>
    </row>
    <row r="75" spans="4:4" ht="17.649999999999999" x14ac:dyDescent="0.5">
      <c r="D75" s="3" t="s">
        <v>54</v>
      </c>
    </row>
    <row r="76" spans="4:4" ht="17.649999999999999" x14ac:dyDescent="0.5">
      <c r="D76" s="3" t="s">
        <v>96</v>
      </c>
    </row>
    <row r="77" spans="4:4" ht="17.649999999999999" x14ac:dyDescent="0.5">
      <c r="D77" s="3" t="s">
        <v>92</v>
      </c>
    </row>
    <row r="78" spans="4:4" ht="17.649999999999999" x14ac:dyDescent="0.5">
      <c r="D78" s="3" t="s">
        <v>134</v>
      </c>
    </row>
    <row r="79" spans="4:4" ht="17.649999999999999" x14ac:dyDescent="0.5">
      <c r="D79" s="3" t="s">
        <v>77</v>
      </c>
    </row>
    <row r="80" spans="4:4" ht="17.649999999999999" x14ac:dyDescent="0.5">
      <c r="D80" s="3" t="s">
        <v>55</v>
      </c>
    </row>
    <row r="81" spans="4:4" ht="17.649999999999999" x14ac:dyDescent="0.5">
      <c r="D81" s="3" t="s">
        <v>68</v>
      </c>
    </row>
    <row r="82" spans="4:4" ht="17.649999999999999" x14ac:dyDescent="0.5">
      <c r="D82" s="3" t="s">
        <v>42</v>
      </c>
    </row>
    <row r="83" spans="4:4" ht="17.649999999999999" x14ac:dyDescent="0.5">
      <c r="D83" s="3" t="s">
        <v>46</v>
      </c>
    </row>
    <row r="84" spans="4:4" ht="17.649999999999999" x14ac:dyDescent="0.5">
      <c r="D84" s="3" t="s">
        <v>64</v>
      </c>
    </row>
    <row r="85" spans="4:4" ht="17.649999999999999" x14ac:dyDescent="0.5">
      <c r="D85" s="3" t="s">
        <v>85</v>
      </c>
    </row>
    <row r="86" spans="4:4" ht="17.649999999999999" x14ac:dyDescent="0.5">
      <c r="D86" s="3" t="s">
        <v>84</v>
      </c>
    </row>
    <row r="87" spans="4:4" ht="17.649999999999999" x14ac:dyDescent="0.5">
      <c r="D87" s="3" t="s">
        <v>69</v>
      </c>
    </row>
    <row r="88" spans="4:4" ht="17.649999999999999" x14ac:dyDescent="0.5">
      <c r="D88" s="3" t="s">
        <v>104</v>
      </c>
    </row>
    <row r="89" spans="4:4" ht="17.649999999999999" x14ac:dyDescent="0.5">
      <c r="D89" s="3" t="s">
        <v>47</v>
      </c>
    </row>
    <row r="90" spans="4:4" ht="17.649999999999999" x14ac:dyDescent="0.5">
      <c r="D90" s="3" t="s">
        <v>117</v>
      </c>
    </row>
    <row r="91" spans="4:4" ht="17.649999999999999" x14ac:dyDescent="0.5">
      <c r="D91" s="3" t="s">
        <v>78</v>
      </c>
    </row>
    <row r="92" spans="4:4" ht="17.649999999999999" x14ac:dyDescent="0.5">
      <c r="D92" s="3" t="s">
        <v>69</v>
      </c>
    </row>
    <row r="93" spans="4:4" ht="17.649999999999999" x14ac:dyDescent="0.5">
      <c r="D93" s="3" t="s">
        <v>105</v>
      </c>
    </row>
    <row r="94" spans="4:4" ht="17.649999999999999" x14ac:dyDescent="0.5">
      <c r="D94" s="3" t="s">
        <v>92</v>
      </c>
    </row>
    <row r="95" spans="4:4" ht="17.649999999999999" x14ac:dyDescent="0.5">
      <c r="D95" s="3" t="s">
        <v>67</v>
      </c>
    </row>
    <row r="96" spans="4:4" ht="17.649999999999999" x14ac:dyDescent="0.5">
      <c r="D96" s="3" t="s">
        <v>50</v>
      </c>
    </row>
    <row r="97" spans="4:4" ht="17.649999999999999" x14ac:dyDescent="0.5">
      <c r="D97" s="3" t="s">
        <v>104</v>
      </c>
    </row>
    <row r="98" spans="4:4" ht="17.649999999999999" x14ac:dyDescent="0.5">
      <c r="D98" s="3" t="s">
        <v>69</v>
      </c>
    </row>
    <row r="99" spans="4:4" ht="17.649999999999999" x14ac:dyDescent="0.5">
      <c r="D99" s="3" t="s">
        <v>101</v>
      </c>
    </row>
    <row r="100" spans="4:4" ht="17.649999999999999" x14ac:dyDescent="0.5">
      <c r="D100" s="3" t="s">
        <v>47</v>
      </c>
    </row>
    <row r="101" spans="4:4" ht="17.649999999999999" x14ac:dyDescent="0.5">
      <c r="D101" s="3" t="s">
        <v>51</v>
      </c>
    </row>
    <row r="102" spans="4:4" ht="17.649999999999999" x14ac:dyDescent="0.5">
      <c r="D102" s="3" t="s">
        <v>136</v>
      </c>
    </row>
    <row r="103" spans="4:4" ht="17.649999999999999" x14ac:dyDescent="0.5">
      <c r="D103" s="3" t="s">
        <v>105</v>
      </c>
    </row>
    <row r="104" spans="4:4" ht="17.649999999999999" x14ac:dyDescent="0.5">
      <c r="D104" s="3" t="s">
        <v>123</v>
      </c>
    </row>
    <row r="105" spans="4:4" ht="17.649999999999999" x14ac:dyDescent="0.5">
      <c r="D105" s="3" t="s">
        <v>49</v>
      </c>
    </row>
    <row r="106" spans="4:4" ht="17.649999999999999" x14ac:dyDescent="0.5">
      <c r="D106" s="3" t="s">
        <v>46</v>
      </c>
    </row>
    <row r="107" spans="4:4" ht="17.649999999999999" x14ac:dyDescent="0.5">
      <c r="D107" s="3" t="s">
        <v>72</v>
      </c>
    </row>
    <row r="108" spans="4:4" ht="17.649999999999999" x14ac:dyDescent="0.5">
      <c r="D108" s="3" t="s">
        <v>120</v>
      </c>
    </row>
    <row r="109" spans="4:4" ht="17.649999999999999" x14ac:dyDescent="0.5">
      <c r="D109" s="3" t="s">
        <v>50</v>
      </c>
    </row>
    <row r="110" spans="4:4" ht="17.649999999999999" x14ac:dyDescent="0.5">
      <c r="D110" s="3" t="s">
        <v>73</v>
      </c>
    </row>
    <row r="111" spans="4:4" ht="17.649999999999999" x14ac:dyDescent="0.5">
      <c r="D111" s="3" t="s">
        <v>69</v>
      </c>
    </row>
    <row r="112" spans="4:4" ht="17.649999999999999" x14ac:dyDescent="0.5">
      <c r="D112" s="3" t="s">
        <v>98</v>
      </c>
    </row>
    <row r="113" spans="4:4" ht="17.649999999999999" x14ac:dyDescent="0.5">
      <c r="D113" s="3" t="s">
        <v>134</v>
      </c>
    </row>
    <row r="114" spans="4:4" ht="17.649999999999999" x14ac:dyDescent="0.5">
      <c r="D114" s="3" t="s">
        <v>80</v>
      </c>
    </row>
    <row r="115" spans="4:4" ht="17.649999999999999" x14ac:dyDescent="0.5">
      <c r="D115" s="3" t="s">
        <v>73</v>
      </c>
    </row>
    <row r="116" spans="4:4" ht="17.649999999999999" x14ac:dyDescent="0.5">
      <c r="D116" s="3" t="s">
        <v>49</v>
      </c>
    </row>
    <row r="117" spans="4:4" ht="17.649999999999999" x14ac:dyDescent="0.5">
      <c r="D117" s="3" t="s">
        <v>130</v>
      </c>
    </row>
    <row r="118" spans="4:4" ht="17.649999999999999" x14ac:dyDescent="0.5">
      <c r="D118" s="3" t="s">
        <v>57</v>
      </c>
    </row>
    <row r="119" spans="4:4" ht="17.649999999999999" x14ac:dyDescent="0.5">
      <c r="D119" s="3" t="s">
        <v>101</v>
      </c>
    </row>
    <row r="120" spans="4:4" ht="17.649999999999999" x14ac:dyDescent="0.5">
      <c r="D120" s="3" t="s">
        <v>54</v>
      </c>
    </row>
    <row r="121" spans="4:4" ht="17.649999999999999" x14ac:dyDescent="0.5">
      <c r="D121" s="3" t="s">
        <v>51</v>
      </c>
    </row>
    <row r="122" spans="4:4" ht="17.649999999999999" x14ac:dyDescent="0.5">
      <c r="D122" s="3" t="s">
        <v>64</v>
      </c>
    </row>
    <row r="123" spans="4:4" ht="17.649999999999999" x14ac:dyDescent="0.5">
      <c r="D123" s="3" t="s">
        <v>91</v>
      </c>
    </row>
    <row r="124" spans="4:4" ht="17.649999999999999" x14ac:dyDescent="0.5">
      <c r="D124" s="3" t="s">
        <v>68</v>
      </c>
    </row>
    <row r="125" spans="4:4" ht="17.649999999999999" x14ac:dyDescent="0.5">
      <c r="D125" s="3" t="s">
        <v>104</v>
      </c>
    </row>
    <row r="126" spans="4:4" ht="17.649999999999999" x14ac:dyDescent="0.5">
      <c r="D126" s="3" t="s">
        <v>133</v>
      </c>
    </row>
    <row r="127" spans="4:4" ht="17.649999999999999" x14ac:dyDescent="0.5">
      <c r="D127" s="3" t="s">
        <v>102</v>
      </c>
    </row>
    <row r="128" spans="4:4" ht="17.649999999999999" x14ac:dyDescent="0.5">
      <c r="D128" s="3" t="s">
        <v>43</v>
      </c>
    </row>
    <row r="129" spans="4:4" ht="17.649999999999999" x14ac:dyDescent="0.5">
      <c r="D129" s="3" t="s">
        <v>67</v>
      </c>
    </row>
    <row r="130" spans="4:4" ht="17.649999999999999" x14ac:dyDescent="0.5">
      <c r="D130" s="3" t="s">
        <v>101</v>
      </c>
    </row>
    <row r="131" spans="4:4" ht="17.649999999999999" x14ac:dyDescent="0.5">
      <c r="D131" s="3" t="s">
        <v>43</v>
      </c>
    </row>
    <row r="132" spans="4:4" ht="17.649999999999999" x14ac:dyDescent="0.5">
      <c r="D132" s="3" t="s">
        <v>112</v>
      </c>
    </row>
    <row r="133" spans="4:4" ht="17.649999999999999" x14ac:dyDescent="0.5">
      <c r="D133" s="3" t="s">
        <v>133</v>
      </c>
    </row>
    <row r="134" spans="4:4" ht="17.649999999999999" x14ac:dyDescent="0.5">
      <c r="D134" s="3" t="s">
        <v>128</v>
      </c>
    </row>
    <row r="135" spans="4:4" ht="17.649999999999999" x14ac:dyDescent="0.5">
      <c r="D135" s="3" t="s">
        <v>81</v>
      </c>
    </row>
    <row r="136" spans="4:4" ht="17.649999999999999" x14ac:dyDescent="0.5">
      <c r="D136" s="3" t="s">
        <v>93</v>
      </c>
    </row>
    <row r="137" spans="4:4" ht="17.649999999999999" x14ac:dyDescent="0.5">
      <c r="D137" s="3" t="s">
        <v>109</v>
      </c>
    </row>
    <row r="138" spans="4:4" ht="17.649999999999999" x14ac:dyDescent="0.5">
      <c r="D138" s="3" t="s">
        <v>51</v>
      </c>
    </row>
    <row r="139" spans="4:4" ht="17.649999999999999" x14ac:dyDescent="0.5">
      <c r="D139" s="3" t="s">
        <v>74</v>
      </c>
    </row>
    <row r="140" spans="4:4" ht="17.649999999999999" x14ac:dyDescent="0.5">
      <c r="D140" s="3" t="s">
        <v>81</v>
      </c>
    </row>
    <row r="141" spans="4:4" ht="17.649999999999999" x14ac:dyDescent="0.5">
      <c r="D141" s="3" t="s">
        <v>66</v>
      </c>
    </row>
    <row r="142" spans="4:4" ht="17.649999999999999" x14ac:dyDescent="0.5">
      <c r="D142" s="3" t="s">
        <v>82</v>
      </c>
    </row>
    <row r="143" spans="4:4" ht="17.649999999999999" x14ac:dyDescent="0.5">
      <c r="D143" s="3" t="s">
        <v>67</v>
      </c>
    </row>
    <row r="144" spans="4:4" ht="17.649999999999999" x14ac:dyDescent="0.5">
      <c r="D144" s="3" t="s">
        <v>100</v>
      </c>
    </row>
    <row r="145" spans="4:4" ht="17.649999999999999" x14ac:dyDescent="0.5">
      <c r="D145" s="3" t="s">
        <v>81</v>
      </c>
    </row>
    <row r="146" spans="4:4" ht="17.649999999999999" x14ac:dyDescent="0.5">
      <c r="D146" s="3" t="s">
        <v>65</v>
      </c>
    </row>
    <row r="147" spans="4:4" ht="17.649999999999999" x14ac:dyDescent="0.5">
      <c r="D147" s="3" t="s">
        <v>91</v>
      </c>
    </row>
    <row r="148" spans="4:4" ht="17.649999999999999" x14ac:dyDescent="0.5">
      <c r="D148" s="3" t="s">
        <v>45</v>
      </c>
    </row>
    <row r="149" spans="4:4" ht="17.649999999999999" x14ac:dyDescent="0.5">
      <c r="D149" s="3" t="s">
        <v>77</v>
      </c>
    </row>
    <row r="150" spans="4:4" ht="17.649999999999999" x14ac:dyDescent="0.5">
      <c r="D150" s="3" t="s">
        <v>109</v>
      </c>
    </row>
    <row r="151" spans="4:4" ht="17.649999999999999" x14ac:dyDescent="0.5">
      <c r="D151" s="3" t="s">
        <v>46</v>
      </c>
    </row>
    <row r="152" spans="4:4" ht="17.649999999999999" x14ac:dyDescent="0.5">
      <c r="D152" s="3" t="s">
        <v>87</v>
      </c>
    </row>
    <row r="153" spans="4:4" ht="17.649999999999999" x14ac:dyDescent="0.5">
      <c r="D153" s="3" t="s">
        <v>66</v>
      </c>
    </row>
    <row r="154" spans="4:4" ht="17.649999999999999" x14ac:dyDescent="0.5">
      <c r="D154" s="3" t="s">
        <v>72</v>
      </c>
    </row>
    <row r="155" spans="4:4" ht="17.649999999999999" x14ac:dyDescent="0.5">
      <c r="D155" s="3" t="s">
        <v>49</v>
      </c>
    </row>
    <row r="156" spans="4:4" ht="17.649999999999999" x14ac:dyDescent="0.5">
      <c r="D156" s="3" t="s">
        <v>53</v>
      </c>
    </row>
    <row r="157" spans="4:4" ht="17.649999999999999" x14ac:dyDescent="0.5">
      <c r="D157" s="3" t="s">
        <v>101</v>
      </c>
    </row>
    <row r="158" spans="4:4" ht="17.649999999999999" x14ac:dyDescent="0.5">
      <c r="D158" s="3" t="s">
        <v>51</v>
      </c>
    </row>
    <row r="159" spans="4:4" ht="17.649999999999999" x14ac:dyDescent="0.5">
      <c r="D159" s="3" t="s">
        <v>105</v>
      </c>
    </row>
    <row r="160" spans="4:4" ht="17.649999999999999" x14ac:dyDescent="0.5">
      <c r="D160" s="3" t="s">
        <v>132</v>
      </c>
    </row>
    <row r="161" spans="4:4" ht="17.649999999999999" x14ac:dyDescent="0.5">
      <c r="D161" s="3" t="s">
        <v>89</v>
      </c>
    </row>
    <row r="162" spans="4:4" ht="17.649999999999999" x14ac:dyDescent="0.5">
      <c r="D162" s="3" t="s">
        <v>66</v>
      </c>
    </row>
    <row r="163" spans="4:4" ht="17.649999999999999" x14ac:dyDescent="0.5">
      <c r="D163" s="3" t="s">
        <v>50</v>
      </c>
    </row>
    <row r="164" spans="4:4" ht="17.649999999999999" x14ac:dyDescent="0.5">
      <c r="D164" s="3" t="s">
        <v>59</v>
      </c>
    </row>
    <row r="165" spans="4:4" ht="17.649999999999999" x14ac:dyDescent="0.5">
      <c r="D165" s="3" t="s">
        <v>77</v>
      </c>
    </row>
    <row r="166" spans="4:4" ht="17.649999999999999" x14ac:dyDescent="0.5">
      <c r="D166" s="3" t="s">
        <v>100</v>
      </c>
    </row>
    <row r="167" spans="4:4" ht="17.649999999999999" x14ac:dyDescent="0.5">
      <c r="D167" s="3" t="s">
        <v>94</v>
      </c>
    </row>
    <row r="168" spans="4:4" ht="17.649999999999999" x14ac:dyDescent="0.5">
      <c r="D168" s="3" t="s">
        <v>65</v>
      </c>
    </row>
    <row r="169" spans="4:4" ht="17.649999999999999" x14ac:dyDescent="0.5">
      <c r="D169" s="3" t="s">
        <v>79</v>
      </c>
    </row>
    <row r="170" spans="4:4" ht="17.649999999999999" x14ac:dyDescent="0.5">
      <c r="D170" s="3" t="s">
        <v>50</v>
      </c>
    </row>
    <row r="171" spans="4:4" ht="17.649999999999999" x14ac:dyDescent="0.5">
      <c r="D171" s="3" t="s">
        <v>78</v>
      </c>
    </row>
    <row r="172" spans="4:4" ht="17.649999999999999" x14ac:dyDescent="0.5">
      <c r="D172" s="3" t="s">
        <v>52</v>
      </c>
    </row>
    <row r="173" spans="4:4" ht="17.649999999999999" x14ac:dyDescent="0.5">
      <c r="D173" s="3" t="s">
        <v>118</v>
      </c>
    </row>
    <row r="174" spans="4:4" ht="17.649999999999999" x14ac:dyDescent="0.5">
      <c r="D174" s="3" t="s">
        <v>54</v>
      </c>
    </row>
    <row r="175" spans="4:4" ht="17.649999999999999" x14ac:dyDescent="0.5">
      <c r="D175" s="3" t="s">
        <v>90</v>
      </c>
    </row>
    <row r="176" spans="4:4" ht="17.649999999999999" x14ac:dyDescent="0.5">
      <c r="D176" s="3" t="s">
        <v>127</v>
      </c>
    </row>
    <row r="177" spans="4:4" ht="17.649999999999999" x14ac:dyDescent="0.5">
      <c r="D177" s="3" t="s">
        <v>76</v>
      </c>
    </row>
    <row r="178" spans="4:4" ht="17.649999999999999" x14ac:dyDescent="0.5">
      <c r="D178" s="3" t="s">
        <v>90</v>
      </c>
    </row>
    <row r="179" spans="4:4" ht="17.649999999999999" x14ac:dyDescent="0.5">
      <c r="D179" s="3" t="s">
        <v>117</v>
      </c>
    </row>
    <row r="180" spans="4:4" ht="17.649999999999999" x14ac:dyDescent="0.5">
      <c r="D180" s="3" t="s">
        <v>125</v>
      </c>
    </row>
    <row r="181" spans="4:4" ht="17.649999999999999" x14ac:dyDescent="0.5">
      <c r="D181" s="3" t="s">
        <v>99</v>
      </c>
    </row>
    <row r="182" spans="4:4" ht="17.649999999999999" x14ac:dyDescent="0.5">
      <c r="D182" s="3" t="s">
        <v>96</v>
      </c>
    </row>
    <row r="183" spans="4:4" ht="17.649999999999999" x14ac:dyDescent="0.5">
      <c r="D183" s="3" t="s">
        <v>92</v>
      </c>
    </row>
    <row r="184" spans="4:4" ht="17.649999999999999" x14ac:dyDescent="0.5">
      <c r="D184" s="3" t="s">
        <v>64</v>
      </c>
    </row>
    <row r="185" spans="4:4" ht="17.649999999999999" x14ac:dyDescent="0.5">
      <c r="D185" s="3" t="s">
        <v>74</v>
      </c>
    </row>
    <row r="186" spans="4:4" ht="17.649999999999999" x14ac:dyDescent="0.5">
      <c r="D186" s="3" t="s">
        <v>55</v>
      </c>
    </row>
    <row r="187" spans="4:4" ht="17.649999999999999" x14ac:dyDescent="0.5">
      <c r="D187" s="3" t="s">
        <v>126</v>
      </c>
    </row>
    <row r="188" spans="4:4" ht="17.649999999999999" x14ac:dyDescent="0.5">
      <c r="D188" s="3" t="s">
        <v>82</v>
      </c>
    </row>
    <row r="189" spans="4:4" ht="17.649999999999999" x14ac:dyDescent="0.5">
      <c r="D189" s="3" t="s">
        <v>46</v>
      </c>
    </row>
    <row r="190" spans="4:4" ht="17.649999999999999" x14ac:dyDescent="0.5">
      <c r="D190" s="3" t="s">
        <v>66</v>
      </c>
    </row>
    <row r="191" spans="4:4" ht="17.649999999999999" x14ac:dyDescent="0.5">
      <c r="D191" s="3" t="s">
        <v>81</v>
      </c>
    </row>
    <row r="192" spans="4:4" ht="17.649999999999999" x14ac:dyDescent="0.5">
      <c r="D192" s="3" t="s">
        <v>68</v>
      </c>
    </row>
    <row r="193" spans="4:4" ht="17.649999999999999" x14ac:dyDescent="0.5">
      <c r="D193" s="3" t="s">
        <v>107</v>
      </c>
    </row>
    <row r="194" spans="4:4" ht="17.649999999999999" x14ac:dyDescent="0.5">
      <c r="D194" s="3" t="s">
        <v>110</v>
      </c>
    </row>
    <row r="195" spans="4:4" ht="17.649999999999999" x14ac:dyDescent="0.5">
      <c r="D195" s="3" t="s">
        <v>120</v>
      </c>
    </row>
    <row r="196" spans="4:4" ht="17.649999999999999" x14ac:dyDescent="0.5">
      <c r="D196" s="3" t="s">
        <v>98</v>
      </c>
    </row>
    <row r="197" spans="4:4" ht="17.649999999999999" x14ac:dyDescent="0.5">
      <c r="D197" s="3" t="s">
        <v>56</v>
      </c>
    </row>
    <row r="198" spans="4:4" ht="17.649999999999999" x14ac:dyDescent="0.5">
      <c r="D198" s="3" t="s">
        <v>110</v>
      </c>
    </row>
    <row r="199" spans="4:4" ht="17.649999999999999" x14ac:dyDescent="0.5">
      <c r="D199" s="3" t="s">
        <v>52</v>
      </c>
    </row>
    <row r="200" spans="4:4" ht="17.649999999999999" x14ac:dyDescent="0.5">
      <c r="D200" s="3" t="s">
        <v>104</v>
      </c>
    </row>
    <row r="201" spans="4:4" ht="17.649999999999999" x14ac:dyDescent="0.5">
      <c r="D201" s="3" t="s">
        <v>50</v>
      </c>
    </row>
    <row r="202" spans="4:4" ht="17.649999999999999" x14ac:dyDescent="0.5">
      <c r="D202" s="3" t="s">
        <v>129</v>
      </c>
    </row>
    <row r="203" spans="4:4" ht="17.649999999999999" x14ac:dyDescent="0.5">
      <c r="D203" s="3" t="s">
        <v>54</v>
      </c>
    </row>
    <row r="204" spans="4:4" ht="17.649999999999999" x14ac:dyDescent="0.5">
      <c r="D204" s="3" t="s">
        <v>122</v>
      </c>
    </row>
    <row r="205" spans="4:4" ht="17.649999999999999" x14ac:dyDescent="0.5">
      <c r="D205" s="3" t="s">
        <v>134</v>
      </c>
    </row>
    <row r="206" spans="4:4" ht="17.649999999999999" x14ac:dyDescent="0.5">
      <c r="D206" s="3" t="s">
        <v>67</v>
      </c>
    </row>
    <row r="207" spans="4:4" ht="17.649999999999999" x14ac:dyDescent="0.5">
      <c r="D207" s="3" t="s">
        <v>90</v>
      </c>
    </row>
    <row r="208" spans="4:4" ht="17.649999999999999" x14ac:dyDescent="0.5">
      <c r="D208" s="3" t="s">
        <v>77</v>
      </c>
    </row>
    <row r="209" spans="4:4" ht="17.649999999999999" x14ac:dyDescent="0.5">
      <c r="D209" s="3" t="s">
        <v>107</v>
      </c>
    </row>
    <row r="210" spans="4:4" ht="17.649999999999999" x14ac:dyDescent="0.5">
      <c r="D210" s="3" t="s">
        <v>94</v>
      </c>
    </row>
    <row r="211" spans="4:4" ht="17.649999999999999" x14ac:dyDescent="0.5">
      <c r="D211" s="3" t="s">
        <v>78</v>
      </c>
    </row>
    <row r="212" spans="4:4" ht="17.649999999999999" x14ac:dyDescent="0.5">
      <c r="D212" s="3" t="s">
        <v>62</v>
      </c>
    </row>
    <row r="213" spans="4:4" ht="17.649999999999999" x14ac:dyDescent="0.5">
      <c r="D213" s="3" t="s">
        <v>61</v>
      </c>
    </row>
    <row r="214" spans="4:4" ht="17.649999999999999" x14ac:dyDescent="0.5">
      <c r="D214" s="3" t="s">
        <v>55</v>
      </c>
    </row>
    <row r="215" spans="4:4" ht="17.649999999999999" x14ac:dyDescent="0.5">
      <c r="D215" s="3" t="s">
        <v>120</v>
      </c>
    </row>
    <row r="216" spans="4:4" ht="17.649999999999999" x14ac:dyDescent="0.5">
      <c r="D216" s="3" t="s">
        <v>103</v>
      </c>
    </row>
    <row r="217" spans="4:4" ht="17.649999999999999" x14ac:dyDescent="0.5">
      <c r="D217" s="3" t="s">
        <v>112</v>
      </c>
    </row>
    <row r="218" spans="4:4" ht="17.649999999999999" x14ac:dyDescent="0.5">
      <c r="D218" s="3" t="s">
        <v>95</v>
      </c>
    </row>
    <row r="219" spans="4:4" ht="17.649999999999999" x14ac:dyDescent="0.5">
      <c r="D219" s="3" t="s">
        <v>71</v>
      </c>
    </row>
    <row r="220" spans="4:4" ht="17.649999999999999" x14ac:dyDescent="0.5">
      <c r="D220" s="3" t="s">
        <v>48</v>
      </c>
    </row>
    <row r="221" spans="4:4" ht="17.649999999999999" x14ac:dyDescent="0.5">
      <c r="D221" s="3" t="s">
        <v>98</v>
      </c>
    </row>
    <row r="222" spans="4:4" ht="17.649999999999999" x14ac:dyDescent="0.5">
      <c r="D222" s="3" t="s">
        <v>44</v>
      </c>
    </row>
    <row r="223" spans="4:4" ht="17.649999999999999" x14ac:dyDescent="0.5">
      <c r="D223" s="3" t="s">
        <v>65</v>
      </c>
    </row>
    <row r="224" spans="4:4" ht="17.649999999999999" x14ac:dyDescent="0.5">
      <c r="D224" s="3" t="s">
        <v>136</v>
      </c>
    </row>
    <row r="225" spans="4:4" ht="17.649999999999999" x14ac:dyDescent="0.5">
      <c r="D225" s="3" t="s">
        <v>85</v>
      </c>
    </row>
    <row r="226" spans="4:4" ht="17.649999999999999" x14ac:dyDescent="0.5">
      <c r="D226" s="3" t="s">
        <v>41</v>
      </c>
    </row>
    <row r="227" spans="4:4" ht="17.649999999999999" x14ac:dyDescent="0.5">
      <c r="D227" s="3" t="s">
        <v>47</v>
      </c>
    </row>
    <row r="228" spans="4:4" ht="17.649999999999999" x14ac:dyDescent="0.5">
      <c r="D228" s="3" t="s">
        <v>126</v>
      </c>
    </row>
    <row r="229" spans="4:4" ht="17.649999999999999" x14ac:dyDescent="0.5">
      <c r="D229" s="3" t="s">
        <v>51</v>
      </c>
    </row>
    <row r="230" spans="4:4" ht="17.649999999999999" x14ac:dyDescent="0.5">
      <c r="D230" s="3" t="s">
        <v>64</v>
      </c>
    </row>
    <row r="231" spans="4:4" ht="17.649999999999999" x14ac:dyDescent="0.5">
      <c r="D231" s="3" t="s">
        <v>68</v>
      </c>
    </row>
    <row r="232" spans="4:4" ht="17.649999999999999" x14ac:dyDescent="0.5">
      <c r="D232" s="3" t="s">
        <v>112</v>
      </c>
    </row>
    <row r="233" spans="4:4" ht="17.649999999999999" x14ac:dyDescent="0.5">
      <c r="D233" s="3" t="s">
        <v>43</v>
      </c>
    </row>
    <row r="234" spans="4:4" ht="17.649999999999999" x14ac:dyDescent="0.5">
      <c r="D234" s="3" t="s">
        <v>87</v>
      </c>
    </row>
    <row r="235" spans="4:4" ht="17.649999999999999" x14ac:dyDescent="0.5">
      <c r="D235" s="3" t="s">
        <v>107</v>
      </c>
    </row>
    <row r="236" spans="4:4" ht="17.649999999999999" x14ac:dyDescent="0.5">
      <c r="D236" s="3" t="s">
        <v>90</v>
      </c>
    </row>
    <row r="237" spans="4:4" ht="17.649999999999999" x14ac:dyDescent="0.5">
      <c r="D237" s="3" t="s">
        <v>67</v>
      </c>
    </row>
    <row r="238" spans="4:4" ht="17.649999999999999" x14ac:dyDescent="0.5">
      <c r="D238" s="3" t="s">
        <v>47</v>
      </c>
    </row>
    <row r="239" spans="4:4" ht="17.649999999999999" x14ac:dyDescent="0.5">
      <c r="D239" s="3" t="s">
        <v>55</v>
      </c>
    </row>
    <row r="240" spans="4:4" ht="17.649999999999999" x14ac:dyDescent="0.5">
      <c r="D240" s="3" t="s">
        <v>133</v>
      </c>
    </row>
    <row r="241" spans="4:4" ht="17.649999999999999" x14ac:dyDescent="0.5">
      <c r="D241" s="3" t="s">
        <v>104</v>
      </c>
    </row>
    <row r="242" spans="4:4" ht="17.649999999999999" x14ac:dyDescent="0.5">
      <c r="D242" s="3" t="s">
        <v>124</v>
      </c>
    </row>
    <row r="243" spans="4:4" ht="17.649999999999999" x14ac:dyDescent="0.5">
      <c r="D243" s="3" t="s">
        <v>72</v>
      </c>
    </row>
    <row r="244" spans="4:4" ht="17.649999999999999" x14ac:dyDescent="0.5">
      <c r="D244" s="3" t="s">
        <v>91</v>
      </c>
    </row>
    <row r="245" spans="4:4" ht="17.649999999999999" x14ac:dyDescent="0.5">
      <c r="D245" s="3" t="s">
        <v>51</v>
      </c>
    </row>
    <row r="246" spans="4:4" ht="17.649999999999999" x14ac:dyDescent="0.5">
      <c r="D246" s="3" t="s">
        <v>75</v>
      </c>
    </row>
    <row r="247" spans="4:4" ht="17.649999999999999" x14ac:dyDescent="0.5">
      <c r="D247" s="3" t="s">
        <v>51</v>
      </c>
    </row>
    <row r="248" spans="4:4" ht="17.649999999999999" x14ac:dyDescent="0.5">
      <c r="D248" s="3" t="s">
        <v>82</v>
      </c>
    </row>
    <row r="249" spans="4:4" ht="17.649999999999999" x14ac:dyDescent="0.5">
      <c r="D249" s="3" t="s">
        <v>87</v>
      </c>
    </row>
    <row r="250" spans="4:4" ht="17.649999999999999" x14ac:dyDescent="0.5">
      <c r="D250" s="3" t="s">
        <v>52</v>
      </c>
    </row>
    <row r="251" spans="4:4" ht="17.649999999999999" x14ac:dyDescent="0.5">
      <c r="D251" s="3" t="s">
        <v>50</v>
      </c>
    </row>
    <row r="252" spans="4:4" ht="17.649999999999999" x14ac:dyDescent="0.5">
      <c r="D252" s="3" t="s">
        <v>115</v>
      </c>
    </row>
    <row r="253" spans="4:4" ht="17.649999999999999" x14ac:dyDescent="0.5">
      <c r="D253" s="3" t="s">
        <v>105</v>
      </c>
    </row>
    <row r="254" spans="4:4" ht="17.649999999999999" x14ac:dyDescent="0.5">
      <c r="D254" s="3" t="s">
        <v>112</v>
      </c>
    </row>
    <row r="255" spans="4:4" ht="17.649999999999999" x14ac:dyDescent="0.5">
      <c r="D255" s="3" t="s">
        <v>133</v>
      </c>
    </row>
    <row r="256" spans="4:4" ht="17.649999999999999" x14ac:dyDescent="0.5">
      <c r="D256" s="3" t="s">
        <v>53</v>
      </c>
    </row>
    <row r="257" spans="4:4" ht="17.649999999999999" x14ac:dyDescent="0.5">
      <c r="D257" s="3" t="s">
        <v>78</v>
      </c>
    </row>
    <row r="258" spans="4:4" ht="17.649999999999999" x14ac:dyDescent="0.5">
      <c r="D258" s="3" t="s">
        <v>69</v>
      </c>
    </row>
    <row r="259" spans="4:4" ht="17.649999999999999" x14ac:dyDescent="0.5">
      <c r="D259" s="3" t="s">
        <v>49</v>
      </c>
    </row>
    <row r="260" spans="4:4" ht="17.649999999999999" x14ac:dyDescent="0.5">
      <c r="D260" s="3" t="s">
        <v>81</v>
      </c>
    </row>
    <row r="261" spans="4:4" ht="17.649999999999999" x14ac:dyDescent="0.5">
      <c r="D261" s="3" t="s">
        <v>72</v>
      </c>
    </row>
    <row r="262" spans="4:4" ht="17.649999999999999" x14ac:dyDescent="0.5">
      <c r="D262" s="3" t="s">
        <v>46</v>
      </c>
    </row>
    <row r="263" spans="4:4" ht="17.649999999999999" x14ac:dyDescent="0.5">
      <c r="D263" s="3" t="s">
        <v>84</v>
      </c>
    </row>
    <row r="264" spans="4:4" ht="17.649999999999999" x14ac:dyDescent="0.5">
      <c r="D264" s="3" t="s">
        <v>100</v>
      </c>
    </row>
    <row r="265" spans="4:4" ht="17.649999999999999" x14ac:dyDescent="0.5">
      <c r="D265" s="3" t="s">
        <v>105</v>
      </c>
    </row>
    <row r="266" spans="4:4" ht="17.649999999999999" x14ac:dyDescent="0.5">
      <c r="D266" s="3" t="s">
        <v>56</v>
      </c>
    </row>
    <row r="267" spans="4:4" ht="17.649999999999999" x14ac:dyDescent="0.5">
      <c r="D267" s="3" t="s">
        <v>117</v>
      </c>
    </row>
    <row r="268" spans="4:4" ht="17.649999999999999" x14ac:dyDescent="0.5">
      <c r="D268" s="3" t="s">
        <v>66</v>
      </c>
    </row>
    <row r="269" spans="4:4" ht="17.649999999999999" x14ac:dyDescent="0.5">
      <c r="D269" s="3" t="s">
        <v>58</v>
      </c>
    </row>
    <row r="270" spans="4:4" ht="17.649999999999999" x14ac:dyDescent="0.5">
      <c r="D270" s="3" t="s">
        <v>98</v>
      </c>
    </row>
    <row r="271" spans="4:4" ht="17.649999999999999" x14ac:dyDescent="0.5">
      <c r="D271" s="3" t="s">
        <v>67</v>
      </c>
    </row>
    <row r="272" spans="4:4" ht="17.649999999999999" x14ac:dyDescent="0.5">
      <c r="D272" s="3" t="s">
        <v>103</v>
      </c>
    </row>
    <row r="273" spans="4:4" ht="17.649999999999999" x14ac:dyDescent="0.5">
      <c r="D273" s="3" t="s">
        <v>101</v>
      </c>
    </row>
    <row r="274" spans="4:4" ht="17.649999999999999" x14ac:dyDescent="0.5">
      <c r="D274" s="3" t="s">
        <v>105</v>
      </c>
    </row>
    <row r="275" spans="4:4" ht="17.649999999999999" x14ac:dyDescent="0.5">
      <c r="D275" s="3" t="s">
        <v>110</v>
      </c>
    </row>
    <row r="276" spans="4:4" ht="17.649999999999999" x14ac:dyDescent="0.5">
      <c r="D276" s="3" t="s">
        <v>112</v>
      </c>
    </row>
    <row r="277" spans="4:4" ht="17.649999999999999" x14ac:dyDescent="0.5">
      <c r="D277" s="3" t="s">
        <v>119</v>
      </c>
    </row>
    <row r="278" spans="4:4" ht="17.649999999999999" x14ac:dyDescent="0.5">
      <c r="D278" s="3" t="s">
        <v>103</v>
      </c>
    </row>
    <row r="279" spans="4:4" ht="17.649999999999999" x14ac:dyDescent="0.5">
      <c r="D279" s="3" t="s">
        <v>122</v>
      </c>
    </row>
    <row r="280" spans="4:4" ht="17.649999999999999" x14ac:dyDescent="0.5">
      <c r="D280" s="3" t="s">
        <v>91</v>
      </c>
    </row>
    <row r="281" spans="4:4" ht="17.649999999999999" x14ac:dyDescent="0.5">
      <c r="D281" s="3" t="s">
        <v>48</v>
      </c>
    </row>
    <row r="282" spans="4:4" ht="17.649999999999999" x14ac:dyDescent="0.5">
      <c r="D282" s="3" t="s">
        <v>57</v>
      </c>
    </row>
    <row r="283" spans="4:4" ht="17.649999999999999" x14ac:dyDescent="0.5">
      <c r="D283" s="3" t="s">
        <v>60</v>
      </c>
    </row>
    <row r="284" spans="4:4" ht="17.649999999999999" x14ac:dyDescent="0.5">
      <c r="D284" s="3" t="s">
        <v>114</v>
      </c>
    </row>
    <row r="285" spans="4:4" ht="17.649999999999999" x14ac:dyDescent="0.5">
      <c r="D285" s="3" t="s">
        <v>107</v>
      </c>
    </row>
    <row r="286" spans="4:4" ht="17.649999999999999" x14ac:dyDescent="0.5">
      <c r="D286" s="3" t="s">
        <v>61</v>
      </c>
    </row>
    <row r="287" spans="4:4" ht="17.649999999999999" x14ac:dyDescent="0.5">
      <c r="D287" s="3" t="s">
        <v>74</v>
      </c>
    </row>
    <row r="288" spans="4:4" ht="17.649999999999999" x14ac:dyDescent="0.5">
      <c r="D288" s="3" t="s">
        <v>73</v>
      </c>
    </row>
    <row r="289" spans="4:4" ht="17.649999999999999" x14ac:dyDescent="0.5">
      <c r="D289" s="3" t="s">
        <v>66</v>
      </c>
    </row>
    <row r="290" spans="4:4" ht="17.649999999999999" x14ac:dyDescent="0.5">
      <c r="D290" s="3" t="s">
        <v>112</v>
      </c>
    </row>
    <row r="291" spans="4:4" ht="17.649999999999999" x14ac:dyDescent="0.5">
      <c r="D291" s="3" t="s">
        <v>89</v>
      </c>
    </row>
    <row r="292" spans="4:4" ht="17.649999999999999" x14ac:dyDescent="0.5">
      <c r="D292" s="3" t="s">
        <v>94</v>
      </c>
    </row>
    <row r="293" spans="4:4" ht="17.649999999999999" x14ac:dyDescent="0.5">
      <c r="D293" s="3" t="s">
        <v>52</v>
      </c>
    </row>
    <row r="294" spans="4:4" ht="17.649999999999999" x14ac:dyDescent="0.5">
      <c r="D294" s="3" t="s">
        <v>115</v>
      </c>
    </row>
    <row r="295" spans="4:4" ht="17.649999999999999" x14ac:dyDescent="0.5">
      <c r="D295" s="3" t="s">
        <v>129</v>
      </c>
    </row>
    <row r="296" spans="4:4" ht="17.649999999999999" x14ac:dyDescent="0.5">
      <c r="D296" s="3" t="s">
        <v>90</v>
      </c>
    </row>
    <row r="297" spans="4:4" ht="17.649999999999999" x14ac:dyDescent="0.5">
      <c r="D297" s="3" t="s">
        <v>51</v>
      </c>
    </row>
    <row r="298" spans="4:4" ht="17.649999999999999" x14ac:dyDescent="0.5">
      <c r="D298" s="3" t="s">
        <v>84</v>
      </c>
    </row>
    <row r="299" spans="4:4" ht="17.649999999999999" x14ac:dyDescent="0.5">
      <c r="D299" s="3" t="s">
        <v>92</v>
      </c>
    </row>
    <row r="300" spans="4:4" ht="17.649999999999999" x14ac:dyDescent="0.5">
      <c r="D300" s="3" t="s">
        <v>81</v>
      </c>
    </row>
    <row r="301" spans="4:4" ht="17.649999999999999" x14ac:dyDescent="0.5">
      <c r="D301" s="3" t="s">
        <v>55</v>
      </c>
    </row>
    <row r="302" spans="4:4" ht="17.649999999999999" x14ac:dyDescent="0.5">
      <c r="D302" s="3" t="s">
        <v>120</v>
      </c>
    </row>
    <row r="303" spans="4:4" ht="17.649999999999999" x14ac:dyDescent="0.5">
      <c r="D303" s="3" t="s">
        <v>63</v>
      </c>
    </row>
    <row r="304" spans="4:4" ht="17.649999999999999" x14ac:dyDescent="0.5">
      <c r="D304" s="3" t="s">
        <v>89</v>
      </c>
    </row>
    <row r="305" spans="4:4" ht="17.649999999999999" x14ac:dyDescent="0.5">
      <c r="D305" s="3" t="s">
        <v>54</v>
      </c>
    </row>
    <row r="306" spans="4:4" ht="17.649999999999999" x14ac:dyDescent="0.5">
      <c r="D306" s="3" t="s">
        <v>109</v>
      </c>
    </row>
    <row r="307" spans="4:4" ht="17.649999999999999" x14ac:dyDescent="0.5">
      <c r="D307" s="3" t="s">
        <v>124</v>
      </c>
    </row>
    <row r="308" spans="4:4" ht="17.649999999999999" x14ac:dyDescent="0.5">
      <c r="D308" s="3" t="s">
        <v>117</v>
      </c>
    </row>
    <row r="309" spans="4:4" ht="17.649999999999999" x14ac:dyDescent="0.5">
      <c r="D309" s="3" t="s">
        <v>64</v>
      </c>
    </row>
    <row r="310" spans="4:4" ht="17.649999999999999" x14ac:dyDescent="0.5">
      <c r="D310" s="3" t="s">
        <v>48</v>
      </c>
    </row>
    <row r="311" spans="4:4" ht="17.649999999999999" x14ac:dyDescent="0.5">
      <c r="D311" s="3" t="s">
        <v>90</v>
      </c>
    </row>
    <row r="312" spans="4:4" ht="17.649999999999999" x14ac:dyDescent="0.5">
      <c r="D312" s="3" t="s">
        <v>52</v>
      </c>
    </row>
    <row r="313" spans="4:4" ht="17.649999999999999" x14ac:dyDescent="0.5">
      <c r="D313" s="3" t="s">
        <v>87</v>
      </c>
    </row>
    <row r="314" spans="4:4" ht="17.649999999999999" x14ac:dyDescent="0.5">
      <c r="D314" s="3" t="s">
        <v>105</v>
      </c>
    </row>
    <row r="315" spans="4:4" ht="17.649999999999999" x14ac:dyDescent="0.5">
      <c r="D315" s="3" t="s">
        <v>75</v>
      </c>
    </row>
    <row r="316" spans="4:4" ht="17.649999999999999" x14ac:dyDescent="0.5">
      <c r="D316" s="3" t="s">
        <v>117</v>
      </c>
    </row>
    <row r="317" spans="4:4" ht="17.649999999999999" x14ac:dyDescent="0.5">
      <c r="D317" s="3" t="s">
        <v>128</v>
      </c>
    </row>
    <row r="318" spans="4:4" ht="17.649999999999999" x14ac:dyDescent="0.5">
      <c r="D318" s="3" t="s">
        <v>92</v>
      </c>
    </row>
    <row r="319" spans="4:4" ht="17.649999999999999" x14ac:dyDescent="0.5">
      <c r="D319" s="3" t="s">
        <v>57</v>
      </c>
    </row>
    <row r="320" spans="4:4" ht="17.649999999999999" x14ac:dyDescent="0.5">
      <c r="D320" s="3" t="s">
        <v>76</v>
      </c>
    </row>
    <row r="321" spans="4:4" ht="17.649999999999999" x14ac:dyDescent="0.5">
      <c r="D321" s="3" t="s">
        <v>85</v>
      </c>
    </row>
    <row r="322" spans="4:4" ht="17.649999999999999" x14ac:dyDescent="0.5">
      <c r="D322" s="3" t="s">
        <v>44</v>
      </c>
    </row>
    <row r="323" spans="4:4" ht="17.649999999999999" x14ac:dyDescent="0.5">
      <c r="D323" s="3" t="s">
        <v>49</v>
      </c>
    </row>
    <row r="324" spans="4:4" ht="17.649999999999999" x14ac:dyDescent="0.5">
      <c r="D324" s="3" t="s">
        <v>68</v>
      </c>
    </row>
    <row r="325" spans="4:4" ht="17.649999999999999" x14ac:dyDescent="0.5">
      <c r="D325" s="3" t="s">
        <v>56</v>
      </c>
    </row>
    <row r="326" spans="4:4" ht="17.649999999999999" x14ac:dyDescent="0.5">
      <c r="D326" s="3" t="s">
        <v>105</v>
      </c>
    </row>
    <row r="327" spans="4:4" ht="17.649999999999999" x14ac:dyDescent="0.5">
      <c r="D327" s="3" t="s">
        <v>116</v>
      </c>
    </row>
    <row r="328" spans="4:4" ht="17.649999999999999" x14ac:dyDescent="0.5">
      <c r="D328" s="3" t="s">
        <v>44</v>
      </c>
    </row>
    <row r="329" spans="4:4" ht="17.649999999999999" x14ac:dyDescent="0.5">
      <c r="D329" s="3" t="s">
        <v>85</v>
      </c>
    </row>
    <row r="330" spans="4:4" ht="17.649999999999999" x14ac:dyDescent="0.5">
      <c r="D330" s="3" t="s">
        <v>87</v>
      </c>
    </row>
    <row r="331" spans="4:4" ht="17.649999999999999" x14ac:dyDescent="0.5">
      <c r="D331" s="3" t="s">
        <v>73</v>
      </c>
    </row>
    <row r="332" spans="4:4" ht="17.649999999999999" x14ac:dyDescent="0.5">
      <c r="D332" s="3" t="s">
        <v>67</v>
      </c>
    </row>
    <row r="333" spans="4:4" ht="17.649999999999999" x14ac:dyDescent="0.5">
      <c r="D333" s="3" t="s">
        <v>70</v>
      </c>
    </row>
    <row r="334" spans="4:4" ht="17.649999999999999" x14ac:dyDescent="0.5">
      <c r="D334" s="3" t="s">
        <v>96</v>
      </c>
    </row>
    <row r="335" spans="4:4" ht="17.649999999999999" x14ac:dyDescent="0.5">
      <c r="D335" s="3" t="s">
        <v>50</v>
      </c>
    </row>
    <row r="336" spans="4:4" ht="17.649999999999999" x14ac:dyDescent="0.5">
      <c r="D336" s="3" t="s">
        <v>66</v>
      </c>
    </row>
    <row r="337" spans="4:4" ht="17.649999999999999" x14ac:dyDescent="0.5">
      <c r="D337" s="3" t="s">
        <v>101</v>
      </c>
    </row>
    <row r="338" spans="4:4" ht="17.649999999999999" x14ac:dyDescent="0.5">
      <c r="D338" s="3" t="s">
        <v>65</v>
      </c>
    </row>
    <row r="339" spans="4:4" ht="17.649999999999999" x14ac:dyDescent="0.5">
      <c r="D339" s="3" t="s">
        <v>125</v>
      </c>
    </row>
    <row r="340" spans="4:4" ht="17.649999999999999" x14ac:dyDescent="0.5">
      <c r="D340" s="3" t="s">
        <v>89</v>
      </c>
    </row>
    <row r="341" spans="4:4" ht="17.649999999999999" x14ac:dyDescent="0.5">
      <c r="D341" s="3" t="s">
        <v>103</v>
      </c>
    </row>
    <row r="342" spans="4:4" ht="17.649999999999999" x14ac:dyDescent="0.5">
      <c r="D342" s="3" t="s">
        <v>134</v>
      </c>
    </row>
    <row r="343" spans="4:4" ht="17.649999999999999" x14ac:dyDescent="0.5">
      <c r="D343" s="3" t="s">
        <v>98</v>
      </c>
    </row>
    <row r="344" spans="4:4" ht="17.649999999999999" x14ac:dyDescent="0.5">
      <c r="D344" s="3" t="s">
        <v>55</v>
      </c>
    </row>
    <row r="345" spans="4:4" ht="17.649999999999999" x14ac:dyDescent="0.5">
      <c r="D345" s="3" t="s">
        <v>74</v>
      </c>
    </row>
    <row r="346" spans="4:4" ht="17.649999999999999" x14ac:dyDescent="0.5">
      <c r="D346" s="3" t="s">
        <v>64</v>
      </c>
    </row>
    <row r="347" spans="4:4" ht="17.649999999999999" x14ac:dyDescent="0.5">
      <c r="D347" s="3" t="s">
        <v>92</v>
      </c>
    </row>
    <row r="348" spans="4:4" ht="17.649999999999999" x14ac:dyDescent="0.5">
      <c r="D348" s="3" t="s">
        <v>96</v>
      </c>
    </row>
    <row r="349" spans="4:4" ht="17.649999999999999" x14ac:dyDescent="0.5">
      <c r="D349" s="3" t="s">
        <v>45</v>
      </c>
    </row>
    <row r="350" spans="4:4" ht="17.649999999999999" x14ac:dyDescent="0.5">
      <c r="D350" s="3" t="s">
        <v>91</v>
      </c>
    </row>
    <row r="351" spans="4:4" ht="17.649999999999999" x14ac:dyDescent="0.5">
      <c r="D351" s="3" t="s">
        <v>82</v>
      </c>
    </row>
    <row r="352" spans="4:4" ht="17.649999999999999" x14ac:dyDescent="0.5">
      <c r="D352" s="3" t="s">
        <v>41</v>
      </c>
    </row>
    <row r="353" spans="4:4" ht="17.649999999999999" x14ac:dyDescent="0.5">
      <c r="D353" s="3" t="s">
        <v>87</v>
      </c>
    </row>
    <row r="354" spans="4:4" ht="17.649999999999999" x14ac:dyDescent="0.5">
      <c r="D354" s="3" t="s">
        <v>56</v>
      </c>
    </row>
    <row r="355" spans="4:4" ht="17.649999999999999" x14ac:dyDescent="0.5">
      <c r="D355" s="3" t="s">
        <v>78</v>
      </c>
    </row>
    <row r="356" spans="4:4" ht="17.649999999999999" x14ac:dyDescent="0.5">
      <c r="D356" s="3" t="s">
        <v>84</v>
      </c>
    </row>
    <row r="357" spans="4:4" ht="17.649999999999999" x14ac:dyDescent="0.5">
      <c r="D357" s="3" t="s">
        <v>60</v>
      </c>
    </row>
    <row r="358" spans="4:4" ht="17.649999999999999" x14ac:dyDescent="0.5">
      <c r="D358" s="3" t="s">
        <v>64</v>
      </c>
    </row>
    <row r="359" spans="4:4" ht="17.649999999999999" x14ac:dyDescent="0.5">
      <c r="D359" s="3" t="s">
        <v>96</v>
      </c>
    </row>
    <row r="360" spans="4:4" ht="17.649999999999999" x14ac:dyDescent="0.5">
      <c r="D360" s="3" t="s">
        <v>74</v>
      </c>
    </row>
    <row r="361" spans="4:4" ht="17.649999999999999" x14ac:dyDescent="0.5">
      <c r="D361" s="3" t="s">
        <v>58</v>
      </c>
    </row>
    <row r="362" spans="4:4" ht="17.649999999999999" x14ac:dyDescent="0.5">
      <c r="D362" s="3" t="s">
        <v>130</v>
      </c>
    </row>
    <row r="363" spans="4:4" ht="17.649999999999999" x14ac:dyDescent="0.5">
      <c r="D363" s="3" t="s">
        <v>80</v>
      </c>
    </row>
    <row r="364" spans="4:4" ht="17.649999999999999" x14ac:dyDescent="0.5">
      <c r="D364" s="3" t="s">
        <v>46</v>
      </c>
    </row>
    <row r="365" spans="4:4" ht="17.649999999999999" x14ac:dyDescent="0.5">
      <c r="D365" s="3" t="s">
        <v>84</v>
      </c>
    </row>
    <row r="366" spans="4:4" ht="17.649999999999999" x14ac:dyDescent="0.5">
      <c r="D366" s="3" t="s">
        <v>87</v>
      </c>
    </row>
    <row r="367" spans="4:4" ht="17.649999999999999" x14ac:dyDescent="0.5">
      <c r="D367" s="3" t="s">
        <v>113</v>
      </c>
    </row>
    <row r="368" spans="4:4" ht="17.649999999999999" x14ac:dyDescent="0.5">
      <c r="D368" s="3" t="s">
        <v>61</v>
      </c>
    </row>
    <row r="369" spans="4:4" ht="17.649999999999999" x14ac:dyDescent="0.5">
      <c r="D369" s="3" t="s">
        <v>81</v>
      </c>
    </row>
    <row r="370" spans="4:4" ht="17.649999999999999" x14ac:dyDescent="0.5">
      <c r="D370" s="3" t="s">
        <v>75</v>
      </c>
    </row>
    <row r="371" spans="4:4" ht="17.649999999999999" x14ac:dyDescent="0.5">
      <c r="D371" s="3" t="s">
        <v>109</v>
      </c>
    </row>
    <row r="372" spans="4:4" ht="17.649999999999999" x14ac:dyDescent="0.5">
      <c r="D372" s="3" t="s">
        <v>49</v>
      </c>
    </row>
    <row r="373" spans="4:4" ht="17.649999999999999" x14ac:dyDescent="0.5">
      <c r="D373" s="3" t="s">
        <v>128</v>
      </c>
    </row>
    <row r="374" spans="4:4" ht="17.649999999999999" x14ac:dyDescent="0.5">
      <c r="D374" s="3" t="s">
        <v>47</v>
      </c>
    </row>
    <row r="375" spans="4:4" ht="17.649999999999999" x14ac:dyDescent="0.5">
      <c r="D375" s="3" t="s">
        <v>68</v>
      </c>
    </row>
    <row r="376" spans="4:4" ht="17.649999999999999" x14ac:dyDescent="0.5">
      <c r="D376" s="3" t="s">
        <v>48</v>
      </c>
    </row>
    <row r="377" spans="4:4" ht="17.649999999999999" x14ac:dyDescent="0.5">
      <c r="D377" s="3" t="s">
        <v>44</v>
      </c>
    </row>
    <row r="378" spans="4:4" ht="17.649999999999999" x14ac:dyDescent="0.5">
      <c r="D378" s="3" t="s">
        <v>62</v>
      </c>
    </row>
    <row r="379" spans="4:4" ht="17.649999999999999" x14ac:dyDescent="0.5">
      <c r="D379" s="3" t="s">
        <v>136</v>
      </c>
    </row>
    <row r="380" spans="4:4" ht="17.649999999999999" x14ac:dyDescent="0.5">
      <c r="D380" s="3" t="s">
        <v>107</v>
      </c>
    </row>
    <row r="381" spans="4:4" ht="17.649999999999999" x14ac:dyDescent="0.5">
      <c r="D381" s="3" t="s">
        <v>98</v>
      </c>
    </row>
    <row r="382" spans="4:4" ht="17.649999999999999" x14ac:dyDescent="0.5">
      <c r="D382" s="3" t="s">
        <v>122</v>
      </c>
    </row>
    <row r="383" spans="4:4" ht="17.649999999999999" x14ac:dyDescent="0.5">
      <c r="D383" s="3" t="s">
        <v>101</v>
      </c>
    </row>
    <row r="384" spans="4:4" ht="17.649999999999999" x14ac:dyDescent="0.5">
      <c r="D384" s="3" t="s">
        <v>50</v>
      </c>
    </row>
    <row r="385" spans="4:4" ht="17.649999999999999" x14ac:dyDescent="0.5">
      <c r="D385" s="3" t="s">
        <v>59</v>
      </c>
    </row>
    <row r="386" spans="4:4" ht="17.649999999999999" x14ac:dyDescent="0.5">
      <c r="D386" s="3" t="s">
        <v>48</v>
      </c>
    </row>
    <row r="387" spans="4:4" ht="17.649999999999999" x14ac:dyDescent="0.5">
      <c r="D387" s="3" t="s">
        <v>43</v>
      </c>
    </row>
    <row r="388" spans="4:4" ht="17.649999999999999" x14ac:dyDescent="0.5">
      <c r="D388" s="3" t="s">
        <v>102</v>
      </c>
    </row>
    <row r="389" spans="4:4" ht="17.649999999999999" x14ac:dyDescent="0.5">
      <c r="D389" s="3" t="s">
        <v>53</v>
      </c>
    </row>
    <row r="390" spans="4:4" ht="17.649999999999999" x14ac:dyDescent="0.5">
      <c r="D390" s="3" t="s">
        <v>105</v>
      </c>
    </row>
    <row r="391" spans="4:4" ht="17.649999999999999" x14ac:dyDescent="0.5">
      <c r="D391" s="3" t="s">
        <v>127</v>
      </c>
    </row>
    <row r="392" spans="4:4" ht="17.649999999999999" x14ac:dyDescent="0.5">
      <c r="D392" s="3" t="s">
        <v>41</v>
      </c>
    </row>
    <row r="393" spans="4:4" ht="17.649999999999999" x14ac:dyDescent="0.5">
      <c r="D393" s="3" t="s">
        <v>136</v>
      </c>
    </row>
    <row r="394" spans="4:4" ht="17.649999999999999" x14ac:dyDescent="0.5">
      <c r="D394" s="3" t="s">
        <v>85</v>
      </c>
    </row>
    <row r="395" spans="4:4" ht="17.649999999999999" x14ac:dyDescent="0.5">
      <c r="D395" s="3" t="s">
        <v>73</v>
      </c>
    </row>
    <row r="396" spans="4:4" ht="17.649999999999999" x14ac:dyDescent="0.5">
      <c r="D396" s="3" t="s">
        <v>131</v>
      </c>
    </row>
    <row r="397" spans="4:4" ht="17.649999999999999" x14ac:dyDescent="0.5">
      <c r="D397" s="3" t="s">
        <v>90</v>
      </c>
    </row>
    <row r="398" spans="4:4" ht="17.649999999999999" x14ac:dyDescent="0.5">
      <c r="D398" s="3" t="s">
        <v>98</v>
      </c>
    </row>
    <row r="399" spans="4:4" ht="17.649999999999999" x14ac:dyDescent="0.5">
      <c r="D399" s="3" t="s">
        <v>47</v>
      </c>
    </row>
    <row r="400" spans="4:4" ht="17.649999999999999" x14ac:dyDescent="0.5">
      <c r="D400" s="3" t="s">
        <v>106</v>
      </c>
    </row>
    <row r="401" spans="4:4" ht="17.649999999999999" x14ac:dyDescent="0.5">
      <c r="D401" s="3" t="s">
        <v>108</v>
      </c>
    </row>
    <row r="402" spans="4:4" ht="17.649999999999999" x14ac:dyDescent="0.5">
      <c r="D402" s="3" t="s">
        <v>64</v>
      </c>
    </row>
    <row r="403" spans="4:4" ht="17.649999999999999" x14ac:dyDescent="0.5">
      <c r="D403" s="3" t="s">
        <v>102</v>
      </c>
    </row>
    <row r="404" spans="4:4" ht="17.649999999999999" x14ac:dyDescent="0.5">
      <c r="D404" s="3" t="s">
        <v>41</v>
      </c>
    </row>
    <row r="405" spans="4:4" ht="17.649999999999999" x14ac:dyDescent="0.5">
      <c r="D405" s="3" t="s">
        <v>52</v>
      </c>
    </row>
    <row r="406" spans="4:4" ht="17.649999999999999" x14ac:dyDescent="0.5">
      <c r="D406" s="3" t="s">
        <v>105</v>
      </c>
    </row>
    <row r="407" spans="4:4" ht="17.649999999999999" x14ac:dyDescent="0.5">
      <c r="D407" s="3" t="s">
        <v>46</v>
      </c>
    </row>
    <row r="408" spans="4:4" ht="17.649999999999999" x14ac:dyDescent="0.5">
      <c r="D408" s="3" t="s">
        <v>98</v>
      </c>
    </row>
    <row r="409" spans="4:4" ht="17.649999999999999" x14ac:dyDescent="0.5">
      <c r="D409" s="3" t="s">
        <v>61</v>
      </c>
    </row>
    <row r="410" spans="4:4" ht="17.649999999999999" x14ac:dyDescent="0.5">
      <c r="D410" s="3" t="s">
        <v>59</v>
      </c>
    </row>
    <row r="411" spans="4:4" ht="17.649999999999999" x14ac:dyDescent="0.5">
      <c r="D411" s="3" t="s">
        <v>63</v>
      </c>
    </row>
    <row r="412" spans="4:4" ht="17.649999999999999" x14ac:dyDescent="0.5">
      <c r="D412" s="3" t="s">
        <v>107</v>
      </c>
    </row>
    <row r="413" spans="4:4" ht="17.649999999999999" x14ac:dyDescent="0.5">
      <c r="D413" s="3" t="s">
        <v>101</v>
      </c>
    </row>
    <row r="414" spans="4:4" ht="17.649999999999999" x14ac:dyDescent="0.5">
      <c r="D414" s="3" t="s">
        <v>55</v>
      </c>
    </row>
    <row r="415" spans="4:4" ht="17.649999999999999" x14ac:dyDescent="0.5">
      <c r="D415" s="3" t="s">
        <v>69</v>
      </c>
    </row>
    <row r="416" spans="4:4" ht="17.649999999999999" x14ac:dyDescent="0.5">
      <c r="D416" s="3" t="s">
        <v>53</v>
      </c>
    </row>
    <row r="417" spans="4:4" ht="17.649999999999999" x14ac:dyDescent="0.5">
      <c r="D417" s="3" t="s">
        <v>107</v>
      </c>
    </row>
    <row r="418" spans="4:4" ht="17.649999999999999" x14ac:dyDescent="0.5">
      <c r="D418" s="3" t="s">
        <v>54</v>
      </c>
    </row>
    <row r="419" spans="4:4" ht="17.649999999999999" x14ac:dyDescent="0.5">
      <c r="D419" s="3" t="s">
        <v>55</v>
      </c>
    </row>
    <row r="420" spans="4:4" ht="17.649999999999999" x14ac:dyDescent="0.5">
      <c r="D420" s="3" t="s">
        <v>75</v>
      </c>
    </row>
    <row r="421" spans="4:4" ht="17.649999999999999" x14ac:dyDescent="0.5">
      <c r="D421" s="3" t="s">
        <v>83</v>
      </c>
    </row>
    <row r="422" spans="4:4" ht="17.649999999999999" x14ac:dyDescent="0.5">
      <c r="D422" s="3" t="s">
        <v>78</v>
      </c>
    </row>
    <row r="423" spans="4:4" ht="17.649999999999999" x14ac:dyDescent="0.5">
      <c r="D423" s="3" t="s">
        <v>85</v>
      </c>
    </row>
    <row r="424" spans="4:4" ht="17.649999999999999" x14ac:dyDescent="0.5">
      <c r="D424" s="3" t="s">
        <v>41</v>
      </c>
    </row>
    <row r="425" spans="4:4" ht="17.649999999999999" x14ac:dyDescent="0.5">
      <c r="D425" s="3" t="s">
        <v>75</v>
      </c>
    </row>
    <row r="426" spans="4:4" ht="17.649999999999999" x14ac:dyDescent="0.5">
      <c r="D426" s="3" t="s">
        <v>87</v>
      </c>
    </row>
    <row r="427" spans="4:4" ht="17.649999999999999" x14ac:dyDescent="0.5">
      <c r="D427" s="3" t="s">
        <v>66</v>
      </c>
    </row>
    <row r="428" spans="4:4" ht="17.649999999999999" x14ac:dyDescent="0.5">
      <c r="D428" s="3" t="s">
        <v>108</v>
      </c>
    </row>
    <row r="429" spans="4:4" ht="17.649999999999999" x14ac:dyDescent="0.5">
      <c r="D429" s="3" t="s">
        <v>50</v>
      </c>
    </row>
    <row r="430" spans="4:4" ht="17.649999999999999" x14ac:dyDescent="0.5">
      <c r="D430" s="3" t="s">
        <v>43</v>
      </c>
    </row>
    <row r="431" spans="4:4" ht="17.649999999999999" x14ac:dyDescent="0.5">
      <c r="D431" s="3" t="s">
        <v>58</v>
      </c>
    </row>
    <row r="432" spans="4:4" ht="17.649999999999999" x14ac:dyDescent="0.5">
      <c r="D432" s="3" t="s">
        <v>56</v>
      </c>
    </row>
    <row r="433" spans="4:4" ht="17.649999999999999" x14ac:dyDescent="0.5">
      <c r="D433" s="3" t="s">
        <v>46</v>
      </c>
    </row>
    <row r="434" spans="4:4" ht="17.649999999999999" x14ac:dyDescent="0.5">
      <c r="D434" s="3" t="s">
        <v>63</v>
      </c>
    </row>
    <row r="435" spans="4:4" ht="17.649999999999999" x14ac:dyDescent="0.5">
      <c r="D435" s="3" t="s">
        <v>120</v>
      </c>
    </row>
    <row r="436" spans="4:4" ht="17.649999999999999" x14ac:dyDescent="0.5">
      <c r="D436" s="3" t="s">
        <v>105</v>
      </c>
    </row>
    <row r="437" spans="4:4" ht="17.649999999999999" x14ac:dyDescent="0.5">
      <c r="D437" s="3" t="s">
        <v>55</v>
      </c>
    </row>
    <row r="438" spans="4:4" ht="17.649999999999999" x14ac:dyDescent="0.5">
      <c r="D438" s="3" t="s">
        <v>115</v>
      </c>
    </row>
    <row r="439" spans="4:4" ht="17.649999999999999" x14ac:dyDescent="0.5">
      <c r="D439" s="3" t="s">
        <v>91</v>
      </c>
    </row>
    <row r="440" spans="4:4" ht="17.649999999999999" x14ac:dyDescent="0.5">
      <c r="D440" s="3" t="s">
        <v>101</v>
      </c>
    </row>
    <row r="441" spans="4:4" ht="17.649999999999999" x14ac:dyDescent="0.5">
      <c r="D441" s="3" t="s">
        <v>47</v>
      </c>
    </row>
    <row r="442" spans="4:4" ht="17.649999999999999" x14ac:dyDescent="0.5">
      <c r="D442" s="3" t="s">
        <v>53</v>
      </c>
    </row>
    <row r="443" spans="4:4" ht="17.649999999999999" x14ac:dyDescent="0.5">
      <c r="D443" s="3" t="s">
        <v>64</v>
      </c>
    </row>
    <row r="444" spans="4:4" ht="17.649999999999999" x14ac:dyDescent="0.5">
      <c r="D444" s="3" t="s">
        <v>56</v>
      </c>
    </row>
    <row r="445" spans="4:4" ht="17.649999999999999" x14ac:dyDescent="0.5">
      <c r="D445" s="3" t="s">
        <v>43</v>
      </c>
    </row>
    <row r="446" spans="4:4" ht="17.649999999999999" x14ac:dyDescent="0.5">
      <c r="D446" s="3" t="s">
        <v>92</v>
      </c>
    </row>
    <row r="447" spans="4:4" ht="17.649999999999999" x14ac:dyDescent="0.5">
      <c r="D447" s="3" t="s">
        <v>60</v>
      </c>
    </row>
    <row r="448" spans="4:4" ht="17.649999999999999" x14ac:dyDescent="0.5">
      <c r="D448" s="3" t="s">
        <v>68</v>
      </c>
    </row>
    <row r="449" spans="4:4" ht="17.649999999999999" x14ac:dyDescent="0.5">
      <c r="D449" s="3" t="s">
        <v>103</v>
      </c>
    </row>
    <row r="450" spans="4:4" ht="17.649999999999999" x14ac:dyDescent="0.5">
      <c r="D450" s="3" t="s">
        <v>49</v>
      </c>
    </row>
    <row r="451" spans="4:4" ht="17.649999999999999" x14ac:dyDescent="0.5">
      <c r="D451" s="3" t="s">
        <v>68</v>
      </c>
    </row>
    <row r="452" spans="4:4" ht="17.649999999999999" x14ac:dyDescent="0.5">
      <c r="D452" s="3" t="s">
        <v>121</v>
      </c>
    </row>
    <row r="453" spans="4:4" ht="17.649999999999999" x14ac:dyDescent="0.5">
      <c r="D453" s="3" t="s">
        <v>124</v>
      </c>
    </row>
    <row r="454" spans="4:4" ht="17.649999999999999" x14ac:dyDescent="0.5">
      <c r="D454" s="3" t="s">
        <v>107</v>
      </c>
    </row>
    <row r="455" spans="4:4" ht="17.649999999999999" x14ac:dyDescent="0.5">
      <c r="D455" s="3" t="s">
        <v>44</v>
      </c>
    </row>
    <row r="456" spans="4:4" ht="17.649999999999999" x14ac:dyDescent="0.5">
      <c r="D456" s="3" t="s">
        <v>47</v>
      </c>
    </row>
    <row r="457" spans="4:4" ht="17.649999999999999" x14ac:dyDescent="0.5">
      <c r="D457" s="3" t="s">
        <v>90</v>
      </c>
    </row>
    <row r="458" spans="4:4" ht="17.649999999999999" x14ac:dyDescent="0.5">
      <c r="D458" s="3" t="s">
        <v>87</v>
      </c>
    </row>
    <row r="459" spans="4:4" ht="17.649999999999999" x14ac:dyDescent="0.5">
      <c r="D459" s="3" t="s">
        <v>67</v>
      </c>
    </row>
    <row r="460" spans="4:4" ht="17.649999999999999" x14ac:dyDescent="0.5">
      <c r="D460" s="3" t="s">
        <v>44</v>
      </c>
    </row>
    <row r="461" spans="4:4" ht="17.649999999999999" x14ac:dyDescent="0.5">
      <c r="D461" s="3" t="s">
        <v>94</v>
      </c>
    </row>
    <row r="462" spans="4:4" ht="17.649999999999999" x14ac:dyDescent="0.5">
      <c r="D462" s="3" t="s">
        <v>103</v>
      </c>
    </row>
    <row r="463" spans="4:4" ht="17.649999999999999" x14ac:dyDescent="0.5">
      <c r="D463" s="3" t="s">
        <v>87</v>
      </c>
    </row>
    <row r="464" spans="4:4" ht="17.649999999999999" x14ac:dyDescent="0.5">
      <c r="D464" s="3" t="s">
        <v>112</v>
      </c>
    </row>
    <row r="465" spans="4:4" ht="17.649999999999999" x14ac:dyDescent="0.5">
      <c r="D465" s="3" t="s">
        <v>63</v>
      </c>
    </row>
    <row r="466" spans="4:4" ht="17.649999999999999" x14ac:dyDescent="0.5">
      <c r="D466" s="3" t="s">
        <v>91</v>
      </c>
    </row>
    <row r="467" spans="4:4" ht="17.649999999999999" x14ac:dyDescent="0.5">
      <c r="D467" s="3" t="s">
        <v>101</v>
      </c>
    </row>
    <row r="468" spans="4:4" ht="17.649999999999999" x14ac:dyDescent="0.5">
      <c r="D468" s="3" t="s">
        <v>105</v>
      </c>
    </row>
    <row r="469" spans="4:4" ht="17.649999999999999" x14ac:dyDescent="0.5">
      <c r="D469" s="3" t="s">
        <v>119</v>
      </c>
    </row>
    <row r="470" spans="4:4" ht="17.649999999999999" x14ac:dyDescent="0.5">
      <c r="D470" s="3" t="s">
        <v>103</v>
      </c>
    </row>
    <row r="471" spans="4:4" ht="17.649999999999999" x14ac:dyDescent="0.5">
      <c r="D471" s="3" t="s">
        <v>121</v>
      </c>
    </row>
    <row r="472" spans="4:4" ht="17.649999999999999" x14ac:dyDescent="0.5">
      <c r="D472" s="3" t="s">
        <v>50</v>
      </c>
    </row>
    <row r="473" spans="4:4" ht="17.649999999999999" x14ac:dyDescent="0.5">
      <c r="D473" s="3" t="s">
        <v>54</v>
      </c>
    </row>
    <row r="474" spans="4:4" ht="17.649999999999999" x14ac:dyDescent="0.5">
      <c r="D474" s="3" t="s">
        <v>63</v>
      </c>
    </row>
    <row r="475" spans="4:4" ht="17.649999999999999" x14ac:dyDescent="0.5">
      <c r="D475" s="3" t="s">
        <v>74</v>
      </c>
    </row>
    <row r="476" spans="4:4" ht="17.649999999999999" x14ac:dyDescent="0.5">
      <c r="D476" s="3" t="s">
        <v>107</v>
      </c>
    </row>
    <row r="477" spans="4:4" ht="17.649999999999999" x14ac:dyDescent="0.5">
      <c r="D477" s="3" t="s">
        <v>104</v>
      </c>
    </row>
    <row r="478" spans="4:4" ht="17.649999999999999" x14ac:dyDescent="0.5">
      <c r="D478" s="3" t="s">
        <v>56</v>
      </c>
    </row>
    <row r="479" spans="4:4" ht="17.649999999999999" x14ac:dyDescent="0.5">
      <c r="D479" s="3" t="s">
        <v>117</v>
      </c>
    </row>
    <row r="480" spans="4:4" ht="17.649999999999999" x14ac:dyDescent="0.5">
      <c r="D480" s="3" t="s">
        <v>61</v>
      </c>
    </row>
    <row r="481" spans="4:4" ht="17.649999999999999" x14ac:dyDescent="0.5">
      <c r="D481" s="3" t="s">
        <v>68</v>
      </c>
    </row>
    <row r="482" spans="4:4" ht="17.649999999999999" x14ac:dyDescent="0.5">
      <c r="D482" s="3" t="s">
        <v>64</v>
      </c>
    </row>
    <row r="483" spans="4:4" ht="17.649999999999999" x14ac:dyDescent="0.5">
      <c r="D483" s="3" t="s">
        <v>129</v>
      </c>
    </row>
    <row r="484" spans="4:4" ht="17.649999999999999" x14ac:dyDescent="0.5">
      <c r="D484" s="3" t="s">
        <v>56</v>
      </c>
    </row>
    <row r="485" spans="4:4" ht="17.649999999999999" x14ac:dyDescent="0.5">
      <c r="D485" s="3" t="s">
        <v>94</v>
      </c>
    </row>
    <row r="486" spans="4:4" ht="17.649999999999999" x14ac:dyDescent="0.5">
      <c r="D486" s="3" t="s">
        <v>64</v>
      </c>
    </row>
    <row r="487" spans="4:4" ht="17.649999999999999" x14ac:dyDescent="0.5">
      <c r="D487" s="3" t="s">
        <v>53</v>
      </c>
    </row>
    <row r="488" spans="4:4" ht="17.649999999999999" x14ac:dyDescent="0.5">
      <c r="D488" s="3" t="s">
        <v>56</v>
      </c>
    </row>
    <row r="489" spans="4:4" ht="17.649999999999999" x14ac:dyDescent="0.5">
      <c r="D489" s="3" t="s">
        <v>62</v>
      </c>
    </row>
    <row r="490" spans="4:4" ht="17.649999999999999" x14ac:dyDescent="0.5">
      <c r="D490" s="3" t="s">
        <v>76</v>
      </c>
    </row>
    <row r="491" spans="4:4" ht="17.649999999999999" x14ac:dyDescent="0.5">
      <c r="D491" s="3" t="s">
        <v>122</v>
      </c>
    </row>
    <row r="492" spans="4:4" ht="17.649999999999999" x14ac:dyDescent="0.5">
      <c r="D492" s="3" t="s">
        <v>92</v>
      </c>
    </row>
    <row r="493" spans="4:4" ht="17.649999999999999" x14ac:dyDescent="0.5">
      <c r="D493" s="3" t="s">
        <v>123</v>
      </c>
    </row>
    <row r="494" spans="4:4" ht="17.649999999999999" x14ac:dyDescent="0.5">
      <c r="D494" s="3" t="s">
        <v>51</v>
      </c>
    </row>
    <row r="495" spans="4:4" ht="17.649999999999999" x14ac:dyDescent="0.5">
      <c r="D495" s="3" t="s">
        <v>92</v>
      </c>
    </row>
    <row r="496" spans="4:4" ht="17.649999999999999" x14ac:dyDescent="0.5">
      <c r="D496" s="3" t="s">
        <v>131</v>
      </c>
    </row>
    <row r="497" spans="4:4" ht="17.649999999999999" x14ac:dyDescent="0.5">
      <c r="D497" s="3" t="s">
        <v>85</v>
      </c>
    </row>
    <row r="498" spans="4:4" ht="17.649999999999999" x14ac:dyDescent="0.5">
      <c r="D498" s="3" t="s">
        <v>89</v>
      </c>
    </row>
    <row r="499" spans="4:4" ht="17.649999999999999" x14ac:dyDescent="0.5">
      <c r="D499" s="3" t="s">
        <v>105</v>
      </c>
    </row>
    <row r="500" spans="4:4" ht="17.649999999999999" x14ac:dyDescent="0.5">
      <c r="D500" s="3" t="s">
        <v>132</v>
      </c>
    </row>
    <row r="501" spans="4:4" ht="17.649999999999999" x14ac:dyDescent="0.5">
      <c r="D501" s="3" t="s">
        <v>64</v>
      </c>
    </row>
    <row r="502" spans="4:4" ht="17.649999999999999" x14ac:dyDescent="0.5">
      <c r="D502" s="3" t="s">
        <v>86</v>
      </c>
    </row>
    <row r="503" spans="4:4" ht="17.649999999999999" x14ac:dyDescent="0.5">
      <c r="D503" s="3" t="s">
        <v>79</v>
      </c>
    </row>
    <row r="504" spans="4:4" ht="17.649999999999999" x14ac:dyDescent="0.5">
      <c r="D504" s="3" t="s">
        <v>113</v>
      </c>
    </row>
    <row r="505" spans="4:4" ht="17.649999999999999" x14ac:dyDescent="0.5">
      <c r="D505" s="3" t="s">
        <v>108</v>
      </c>
    </row>
    <row r="506" spans="4:4" ht="17.649999999999999" x14ac:dyDescent="0.5">
      <c r="D506" s="3" t="s">
        <v>94</v>
      </c>
    </row>
    <row r="507" spans="4:4" ht="17.649999999999999" x14ac:dyDescent="0.5">
      <c r="D507" s="3" t="s">
        <v>49</v>
      </c>
    </row>
    <row r="508" spans="4:4" ht="17.649999999999999" x14ac:dyDescent="0.5">
      <c r="D508" s="3" t="s">
        <v>94</v>
      </c>
    </row>
    <row r="509" spans="4:4" ht="17.649999999999999" x14ac:dyDescent="0.5">
      <c r="D509" s="3" t="s">
        <v>74</v>
      </c>
    </row>
    <row r="510" spans="4:4" ht="17.649999999999999" x14ac:dyDescent="0.5">
      <c r="D510" s="3" t="s">
        <v>126</v>
      </c>
    </row>
    <row r="511" spans="4:4" ht="17.649999999999999" x14ac:dyDescent="0.5">
      <c r="D511" s="3" t="s">
        <v>60</v>
      </c>
    </row>
    <row r="512" spans="4:4" ht="17.649999999999999" x14ac:dyDescent="0.5">
      <c r="D512" s="3" t="s">
        <v>123</v>
      </c>
    </row>
    <row r="513" spans="4:4" ht="17.649999999999999" x14ac:dyDescent="0.5">
      <c r="D513" s="3" t="s">
        <v>51</v>
      </c>
    </row>
    <row r="514" spans="4:4" ht="17.649999999999999" x14ac:dyDescent="0.5">
      <c r="D514" s="3" t="s">
        <v>61</v>
      </c>
    </row>
    <row r="515" spans="4:4" ht="17.649999999999999" x14ac:dyDescent="0.5">
      <c r="D515" s="3" t="s">
        <v>94</v>
      </c>
    </row>
    <row r="516" spans="4:4" ht="17.649999999999999" x14ac:dyDescent="0.5">
      <c r="D516" s="3" t="s">
        <v>127</v>
      </c>
    </row>
    <row r="517" spans="4:4" ht="17.649999999999999" x14ac:dyDescent="0.5">
      <c r="D517" s="3" t="s">
        <v>68</v>
      </c>
    </row>
    <row r="518" spans="4:4" ht="17.649999999999999" x14ac:dyDescent="0.5">
      <c r="D518" s="3" t="s">
        <v>77</v>
      </c>
    </row>
    <row r="519" spans="4:4" ht="17.649999999999999" x14ac:dyDescent="0.5">
      <c r="D519" s="3" t="s">
        <v>75</v>
      </c>
    </row>
    <row r="520" spans="4:4" ht="17.649999999999999" x14ac:dyDescent="0.5">
      <c r="D520" s="3" t="s">
        <v>79</v>
      </c>
    </row>
    <row r="521" spans="4:4" ht="17.649999999999999" x14ac:dyDescent="0.5">
      <c r="D521" s="3" t="s">
        <v>101</v>
      </c>
    </row>
    <row r="522" spans="4:4" ht="17.649999999999999" x14ac:dyDescent="0.5">
      <c r="D522" s="3" t="s">
        <v>56</v>
      </c>
    </row>
    <row r="523" spans="4:4" ht="17.649999999999999" x14ac:dyDescent="0.5">
      <c r="D523" s="3" t="s">
        <v>88</v>
      </c>
    </row>
    <row r="524" spans="4:4" ht="17.649999999999999" x14ac:dyDescent="0.5">
      <c r="D524" s="3" t="s">
        <v>103</v>
      </c>
    </row>
    <row r="525" spans="4:4" ht="17.649999999999999" x14ac:dyDescent="0.5">
      <c r="D525" s="3" t="s">
        <v>57</v>
      </c>
    </row>
    <row r="526" spans="4:4" ht="17.649999999999999" x14ac:dyDescent="0.5">
      <c r="D526" s="3" t="s">
        <v>122</v>
      </c>
    </row>
    <row r="527" spans="4:4" ht="17.649999999999999" x14ac:dyDescent="0.5">
      <c r="D527" s="3" t="s">
        <v>84</v>
      </c>
    </row>
    <row r="528" spans="4:4" ht="17.649999999999999" x14ac:dyDescent="0.5">
      <c r="D528" s="3" t="s">
        <v>102</v>
      </c>
    </row>
    <row r="529" spans="4:4" ht="17.649999999999999" x14ac:dyDescent="0.5">
      <c r="D529" s="3" t="s">
        <v>41</v>
      </c>
    </row>
    <row r="530" spans="4:4" ht="17.649999999999999" x14ac:dyDescent="0.5">
      <c r="D530" s="3" t="s">
        <v>59</v>
      </c>
    </row>
    <row r="531" spans="4:4" ht="17.649999999999999" x14ac:dyDescent="0.5">
      <c r="D531" s="3" t="s">
        <v>130</v>
      </c>
    </row>
    <row r="532" spans="4:4" ht="17.649999999999999" x14ac:dyDescent="0.5">
      <c r="D532" s="3" t="s">
        <v>98</v>
      </c>
    </row>
    <row r="533" spans="4:4" ht="17.649999999999999" x14ac:dyDescent="0.5">
      <c r="D533" s="3" t="s">
        <v>86</v>
      </c>
    </row>
    <row r="534" spans="4:4" ht="17.649999999999999" x14ac:dyDescent="0.5">
      <c r="D534" s="3" t="s">
        <v>83</v>
      </c>
    </row>
    <row r="535" spans="4:4" ht="17.649999999999999" x14ac:dyDescent="0.5">
      <c r="D535" s="3" t="s">
        <v>73</v>
      </c>
    </row>
    <row r="536" spans="4:4" ht="17.649999999999999" x14ac:dyDescent="0.5">
      <c r="D536" s="3" t="s">
        <v>124</v>
      </c>
    </row>
    <row r="537" spans="4:4" ht="17.649999999999999" x14ac:dyDescent="0.5">
      <c r="D537" s="3" t="s">
        <v>74</v>
      </c>
    </row>
    <row r="538" spans="4:4" ht="17.649999999999999" x14ac:dyDescent="0.5">
      <c r="D538" s="3" t="s">
        <v>94</v>
      </c>
    </row>
    <row r="539" spans="4:4" ht="17.649999999999999" x14ac:dyDescent="0.5">
      <c r="D539" s="3" t="s">
        <v>47</v>
      </c>
    </row>
    <row r="540" spans="4:4" ht="17.649999999999999" x14ac:dyDescent="0.5">
      <c r="D540" s="3" t="s">
        <v>81</v>
      </c>
    </row>
    <row r="541" spans="4:4" ht="17.649999999999999" x14ac:dyDescent="0.5">
      <c r="D541" s="3" t="s">
        <v>65</v>
      </c>
    </row>
    <row r="542" spans="4:4" ht="17.649999999999999" x14ac:dyDescent="0.5">
      <c r="D542" s="3" t="s">
        <v>41</v>
      </c>
    </row>
    <row r="543" spans="4:4" ht="17.649999999999999" x14ac:dyDescent="0.5">
      <c r="D543" s="3" t="s">
        <v>105</v>
      </c>
    </row>
    <row r="544" spans="4:4" ht="17.649999999999999" x14ac:dyDescent="0.5">
      <c r="D544" s="3" t="s">
        <v>59</v>
      </c>
    </row>
    <row r="545" spans="4:4" ht="17.649999999999999" x14ac:dyDescent="0.5">
      <c r="D545" s="3" t="s">
        <v>64</v>
      </c>
    </row>
    <row r="546" spans="4:4" ht="17.649999999999999" x14ac:dyDescent="0.5">
      <c r="D546" s="3" t="s">
        <v>104</v>
      </c>
    </row>
    <row r="547" spans="4:4" ht="17.649999999999999" x14ac:dyDescent="0.5">
      <c r="D547" s="3" t="s">
        <v>86</v>
      </c>
    </row>
    <row r="548" spans="4:4" ht="17.649999999999999" x14ac:dyDescent="0.5">
      <c r="D548" s="3" t="s">
        <v>78</v>
      </c>
    </row>
    <row r="549" spans="4:4" ht="17.649999999999999" x14ac:dyDescent="0.5">
      <c r="D549" s="3" t="s">
        <v>43</v>
      </c>
    </row>
    <row r="550" spans="4:4" ht="17.649999999999999" x14ac:dyDescent="0.5">
      <c r="D550" s="3" t="s">
        <v>117</v>
      </c>
    </row>
    <row r="551" spans="4:4" ht="17.649999999999999" x14ac:dyDescent="0.5">
      <c r="D551" s="3" t="s">
        <v>80</v>
      </c>
    </row>
    <row r="552" spans="4:4" ht="17.649999999999999" x14ac:dyDescent="0.5">
      <c r="D552" s="3" t="s">
        <v>61</v>
      </c>
    </row>
    <row r="553" spans="4:4" ht="17.649999999999999" x14ac:dyDescent="0.5">
      <c r="D553" s="3" t="s">
        <v>73</v>
      </c>
    </row>
    <row r="554" spans="4:4" ht="17.649999999999999" x14ac:dyDescent="0.5">
      <c r="D554" s="3" t="s">
        <v>136</v>
      </c>
    </row>
    <row r="555" spans="4:4" ht="17.649999999999999" x14ac:dyDescent="0.5">
      <c r="D555" s="3" t="s">
        <v>78</v>
      </c>
    </row>
    <row r="556" spans="4:4" ht="17.649999999999999" x14ac:dyDescent="0.5">
      <c r="D556" s="3" t="s">
        <v>43</v>
      </c>
    </row>
    <row r="557" spans="4:4" ht="17.649999999999999" x14ac:dyDescent="0.5">
      <c r="D557" s="3" t="s">
        <v>105</v>
      </c>
    </row>
    <row r="558" spans="4:4" ht="17.649999999999999" x14ac:dyDescent="0.5">
      <c r="D558" s="3" t="s">
        <v>96</v>
      </c>
    </row>
    <row r="559" spans="4:4" ht="17.649999999999999" x14ac:dyDescent="0.5">
      <c r="D559" s="3" t="s">
        <v>49</v>
      </c>
    </row>
    <row r="560" spans="4:4" ht="17.649999999999999" x14ac:dyDescent="0.5">
      <c r="D560" s="3" t="s">
        <v>77</v>
      </c>
    </row>
    <row r="561" spans="4:4" ht="17.649999999999999" x14ac:dyDescent="0.5">
      <c r="D561" s="3" t="s">
        <v>52</v>
      </c>
    </row>
    <row r="562" spans="4:4" ht="17.649999999999999" x14ac:dyDescent="0.5">
      <c r="D562" s="3" t="s">
        <v>132</v>
      </c>
    </row>
    <row r="563" spans="4:4" ht="17.649999999999999" x14ac:dyDescent="0.5">
      <c r="D563" s="3" t="s">
        <v>77</v>
      </c>
    </row>
    <row r="564" spans="4:4" ht="17.649999999999999" x14ac:dyDescent="0.5">
      <c r="D564" s="3" t="s">
        <v>117</v>
      </c>
    </row>
    <row r="565" spans="4:4" ht="17.649999999999999" x14ac:dyDescent="0.5">
      <c r="D565" s="3" t="s">
        <v>55</v>
      </c>
    </row>
    <row r="566" spans="4:4" ht="17.649999999999999" x14ac:dyDescent="0.5">
      <c r="D566" s="3" t="s">
        <v>103</v>
      </c>
    </row>
    <row r="567" spans="4:4" ht="17.649999999999999" x14ac:dyDescent="0.5">
      <c r="D567" s="3" t="s">
        <v>61</v>
      </c>
    </row>
    <row r="568" spans="4:4" ht="17.649999999999999" x14ac:dyDescent="0.5">
      <c r="D568" s="3" t="s">
        <v>73</v>
      </c>
    </row>
    <row r="569" spans="4:4" ht="17.649999999999999" x14ac:dyDescent="0.5">
      <c r="D569" s="3" t="s">
        <v>47</v>
      </c>
    </row>
    <row r="570" spans="4:4" ht="17.649999999999999" x14ac:dyDescent="0.5">
      <c r="D570" s="3" t="s">
        <v>65</v>
      </c>
    </row>
    <row r="571" spans="4:4" ht="17.649999999999999" x14ac:dyDescent="0.5">
      <c r="D571" s="3" t="s">
        <v>118</v>
      </c>
    </row>
    <row r="572" spans="4:4" ht="17.649999999999999" x14ac:dyDescent="0.5">
      <c r="D572" s="3" t="s">
        <v>123</v>
      </c>
    </row>
    <row r="573" spans="4:4" ht="17.649999999999999" x14ac:dyDescent="0.5">
      <c r="D573" s="3" t="s">
        <v>109</v>
      </c>
    </row>
    <row r="574" spans="4:4" ht="17.649999999999999" x14ac:dyDescent="0.5">
      <c r="D574" s="3" t="s">
        <v>81</v>
      </c>
    </row>
    <row r="575" spans="4:4" ht="17.649999999999999" x14ac:dyDescent="0.5">
      <c r="D575" s="3" t="s">
        <v>60</v>
      </c>
    </row>
    <row r="576" spans="4:4" ht="17.649999999999999" x14ac:dyDescent="0.5">
      <c r="D576" s="3" t="s">
        <v>57</v>
      </c>
    </row>
    <row r="577" spans="4:4" ht="17.649999999999999" x14ac:dyDescent="0.5">
      <c r="D577" s="3" t="s">
        <v>59</v>
      </c>
    </row>
    <row r="578" spans="4:4" ht="17.649999999999999" x14ac:dyDescent="0.5">
      <c r="D578" s="3" t="s">
        <v>104</v>
      </c>
    </row>
    <row r="579" spans="4:4" ht="17.649999999999999" x14ac:dyDescent="0.5">
      <c r="D579" s="3" t="s">
        <v>90</v>
      </c>
    </row>
    <row r="580" spans="4:4" ht="17.649999999999999" x14ac:dyDescent="0.5">
      <c r="D580" s="3" t="s">
        <v>117</v>
      </c>
    </row>
    <row r="581" spans="4:4" ht="17.649999999999999" x14ac:dyDescent="0.5">
      <c r="D581" s="3" t="s">
        <v>53</v>
      </c>
    </row>
    <row r="582" spans="4:4" ht="17.649999999999999" x14ac:dyDescent="0.5">
      <c r="D582" s="3" t="s">
        <v>99</v>
      </c>
    </row>
    <row r="583" spans="4:4" ht="17.649999999999999" x14ac:dyDescent="0.5">
      <c r="D583" s="3" t="s">
        <v>77</v>
      </c>
    </row>
    <row r="584" spans="4:4" ht="17.649999999999999" x14ac:dyDescent="0.5">
      <c r="D584" s="3" t="s">
        <v>94</v>
      </c>
    </row>
    <row r="585" spans="4:4" ht="17.649999999999999" x14ac:dyDescent="0.5">
      <c r="D585" s="3" t="s">
        <v>69</v>
      </c>
    </row>
    <row r="586" spans="4:4" ht="17.649999999999999" x14ac:dyDescent="0.5">
      <c r="D586" s="3" t="s">
        <v>69</v>
      </c>
    </row>
    <row r="587" spans="4:4" ht="17.649999999999999" x14ac:dyDescent="0.5">
      <c r="D587" s="3" t="s">
        <v>41</v>
      </c>
    </row>
    <row r="588" spans="4:4" ht="17.649999999999999" x14ac:dyDescent="0.5">
      <c r="D588" s="3" t="s">
        <v>93</v>
      </c>
    </row>
    <row r="589" spans="4:4" ht="17.649999999999999" x14ac:dyDescent="0.5">
      <c r="D589" s="3" t="s">
        <v>92</v>
      </c>
    </row>
    <row r="590" spans="4:4" ht="17.649999999999999" x14ac:dyDescent="0.5">
      <c r="D590" s="3" t="s">
        <v>60</v>
      </c>
    </row>
    <row r="591" spans="4:4" ht="17.649999999999999" x14ac:dyDescent="0.5">
      <c r="D591" s="3" t="s">
        <v>111</v>
      </c>
    </row>
    <row r="592" spans="4:4" ht="17.649999999999999" x14ac:dyDescent="0.5">
      <c r="D592" s="3" t="s">
        <v>64</v>
      </c>
    </row>
    <row r="593" spans="4:4" ht="17.649999999999999" x14ac:dyDescent="0.5">
      <c r="D593" s="3" t="s">
        <v>51</v>
      </c>
    </row>
    <row r="594" spans="4:4" ht="17.649999999999999" x14ac:dyDescent="0.5">
      <c r="D594" s="3" t="s">
        <v>52</v>
      </c>
    </row>
    <row r="595" spans="4:4" ht="17.649999999999999" x14ac:dyDescent="0.5">
      <c r="D595" s="3" t="s">
        <v>47</v>
      </c>
    </row>
    <row r="596" spans="4:4" ht="17.649999999999999" x14ac:dyDescent="0.5">
      <c r="D596" s="3" t="s">
        <v>113</v>
      </c>
    </row>
    <row r="597" spans="4:4" ht="17.649999999999999" x14ac:dyDescent="0.5">
      <c r="D597" s="3" t="s">
        <v>51</v>
      </c>
    </row>
    <row r="598" spans="4:4" ht="17.649999999999999" x14ac:dyDescent="0.5">
      <c r="D598" s="3" t="s">
        <v>94</v>
      </c>
    </row>
    <row r="599" spans="4:4" ht="17.649999999999999" x14ac:dyDescent="0.5">
      <c r="D599" s="3" t="s">
        <v>112</v>
      </c>
    </row>
    <row r="600" spans="4:4" ht="17.649999999999999" x14ac:dyDescent="0.5">
      <c r="D600" s="3" t="s">
        <v>95</v>
      </c>
    </row>
    <row r="601" spans="4:4" ht="17.649999999999999" x14ac:dyDescent="0.5">
      <c r="D601" s="3" t="s">
        <v>127</v>
      </c>
    </row>
    <row r="602" spans="4:4" ht="17.649999999999999" x14ac:dyDescent="0.5">
      <c r="D602" s="3" t="s">
        <v>41</v>
      </c>
    </row>
    <row r="603" spans="4:4" ht="17.649999999999999" x14ac:dyDescent="0.5">
      <c r="D603" s="3" t="s">
        <v>105</v>
      </c>
    </row>
    <row r="604" spans="4:4" ht="17.649999999999999" x14ac:dyDescent="0.5">
      <c r="D604" s="3" t="s">
        <v>53</v>
      </c>
    </row>
    <row r="605" spans="4:4" ht="17.649999999999999" x14ac:dyDescent="0.5">
      <c r="D605" s="3" t="s">
        <v>98</v>
      </c>
    </row>
    <row r="606" spans="4:4" ht="17.649999999999999" x14ac:dyDescent="0.5">
      <c r="D606" s="3" t="s">
        <v>103</v>
      </c>
    </row>
    <row r="607" spans="4:4" ht="17.649999999999999" x14ac:dyDescent="0.5">
      <c r="D607" s="3" t="s">
        <v>41</v>
      </c>
    </row>
    <row r="608" spans="4:4" ht="17.649999999999999" x14ac:dyDescent="0.5">
      <c r="D608" s="3" t="s">
        <v>69</v>
      </c>
    </row>
    <row r="609" spans="4:4" ht="17.649999999999999" x14ac:dyDescent="0.5">
      <c r="D609" s="3" t="s">
        <v>76</v>
      </c>
    </row>
    <row r="610" spans="4:4" ht="17.649999999999999" x14ac:dyDescent="0.5">
      <c r="D610" s="3" t="s">
        <v>46</v>
      </c>
    </row>
    <row r="611" spans="4:4" ht="17.649999999999999" x14ac:dyDescent="0.5">
      <c r="D611" s="3" t="s">
        <v>87</v>
      </c>
    </row>
    <row r="612" spans="4:4" ht="17.649999999999999" x14ac:dyDescent="0.5">
      <c r="D612" s="3" t="s">
        <v>66</v>
      </c>
    </row>
    <row r="613" spans="4:4" ht="17.649999999999999" x14ac:dyDescent="0.5">
      <c r="D613" s="3" t="s">
        <v>94</v>
      </c>
    </row>
    <row r="614" spans="4:4" ht="17.649999999999999" x14ac:dyDescent="0.5">
      <c r="D614" s="3" t="s">
        <v>57</v>
      </c>
    </row>
    <row r="615" spans="4:4" ht="17.649999999999999" x14ac:dyDescent="0.5">
      <c r="D615" s="3" t="s">
        <v>121</v>
      </c>
    </row>
    <row r="616" spans="4:4" ht="17.649999999999999" x14ac:dyDescent="0.5">
      <c r="D616" s="3" t="s">
        <v>96</v>
      </c>
    </row>
    <row r="617" spans="4:4" ht="17.649999999999999" x14ac:dyDescent="0.5">
      <c r="D617" s="3" t="s">
        <v>98</v>
      </c>
    </row>
    <row r="618" spans="4:4" ht="17.649999999999999" x14ac:dyDescent="0.5">
      <c r="D618" s="3" t="s">
        <v>80</v>
      </c>
    </row>
    <row r="619" spans="4:4" ht="17.649999999999999" x14ac:dyDescent="0.5">
      <c r="D619" s="3" t="s">
        <v>68</v>
      </c>
    </row>
    <row r="620" spans="4:4" ht="17.649999999999999" x14ac:dyDescent="0.5">
      <c r="D620" s="3" t="s">
        <v>59</v>
      </c>
    </row>
    <row r="621" spans="4:4" ht="17.649999999999999" x14ac:dyDescent="0.5">
      <c r="D621" s="3" t="s">
        <v>113</v>
      </c>
    </row>
    <row r="622" spans="4:4" ht="17.649999999999999" x14ac:dyDescent="0.5">
      <c r="D622" s="3" t="s">
        <v>133</v>
      </c>
    </row>
    <row r="623" spans="4:4" ht="17.649999999999999" x14ac:dyDescent="0.5">
      <c r="D623" s="3" t="s">
        <v>112</v>
      </c>
    </row>
    <row r="624" spans="4:4" ht="17.649999999999999" x14ac:dyDescent="0.5">
      <c r="D624" s="3" t="s">
        <v>41</v>
      </c>
    </row>
    <row r="625" spans="4:4" ht="17.649999999999999" x14ac:dyDescent="0.5">
      <c r="D625" s="3" t="s">
        <v>54</v>
      </c>
    </row>
    <row r="626" spans="4:4" ht="17.649999999999999" x14ac:dyDescent="0.5">
      <c r="D626" s="3" t="s">
        <v>98</v>
      </c>
    </row>
    <row r="627" spans="4:4" ht="17.649999999999999" x14ac:dyDescent="0.5">
      <c r="D627" s="3" t="s">
        <v>110</v>
      </c>
    </row>
    <row r="628" spans="4:4" ht="17.649999999999999" x14ac:dyDescent="0.5">
      <c r="D628" s="3" t="s">
        <v>50</v>
      </c>
    </row>
    <row r="629" spans="4:4" ht="17.649999999999999" x14ac:dyDescent="0.5">
      <c r="D629" s="3" t="s">
        <v>80</v>
      </c>
    </row>
    <row r="630" spans="4:4" ht="17.649999999999999" x14ac:dyDescent="0.5">
      <c r="D630" s="3" t="s">
        <v>67</v>
      </c>
    </row>
    <row r="631" spans="4:4" ht="17.649999999999999" x14ac:dyDescent="0.5">
      <c r="D631" s="3" t="s">
        <v>94</v>
      </c>
    </row>
    <row r="632" spans="4:4" ht="17.649999999999999" x14ac:dyDescent="0.5">
      <c r="D632" s="3" t="s">
        <v>80</v>
      </c>
    </row>
    <row r="633" spans="4:4" ht="17.649999999999999" x14ac:dyDescent="0.5">
      <c r="D633" s="3" t="s">
        <v>131</v>
      </c>
    </row>
    <row r="634" spans="4:4" ht="17.649999999999999" x14ac:dyDescent="0.5">
      <c r="D634" s="3" t="s">
        <v>67</v>
      </c>
    </row>
    <row r="635" spans="4:4" ht="17.649999999999999" x14ac:dyDescent="0.5">
      <c r="D635" s="3" t="s">
        <v>48</v>
      </c>
    </row>
    <row r="636" spans="4:4" ht="17.649999999999999" x14ac:dyDescent="0.5">
      <c r="D636" s="3" t="s">
        <v>62</v>
      </c>
    </row>
    <row r="637" spans="4:4" ht="17.649999999999999" x14ac:dyDescent="0.5">
      <c r="D637" s="3" t="s">
        <v>98</v>
      </c>
    </row>
    <row r="638" spans="4:4" ht="17.649999999999999" x14ac:dyDescent="0.5">
      <c r="D638" s="3" t="s">
        <v>94</v>
      </c>
    </row>
    <row r="639" spans="4:4" ht="17.649999999999999" x14ac:dyDescent="0.5">
      <c r="D639" s="3" t="s">
        <v>123</v>
      </c>
    </row>
    <row r="640" spans="4:4" ht="17.649999999999999" x14ac:dyDescent="0.5">
      <c r="D640" s="3" t="s">
        <v>57</v>
      </c>
    </row>
    <row r="641" spans="4:4" ht="17.649999999999999" x14ac:dyDescent="0.5">
      <c r="D641" s="3" t="s">
        <v>92</v>
      </c>
    </row>
    <row r="642" spans="4:4" ht="17.649999999999999" x14ac:dyDescent="0.5">
      <c r="D642" s="3" t="s">
        <v>56</v>
      </c>
    </row>
    <row r="643" spans="4:4" ht="17.649999999999999" x14ac:dyDescent="0.5">
      <c r="D643" s="3" t="s">
        <v>60</v>
      </c>
    </row>
    <row r="644" spans="4:4" ht="17.649999999999999" x14ac:dyDescent="0.5">
      <c r="D644" s="3" t="s">
        <v>49</v>
      </c>
    </row>
    <row r="645" spans="4:4" ht="17.649999999999999" x14ac:dyDescent="0.5">
      <c r="D645" s="3" t="s">
        <v>65</v>
      </c>
    </row>
    <row r="646" spans="4:4" ht="17.649999999999999" x14ac:dyDescent="0.5">
      <c r="D646" s="3" t="s">
        <v>49</v>
      </c>
    </row>
    <row r="647" spans="4:4" ht="17.649999999999999" x14ac:dyDescent="0.5">
      <c r="D647" s="3" t="s">
        <v>73</v>
      </c>
    </row>
    <row r="648" spans="4:4" ht="17.649999999999999" x14ac:dyDescent="0.5">
      <c r="D648" s="3" t="s">
        <v>43</v>
      </c>
    </row>
    <row r="649" spans="4:4" ht="17.649999999999999" x14ac:dyDescent="0.5">
      <c r="D649" s="3" t="s">
        <v>63</v>
      </c>
    </row>
    <row r="650" spans="4:4" ht="17.649999999999999" x14ac:dyDescent="0.5">
      <c r="D650" s="3" t="s">
        <v>41</v>
      </c>
    </row>
    <row r="651" spans="4:4" ht="17.649999999999999" x14ac:dyDescent="0.5">
      <c r="D651" s="3" t="s">
        <v>115</v>
      </c>
    </row>
    <row r="652" spans="4:4" ht="17.649999999999999" x14ac:dyDescent="0.5">
      <c r="D652" s="3" t="s">
        <v>111</v>
      </c>
    </row>
    <row r="653" spans="4:4" ht="17.649999999999999" x14ac:dyDescent="0.5">
      <c r="D653" s="3" t="s">
        <v>66</v>
      </c>
    </row>
    <row r="654" spans="4:4" ht="17.649999999999999" x14ac:dyDescent="0.5">
      <c r="D654" s="3" t="s">
        <v>67</v>
      </c>
    </row>
    <row r="655" spans="4:4" ht="17.649999999999999" x14ac:dyDescent="0.5">
      <c r="D655" s="3" t="s">
        <v>55</v>
      </c>
    </row>
    <row r="656" spans="4:4" ht="17.649999999999999" x14ac:dyDescent="0.5">
      <c r="D656" s="3" t="s">
        <v>74</v>
      </c>
    </row>
    <row r="657" spans="4:4" ht="17.649999999999999" x14ac:dyDescent="0.5">
      <c r="D657" s="3" t="s">
        <v>75</v>
      </c>
    </row>
    <row r="658" spans="4:4" ht="17.649999999999999" x14ac:dyDescent="0.5">
      <c r="D658" s="3" t="s">
        <v>106</v>
      </c>
    </row>
    <row r="659" spans="4:4" ht="17.649999999999999" x14ac:dyDescent="0.5">
      <c r="D659" s="3" t="s">
        <v>66</v>
      </c>
    </row>
    <row r="660" spans="4:4" ht="17.649999999999999" x14ac:dyDescent="0.5">
      <c r="D660" s="3" t="s">
        <v>96</v>
      </c>
    </row>
    <row r="661" spans="4:4" ht="17.649999999999999" x14ac:dyDescent="0.5">
      <c r="D661" s="3" t="s">
        <v>105</v>
      </c>
    </row>
    <row r="662" spans="4:4" ht="17.649999999999999" x14ac:dyDescent="0.5">
      <c r="D662" s="3" t="s">
        <v>117</v>
      </c>
    </row>
    <row r="663" spans="4:4" ht="17.649999999999999" x14ac:dyDescent="0.5">
      <c r="D663" s="3" t="s">
        <v>52</v>
      </c>
    </row>
    <row r="664" spans="4:4" ht="17.649999999999999" x14ac:dyDescent="0.5">
      <c r="D664" s="3" t="s">
        <v>79</v>
      </c>
    </row>
    <row r="665" spans="4:4" ht="17.649999999999999" x14ac:dyDescent="0.5">
      <c r="D665" s="3" t="s">
        <v>53</v>
      </c>
    </row>
    <row r="666" spans="4:4" ht="17.649999999999999" x14ac:dyDescent="0.5">
      <c r="D666" s="3" t="s">
        <v>69</v>
      </c>
    </row>
    <row r="667" spans="4:4" ht="17.649999999999999" x14ac:dyDescent="0.5">
      <c r="D667" s="3" t="s">
        <v>87</v>
      </c>
    </row>
    <row r="668" spans="4:4" ht="17.649999999999999" x14ac:dyDescent="0.5">
      <c r="D668" s="3" t="s">
        <v>53</v>
      </c>
    </row>
    <row r="669" spans="4:4" ht="17.649999999999999" x14ac:dyDescent="0.5">
      <c r="D669" s="3" t="s">
        <v>108</v>
      </c>
    </row>
    <row r="670" spans="4:4" ht="17.649999999999999" x14ac:dyDescent="0.5">
      <c r="D670" s="3" t="s">
        <v>87</v>
      </c>
    </row>
    <row r="671" spans="4:4" ht="17.649999999999999" x14ac:dyDescent="0.5">
      <c r="D671" s="3" t="s">
        <v>68</v>
      </c>
    </row>
    <row r="672" spans="4:4" ht="17.649999999999999" x14ac:dyDescent="0.5">
      <c r="D672" s="3" t="s">
        <v>78</v>
      </c>
    </row>
    <row r="673" spans="4:4" ht="17.649999999999999" x14ac:dyDescent="0.5">
      <c r="D673" s="3" t="s">
        <v>125</v>
      </c>
    </row>
    <row r="674" spans="4:4" ht="17.649999999999999" x14ac:dyDescent="0.5">
      <c r="D674" s="3" t="s">
        <v>47</v>
      </c>
    </row>
    <row r="675" spans="4:4" ht="17.649999999999999" x14ac:dyDescent="0.5">
      <c r="D675" s="3" t="s">
        <v>107</v>
      </c>
    </row>
    <row r="676" spans="4:4" ht="17.649999999999999" x14ac:dyDescent="0.5">
      <c r="D676" s="3" t="s">
        <v>64</v>
      </c>
    </row>
    <row r="677" spans="4:4" ht="17.649999999999999" x14ac:dyDescent="0.5">
      <c r="D677" s="3" t="s">
        <v>134</v>
      </c>
    </row>
    <row r="678" spans="4:4" ht="17.649999999999999" x14ac:dyDescent="0.5">
      <c r="D678" s="3" t="s">
        <v>80</v>
      </c>
    </row>
    <row r="679" spans="4:4" ht="17.649999999999999" x14ac:dyDescent="0.5">
      <c r="D679" s="3" t="s">
        <v>41</v>
      </c>
    </row>
    <row r="680" spans="4:4" ht="17.649999999999999" x14ac:dyDescent="0.5">
      <c r="D680" s="3" t="s">
        <v>76</v>
      </c>
    </row>
    <row r="681" spans="4:4" ht="17.649999999999999" x14ac:dyDescent="0.5">
      <c r="D681" s="3" t="s">
        <v>96</v>
      </c>
    </row>
    <row r="682" spans="4:4" ht="17.649999999999999" x14ac:dyDescent="0.5">
      <c r="D682" s="3" t="s">
        <v>89</v>
      </c>
    </row>
    <row r="683" spans="4:4" ht="17.649999999999999" x14ac:dyDescent="0.5">
      <c r="D683" s="3" t="s">
        <v>130</v>
      </c>
    </row>
    <row r="684" spans="4:4" ht="17.649999999999999" x14ac:dyDescent="0.5">
      <c r="D684" s="3" t="s">
        <v>102</v>
      </c>
    </row>
    <row r="685" spans="4:4" ht="17.649999999999999" x14ac:dyDescent="0.5">
      <c r="D685" s="3" t="s">
        <v>70</v>
      </c>
    </row>
    <row r="686" spans="4:4" ht="17.649999999999999" x14ac:dyDescent="0.5">
      <c r="D686" s="3" t="s">
        <v>65</v>
      </c>
    </row>
    <row r="687" spans="4:4" ht="17.649999999999999" x14ac:dyDescent="0.5">
      <c r="D687" s="3" t="s">
        <v>97</v>
      </c>
    </row>
    <row r="688" spans="4:4" ht="17.649999999999999" x14ac:dyDescent="0.5">
      <c r="D688" s="3" t="s">
        <v>44</v>
      </c>
    </row>
    <row r="689" spans="4:4" ht="17.649999999999999" x14ac:dyDescent="0.5">
      <c r="D689" s="3" t="s">
        <v>53</v>
      </c>
    </row>
    <row r="690" spans="4:4" ht="17.649999999999999" x14ac:dyDescent="0.5">
      <c r="D690" s="3" t="s">
        <v>129</v>
      </c>
    </row>
    <row r="691" spans="4:4" ht="17.649999999999999" x14ac:dyDescent="0.5">
      <c r="D691" s="3" t="s">
        <v>43</v>
      </c>
    </row>
    <row r="692" spans="4:4" ht="17.649999999999999" x14ac:dyDescent="0.5">
      <c r="D692" s="3" t="s">
        <v>94</v>
      </c>
    </row>
    <row r="693" spans="4:4" ht="17.649999999999999" x14ac:dyDescent="0.5">
      <c r="D693" s="3" t="s">
        <v>91</v>
      </c>
    </row>
    <row r="694" spans="4:4" ht="17.649999999999999" x14ac:dyDescent="0.5">
      <c r="D694" s="3" t="s">
        <v>60</v>
      </c>
    </row>
    <row r="695" spans="4:4" ht="17.649999999999999" x14ac:dyDescent="0.5">
      <c r="D695" s="3" t="s">
        <v>98</v>
      </c>
    </row>
    <row r="696" spans="4:4" ht="17.649999999999999" x14ac:dyDescent="0.5">
      <c r="D696" s="3" t="s">
        <v>57</v>
      </c>
    </row>
    <row r="697" spans="4:4" ht="17.649999999999999" x14ac:dyDescent="0.5">
      <c r="D697" s="3" t="s">
        <v>92</v>
      </c>
    </row>
    <row r="698" spans="4:4" ht="17.649999999999999" x14ac:dyDescent="0.5">
      <c r="D698" s="3" t="s">
        <v>83</v>
      </c>
    </row>
    <row r="699" spans="4:4" ht="17.649999999999999" x14ac:dyDescent="0.5">
      <c r="D699" s="3" t="s">
        <v>136</v>
      </c>
    </row>
    <row r="700" spans="4:4" ht="17.649999999999999" x14ac:dyDescent="0.5">
      <c r="D700" s="3" t="s">
        <v>96</v>
      </c>
    </row>
    <row r="701" spans="4:4" ht="17.649999999999999" x14ac:dyDescent="0.5">
      <c r="D701" s="3" t="s">
        <v>75</v>
      </c>
    </row>
    <row r="702" spans="4:4" ht="17.649999999999999" x14ac:dyDescent="0.5">
      <c r="D702" s="3" t="s">
        <v>101</v>
      </c>
    </row>
    <row r="703" spans="4:4" ht="17.649999999999999" x14ac:dyDescent="0.5">
      <c r="D703" s="3" t="s">
        <v>79</v>
      </c>
    </row>
    <row r="704" spans="4:4" ht="17.649999999999999" x14ac:dyDescent="0.5">
      <c r="D704" s="3" t="s">
        <v>66</v>
      </c>
    </row>
    <row r="705" spans="4:4" ht="17.649999999999999" x14ac:dyDescent="0.5">
      <c r="D705" s="3" t="s">
        <v>90</v>
      </c>
    </row>
    <row r="706" spans="4:4" ht="17.649999999999999" x14ac:dyDescent="0.5">
      <c r="D706" s="3" t="s">
        <v>55</v>
      </c>
    </row>
    <row r="707" spans="4:4" ht="17.649999999999999" x14ac:dyDescent="0.5">
      <c r="D707" s="3" t="s">
        <v>44</v>
      </c>
    </row>
    <row r="708" spans="4:4" ht="17.649999999999999" x14ac:dyDescent="0.5">
      <c r="D708" s="3" t="s">
        <v>71</v>
      </c>
    </row>
    <row r="709" spans="4:4" ht="17.649999999999999" x14ac:dyDescent="0.5">
      <c r="D709" s="3" t="s">
        <v>77</v>
      </c>
    </row>
    <row r="710" spans="4:4" ht="17.649999999999999" x14ac:dyDescent="0.5">
      <c r="D710" s="3" t="s">
        <v>83</v>
      </c>
    </row>
    <row r="711" spans="4:4" ht="17.649999999999999" x14ac:dyDescent="0.5">
      <c r="D711" s="3" t="s">
        <v>61</v>
      </c>
    </row>
    <row r="712" spans="4:4" ht="17.649999999999999" x14ac:dyDescent="0.5">
      <c r="D712" s="3" t="s">
        <v>93</v>
      </c>
    </row>
    <row r="713" spans="4:4" ht="17.649999999999999" x14ac:dyDescent="0.5">
      <c r="D713" s="3" t="s">
        <v>41</v>
      </c>
    </row>
    <row r="714" spans="4:4" ht="17.649999999999999" x14ac:dyDescent="0.5">
      <c r="D714" s="3" t="s">
        <v>93</v>
      </c>
    </row>
    <row r="715" spans="4:4" ht="17.649999999999999" x14ac:dyDescent="0.5">
      <c r="D715" s="3" t="s">
        <v>68</v>
      </c>
    </row>
    <row r="716" spans="4:4" ht="17.649999999999999" x14ac:dyDescent="0.5">
      <c r="D716" s="3" t="s">
        <v>66</v>
      </c>
    </row>
    <row r="717" spans="4:4" ht="17.649999999999999" x14ac:dyDescent="0.5">
      <c r="D717" s="3" t="s">
        <v>56</v>
      </c>
    </row>
    <row r="718" spans="4:4" ht="17.649999999999999" x14ac:dyDescent="0.5">
      <c r="D718" s="3" t="s">
        <v>120</v>
      </c>
    </row>
    <row r="719" spans="4:4" ht="17.649999999999999" x14ac:dyDescent="0.5">
      <c r="D719" s="3" t="s">
        <v>50</v>
      </c>
    </row>
    <row r="720" spans="4:4" ht="17.649999999999999" x14ac:dyDescent="0.5">
      <c r="D720" s="3" t="s">
        <v>68</v>
      </c>
    </row>
    <row r="721" spans="4:4" ht="17.649999999999999" x14ac:dyDescent="0.5">
      <c r="D721" s="3" t="s">
        <v>90</v>
      </c>
    </row>
    <row r="722" spans="4:4" ht="17.649999999999999" x14ac:dyDescent="0.5">
      <c r="D722" s="3" t="s">
        <v>129</v>
      </c>
    </row>
    <row r="723" spans="4:4" ht="17.649999999999999" x14ac:dyDescent="0.5">
      <c r="D723" s="3" t="s">
        <v>52</v>
      </c>
    </row>
    <row r="724" spans="4:4" ht="17.649999999999999" x14ac:dyDescent="0.5">
      <c r="D724" s="3" t="s">
        <v>99</v>
      </c>
    </row>
    <row r="725" spans="4:4" ht="17.649999999999999" x14ac:dyDescent="0.5">
      <c r="D725" s="3" t="s">
        <v>67</v>
      </c>
    </row>
    <row r="726" spans="4:4" ht="17.649999999999999" x14ac:dyDescent="0.5">
      <c r="D726" s="3" t="s">
        <v>107</v>
      </c>
    </row>
    <row r="727" spans="4:4" ht="17.649999999999999" x14ac:dyDescent="0.5">
      <c r="D727" s="3" t="s">
        <v>117</v>
      </c>
    </row>
    <row r="728" spans="4:4" ht="17.649999999999999" x14ac:dyDescent="0.5">
      <c r="D728" s="3" t="s">
        <v>49</v>
      </c>
    </row>
    <row r="729" spans="4:4" ht="17.649999999999999" x14ac:dyDescent="0.5">
      <c r="D729" s="3" t="s">
        <v>85</v>
      </c>
    </row>
    <row r="730" spans="4:4" ht="17.649999999999999" x14ac:dyDescent="0.5">
      <c r="D730" s="3" t="s">
        <v>58</v>
      </c>
    </row>
    <row r="731" spans="4:4" ht="17.649999999999999" x14ac:dyDescent="0.5">
      <c r="D731" s="3" t="s">
        <v>55</v>
      </c>
    </row>
    <row r="732" spans="4:4" ht="17.649999999999999" x14ac:dyDescent="0.5">
      <c r="D732" s="3" t="s">
        <v>107</v>
      </c>
    </row>
    <row r="733" spans="4:4" ht="17.649999999999999" x14ac:dyDescent="0.5">
      <c r="D733" s="3" t="s">
        <v>46</v>
      </c>
    </row>
    <row r="734" spans="4:4" ht="17.649999999999999" x14ac:dyDescent="0.5">
      <c r="D734" s="3" t="s">
        <v>83</v>
      </c>
    </row>
    <row r="735" spans="4:4" ht="17.649999999999999" x14ac:dyDescent="0.5">
      <c r="D735" s="3" t="s">
        <v>42</v>
      </c>
    </row>
    <row r="736" spans="4:4" ht="17.649999999999999" x14ac:dyDescent="0.5">
      <c r="D736" s="3" t="s">
        <v>98</v>
      </c>
    </row>
    <row r="737" spans="4:4" ht="17.649999999999999" x14ac:dyDescent="0.5">
      <c r="D737" s="3" t="s">
        <v>46</v>
      </c>
    </row>
    <row r="738" spans="4:4" ht="17.649999999999999" x14ac:dyDescent="0.5">
      <c r="D738" s="3" t="s">
        <v>115</v>
      </c>
    </row>
    <row r="739" spans="4:4" ht="17.649999999999999" x14ac:dyDescent="0.5">
      <c r="D739" s="3" t="s">
        <v>41</v>
      </c>
    </row>
    <row r="740" spans="4:4" ht="17.649999999999999" x14ac:dyDescent="0.5">
      <c r="D740" s="3" t="s">
        <v>56</v>
      </c>
    </row>
    <row r="741" spans="4:4" ht="17.649999999999999" x14ac:dyDescent="0.5">
      <c r="D741" s="3" t="s">
        <v>87</v>
      </c>
    </row>
    <row r="742" spans="4:4" ht="17.649999999999999" x14ac:dyDescent="0.5">
      <c r="D742" s="3" t="s">
        <v>56</v>
      </c>
    </row>
    <row r="743" spans="4:4" ht="17.649999999999999" x14ac:dyDescent="0.5">
      <c r="D743" s="3" t="s">
        <v>128</v>
      </c>
    </row>
    <row r="744" spans="4:4" ht="17.649999999999999" x14ac:dyDescent="0.5">
      <c r="D744" s="3" t="s">
        <v>115</v>
      </c>
    </row>
    <row r="745" spans="4:4" ht="17.649999999999999" x14ac:dyDescent="0.5">
      <c r="D745" s="3" t="s">
        <v>81</v>
      </c>
    </row>
    <row r="746" spans="4:4" ht="17.649999999999999" x14ac:dyDescent="0.5">
      <c r="D746" s="3" t="s">
        <v>99</v>
      </c>
    </row>
    <row r="747" spans="4:4" ht="17.649999999999999" x14ac:dyDescent="0.5">
      <c r="D747" s="3" t="s">
        <v>100</v>
      </c>
    </row>
    <row r="748" spans="4:4" ht="17.649999999999999" x14ac:dyDescent="0.5">
      <c r="D748" s="3" t="s">
        <v>131</v>
      </c>
    </row>
    <row r="749" spans="4:4" ht="17.649999999999999" x14ac:dyDescent="0.5">
      <c r="D749" s="3" t="s">
        <v>60</v>
      </c>
    </row>
    <row r="750" spans="4:4" ht="17.649999999999999" x14ac:dyDescent="0.5">
      <c r="D750" s="3" t="s">
        <v>91</v>
      </c>
    </row>
    <row r="751" spans="4:4" ht="17.649999999999999" x14ac:dyDescent="0.5">
      <c r="D751" s="3" t="s">
        <v>51</v>
      </c>
    </row>
    <row r="752" spans="4:4" ht="17.649999999999999" x14ac:dyDescent="0.5">
      <c r="D752" s="3" t="s">
        <v>94</v>
      </c>
    </row>
    <row r="753" spans="4:4" ht="17.649999999999999" x14ac:dyDescent="0.5">
      <c r="D753" s="3" t="s">
        <v>84</v>
      </c>
    </row>
    <row r="754" spans="4:4" ht="17.649999999999999" x14ac:dyDescent="0.5">
      <c r="D754" s="3" t="s">
        <v>74</v>
      </c>
    </row>
    <row r="755" spans="4:4" ht="17.649999999999999" x14ac:dyDescent="0.5">
      <c r="D755" s="3" t="s">
        <v>115</v>
      </c>
    </row>
    <row r="756" spans="4:4" ht="17.649999999999999" x14ac:dyDescent="0.5">
      <c r="D756" s="3" t="s">
        <v>75</v>
      </c>
    </row>
    <row r="757" spans="4:4" ht="17.649999999999999" x14ac:dyDescent="0.5">
      <c r="D757" s="3" t="s">
        <v>83</v>
      </c>
    </row>
    <row r="758" spans="4:4" ht="17.649999999999999" x14ac:dyDescent="0.5">
      <c r="D758" s="3" t="s">
        <v>52</v>
      </c>
    </row>
    <row r="759" spans="4:4" ht="17.649999999999999" x14ac:dyDescent="0.5">
      <c r="D759" s="3" t="s">
        <v>55</v>
      </c>
    </row>
    <row r="760" spans="4:4" ht="17.649999999999999" x14ac:dyDescent="0.5">
      <c r="D760" s="3" t="s">
        <v>74</v>
      </c>
    </row>
    <row r="761" spans="4:4" ht="17.649999999999999" x14ac:dyDescent="0.5">
      <c r="D761" s="3" t="s">
        <v>109</v>
      </c>
    </row>
    <row r="762" spans="4:4" ht="17.649999999999999" x14ac:dyDescent="0.5">
      <c r="D762" s="3" t="s">
        <v>43</v>
      </c>
    </row>
    <row r="763" spans="4:4" ht="17.649999999999999" x14ac:dyDescent="0.5">
      <c r="D763" s="3" t="s">
        <v>107</v>
      </c>
    </row>
    <row r="764" spans="4:4" ht="17.649999999999999" x14ac:dyDescent="0.5">
      <c r="D764" s="3" t="s">
        <v>104</v>
      </c>
    </row>
    <row r="765" spans="4:4" ht="17.649999999999999" x14ac:dyDescent="0.5">
      <c r="D765" s="3" t="s">
        <v>65</v>
      </c>
    </row>
    <row r="766" spans="4:4" ht="17.649999999999999" x14ac:dyDescent="0.5">
      <c r="D766" s="3" t="s">
        <v>74</v>
      </c>
    </row>
    <row r="767" spans="4:4" ht="17.649999999999999" x14ac:dyDescent="0.5">
      <c r="D767" s="3" t="s">
        <v>44</v>
      </c>
    </row>
    <row r="768" spans="4:4" ht="17.649999999999999" x14ac:dyDescent="0.5">
      <c r="D768" s="3" t="s">
        <v>85</v>
      </c>
    </row>
    <row r="769" spans="4:4" ht="17.649999999999999" x14ac:dyDescent="0.5">
      <c r="D769" s="3" t="s">
        <v>68</v>
      </c>
    </row>
    <row r="770" spans="4:4" ht="17.649999999999999" x14ac:dyDescent="0.5">
      <c r="D770" s="3" t="s">
        <v>73</v>
      </c>
    </row>
    <row r="771" spans="4:4" ht="17.649999999999999" x14ac:dyDescent="0.5">
      <c r="D771" s="3" t="s">
        <v>67</v>
      </c>
    </row>
    <row r="772" spans="4:4" ht="17.649999999999999" x14ac:dyDescent="0.5">
      <c r="D772" s="3" t="s">
        <v>120</v>
      </c>
    </row>
    <row r="773" spans="4:4" ht="17.649999999999999" x14ac:dyDescent="0.5">
      <c r="D773" s="3" t="s">
        <v>64</v>
      </c>
    </row>
    <row r="774" spans="4:4" ht="17.649999999999999" x14ac:dyDescent="0.5">
      <c r="D774" s="3" t="s">
        <v>47</v>
      </c>
    </row>
    <row r="775" spans="4:4" ht="17.649999999999999" x14ac:dyDescent="0.5">
      <c r="D775" s="3" t="s">
        <v>50</v>
      </c>
    </row>
    <row r="776" spans="4:4" ht="17.649999999999999" x14ac:dyDescent="0.5">
      <c r="D776" s="3" t="s">
        <v>112</v>
      </c>
    </row>
    <row r="777" spans="4:4" ht="17.649999999999999" x14ac:dyDescent="0.5">
      <c r="D777" s="3" t="s">
        <v>49</v>
      </c>
    </row>
    <row r="778" spans="4:4" ht="17.649999999999999" x14ac:dyDescent="0.5">
      <c r="D778" s="3" t="s">
        <v>115</v>
      </c>
    </row>
    <row r="779" spans="4:4" ht="17.649999999999999" x14ac:dyDescent="0.5">
      <c r="D779" s="3" t="s">
        <v>90</v>
      </c>
    </row>
    <row r="780" spans="4:4" ht="17.649999999999999" x14ac:dyDescent="0.5">
      <c r="D780" s="3" t="s">
        <v>131</v>
      </c>
    </row>
    <row r="781" spans="4:4" ht="17.649999999999999" x14ac:dyDescent="0.5">
      <c r="D781" s="3" t="s">
        <v>111</v>
      </c>
    </row>
    <row r="782" spans="4:4" ht="17.649999999999999" x14ac:dyDescent="0.5">
      <c r="D782" s="3" t="s">
        <v>49</v>
      </c>
    </row>
    <row r="783" spans="4:4" ht="17.649999999999999" x14ac:dyDescent="0.5">
      <c r="D783" s="3" t="s">
        <v>116</v>
      </c>
    </row>
    <row r="784" spans="4:4" ht="17.649999999999999" x14ac:dyDescent="0.5">
      <c r="D784" s="3" t="s">
        <v>47</v>
      </c>
    </row>
    <row r="785" spans="4:4" ht="17.649999999999999" x14ac:dyDescent="0.5">
      <c r="D785" s="3" t="s">
        <v>48</v>
      </c>
    </row>
    <row r="786" spans="4:4" ht="17.649999999999999" x14ac:dyDescent="0.5">
      <c r="D786" s="3" t="s">
        <v>50</v>
      </c>
    </row>
    <row r="787" spans="4:4" ht="17.649999999999999" x14ac:dyDescent="0.5">
      <c r="D787" s="3" t="s">
        <v>107</v>
      </c>
    </row>
    <row r="788" spans="4:4" ht="17.649999999999999" x14ac:dyDescent="0.5">
      <c r="D788" s="3" t="s">
        <v>61</v>
      </c>
    </row>
    <row r="789" spans="4:4" ht="17.649999999999999" x14ac:dyDescent="0.5">
      <c r="D789" s="3" t="s">
        <v>103</v>
      </c>
    </row>
    <row r="790" spans="4:4" ht="17.649999999999999" x14ac:dyDescent="0.5">
      <c r="D790" s="3" t="s">
        <v>80</v>
      </c>
    </row>
    <row r="791" spans="4:4" ht="17.649999999999999" x14ac:dyDescent="0.5">
      <c r="D791" s="3" t="s">
        <v>78</v>
      </c>
    </row>
    <row r="792" spans="4:4" ht="17.649999999999999" x14ac:dyDescent="0.5">
      <c r="D792" s="3" t="s">
        <v>101</v>
      </c>
    </row>
    <row r="793" spans="4:4" ht="17.649999999999999" x14ac:dyDescent="0.5">
      <c r="D793" s="3" t="s">
        <v>98</v>
      </c>
    </row>
    <row r="794" spans="4:4" ht="17.649999999999999" x14ac:dyDescent="0.5">
      <c r="D794" s="3" t="s">
        <v>56</v>
      </c>
    </row>
    <row r="795" spans="4:4" ht="17.649999999999999" x14ac:dyDescent="0.5">
      <c r="D795" s="3" t="s">
        <v>57</v>
      </c>
    </row>
    <row r="796" spans="4:4" ht="17.649999999999999" x14ac:dyDescent="0.5">
      <c r="D796" s="3" t="s">
        <v>132</v>
      </c>
    </row>
    <row r="797" spans="4:4" ht="17.649999999999999" x14ac:dyDescent="0.5">
      <c r="D797" s="3" t="s">
        <v>96</v>
      </c>
    </row>
    <row r="798" spans="4:4" ht="17.649999999999999" x14ac:dyDescent="0.5">
      <c r="D798" s="3" t="s">
        <v>115</v>
      </c>
    </row>
    <row r="799" spans="4:4" ht="17.649999999999999" x14ac:dyDescent="0.5">
      <c r="D799" s="3" t="s">
        <v>66</v>
      </c>
    </row>
    <row r="800" spans="4:4" ht="17.649999999999999" x14ac:dyDescent="0.5">
      <c r="D800" s="3" t="s">
        <v>69</v>
      </c>
    </row>
    <row r="801" spans="4:4" ht="17.649999999999999" x14ac:dyDescent="0.5">
      <c r="D801" s="3" t="s">
        <v>65</v>
      </c>
    </row>
    <row r="802" spans="4:4" ht="17.649999999999999" x14ac:dyDescent="0.5">
      <c r="D802" s="3" t="s">
        <v>44</v>
      </c>
    </row>
    <row r="803" spans="4:4" ht="17.649999999999999" x14ac:dyDescent="0.5">
      <c r="D803" s="3" t="s">
        <v>101</v>
      </c>
    </row>
    <row r="804" spans="4:4" ht="17.649999999999999" x14ac:dyDescent="0.5">
      <c r="D804" s="3" t="s">
        <v>79</v>
      </c>
    </row>
    <row r="805" spans="4:4" ht="17.649999999999999" x14ac:dyDescent="0.5">
      <c r="D805" s="3" t="s">
        <v>99</v>
      </c>
    </row>
    <row r="806" spans="4:4" ht="17.649999999999999" x14ac:dyDescent="0.5">
      <c r="D806" s="3" t="s">
        <v>75</v>
      </c>
    </row>
    <row r="807" spans="4:4" ht="17.649999999999999" x14ac:dyDescent="0.5">
      <c r="D807" s="3" t="s">
        <v>53</v>
      </c>
    </row>
    <row r="808" spans="4:4" ht="17.649999999999999" x14ac:dyDescent="0.5">
      <c r="D808" s="3" t="s">
        <v>49</v>
      </c>
    </row>
    <row r="809" spans="4:4" ht="17.649999999999999" x14ac:dyDescent="0.5">
      <c r="D809" s="3" t="s">
        <v>113</v>
      </c>
    </row>
    <row r="810" spans="4:4" ht="17.649999999999999" x14ac:dyDescent="0.5">
      <c r="D810" s="3" t="s">
        <v>77</v>
      </c>
    </row>
    <row r="811" spans="4:4" ht="17.649999999999999" x14ac:dyDescent="0.5">
      <c r="D811" s="3" t="s">
        <v>66</v>
      </c>
    </row>
    <row r="812" spans="4:4" ht="17.649999999999999" x14ac:dyDescent="0.5">
      <c r="D812" s="3" t="s">
        <v>100</v>
      </c>
    </row>
    <row r="813" spans="4:4" ht="17.649999999999999" x14ac:dyDescent="0.5">
      <c r="D813" s="3" t="s">
        <v>50</v>
      </c>
    </row>
    <row r="814" spans="4:4" ht="17.649999999999999" x14ac:dyDescent="0.5">
      <c r="D814" s="3" t="s">
        <v>78</v>
      </c>
    </row>
    <row r="815" spans="4:4" ht="17.649999999999999" x14ac:dyDescent="0.5">
      <c r="D815" s="3" t="s">
        <v>80</v>
      </c>
    </row>
    <row r="816" spans="4:4" ht="17.649999999999999" x14ac:dyDescent="0.5">
      <c r="D816" s="3" t="s">
        <v>90</v>
      </c>
    </row>
    <row r="817" spans="4:4" ht="17.649999999999999" x14ac:dyDescent="0.5">
      <c r="D817" s="3" t="s">
        <v>90</v>
      </c>
    </row>
    <row r="818" spans="4:4" ht="17.649999999999999" x14ac:dyDescent="0.5">
      <c r="D818" s="3" t="s">
        <v>74</v>
      </c>
    </row>
    <row r="819" spans="4:4" ht="17.649999999999999" x14ac:dyDescent="0.5">
      <c r="D819" s="3" t="s">
        <v>111</v>
      </c>
    </row>
    <row r="820" spans="4:4" ht="17.649999999999999" x14ac:dyDescent="0.5">
      <c r="D820" s="3" t="s">
        <v>73</v>
      </c>
    </row>
    <row r="821" spans="4:4" ht="17.649999999999999" x14ac:dyDescent="0.5">
      <c r="D821" s="3" t="s">
        <v>56</v>
      </c>
    </row>
    <row r="822" spans="4:4" ht="17.649999999999999" x14ac:dyDescent="0.5">
      <c r="D822" s="3" t="s">
        <v>59</v>
      </c>
    </row>
    <row r="823" spans="4:4" ht="17.649999999999999" x14ac:dyDescent="0.5">
      <c r="D823" s="3" t="s">
        <v>84</v>
      </c>
    </row>
    <row r="824" spans="4:4" ht="17.649999999999999" x14ac:dyDescent="0.5">
      <c r="D824" s="3" t="s">
        <v>53</v>
      </c>
    </row>
    <row r="825" spans="4:4" ht="17.649999999999999" x14ac:dyDescent="0.5">
      <c r="D825" s="3" t="s">
        <v>100</v>
      </c>
    </row>
    <row r="826" spans="4:4" ht="17.649999999999999" x14ac:dyDescent="0.5">
      <c r="D826" s="3" t="s">
        <v>88</v>
      </c>
    </row>
    <row r="827" spans="4:4" ht="17.649999999999999" x14ac:dyDescent="0.5">
      <c r="D827" s="3" t="s">
        <v>105</v>
      </c>
    </row>
    <row r="828" spans="4:4" ht="17.649999999999999" x14ac:dyDescent="0.5">
      <c r="D828" s="3" t="s">
        <v>112</v>
      </c>
    </row>
    <row r="829" spans="4:4" ht="17.649999999999999" x14ac:dyDescent="0.5">
      <c r="D829" s="3" t="s">
        <v>74</v>
      </c>
    </row>
    <row r="830" spans="4:4" ht="17.649999999999999" x14ac:dyDescent="0.5">
      <c r="D830" s="3" t="s">
        <v>56</v>
      </c>
    </row>
    <row r="831" spans="4:4" ht="17.649999999999999" x14ac:dyDescent="0.5">
      <c r="D831" s="3" t="s">
        <v>50</v>
      </c>
    </row>
    <row r="832" spans="4:4" ht="17.649999999999999" x14ac:dyDescent="0.5">
      <c r="D832" s="3" t="s">
        <v>54</v>
      </c>
    </row>
    <row r="833" spans="4:4" ht="17.649999999999999" x14ac:dyDescent="0.5">
      <c r="D833" s="3" t="s">
        <v>112</v>
      </c>
    </row>
    <row r="834" spans="4:4" ht="17.649999999999999" x14ac:dyDescent="0.5">
      <c r="D834" s="3" t="s">
        <v>67</v>
      </c>
    </row>
    <row r="835" spans="4:4" ht="17.649999999999999" x14ac:dyDescent="0.5">
      <c r="D835" s="3" t="s">
        <v>52</v>
      </c>
    </row>
    <row r="836" spans="4:4" ht="17.649999999999999" x14ac:dyDescent="0.5">
      <c r="D836" s="3" t="s">
        <v>54</v>
      </c>
    </row>
    <row r="837" spans="4:4" ht="17.649999999999999" x14ac:dyDescent="0.5">
      <c r="D837" s="3" t="s">
        <v>83</v>
      </c>
    </row>
    <row r="838" spans="4:4" ht="17.649999999999999" x14ac:dyDescent="0.5">
      <c r="D838" s="3" t="s">
        <v>94</v>
      </c>
    </row>
    <row r="839" spans="4:4" ht="17.649999999999999" x14ac:dyDescent="0.5">
      <c r="D839" s="3" t="s">
        <v>45</v>
      </c>
    </row>
    <row r="840" spans="4:4" ht="17.649999999999999" x14ac:dyDescent="0.5">
      <c r="D840" s="3" t="s">
        <v>90</v>
      </c>
    </row>
    <row r="841" spans="4:4" ht="17.649999999999999" x14ac:dyDescent="0.5">
      <c r="D841" s="3" t="s">
        <v>64</v>
      </c>
    </row>
    <row r="842" spans="4:4" ht="17.649999999999999" x14ac:dyDescent="0.5">
      <c r="D842" s="3" t="s">
        <v>52</v>
      </c>
    </row>
    <row r="843" spans="4:4" ht="17.649999999999999" x14ac:dyDescent="0.5">
      <c r="D843" s="3" t="s">
        <v>46</v>
      </c>
    </row>
    <row r="844" spans="4:4" ht="17.649999999999999" x14ac:dyDescent="0.5">
      <c r="D844" s="3" t="s">
        <v>78</v>
      </c>
    </row>
    <row r="845" spans="4:4" ht="17.649999999999999" x14ac:dyDescent="0.5">
      <c r="D845" s="3" t="s">
        <v>48</v>
      </c>
    </row>
    <row r="846" spans="4:4" ht="17.649999999999999" x14ac:dyDescent="0.5">
      <c r="D846" s="3" t="s">
        <v>97</v>
      </c>
    </row>
    <row r="847" spans="4:4" ht="17.649999999999999" x14ac:dyDescent="0.5">
      <c r="D847" s="3" t="s">
        <v>45</v>
      </c>
    </row>
    <row r="848" spans="4:4" ht="17.649999999999999" x14ac:dyDescent="0.5">
      <c r="D848" s="3" t="s">
        <v>84</v>
      </c>
    </row>
    <row r="849" spans="4:4" ht="17.649999999999999" x14ac:dyDescent="0.5">
      <c r="D849" s="3" t="s">
        <v>108</v>
      </c>
    </row>
    <row r="850" spans="4:4" ht="17.649999999999999" x14ac:dyDescent="0.5">
      <c r="D850" s="3" t="s">
        <v>59</v>
      </c>
    </row>
    <row r="851" spans="4:4" ht="17.649999999999999" x14ac:dyDescent="0.5">
      <c r="D851" s="3" t="s">
        <v>67</v>
      </c>
    </row>
    <row r="852" spans="4:4" ht="17.649999999999999" x14ac:dyDescent="0.5">
      <c r="D852" s="3" t="s">
        <v>78</v>
      </c>
    </row>
    <row r="853" spans="4:4" ht="17.649999999999999" x14ac:dyDescent="0.5">
      <c r="D853" s="3" t="s">
        <v>66</v>
      </c>
    </row>
    <row r="854" spans="4:4" ht="17.649999999999999" x14ac:dyDescent="0.5">
      <c r="D854" s="3" t="s">
        <v>73</v>
      </c>
    </row>
    <row r="855" spans="4:4" ht="17.649999999999999" x14ac:dyDescent="0.5">
      <c r="D855" s="3" t="s">
        <v>59</v>
      </c>
    </row>
    <row r="856" spans="4:4" ht="17.649999999999999" x14ac:dyDescent="0.5">
      <c r="D856" s="3" t="s">
        <v>67</v>
      </c>
    </row>
    <row r="857" spans="4:4" ht="17.649999999999999" x14ac:dyDescent="0.5">
      <c r="D857" s="3" t="s">
        <v>127</v>
      </c>
    </row>
    <row r="858" spans="4:4" ht="17.649999999999999" x14ac:dyDescent="0.5">
      <c r="D858" s="3" t="s">
        <v>44</v>
      </c>
    </row>
    <row r="859" spans="4:4" ht="17.649999999999999" x14ac:dyDescent="0.5">
      <c r="D859" s="3" t="s">
        <v>95</v>
      </c>
    </row>
    <row r="860" spans="4:4" ht="17.649999999999999" x14ac:dyDescent="0.5">
      <c r="D860" s="3" t="s">
        <v>117</v>
      </c>
    </row>
    <row r="861" spans="4:4" ht="17.649999999999999" x14ac:dyDescent="0.5">
      <c r="D861" s="3" t="s">
        <v>115</v>
      </c>
    </row>
    <row r="862" spans="4:4" ht="17.649999999999999" x14ac:dyDescent="0.5">
      <c r="D862" s="3" t="s">
        <v>89</v>
      </c>
    </row>
    <row r="863" spans="4:4" ht="17.649999999999999" x14ac:dyDescent="0.5">
      <c r="D863" s="3" t="s">
        <v>49</v>
      </c>
    </row>
    <row r="864" spans="4:4" ht="17.649999999999999" x14ac:dyDescent="0.5">
      <c r="D864" s="3" t="s">
        <v>78</v>
      </c>
    </row>
    <row r="865" spans="4:4" ht="17.649999999999999" x14ac:dyDescent="0.5">
      <c r="D865" s="3" t="s">
        <v>71</v>
      </c>
    </row>
    <row r="866" spans="4:4" ht="17.649999999999999" x14ac:dyDescent="0.5">
      <c r="D866" s="3" t="s">
        <v>44</v>
      </c>
    </row>
    <row r="867" spans="4:4" ht="17.649999999999999" x14ac:dyDescent="0.5">
      <c r="D867" s="3" t="s">
        <v>123</v>
      </c>
    </row>
    <row r="868" spans="4:4" ht="17.649999999999999" x14ac:dyDescent="0.5">
      <c r="D868" s="3" t="s">
        <v>51</v>
      </c>
    </row>
    <row r="869" spans="4:4" ht="17.649999999999999" x14ac:dyDescent="0.5">
      <c r="D869" s="3" t="s">
        <v>84</v>
      </c>
    </row>
    <row r="870" spans="4:4" ht="17.649999999999999" x14ac:dyDescent="0.5">
      <c r="D870" s="3" t="s">
        <v>92</v>
      </c>
    </row>
    <row r="871" spans="4:4" ht="17.649999999999999" x14ac:dyDescent="0.5">
      <c r="D871" s="3" t="s">
        <v>75</v>
      </c>
    </row>
    <row r="872" spans="4:4" ht="17.649999999999999" x14ac:dyDescent="0.5">
      <c r="D872" s="3" t="s">
        <v>57</v>
      </c>
    </row>
    <row r="873" spans="4:4" ht="17.649999999999999" x14ac:dyDescent="0.5">
      <c r="D873" s="3" t="s">
        <v>63</v>
      </c>
    </row>
    <row r="874" spans="4:4" ht="17.649999999999999" x14ac:dyDescent="0.5">
      <c r="D874" s="3" t="s">
        <v>94</v>
      </c>
    </row>
    <row r="875" spans="4:4" ht="17.649999999999999" x14ac:dyDescent="0.5">
      <c r="D875" s="3" t="s">
        <v>118</v>
      </c>
    </row>
    <row r="876" spans="4:4" ht="17.649999999999999" x14ac:dyDescent="0.5">
      <c r="D876" s="3" t="s">
        <v>103</v>
      </c>
    </row>
    <row r="877" spans="4:4" ht="17.649999999999999" x14ac:dyDescent="0.5">
      <c r="D877" s="3" t="s">
        <v>52</v>
      </c>
    </row>
    <row r="878" spans="4:4" ht="17.649999999999999" x14ac:dyDescent="0.5">
      <c r="D878" s="3" t="s">
        <v>90</v>
      </c>
    </row>
    <row r="879" spans="4:4" ht="17.649999999999999" x14ac:dyDescent="0.5">
      <c r="D879" s="3" t="s">
        <v>50</v>
      </c>
    </row>
    <row r="880" spans="4:4" ht="17.649999999999999" x14ac:dyDescent="0.5">
      <c r="D880" s="3" t="s">
        <v>64</v>
      </c>
    </row>
    <row r="881" spans="4:4" ht="17.649999999999999" x14ac:dyDescent="0.5">
      <c r="D881" s="3" t="s">
        <v>103</v>
      </c>
    </row>
    <row r="882" spans="4:4" ht="17.649999999999999" x14ac:dyDescent="0.5">
      <c r="D882" s="3" t="s">
        <v>134</v>
      </c>
    </row>
    <row r="883" spans="4:4" ht="17.649999999999999" x14ac:dyDescent="0.5">
      <c r="D883" s="3" t="s">
        <v>80</v>
      </c>
    </row>
    <row r="884" spans="4:4" ht="17.649999999999999" x14ac:dyDescent="0.5">
      <c r="D884" s="3" t="s">
        <v>63</v>
      </c>
    </row>
    <row r="885" spans="4:4" ht="17.649999999999999" x14ac:dyDescent="0.5">
      <c r="D885" s="3" t="s">
        <v>87</v>
      </c>
    </row>
    <row r="886" spans="4:4" ht="17.649999999999999" x14ac:dyDescent="0.5">
      <c r="D886" s="3" t="s">
        <v>63</v>
      </c>
    </row>
    <row r="887" spans="4:4" ht="17.649999999999999" x14ac:dyDescent="0.5">
      <c r="D887" s="3" t="s">
        <v>92</v>
      </c>
    </row>
    <row r="888" spans="4:4" ht="17.649999999999999" x14ac:dyDescent="0.5">
      <c r="D888" s="3" t="s">
        <v>44</v>
      </c>
    </row>
    <row r="889" spans="4:4" ht="17.649999999999999" x14ac:dyDescent="0.5">
      <c r="D889" s="3" t="s">
        <v>68</v>
      </c>
    </row>
    <row r="890" spans="4:4" ht="17.649999999999999" x14ac:dyDescent="0.5">
      <c r="D890" s="3" t="s">
        <v>43</v>
      </c>
    </row>
    <row r="891" spans="4:4" ht="17.649999999999999" x14ac:dyDescent="0.5">
      <c r="D891" s="3" t="s">
        <v>125</v>
      </c>
    </row>
    <row r="892" spans="4:4" ht="17.649999999999999" x14ac:dyDescent="0.5">
      <c r="D892" s="3" t="s">
        <v>59</v>
      </c>
    </row>
    <row r="893" spans="4:4" ht="17.649999999999999" x14ac:dyDescent="0.5">
      <c r="D893" s="3" t="s">
        <v>53</v>
      </c>
    </row>
    <row r="894" spans="4:4" ht="17.649999999999999" x14ac:dyDescent="0.5">
      <c r="D894" s="3" t="s">
        <v>112</v>
      </c>
    </row>
    <row r="895" spans="4:4" ht="17.649999999999999" x14ac:dyDescent="0.5">
      <c r="D895" s="3" t="s">
        <v>61</v>
      </c>
    </row>
    <row r="896" spans="4:4" ht="17.649999999999999" x14ac:dyDescent="0.5">
      <c r="D896" s="3" t="s">
        <v>93</v>
      </c>
    </row>
    <row r="897" spans="4:4" ht="17.649999999999999" x14ac:dyDescent="0.5">
      <c r="D897" s="3" t="s">
        <v>69</v>
      </c>
    </row>
    <row r="898" spans="4:4" ht="17.649999999999999" x14ac:dyDescent="0.5">
      <c r="D898" s="3" t="s">
        <v>68</v>
      </c>
    </row>
    <row r="899" spans="4:4" ht="17.649999999999999" x14ac:dyDescent="0.5">
      <c r="D899" s="3" t="s">
        <v>99</v>
      </c>
    </row>
    <row r="900" spans="4:4" ht="17.649999999999999" x14ac:dyDescent="0.5">
      <c r="D900" s="3" t="s">
        <v>77</v>
      </c>
    </row>
    <row r="901" spans="4:4" ht="17.649999999999999" x14ac:dyDescent="0.5">
      <c r="D901" s="3" t="s">
        <v>60</v>
      </c>
    </row>
    <row r="902" spans="4:4" ht="17.649999999999999" x14ac:dyDescent="0.5">
      <c r="D902" s="3" t="s">
        <v>98</v>
      </c>
    </row>
    <row r="903" spans="4:4" ht="17.649999999999999" x14ac:dyDescent="0.5">
      <c r="D903" s="3" t="s">
        <v>50</v>
      </c>
    </row>
    <row r="904" spans="4:4" ht="17.649999999999999" x14ac:dyDescent="0.5">
      <c r="D904" s="3" t="s">
        <v>113</v>
      </c>
    </row>
    <row r="905" spans="4:4" ht="17.649999999999999" x14ac:dyDescent="0.5">
      <c r="D905" s="3" t="s">
        <v>77</v>
      </c>
    </row>
    <row r="906" spans="4:4" ht="17.649999999999999" x14ac:dyDescent="0.5">
      <c r="D906" s="3" t="s">
        <v>87</v>
      </c>
    </row>
    <row r="907" spans="4:4" ht="17.649999999999999" x14ac:dyDescent="0.5">
      <c r="D907" s="3" t="s">
        <v>72</v>
      </c>
    </row>
    <row r="908" spans="4:4" ht="17.649999999999999" x14ac:dyDescent="0.5">
      <c r="D908" s="3" t="s">
        <v>66</v>
      </c>
    </row>
    <row r="909" spans="4:4" ht="17.649999999999999" x14ac:dyDescent="0.5">
      <c r="D909" s="3" t="s">
        <v>59</v>
      </c>
    </row>
    <row r="910" spans="4:4" ht="17.649999999999999" x14ac:dyDescent="0.5">
      <c r="D910" s="3" t="s">
        <v>94</v>
      </c>
    </row>
    <row r="911" spans="4:4" ht="17.649999999999999" x14ac:dyDescent="0.5">
      <c r="D911" s="3" t="s">
        <v>47</v>
      </c>
    </row>
    <row r="912" spans="4:4" ht="17.649999999999999" x14ac:dyDescent="0.5">
      <c r="D912" s="3" t="s">
        <v>88</v>
      </c>
    </row>
    <row r="913" spans="4:4" ht="17.649999999999999" x14ac:dyDescent="0.5">
      <c r="D913" s="3" t="s">
        <v>60</v>
      </c>
    </row>
    <row r="914" spans="4:4" ht="17.649999999999999" x14ac:dyDescent="0.5">
      <c r="D914" s="3" t="s">
        <v>107</v>
      </c>
    </row>
    <row r="915" spans="4:4" ht="17.649999999999999" x14ac:dyDescent="0.5">
      <c r="D915" s="3" t="s">
        <v>90</v>
      </c>
    </row>
    <row r="916" spans="4:4" ht="17.649999999999999" x14ac:dyDescent="0.5">
      <c r="D916" s="3" t="s">
        <v>99</v>
      </c>
    </row>
    <row r="917" spans="4:4" ht="17.649999999999999" x14ac:dyDescent="0.5">
      <c r="D917" s="3" t="s">
        <v>57</v>
      </c>
    </row>
    <row r="918" spans="4:4" ht="17.649999999999999" x14ac:dyDescent="0.5">
      <c r="D918" s="3" t="s">
        <v>122</v>
      </c>
    </row>
    <row r="919" spans="4:4" ht="17.649999999999999" x14ac:dyDescent="0.5">
      <c r="D919" s="3" t="s">
        <v>75</v>
      </c>
    </row>
    <row r="920" spans="4:4" ht="17.649999999999999" x14ac:dyDescent="0.5">
      <c r="D920" s="3" t="s">
        <v>78</v>
      </c>
    </row>
    <row r="921" spans="4:4" ht="17.649999999999999" x14ac:dyDescent="0.5">
      <c r="D921" s="3" t="s">
        <v>96</v>
      </c>
    </row>
    <row r="922" spans="4:4" ht="17.649999999999999" x14ac:dyDescent="0.5">
      <c r="D922" s="3" t="s">
        <v>81</v>
      </c>
    </row>
    <row r="923" spans="4:4" ht="17.649999999999999" x14ac:dyDescent="0.5">
      <c r="D923" s="3" t="s">
        <v>115</v>
      </c>
    </row>
    <row r="924" spans="4:4" ht="17.649999999999999" x14ac:dyDescent="0.5">
      <c r="D924" s="3" t="s">
        <v>117</v>
      </c>
    </row>
    <row r="925" spans="4:4" ht="17.649999999999999" x14ac:dyDescent="0.5">
      <c r="D925" s="3" t="s">
        <v>80</v>
      </c>
    </row>
    <row r="926" spans="4:4" ht="17.649999999999999" x14ac:dyDescent="0.5">
      <c r="D926" s="3" t="s">
        <v>63</v>
      </c>
    </row>
    <row r="927" spans="4:4" ht="17.649999999999999" x14ac:dyDescent="0.5">
      <c r="D927" s="3" t="s">
        <v>88</v>
      </c>
    </row>
    <row r="928" spans="4:4" ht="17.649999999999999" x14ac:dyDescent="0.5">
      <c r="D928" s="3" t="s">
        <v>42</v>
      </c>
    </row>
    <row r="929" spans="4:4" ht="17.649999999999999" x14ac:dyDescent="0.5">
      <c r="D929" s="3" t="s">
        <v>47</v>
      </c>
    </row>
    <row r="930" spans="4:4" ht="17.649999999999999" x14ac:dyDescent="0.5">
      <c r="D930" s="3" t="s">
        <v>58</v>
      </c>
    </row>
    <row r="931" spans="4:4" ht="17.649999999999999" x14ac:dyDescent="0.5">
      <c r="D931" s="3" t="s">
        <v>55</v>
      </c>
    </row>
    <row r="932" spans="4:4" ht="17.649999999999999" x14ac:dyDescent="0.5">
      <c r="D932" s="3" t="s">
        <v>66</v>
      </c>
    </row>
    <row r="933" spans="4:4" ht="17.649999999999999" x14ac:dyDescent="0.5">
      <c r="D933" s="3" t="s">
        <v>61</v>
      </c>
    </row>
    <row r="934" spans="4:4" ht="17.649999999999999" x14ac:dyDescent="0.5">
      <c r="D934" s="3" t="s">
        <v>127</v>
      </c>
    </row>
    <row r="935" spans="4:4" ht="17.649999999999999" x14ac:dyDescent="0.5">
      <c r="D935" s="3" t="s">
        <v>89</v>
      </c>
    </row>
    <row r="936" spans="4:4" ht="17.649999999999999" x14ac:dyDescent="0.5">
      <c r="D936" s="3" t="s">
        <v>48</v>
      </c>
    </row>
    <row r="937" spans="4:4" ht="17.649999999999999" x14ac:dyDescent="0.5">
      <c r="D937" s="3" t="s">
        <v>66</v>
      </c>
    </row>
    <row r="938" spans="4:4" ht="17.649999999999999" x14ac:dyDescent="0.5">
      <c r="D938" s="3" t="s">
        <v>112</v>
      </c>
    </row>
    <row r="939" spans="4:4" ht="17.649999999999999" x14ac:dyDescent="0.5">
      <c r="D939" s="3" t="s">
        <v>68</v>
      </c>
    </row>
    <row r="940" spans="4:4" ht="17.649999999999999" x14ac:dyDescent="0.5">
      <c r="D940" s="3" t="s">
        <v>97</v>
      </c>
    </row>
    <row r="941" spans="4:4" ht="17.649999999999999" x14ac:dyDescent="0.5">
      <c r="D941" s="3" t="s">
        <v>87</v>
      </c>
    </row>
    <row r="942" spans="4:4" ht="17.649999999999999" x14ac:dyDescent="0.5">
      <c r="D942" s="3" t="s">
        <v>80</v>
      </c>
    </row>
    <row r="943" spans="4:4" ht="17.649999999999999" x14ac:dyDescent="0.5">
      <c r="D943" s="3" t="s">
        <v>88</v>
      </c>
    </row>
    <row r="944" spans="4:4" ht="17.649999999999999" x14ac:dyDescent="0.5">
      <c r="D944" s="3" t="s">
        <v>96</v>
      </c>
    </row>
    <row r="945" spans="4:4" ht="17.649999999999999" x14ac:dyDescent="0.5">
      <c r="D945" s="3" t="s">
        <v>87</v>
      </c>
    </row>
    <row r="946" spans="4:4" ht="17.649999999999999" x14ac:dyDescent="0.5">
      <c r="D946" s="3" t="s">
        <v>74</v>
      </c>
    </row>
    <row r="947" spans="4:4" ht="17.649999999999999" x14ac:dyDescent="0.5">
      <c r="D947" s="3" t="s">
        <v>68</v>
      </c>
    </row>
    <row r="948" spans="4:4" ht="17.649999999999999" x14ac:dyDescent="0.5">
      <c r="D948" s="3" t="s">
        <v>56</v>
      </c>
    </row>
    <row r="949" spans="4:4" ht="17.649999999999999" x14ac:dyDescent="0.5">
      <c r="D949" s="3" t="s">
        <v>50</v>
      </c>
    </row>
    <row r="950" spans="4:4" ht="17.649999999999999" x14ac:dyDescent="0.5">
      <c r="D950" s="3" t="s">
        <v>66</v>
      </c>
    </row>
    <row r="951" spans="4:4" ht="17.649999999999999" x14ac:dyDescent="0.5">
      <c r="D951" s="3" t="s">
        <v>55</v>
      </c>
    </row>
    <row r="952" spans="4:4" ht="17.649999999999999" x14ac:dyDescent="0.5">
      <c r="D952" s="3" t="s">
        <v>83</v>
      </c>
    </row>
    <row r="953" spans="4:4" ht="17.649999999999999" x14ac:dyDescent="0.5">
      <c r="D953" s="3" t="s">
        <v>133</v>
      </c>
    </row>
    <row r="954" spans="4:4" ht="17.649999999999999" x14ac:dyDescent="0.5">
      <c r="D954" s="3" t="s">
        <v>47</v>
      </c>
    </row>
    <row r="955" spans="4:4" ht="17.649999999999999" x14ac:dyDescent="0.5">
      <c r="D955" s="3" t="s">
        <v>63</v>
      </c>
    </row>
    <row r="956" spans="4:4" ht="17.649999999999999" x14ac:dyDescent="0.5">
      <c r="D956" s="3" t="s">
        <v>55</v>
      </c>
    </row>
    <row r="957" spans="4:4" ht="17.649999999999999" x14ac:dyDescent="0.5">
      <c r="D957" s="3" t="s">
        <v>64</v>
      </c>
    </row>
    <row r="958" spans="4:4" ht="17.649999999999999" x14ac:dyDescent="0.5">
      <c r="D958" s="3" t="s">
        <v>112</v>
      </c>
    </row>
    <row r="959" spans="4:4" ht="17.649999999999999" x14ac:dyDescent="0.5">
      <c r="D959" s="3" t="s">
        <v>43</v>
      </c>
    </row>
    <row r="960" spans="4:4" ht="17.649999999999999" x14ac:dyDescent="0.5">
      <c r="D960" s="3" t="s">
        <v>96</v>
      </c>
    </row>
    <row r="961" spans="4:4" ht="17.649999999999999" x14ac:dyDescent="0.5">
      <c r="D961" s="3" t="s">
        <v>43</v>
      </c>
    </row>
    <row r="962" spans="4:4" ht="17.649999999999999" x14ac:dyDescent="0.5">
      <c r="D962" s="3" t="s">
        <v>105</v>
      </c>
    </row>
    <row r="963" spans="4:4" ht="17.649999999999999" x14ac:dyDescent="0.5">
      <c r="D963" s="3" t="s">
        <v>109</v>
      </c>
    </row>
    <row r="964" spans="4:4" ht="17.649999999999999" x14ac:dyDescent="0.5">
      <c r="D964" s="3" t="s">
        <v>46</v>
      </c>
    </row>
    <row r="965" spans="4:4" ht="17.649999999999999" x14ac:dyDescent="0.5">
      <c r="D965" s="3" t="s">
        <v>74</v>
      </c>
    </row>
    <row r="966" spans="4:4" ht="17.649999999999999" x14ac:dyDescent="0.5">
      <c r="D966" s="3" t="s">
        <v>80</v>
      </c>
    </row>
    <row r="967" spans="4:4" ht="17.649999999999999" x14ac:dyDescent="0.5">
      <c r="D967" s="3" t="s">
        <v>94</v>
      </c>
    </row>
    <row r="968" spans="4:4" ht="17.649999999999999" x14ac:dyDescent="0.5">
      <c r="D968" s="3" t="s">
        <v>84</v>
      </c>
    </row>
    <row r="969" spans="4:4" ht="17.649999999999999" x14ac:dyDescent="0.5">
      <c r="D969" s="3" t="s">
        <v>57</v>
      </c>
    </row>
    <row r="970" spans="4:4" ht="17.649999999999999" x14ac:dyDescent="0.5">
      <c r="D970" s="3" t="s">
        <v>106</v>
      </c>
    </row>
    <row r="971" spans="4:4" ht="17.649999999999999" x14ac:dyDescent="0.5">
      <c r="D971" s="3" t="s">
        <v>61</v>
      </c>
    </row>
    <row r="972" spans="4:4" ht="17.649999999999999" x14ac:dyDescent="0.5">
      <c r="D972" s="3" t="s">
        <v>53</v>
      </c>
    </row>
    <row r="973" spans="4:4" ht="17.649999999999999" x14ac:dyDescent="0.5">
      <c r="D973" s="3" t="s">
        <v>55</v>
      </c>
    </row>
    <row r="974" spans="4:4" ht="17.649999999999999" x14ac:dyDescent="0.5">
      <c r="D974" s="3" t="s">
        <v>52</v>
      </c>
    </row>
    <row r="975" spans="4:4" ht="17.649999999999999" x14ac:dyDescent="0.5">
      <c r="D975" s="3" t="s">
        <v>99</v>
      </c>
    </row>
    <row r="976" spans="4:4" ht="17.649999999999999" x14ac:dyDescent="0.5">
      <c r="D976" s="3" t="s">
        <v>80</v>
      </c>
    </row>
    <row r="977" spans="4:4" ht="17.649999999999999" x14ac:dyDescent="0.5">
      <c r="D977" s="3" t="s">
        <v>68</v>
      </c>
    </row>
    <row r="978" spans="4:4" ht="17.649999999999999" x14ac:dyDescent="0.5">
      <c r="D978" s="3" t="s">
        <v>110</v>
      </c>
    </row>
    <row r="979" spans="4:4" ht="17.649999999999999" x14ac:dyDescent="0.5">
      <c r="D979" s="3" t="s">
        <v>56</v>
      </c>
    </row>
    <row r="980" spans="4:4" ht="17.649999999999999" x14ac:dyDescent="0.5">
      <c r="D980" s="3" t="s">
        <v>105</v>
      </c>
    </row>
    <row r="981" spans="4:4" ht="17.649999999999999" x14ac:dyDescent="0.5">
      <c r="D981" s="3" t="s">
        <v>75</v>
      </c>
    </row>
    <row r="982" spans="4:4" ht="17.649999999999999" x14ac:dyDescent="0.5">
      <c r="D982" s="3" t="s">
        <v>41</v>
      </c>
    </row>
    <row r="983" spans="4:4" ht="17.649999999999999" x14ac:dyDescent="0.5">
      <c r="D983" s="3" t="s">
        <v>76</v>
      </c>
    </row>
    <row r="984" spans="4:4" ht="17.649999999999999" x14ac:dyDescent="0.5">
      <c r="D984" s="3" t="s">
        <v>66</v>
      </c>
    </row>
    <row r="985" spans="4:4" ht="17.649999999999999" x14ac:dyDescent="0.5">
      <c r="D985" s="3" t="s">
        <v>128</v>
      </c>
    </row>
    <row r="986" spans="4:4" ht="17.649999999999999" x14ac:dyDescent="0.5">
      <c r="D986" s="3" t="s">
        <v>75</v>
      </c>
    </row>
    <row r="987" spans="4:4" ht="17.649999999999999" x14ac:dyDescent="0.5">
      <c r="D987" s="3" t="s">
        <v>78</v>
      </c>
    </row>
    <row r="988" spans="4:4" ht="17.649999999999999" x14ac:dyDescent="0.5">
      <c r="D988" s="3" t="s">
        <v>87</v>
      </c>
    </row>
    <row r="989" spans="4:4" ht="17.649999999999999" x14ac:dyDescent="0.5">
      <c r="D989" s="3" t="s">
        <v>112</v>
      </c>
    </row>
    <row r="990" spans="4:4" ht="17.649999999999999" x14ac:dyDescent="0.5">
      <c r="D990" s="3" t="s">
        <v>80</v>
      </c>
    </row>
    <row r="991" spans="4:4" ht="17.649999999999999" x14ac:dyDescent="0.5">
      <c r="D991" s="3" t="s">
        <v>113</v>
      </c>
    </row>
    <row r="992" spans="4:4" ht="17.649999999999999" x14ac:dyDescent="0.5">
      <c r="D992" s="3" t="s">
        <v>74</v>
      </c>
    </row>
    <row r="993" spans="4:4" ht="17.649999999999999" x14ac:dyDescent="0.5">
      <c r="D993" s="3" t="s">
        <v>50</v>
      </c>
    </row>
    <row r="994" spans="4:4" ht="17.649999999999999" x14ac:dyDescent="0.5">
      <c r="D994" s="3" t="s">
        <v>107</v>
      </c>
    </row>
    <row r="995" spans="4:4" ht="17.649999999999999" x14ac:dyDescent="0.5">
      <c r="D995" s="3" t="s">
        <v>83</v>
      </c>
    </row>
    <row r="996" spans="4:4" ht="17.649999999999999" x14ac:dyDescent="0.5">
      <c r="D996" s="3" t="s">
        <v>84</v>
      </c>
    </row>
    <row r="997" spans="4:4" ht="17.649999999999999" x14ac:dyDescent="0.5">
      <c r="D997" s="3" t="s">
        <v>130</v>
      </c>
    </row>
    <row r="998" spans="4:4" ht="17.649999999999999" x14ac:dyDescent="0.5">
      <c r="D998" s="3" t="s">
        <v>73</v>
      </c>
    </row>
    <row r="999" spans="4:4" ht="17.649999999999999" x14ac:dyDescent="0.5">
      <c r="D999" s="3" t="s">
        <v>66</v>
      </c>
    </row>
    <row r="1000" spans="4:4" ht="17.649999999999999" x14ac:dyDescent="0.5">
      <c r="D1000" s="3" t="s">
        <v>83</v>
      </c>
    </row>
    <row r="1001" spans="4:4" ht="17.649999999999999" x14ac:dyDescent="0.5">
      <c r="D1001" s="3" t="s">
        <v>54</v>
      </c>
    </row>
    <row r="1002" spans="4:4" ht="17.649999999999999" x14ac:dyDescent="0.5">
      <c r="D1002" s="3" t="s">
        <v>50</v>
      </c>
    </row>
    <row r="1003" spans="4:4" ht="17.649999999999999" x14ac:dyDescent="0.5">
      <c r="D1003" s="3" t="s">
        <v>83</v>
      </c>
    </row>
    <row r="1004" spans="4:4" ht="17.649999999999999" x14ac:dyDescent="0.5">
      <c r="D1004" s="3" t="s">
        <v>79</v>
      </c>
    </row>
    <row r="1005" spans="4:4" ht="17.649999999999999" x14ac:dyDescent="0.5">
      <c r="D1005" s="3" t="s">
        <v>103</v>
      </c>
    </row>
    <row r="1006" spans="4:4" ht="17.649999999999999" x14ac:dyDescent="0.5">
      <c r="D1006" s="3" t="s">
        <v>65</v>
      </c>
    </row>
    <row r="1007" spans="4:4" ht="17.649999999999999" x14ac:dyDescent="0.5">
      <c r="D1007" s="3" t="s">
        <v>89</v>
      </c>
    </row>
    <row r="1008" spans="4:4" ht="17.649999999999999" x14ac:dyDescent="0.5">
      <c r="D1008" s="3" t="s">
        <v>41</v>
      </c>
    </row>
    <row r="1009" spans="4:4" ht="17.649999999999999" x14ac:dyDescent="0.5">
      <c r="D1009" s="3" t="s">
        <v>71</v>
      </c>
    </row>
    <row r="1010" spans="4:4" ht="17.649999999999999" x14ac:dyDescent="0.5">
      <c r="D1010" s="3" t="s">
        <v>97</v>
      </c>
    </row>
    <row r="1011" spans="4:4" ht="17.649999999999999" x14ac:dyDescent="0.5">
      <c r="D1011" s="3" t="s">
        <v>53</v>
      </c>
    </row>
    <row r="1012" spans="4:4" ht="17.649999999999999" x14ac:dyDescent="0.5">
      <c r="D1012" s="3" t="s">
        <v>123</v>
      </c>
    </row>
    <row r="1013" spans="4:4" ht="17.649999999999999" x14ac:dyDescent="0.5">
      <c r="D1013" s="3" t="s">
        <v>41</v>
      </c>
    </row>
    <row r="1014" spans="4:4" ht="17.649999999999999" x14ac:dyDescent="0.5">
      <c r="D1014" s="3" t="s">
        <v>81</v>
      </c>
    </row>
    <row r="1015" spans="4:4" ht="17.649999999999999" x14ac:dyDescent="0.5">
      <c r="D1015" s="3" t="s">
        <v>96</v>
      </c>
    </row>
    <row r="1016" spans="4:4" ht="17.649999999999999" x14ac:dyDescent="0.5">
      <c r="D1016" s="3" t="s">
        <v>53</v>
      </c>
    </row>
    <row r="1017" spans="4:4" ht="17.649999999999999" x14ac:dyDescent="0.5">
      <c r="D1017" s="3" t="s">
        <v>47</v>
      </c>
    </row>
    <row r="1018" spans="4:4" ht="17.649999999999999" x14ac:dyDescent="0.5">
      <c r="D1018" s="3" t="s">
        <v>112</v>
      </c>
    </row>
    <row r="1019" spans="4:4" ht="17.649999999999999" x14ac:dyDescent="0.5">
      <c r="D1019" s="3" t="s">
        <v>74</v>
      </c>
    </row>
    <row r="1020" spans="4:4" ht="17.649999999999999" x14ac:dyDescent="0.5">
      <c r="D1020" s="3" t="s">
        <v>90</v>
      </c>
    </row>
    <row r="1021" spans="4:4" ht="17.649999999999999" x14ac:dyDescent="0.5">
      <c r="D1021" s="3" t="s">
        <v>107</v>
      </c>
    </row>
    <row r="1022" spans="4:4" ht="17.649999999999999" x14ac:dyDescent="0.5">
      <c r="D1022" s="3" t="s">
        <v>52</v>
      </c>
    </row>
    <row r="1023" spans="4:4" ht="17.649999999999999" x14ac:dyDescent="0.5">
      <c r="D1023" s="3" t="s">
        <v>63</v>
      </c>
    </row>
    <row r="1024" spans="4:4" ht="17.649999999999999" x14ac:dyDescent="0.5">
      <c r="D1024" s="3" t="s">
        <v>108</v>
      </c>
    </row>
    <row r="1025" spans="4:4" ht="17.649999999999999" x14ac:dyDescent="0.5">
      <c r="D1025" s="3" t="s">
        <v>67</v>
      </c>
    </row>
    <row r="1026" spans="4:4" ht="17.649999999999999" x14ac:dyDescent="0.5">
      <c r="D1026" s="3" t="s">
        <v>52</v>
      </c>
    </row>
    <row r="1027" spans="4:4" ht="17.649999999999999" x14ac:dyDescent="0.5">
      <c r="D1027" s="3" t="s">
        <v>79</v>
      </c>
    </row>
    <row r="1028" spans="4:4" ht="17.649999999999999" x14ac:dyDescent="0.5">
      <c r="D1028" s="3" t="s">
        <v>101</v>
      </c>
    </row>
    <row r="1029" spans="4:4" ht="17.649999999999999" x14ac:dyDescent="0.5">
      <c r="D1029" s="3" t="s">
        <v>51</v>
      </c>
    </row>
    <row r="1030" spans="4:4" ht="17.649999999999999" x14ac:dyDescent="0.5">
      <c r="D1030" s="3" t="s">
        <v>111</v>
      </c>
    </row>
    <row r="1031" spans="4:4" ht="17.649999999999999" x14ac:dyDescent="0.5">
      <c r="D1031" s="3" t="s">
        <v>42</v>
      </c>
    </row>
    <row r="1032" spans="4:4" ht="17.649999999999999" x14ac:dyDescent="0.5">
      <c r="D1032" s="3" t="s">
        <v>92</v>
      </c>
    </row>
    <row r="1033" spans="4:4" ht="17.649999999999999" x14ac:dyDescent="0.5">
      <c r="D1033" s="3" t="s">
        <v>103</v>
      </c>
    </row>
    <row r="1034" spans="4:4" ht="17.649999999999999" x14ac:dyDescent="0.5">
      <c r="D1034" s="3" t="s">
        <v>49</v>
      </c>
    </row>
    <row r="1035" spans="4:4" ht="17.649999999999999" x14ac:dyDescent="0.5">
      <c r="D1035" s="3" t="s">
        <v>114</v>
      </c>
    </row>
    <row r="1036" spans="4:4" ht="17.649999999999999" x14ac:dyDescent="0.5">
      <c r="D1036" s="3" t="s">
        <v>112</v>
      </c>
    </row>
    <row r="1037" spans="4:4" ht="17.649999999999999" x14ac:dyDescent="0.5">
      <c r="D1037" s="3" t="s">
        <v>57</v>
      </c>
    </row>
    <row r="1038" spans="4:4" ht="17.649999999999999" x14ac:dyDescent="0.5">
      <c r="D1038" s="3" t="s">
        <v>65</v>
      </c>
    </row>
    <row r="1039" spans="4:4" ht="17.649999999999999" x14ac:dyDescent="0.5">
      <c r="D1039" s="3" t="s">
        <v>119</v>
      </c>
    </row>
    <row r="1040" spans="4:4" ht="17.649999999999999" x14ac:dyDescent="0.5">
      <c r="D1040" s="3" t="s">
        <v>83</v>
      </c>
    </row>
    <row r="1041" spans="4:4" ht="17.649999999999999" x14ac:dyDescent="0.5">
      <c r="D1041" s="3" t="s">
        <v>126</v>
      </c>
    </row>
    <row r="1042" spans="4:4" ht="17.649999999999999" x14ac:dyDescent="0.5">
      <c r="D1042" s="3" t="s">
        <v>82</v>
      </c>
    </row>
    <row r="1043" spans="4:4" ht="17.649999999999999" x14ac:dyDescent="0.5">
      <c r="D1043" s="3" t="s">
        <v>84</v>
      </c>
    </row>
    <row r="1044" spans="4:4" ht="17.649999999999999" x14ac:dyDescent="0.5">
      <c r="D1044" s="3" t="s">
        <v>91</v>
      </c>
    </row>
    <row r="1045" spans="4:4" ht="17.649999999999999" x14ac:dyDescent="0.5">
      <c r="D1045" s="3" t="s">
        <v>65</v>
      </c>
    </row>
    <row r="1046" spans="4:4" ht="17.649999999999999" x14ac:dyDescent="0.5">
      <c r="D1046" s="3" t="s">
        <v>77</v>
      </c>
    </row>
    <row r="1047" spans="4:4" ht="17.649999999999999" x14ac:dyDescent="0.5">
      <c r="D1047" s="3" t="s">
        <v>115</v>
      </c>
    </row>
    <row r="1048" spans="4:4" ht="17.649999999999999" x14ac:dyDescent="0.5">
      <c r="D1048" s="3" t="s">
        <v>75</v>
      </c>
    </row>
    <row r="1049" spans="4:4" ht="17.649999999999999" x14ac:dyDescent="0.5">
      <c r="D1049" s="3" t="s">
        <v>103</v>
      </c>
    </row>
    <row r="1050" spans="4:4" ht="17.649999999999999" x14ac:dyDescent="0.5">
      <c r="D1050" s="3" t="s">
        <v>114</v>
      </c>
    </row>
    <row r="1051" spans="4:4" ht="17.649999999999999" x14ac:dyDescent="0.5">
      <c r="D1051" s="3" t="s">
        <v>115</v>
      </c>
    </row>
    <row r="1052" spans="4:4" ht="17.649999999999999" x14ac:dyDescent="0.5">
      <c r="D1052" s="3" t="s">
        <v>103</v>
      </c>
    </row>
    <row r="1053" spans="4:4" ht="17.649999999999999" x14ac:dyDescent="0.5">
      <c r="D1053" s="3" t="s">
        <v>112</v>
      </c>
    </row>
    <row r="1054" spans="4:4" ht="17.649999999999999" x14ac:dyDescent="0.5">
      <c r="D1054" s="3" t="s">
        <v>115</v>
      </c>
    </row>
    <row r="1055" spans="4:4" ht="17.649999999999999" x14ac:dyDescent="0.5">
      <c r="D1055" s="3" t="s">
        <v>120</v>
      </c>
    </row>
    <row r="1056" spans="4:4" ht="17.649999999999999" x14ac:dyDescent="0.5">
      <c r="D1056" s="3" t="s">
        <v>61</v>
      </c>
    </row>
    <row r="1057" spans="4:4" ht="17.649999999999999" x14ac:dyDescent="0.5">
      <c r="D1057" s="3" t="s">
        <v>78</v>
      </c>
    </row>
    <row r="1058" spans="4:4" ht="17.649999999999999" x14ac:dyDescent="0.5">
      <c r="D1058" s="3" t="s">
        <v>123</v>
      </c>
    </row>
    <row r="1059" spans="4:4" ht="17.649999999999999" x14ac:dyDescent="0.5">
      <c r="D1059" s="3" t="s">
        <v>81</v>
      </c>
    </row>
    <row r="1060" spans="4:4" ht="17.649999999999999" x14ac:dyDescent="0.5">
      <c r="D1060" s="3" t="s">
        <v>98</v>
      </c>
    </row>
    <row r="1061" spans="4:4" ht="17.649999999999999" x14ac:dyDescent="0.5">
      <c r="D1061" s="3" t="s">
        <v>47</v>
      </c>
    </row>
    <row r="1062" spans="4:4" ht="17.649999999999999" x14ac:dyDescent="0.5">
      <c r="D1062" s="3" t="s">
        <v>115</v>
      </c>
    </row>
    <row r="1063" spans="4:4" ht="17.649999999999999" x14ac:dyDescent="0.5">
      <c r="D1063" s="3" t="s">
        <v>88</v>
      </c>
    </row>
    <row r="1064" spans="4:4" ht="17.649999999999999" x14ac:dyDescent="0.5">
      <c r="D1064" s="3" t="s">
        <v>83</v>
      </c>
    </row>
    <row r="1065" spans="4:4" ht="17.649999999999999" x14ac:dyDescent="0.5">
      <c r="D1065" s="3" t="s">
        <v>85</v>
      </c>
    </row>
    <row r="1066" spans="4:4" ht="17.649999999999999" x14ac:dyDescent="0.5">
      <c r="D1066" s="3" t="s">
        <v>69</v>
      </c>
    </row>
    <row r="1067" spans="4:4" ht="17.649999999999999" x14ac:dyDescent="0.5">
      <c r="D1067" s="3" t="s">
        <v>54</v>
      </c>
    </row>
    <row r="1068" spans="4:4" ht="17.649999999999999" x14ac:dyDescent="0.5">
      <c r="D1068" s="3" t="s">
        <v>106</v>
      </c>
    </row>
    <row r="1069" spans="4:4" ht="17.649999999999999" x14ac:dyDescent="0.5">
      <c r="D1069" s="3" t="s">
        <v>67</v>
      </c>
    </row>
    <row r="1070" spans="4:4" ht="17.649999999999999" x14ac:dyDescent="0.5">
      <c r="D1070" s="3" t="s">
        <v>44</v>
      </c>
    </row>
    <row r="1071" spans="4:4" ht="17.649999999999999" x14ac:dyDescent="0.5">
      <c r="D1071" s="3" t="s">
        <v>56</v>
      </c>
    </row>
    <row r="1072" spans="4:4" ht="17.649999999999999" x14ac:dyDescent="0.5">
      <c r="D1072" s="3" t="s">
        <v>77</v>
      </c>
    </row>
    <row r="1073" spans="4:4" ht="17.649999999999999" x14ac:dyDescent="0.5">
      <c r="D1073" s="3" t="s">
        <v>46</v>
      </c>
    </row>
    <row r="1074" spans="4:4" ht="17.649999999999999" x14ac:dyDescent="0.5">
      <c r="D1074" s="3" t="s">
        <v>110</v>
      </c>
    </row>
    <row r="1075" spans="4:4" ht="17.649999999999999" x14ac:dyDescent="0.5">
      <c r="D1075" s="3" t="s">
        <v>70</v>
      </c>
    </row>
    <row r="1076" spans="4:4" ht="17.649999999999999" x14ac:dyDescent="0.5">
      <c r="D1076" s="3" t="s">
        <v>105</v>
      </c>
    </row>
    <row r="1077" spans="4:4" ht="17.649999999999999" x14ac:dyDescent="0.5">
      <c r="D1077" s="3" t="s">
        <v>63</v>
      </c>
    </row>
    <row r="1078" spans="4:4" ht="17.649999999999999" x14ac:dyDescent="0.5">
      <c r="D1078" s="3" t="s">
        <v>81</v>
      </c>
    </row>
    <row r="1079" spans="4:4" ht="17.649999999999999" x14ac:dyDescent="0.5">
      <c r="D1079" s="3" t="s">
        <v>100</v>
      </c>
    </row>
    <row r="1080" spans="4:4" ht="17.649999999999999" x14ac:dyDescent="0.5">
      <c r="D1080" s="3" t="s">
        <v>87</v>
      </c>
    </row>
    <row r="1081" spans="4:4" ht="17.649999999999999" x14ac:dyDescent="0.5">
      <c r="D1081" s="3" t="s">
        <v>68</v>
      </c>
    </row>
    <row r="1082" spans="4:4" ht="17.649999999999999" x14ac:dyDescent="0.5">
      <c r="D1082" s="3" t="s">
        <v>91</v>
      </c>
    </row>
    <row r="1083" spans="4:4" ht="17.649999999999999" x14ac:dyDescent="0.5">
      <c r="D1083" s="3" t="s">
        <v>115</v>
      </c>
    </row>
    <row r="1084" spans="4:4" ht="17.649999999999999" x14ac:dyDescent="0.5">
      <c r="D1084" s="3" t="s">
        <v>56</v>
      </c>
    </row>
    <row r="1085" spans="4:4" ht="17.649999999999999" x14ac:dyDescent="0.5">
      <c r="D1085" s="3" t="s">
        <v>61</v>
      </c>
    </row>
    <row r="1086" spans="4:4" ht="17.649999999999999" x14ac:dyDescent="0.5">
      <c r="D1086" s="3" t="s">
        <v>109</v>
      </c>
    </row>
    <row r="1087" spans="4:4" ht="17.649999999999999" x14ac:dyDescent="0.5">
      <c r="D1087" s="3" t="s">
        <v>50</v>
      </c>
    </row>
    <row r="1088" spans="4:4" ht="17.649999999999999" x14ac:dyDescent="0.5">
      <c r="D1088" s="3" t="s">
        <v>62</v>
      </c>
    </row>
    <row r="1089" spans="4:4" ht="17.649999999999999" x14ac:dyDescent="0.5">
      <c r="D1089" s="3" t="s">
        <v>123</v>
      </c>
    </row>
    <row r="1090" spans="4:4" ht="17.649999999999999" x14ac:dyDescent="0.5">
      <c r="D1090" s="3" t="s">
        <v>48</v>
      </c>
    </row>
    <row r="1091" spans="4:4" ht="17.649999999999999" x14ac:dyDescent="0.5">
      <c r="D1091" s="3" t="s">
        <v>111</v>
      </c>
    </row>
    <row r="1092" spans="4:4" ht="17.649999999999999" x14ac:dyDescent="0.5">
      <c r="D1092" s="3" t="s">
        <v>73</v>
      </c>
    </row>
    <row r="1093" spans="4:4" ht="17.649999999999999" x14ac:dyDescent="0.5">
      <c r="D1093" s="3" t="s">
        <v>105</v>
      </c>
    </row>
    <row r="1094" spans="4:4" ht="17.649999999999999" x14ac:dyDescent="0.5">
      <c r="D1094" s="3" t="s">
        <v>92</v>
      </c>
    </row>
    <row r="1095" spans="4:4" ht="17.649999999999999" x14ac:dyDescent="0.5">
      <c r="D1095" s="3" t="s">
        <v>42</v>
      </c>
    </row>
    <row r="1096" spans="4:4" ht="17.649999999999999" x14ac:dyDescent="0.5">
      <c r="D1096" s="3" t="s">
        <v>53</v>
      </c>
    </row>
    <row r="1097" spans="4:4" ht="17.649999999999999" x14ac:dyDescent="0.5">
      <c r="D1097" s="3" t="s">
        <v>52</v>
      </c>
    </row>
    <row r="1098" spans="4:4" ht="17.649999999999999" x14ac:dyDescent="0.5">
      <c r="D1098" s="3" t="s">
        <v>77</v>
      </c>
    </row>
    <row r="1099" spans="4:4" ht="17.649999999999999" x14ac:dyDescent="0.5">
      <c r="D1099" s="3" t="s">
        <v>74</v>
      </c>
    </row>
    <row r="1100" spans="4:4" ht="17.649999999999999" x14ac:dyDescent="0.5">
      <c r="D1100" s="3" t="s">
        <v>94</v>
      </c>
    </row>
    <row r="1101" spans="4:4" ht="17.649999999999999" x14ac:dyDescent="0.5">
      <c r="D1101" s="3" t="s">
        <v>135</v>
      </c>
    </row>
    <row r="1102" spans="4:4" ht="17.649999999999999" x14ac:dyDescent="0.5">
      <c r="D1102" s="3" t="s">
        <v>49</v>
      </c>
    </row>
    <row r="1103" spans="4:4" ht="17.649999999999999" x14ac:dyDescent="0.5">
      <c r="D1103" s="3" t="s">
        <v>73</v>
      </c>
    </row>
    <row r="1104" spans="4:4" ht="17.649999999999999" x14ac:dyDescent="0.5">
      <c r="D1104" s="3" t="s">
        <v>87</v>
      </c>
    </row>
    <row r="1105" spans="4:4" ht="17.649999999999999" x14ac:dyDescent="0.5">
      <c r="D1105" s="3" t="s">
        <v>47</v>
      </c>
    </row>
    <row r="1106" spans="4:4" ht="17.649999999999999" x14ac:dyDescent="0.5">
      <c r="D1106" s="3" t="s">
        <v>114</v>
      </c>
    </row>
    <row r="1107" spans="4:4" ht="17.649999999999999" x14ac:dyDescent="0.5">
      <c r="D1107" s="3" t="s">
        <v>46</v>
      </c>
    </row>
    <row r="1108" spans="4:4" ht="17.649999999999999" x14ac:dyDescent="0.5">
      <c r="D1108" s="3" t="s">
        <v>92</v>
      </c>
    </row>
    <row r="1109" spans="4:4" ht="17.649999999999999" x14ac:dyDescent="0.5">
      <c r="D1109" s="3" t="s">
        <v>55</v>
      </c>
    </row>
    <row r="1110" spans="4:4" ht="17.649999999999999" x14ac:dyDescent="0.5">
      <c r="D1110" s="3" t="s">
        <v>52</v>
      </c>
    </row>
    <row r="1111" spans="4:4" ht="17.649999999999999" x14ac:dyDescent="0.5">
      <c r="D1111" s="3" t="s">
        <v>79</v>
      </c>
    </row>
    <row r="1112" spans="4:4" ht="17.649999999999999" x14ac:dyDescent="0.5">
      <c r="D1112" s="3" t="s">
        <v>96</v>
      </c>
    </row>
    <row r="1113" spans="4:4" ht="17.649999999999999" x14ac:dyDescent="0.5">
      <c r="D1113" s="3" t="s">
        <v>91</v>
      </c>
    </row>
    <row r="1114" spans="4:4" ht="17.649999999999999" x14ac:dyDescent="0.5">
      <c r="D1114" s="3" t="s">
        <v>59</v>
      </c>
    </row>
    <row r="1115" spans="4:4" ht="17.649999999999999" x14ac:dyDescent="0.5">
      <c r="D1115" s="3" t="s">
        <v>73</v>
      </c>
    </row>
    <row r="1116" spans="4:4" ht="17.649999999999999" x14ac:dyDescent="0.5">
      <c r="D1116" s="3" t="s">
        <v>87</v>
      </c>
    </row>
    <row r="1117" spans="4:4" ht="17.649999999999999" x14ac:dyDescent="0.5">
      <c r="D1117" s="3" t="s">
        <v>84</v>
      </c>
    </row>
    <row r="1118" spans="4:4" ht="17.649999999999999" x14ac:dyDescent="0.5">
      <c r="D1118" s="3" t="s">
        <v>51</v>
      </c>
    </row>
    <row r="1119" spans="4:4" ht="17.649999999999999" x14ac:dyDescent="0.5">
      <c r="D1119" s="3" t="s">
        <v>56</v>
      </c>
    </row>
    <row r="1120" spans="4:4" ht="17.649999999999999" x14ac:dyDescent="0.5">
      <c r="D1120" s="3" t="s">
        <v>96</v>
      </c>
    </row>
    <row r="1121" spans="4:4" ht="17.649999999999999" x14ac:dyDescent="0.5">
      <c r="D1121" s="3" t="s">
        <v>50</v>
      </c>
    </row>
    <row r="1122" spans="4:4" ht="17.649999999999999" x14ac:dyDescent="0.5">
      <c r="D1122" s="3" t="s">
        <v>69</v>
      </c>
    </row>
    <row r="1123" spans="4:4" ht="17.649999999999999" x14ac:dyDescent="0.5">
      <c r="D1123" s="3" t="s">
        <v>51</v>
      </c>
    </row>
    <row r="1124" spans="4:4" ht="17.649999999999999" x14ac:dyDescent="0.5">
      <c r="D1124" s="3" t="s">
        <v>64</v>
      </c>
    </row>
    <row r="1125" spans="4:4" ht="17.649999999999999" x14ac:dyDescent="0.5">
      <c r="D1125" s="3" t="s">
        <v>110</v>
      </c>
    </row>
    <row r="1126" spans="4:4" ht="17.649999999999999" x14ac:dyDescent="0.5">
      <c r="D1126" s="3" t="s">
        <v>47</v>
      </c>
    </row>
    <row r="1127" spans="4:4" ht="17.649999999999999" x14ac:dyDescent="0.5">
      <c r="D1127" s="3" t="s">
        <v>51</v>
      </c>
    </row>
    <row r="1128" spans="4:4" ht="17.649999999999999" x14ac:dyDescent="0.5">
      <c r="D1128" s="3" t="s">
        <v>113</v>
      </c>
    </row>
    <row r="1129" spans="4:4" ht="17.649999999999999" x14ac:dyDescent="0.5">
      <c r="D1129" s="3" t="s">
        <v>90</v>
      </c>
    </row>
    <row r="1130" spans="4:4" ht="17.649999999999999" x14ac:dyDescent="0.5">
      <c r="D1130" s="3" t="s">
        <v>124</v>
      </c>
    </row>
    <row r="1131" spans="4:4" ht="17.649999999999999" x14ac:dyDescent="0.5">
      <c r="D1131" s="3" t="s">
        <v>65</v>
      </c>
    </row>
    <row r="1132" spans="4:4" ht="17.649999999999999" x14ac:dyDescent="0.5">
      <c r="D1132" s="3" t="s">
        <v>75</v>
      </c>
    </row>
    <row r="1133" spans="4:4" ht="17.649999999999999" x14ac:dyDescent="0.5">
      <c r="D1133" s="3" t="s">
        <v>44</v>
      </c>
    </row>
    <row r="1134" spans="4:4" ht="17.649999999999999" x14ac:dyDescent="0.5">
      <c r="D1134" s="3" t="s">
        <v>46</v>
      </c>
    </row>
    <row r="1135" spans="4:4" ht="17.649999999999999" x14ac:dyDescent="0.5">
      <c r="D1135" s="3" t="s">
        <v>93</v>
      </c>
    </row>
    <row r="1136" spans="4:4" ht="17.649999999999999" x14ac:dyDescent="0.5">
      <c r="D1136" s="3" t="s">
        <v>119</v>
      </c>
    </row>
    <row r="1137" spans="4:4" ht="17.649999999999999" x14ac:dyDescent="0.5">
      <c r="D1137" s="3" t="s">
        <v>99</v>
      </c>
    </row>
    <row r="1138" spans="4:4" ht="17.649999999999999" x14ac:dyDescent="0.5">
      <c r="D1138" s="3" t="s">
        <v>123</v>
      </c>
    </row>
    <row r="1139" spans="4:4" ht="17.649999999999999" x14ac:dyDescent="0.5">
      <c r="D1139" s="3" t="s">
        <v>112</v>
      </c>
    </row>
    <row r="1140" spans="4:4" ht="17.649999999999999" x14ac:dyDescent="0.5">
      <c r="D1140" s="3" t="s">
        <v>80</v>
      </c>
    </row>
    <row r="1141" spans="4:4" ht="17.649999999999999" x14ac:dyDescent="0.5">
      <c r="D1141" s="3" t="s">
        <v>103</v>
      </c>
    </row>
    <row r="1142" spans="4:4" ht="17.649999999999999" x14ac:dyDescent="0.5">
      <c r="D1142" s="3" t="s">
        <v>112</v>
      </c>
    </row>
    <row r="1143" spans="4:4" ht="17.649999999999999" x14ac:dyDescent="0.5">
      <c r="D1143" s="3" t="s">
        <v>43</v>
      </c>
    </row>
    <row r="1144" spans="4:4" ht="17.649999999999999" x14ac:dyDescent="0.5">
      <c r="D1144" s="3" t="s">
        <v>73</v>
      </c>
    </row>
    <row r="1145" spans="4:4" ht="17.649999999999999" x14ac:dyDescent="0.5">
      <c r="D1145" s="3" t="s">
        <v>101</v>
      </c>
    </row>
    <row r="1146" spans="4:4" ht="17.649999999999999" x14ac:dyDescent="0.5">
      <c r="D1146" s="3" t="s">
        <v>132</v>
      </c>
    </row>
    <row r="1147" spans="4:4" ht="17.649999999999999" x14ac:dyDescent="0.5">
      <c r="D1147" s="3" t="s">
        <v>66</v>
      </c>
    </row>
    <row r="1148" spans="4:4" ht="17.649999999999999" x14ac:dyDescent="0.5">
      <c r="D1148" s="3" t="s">
        <v>130</v>
      </c>
    </row>
    <row r="1149" spans="4:4" ht="17.649999999999999" x14ac:dyDescent="0.5">
      <c r="D1149" s="3" t="s">
        <v>45</v>
      </c>
    </row>
    <row r="1150" spans="4:4" ht="17.649999999999999" x14ac:dyDescent="0.5">
      <c r="D1150" s="3" t="s">
        <v>61</v>
      </c>
    </row>
    <row r="1151" spans="4:4" ht="17.649999999999999" x14ac:dyDescent="0.5">
      <c r="D1151" s="3" t="s">
        <v>79</v>
      </c>
    </row>
    <row r="1152" spans="4:4" ht="17.649999999999999" x14ac:dyDescent="0.5">
      <c r="D1152" s="3" t="s">
        <v>59</v>
      </c>
    </row>
    <row r="1153" spans="4:4" ht="17.649999999999999" x14ac:dyDescent="0.5">
      <c r="D1153" s="3" t="s">
        <v>52</v>
      </c>
    </row>
    <row r="1154" spans="4:4" ht="17.649999999999999" x14ac:dyDescent="0.5">
      <c r="D1154" s="3" t="s">
        <v>109</v>
      </c>
    </row>
    <row r="1155" spans="4:4" ht="17.649999999999999" x14ac:dyDescent="0.5">
      <c r="D1155" s="3" t="s">
        <v>61</v>
      </c>
    </row>
    <row r="1156" spans="4:4" ht="17.649999999999999" x14ac:dyDescent="0.5">
      <c r="D1156" s="3" t="s">
        <v>112</v>
      </c>
    </row>
    <row r="1157" spans="4:4" ht="17.649999999999999" x14ac:dyDescent="0.5">
      <c r="D1157" s="3" t="s">
        <v>57</v>
      </c>
    </row>
    <row r="1158" spans="4:4" ht="17.649999999999999" x14ac:dyDescent="0.5">
      <c r="D1158" s="3" t="s">
        <v>92</v>
      </c>
    </row>
    <row r="1159" spans="4:4" ht="17.649999999999999" x14ac:dyDescent="0.5">
      <c r="D1159" s="3" t="s">
        <v>47</v>
      </c>
    </row>
    <row r="1160" spans="4:4" ht="17.649999999999999" x14ac:dyDescent="0.5">
      <c r="D1160" s="3" t="s">
        <v>67</v>
      </c>
    </row>
    <row r="1161" spans="4:4" ht="17.649999999999999" x14ac:dyDescent="0.5">
      <c r="D1161" s="3" t="s">
        <v>73</v>
      </c>
    </row>
    <row r="1162" spans="4:4" ht="17.649999999999999" x14ac:dyDescent="0.5">
      <c r="D1162" s="3" t="s">
        <v>136</v>
      </c>
    </row>
    <row r="1163" spans="4:4" ht="17.649999999999999" x14ac:dyDescent="0.5">
      <c r="D1163" s="3" t="s">
        <v>127</v>
      </c>
    </row>
    <row r="1164" spans="4:4" ht="17.649999999999999" x14ac:dyDescent="0.5">
      <c r="D1164" s="3" t="s">
        <v>59</v>
      </c>
    </row>
    <row r="1165" spans="4:4" ht="17.649999999999999" x14ac:dyDescent="0.5">
      <c r="D1165" s="3" t="s">
        <v>81</v>
      </c>
    </row>
    <row r="1166" spans="4:4" ht="17.649999999999999" x14ac:dyDescent="0.5">
      <c r="D1166" s="3" t="s">
        <v>41</v>
      </c>
    </row>
    <row r="1167" spans="4:4" ht="17.649999999999999" x14ac:dyDescent="0.5">
      <c r="D1167" s="3" t="s">
        <v>107</v>
      </c>
    </row>
    <row r="1168" spans="4:4" ht="17.649999999999999" x14ac:dyDescent="0.5">
      <c r="D1168" s="3" t="s">
        <v>101</v>
      </c>
    </row>
    <row r="1169" spans="4:4" ht="17.649999999999999" x14ac:dyDescent="0.5">
      <c r="D1169" s="3" t="s">
        <v>91</v>
      </c>
    </row>
    <row r="1170" spans="4:4" ht="17.649999999999999" x14ac:dyDescent="0.5">
      <c r="D1170" s="3" t="s">
        <v>101</v>
      </c>
    </row>
    <row r="1171" spans="4:4" ht="17.649999999999999" x14ac:dyDescent="0.5">
      <c r="D1171" s="3" t="s">
        <v>46</v>
      </c>
    </row>
    <row r="1172" spans="4:4" ht="17.649999999999999" x14ac:dyDescent="0.5">
      <c r="D1172" s="3" t="s">
        <v>49</v>
      </c>
    </row>
    <row r="1173" spans="4:4" ht="17.649999999999999" x14ac:dyDescent="0.5">
      <c r="D1173" s="3" t="s">
        <v>46</v>
      </c>
    </row>
    <row r="1174" spans="4:4" ht="17.649999999999999" x14ac:dyDescent="0.5">
      <c r="D1174" s="3" t="s">
        <v>90</v>
      </c>
    </row>
    <row r="1175" spans="4:4" ht="17.649999999999999" x14ac:dyDescent="0.5">
      <c r="D1175" s="3" t="s">
        <v>57</v>
      </c>
    </row>
    <row r="1176" spans="4:4" ht="17.649999999999999" x14ac:dyDescent="0.5">
      <c r="D1176" s="3" t="s">
        <v>116</v>
      </c>
    </row>
    <row r="1177" spans="4:4" ht="17.649999999999999" x14ac:dyDescent="0.5">
      <c r="D1177" s="3" t="s">
        <v>47</v>
      </c>
    </row>
    <row r="1178" spans="4:4" ht="17.649999999999999" x14ac:dyDescent="0.5">
      <c r="D1178" s="3" t="s">
        <v>55</v>
      </c>
    </row>
    <row r="1179" spans="4:4" ht="17.649999999999999" x14ac:dyDescent="0.5">
      <c r="D1179" s="3" t="s">
        <v>56</v>
      </c>
    </row>
    <row r="1180" spans="4:4" ht="17.649999999999999" x14ac:dyDescent="0.5">
      <c r="D1180" s="3" t="s">
        <v>51</v>
      </c>
    </row>
    <row r="1181" spans="4:4" ht="17.649999999999999" x14ac:dyDescent="0.5">
      <c r="D1181" s="3" t="s">
        <v>52</v>
      </c>
    </row>
    <row r="1182" spans="4:4" ht="17.649999999999999" x14ac:dyDescent="0.5">
      <c r="D1182" s="3" t="s">
        <v>69</v>
      </c>
    </row>
    <row r="1183" spans="4:4" ht="17.649999999999999" x14ac:dyDescent="0.5">
      <c r="D1183" s="3" t="s">
        <v>100</v>
      </c>
    </row>
    <row r="1184" spans="4:4" ht="17.649999999999999" x14ac:dyDescent="0.5">
      <c r="D1184" s="3" t="s">
        <v>57</v>
      </c>
    </row>
    <row r="1185" spans="4:4" ht="17.649999999999999" x14ac:dyDescent="0.5">
      <c r="D1185" s="3" t="s">
        <v>44</v>
      </c>
    </row>
    <row r="1186" spans="4:4" ht="17.649999999999999" x14ac:dyDescent="0.5">
      <c r="D1186" s="3" t="s">
        <v>110</v>
      </c>
    </row>
    <row r="1187" spans="4:4" ht="17.649999999999999" x14ac:dyDescent="0.5">
      <c r="D1187" s="3" t="s">
        <v>42</v>
      </c>
    </row>
    <row r="1188" spans="4:4" ht="17.649999999999999" x14ac:dyDescent="0.5">
      <c r="D1188" s="3" t="s">
        <v>101</v>
      </c>
    </row>
    <row r="1189" spans="4:4" ht="17.649999999999999" x14ac:dyDescent="0.5">
      <c r="D1189" s="3" t="s">
        <v>111</v>
      </c>
    </row>
    <row r="1190" spans="4:4" ht="17.649999999999999" x14ac:dyDescent="0.5">
      <c r="D1190" s="3" t="s">
        <v>50</v>
      </c>
    </row>
    <row r="1191" spans="4:4" ht="17.649999999999999" x14ac:dyDescent="0.5">
      <c r="D1191" s="3" t="s">
        <v>61</v>
      </c>
    </row>
    <row r="1192" spans="4:4" ht="17.649999999999999" x14ac:dyDescent="0.5">
      <c r="D1192" s="3" t="s">
        <v>45</v>
      </c>
    </row>
    <row r="1193" spans="4:4" ht="17.649999999999999" x14ac:dyDescent="0.5">
      <c r="D1193" s="3" t="s">
        <v>126</v>
      </c>
    </row>
    <row r="1194" spans="4:4" ht="17.649999999999999" x14ac:dyDescent="0.5">
      <c r="D1194" s="3" t="s">
        <v>94</v>
      </c>
    </row>
    <row r="1195" spans="4:4" ht="17.649999999999999" x14ac:dyDescent="0.5">
      <c r="D1195" s="3" t="s">
        <v>63</v>
      </c>
    </row>
    <row r="1196" spans="4:4" ht="17.649999999999999" x14ac:dyDescent="0.5">
      <c r="D1196" s="3" t="s">
        <v>85</v>
      </c>
    </row>
    <row r="1197" spans="4:4" ht="17.649999999999999" x14ac:dyDescent="0.5">
      <c r="D1197" s="3" t="s">
        <v>103</v>
      </c>
    </row>
    <row r="1198" spans="4:4" ht="17.649999999999999" x14ac:dyDescent="0.5">
      <c r="D1198" s="3" t="s">
        <v>99</v>
      </c>
    </row>
    <row r="1199" spans="4:4" ht="17.649999999999999" x14ac:dyDescent="0.5">
      <c r="D1199" s="3" t="s">
        <v>67</v>
      </c>
    </row>
    <row r="1200" spans="4:4" ht="17.649999999999999" x14ac:dyDescent="0.5">
      <c r="D1200" s="3" t="s">
        <v>101</v>
      </c>
    </row>
    <row r="1201" spans="4:4" ht="17.649999999999999" x14ac:dyDescent="0.5">
      <c r="D1201" s="3" t="s">
        <v>73</v>
      </c>
    </row>
    <row r="1202" spans="4:4" ht="17.649999999999999" x14ac:dyDescent="0.5">
      <c r="D1202" s="3" t="s">
        <v>69</v>
      </c>
    </row>
    <row r="1203" spans="4:4" ht="17.649999999999999" x14ac:dyDescent="0.5">
      <c r="D1203" s="3" t="s">
        <v>50</v>
      </c>
    </row>
    <row r="1204" spans="4:4" ht="17.649999999999999" x14ac:dyDescent="0.5">
      <c r="D1204" s="3" t="s">
        <v>111</v>
      </c>
    </row>
    <row r="1205" spans="4:4" ht="17.649999999999999" x14ac:dyDescent="0.5">
      <c r="D1205" s="3" t="s">
        <v>105</v>
      </c>
    </row>
    <row r="1206" spans="4:4" ht="17.649999999999999" x14ac:dyDescent="0.5">
      <c r="D1206" s="3" t="s">
        <v>50</v>
      </c>
    </row>
    <row r="1207" spans="4:4" ht="17.649999999999999" x14ac:dyDescent="0.5">
      <c r="D1207" s="3" t="s">
        <v>47</v>
      </c>
    </row>
    <row r="1208" spans="4:4" ht="17.649999999999999" x14ac:dyDescent="0.5">
      <c r="D1208" s="3" t="s">
        <v>135</v>
      </c>
    </row>
    <row r="1209" spans="4:4" ht="17.649999999999999" x14ac:dyDescent="0.5">
      <c r="D1209" s="3" t="s">
        <v>42</v>
      </c>
    </row>
    <row r="1210" spans="4:4" ht="17.649999999999999" x14ac:dyDescent="0.5">
      <c r="D1210" s="3" t="s">
        <v>96</v>
      </c>
    </row>
    <row r="1211" spans="4:4" ht="17.649999999999999" x14ac:dyDescent="0.5">
      <c r="D1211" s="3" t="s">
        <v>98</v>
      </c>
    </row>
    <row r="1212" spans="4:4" ht="17.649999999999999" x14ac:dyDescent="0.5">
      <c r="D1212" s="3" t="s">
        <v>91</v>
      </c>
    </row>
    <row r="1213" spans="4:4" ht="17.649999999999999" x14ac:dyDescent="0.5">
      <c r="D1213" s="3" t="s">
        <v>122</v>
      </c>
    </row>
    <row r="1214" spans="4:4" ht="17.649999999999999" x14ac:dyDescent="0.5">
      <c r="D1214" s="3" t="s">
        <v>54</v>
      </c>
    </row>
    <row r="1215" spans="4:4" ht="17.649999999999999" x14ac:dyDescent="0.5">
      <c r="D1215" s="3" t="s">
        <v>87</v>
      </c>
    </row>
    <row r="1216" spans="4:4" ht="17.649999999999999" x14ac:dyDescent="0.5">
      <c r="D1216" s="3" t="s">
        <v>116</v>
      </c>
    </row>
    <row r="1217" spans="4:4" ht="17.649999999999999" x14ac:dyDescent="0.5">
      <c r="D1217" s="3" t="s">
        <v>121</v>
      </c>
    </row>
    <row r="1218" spans="4:4" ht="17.649999999999999" x14ac:dyDescent="0.5">
      <c r="D1218" s="3" t="s">
        <v>65</v>
      </c>
    </row>
    <row r="1219" spans="4:4" ht="17.649999999999999" x14ac:dyDescent="0.5">
      <c r="D1219" s="3" t="s">
        <v>48</v>
      </c>
    </row>
    <row r="1220" spans="4:4" ht="17.649999999999999" x14ac:dyDescent="0.5">
      <c r="D1220" s="3" t="s">
        <v>54</v>
      </c>
    </row>
    <row r="1221" spans="4:4" ht="17.649999999999999" x14ac:dyDescent="0.5">
      <c r="D1221" s="3" t="s">
        <v>93</v>
      </c>
    </row>
    <row r="1222" spans="4:4" ht="17.649999999999999" x14ac:dyDescent="0.5">
      <c r="D1222" s="3" t="s">
        <v>115</v>
      </c>
    </row>
    <row r="1223" spans="4:4" ht="17.649999999999999" x14ac:dyDescent="0.5">
      <c r="D1223" s="3" t="s">
        <v>117</v>
      </c>
    </row>
    <row r="1224" spans="4:4" ht="17.649999999999999" x14ac:dyDescent="0.5">
      <c r="D1224" s="3" t="s">
        <v>80</v>
      </c>
    </row>
    <row r="1225" spans="4:4" ht="17.649999999999999" x14ac:dyDescent="0.5">
      <c r="D1225" s="3" t="s">
        <v>87</v>
      </c>
    </row>
    <row r="1226" spans="4:4" ht="17.649999999999999" x14ac:dyDescent="0.5">
      <c r="D1226" s="3" t="s">
        <v>75</v>
      </c>
    </row>
    <row r="1227" spans="4:4" ht="17.649999999999999" x14ac:dyDescent="0.5">
      <c r="D1227" s="3" t="s">
        <v>54</v>
      </c>
    </row>
    <row r="1228" spans="4:4" ht="17.649999999999999" x14ac:dyDescent="0.5">
      <c r="D1228" s="3" t="s">
        <v>55</v>
      </c>
    </row>
    <row r="1229" spans="4:4" ht="17.649999999999999" x14ac:dyDescent="0.5">
      <c r="D1229" s="3" t="s">
        <v>113</v>
      </c>
    </row>
    <row r="1230" spans="4:4" ht="17.649999999999999" x14ac:dyDescent="0.5">
      <c r="D1230" s="3" t="s">
        <v>47</v>
      </c>
    </row>
    <row r="1231" spans="4:4" ht="17.649999999999999" x14ac:dyDescent="0.5">
      <c r="D1231" s="3" t="s">
        <v>135</v>
      </c>
    </row>
    <row r="1232" spans="4:4" ht="17.649999999999999" x14ac:dyDescent="0.5">
      <c r="D1232" s="3" t="s">
        <v>96</v>
      </c>
    </row>
    <row r="1233" spans="4:4" ht="17.649999999999999" x14ac:dyDescent="0.5">
      <c r="D1233" s="3" t="s">
        <v>117</v>
      </c>
    </row>
    <row r="1234" spans="4:4" ht="17.649999999999999" x14ac:dyDescent="0.5">
      <c r="D1234" s="3" t="s">
        <v>133</v>
      </c>
    </row>
    <row r="1235" spans="4:4" ht="17.649999999999999" x14ac:dyDescent="0.5">
      <c r="D1235" s="3" t="s">
        <v>41</v>
      </c>
    </row>
    <row r="1236" spans="4:4" ht="17.649999999999999" x14ac:dyDescent="0.5">
      <c r="D1236" s="3" t="s">
        <v>126</v>
      </c>
    </row>
    <row r="1237" spans="4:4" ht="17.649999999999999" x14ac:dyDescent="0.5">
      <c r="D1237" s="3" t="s">
        <v>136</v>
      </c>
    </row>
    <row r="1238" spans="4:4" ht="17.649999999999999" x14ac:dyDescent="0.5">
      <c r="D1238" s="3" t="s">
        <v>48</v>
      </c>
    </row>
    <row r="1239" spans="4:4" ht="17.649999999999999" x14ac:dyDescent="0.5">
      <c r="D1239" s="3" t="s">
        <v>52</v>
      </c>
    </row>
    <row r="1240" spans="4:4" ht="17.649999999999999" x14ac:dyDescent="0.5">
      <c r="D1240" s="3" t="s">
        <v>51</v>
      </c>
    </row>
    <row r="1241" spans="4:4" ht="17.649999999999999" x14ac:dyDescent="0.5">
      <c r="D1241" s="3" t="s">
        <v>56</v>
      </c>
    </row>
    <row r="1242" spans="4:4" ht="17.649999999999999" x14ac:dyDescent="0.5">
      <c r="D1242" s="3" t="s">
        <v>70</v>
      </c>
    </row>
    <row r="1243" spans="4:4" ht="17.649999999999999" x14ac:dyDescent="0.5">
      <c r="D1243" s="3" t="s">
        <v>96</v>
      </c>
    </row>
    <row r="1244" spans="4:4" ht="17.649999999999999" x14ac:dyDescent="0.5">
      <c r="D1244" s="3" t="s">
        <v>63</v>
      </c>
    </row>
    <row r="1245" spans="4:4" ht="17.649999999999999" x14ac:dyDescent="0.5">
      <c r="D1245" s="3" t="s">
        <v>80</v>
      </c>
    </row>
    <row r="1246" spans="4:4" ht="17.649999999999999" x14ac:dyDescent="0.5">
      <c r="D1246" s="3" t="s">
        <v>48</v>
      </c>
    </row>
    <row r="1247" spans="4:4" ht="17.649999999999999" x14ac:dyDescent="0.5">
      <c r="D1247" s="3" t="s">
        <v>79</v>
      </c>
    </row>
    <row r="1248" spans="4:4" ht="17.649999999999999" x14ac:dyDescent="0.5">
      <c r="D1248" s="3" t="s">
        <v>128</v>
      </c>
    </row>
    <row r="1249" spans="4:4" ht="17.649999999999999" x14ac:dyDescent="0.5">
      <c r="D1249" s="3" t="s">
        <v>54</v>
      </c>
    </row>
    <row r="1250" spans="4:4" ht="17.649999999999999" x14ac:dyDescent="0.5">
      <c r="D1250" s="3" t="s">
        <v>102</v>
      </c>
    </row>
    <row r="1251" spans="4:4" ht="17.649999999999999" x14ac:dyDescent="0.5">
      <c r="D1251" s="3" t="s">
        <v>62</v>
      </c>
    </row>
    <row r="1252" spans="4:4" ht="17.649999999999999" x14ac:dyDescent="0.5">
      <c r="D1252" s="3" t="s">
        <v>43</v>
      </c>
    </row>
    <row r="1253" spans="4:4" ht="17.649999999999999" x14ac:dyDescent="0.5">
      <c r="D1253" s="3" t="s">
        <v>67</v>
      </c>
    </row>
    <row r="1254" spans="4:4" ht="17.649999999999999" x14ac:dyDescent="0.5">
      <c r="D1254" s="3" t="s">
        <v>52</v>
      </c>
    </row>
    <row r="1255" spans="4:4" ht="17.649999999999999" x14ac:dyDescent="0.5">
      <c r="D1255" s="3" t="s">
        <v>63</v>
      </c>
    </row>
    <row r="1256" spans="4:4" ht="17.649999999999999" x14ac:dyDescent="0.5">
      <c r="D1256" s="3" t="s">
        <v>73</v>
      </c>
    </row>
    <row r="1257" spans="4:4" ht="17.649999999999999" x14ac:dyDescent="0.5">
      <c r="D1257" s="3" t="s">
        <v>79</v>
      </c>
    </row>
    <row r="1258" spans="4:4" ht="17.649999999999999" x14ac:dyDescent="0.5">
      <c r="D1258" s="3" t="s">
        <v>57</v>
      </c>
    </row>
    <row r="1259" spans="4:4" ht="17.649999999999999" x14ac:dyDescent="0.5">
      <c r="D1259" s="3" t="s">
        <v>44</v>
      </c>
    </row>
    <row r="1260" spans="4:4" ht="17.649999999999999" x14ac:dyDescent="0.5">
      <c r="D1260" s="3" t="s">
        <v>53</v>
      </c>
    </row>
    <row r="1261" spans="4:4" ht="17.649999999999999" x14ac:dyDescent="0.5">
      <c r="D1261" s="3" t="s">
        <v>49</v>
      </c>
    </row>
    <row r="1262" spans="4:4" ht="17.649999999999999" x14ac:dyDescent="0.5">
      <c r="D1262" s="3" t="s">
        <v>63</v>
      </c>
    </row>
    <row r="1263" spans="4:4" ht="17.649999999999999" x14ac:dyDescent="0.5">
      <c r="D1263" s="3" t="s">
        <v>87</v>
      </c>
    </row>
    <row r="1264" spans="4:4" ht="17.649999999999999" x14ac:dyDescent="0.5">
      <c r="D1264" s="3" t="s">
        <v>85</v>
      </c>
    </row>
    <row r="1265" spans="4:4" ht="17.649999999999999" x14ac:dyDescent="0.5">
      <c r="D1265" s="3" t="s">
        <v>46</v>
      </c>
    </row>
    <row r="1266" spans="4:4" ht="17.649999999999999" x14ac:dyDescent="0.5">
      <c r="D1266" s="3" t="s">
        <v>47</v>
      </c>
    </row>
    <row r="1267" spans="4:4" ht="17.649999999999999" x14ac:dyDescent="0.5">
      <c r="D1267" s="3" t="s">
        <v>67</v>
      </c>
    </row>
    <row r="1268" spans="4:4" ht="17.649999999999999" x14ac:dyDescent="0.5">
      <c r="D1268" s="3" t="s">
        <v>107</v>
      </c>
    </row>
    <row r="1269" spans="4:4" ht="17.649999999999999" x14ac:dyDescent="0.5">
      <c r="D1269" s="3" t="s">
        <v>67</v>
      </c>
    </row>
    <row r="1270" spans="4:4" ht="17.649999999999999" x14ac:dyDescent="0.5">
      <c r="D1270" s="3" t="s">
        <v>83</v>
      </c>
    </row>
    <row r="1271" spans="4:4" ht="17.649999999999999" x14ac:dyDescent="0.5">
      <c r="D1271" s="3" t="s">
        <v>77</v>
      </c>
    </row>
    <row r="1272" spans="4:4" ht="17.649999999999999" x14ac:dyDescent="0.5">
      <c r="D1272" s="3" t="s">
        <v>80</v>
      </c>
    </row>
    <row r="1273" spans="4:4" ht="17.649999999999999" x14ac:dyDescent="0.5">
      <c r="D1273" s="3" t="s">
        <v>132</v>
      </c>
    </row>
    <row r="1274" spans="4:4" ht="17.649999999999999" x14ac:dyDescent="0.5">
      <c r="D1274" s="3" t="s">
        <v>87</v>
      </c>
    </row>
    <row r="1275" spans="4:4" ht="17.649999999999999" x14ac:dyDescent="0.5">
      <c r="D1275" s="3" t="s">
        <v>44</v>
      </c>
    </row>
    <row r="1276" spans="4:4" ht="17.649999999999999" x14ac:dyDescent="0.5">
      <c r="D1276" s="3" t="s">
        <v>47</v>
      </c>
    </row>
    <row r="1277" spans="4:4" ht="17.649999999999999" x14ac:dyDescent="0.5">
      <c r="D1277" s="3" t="s">
        <v>85</v>
      </c>
    </row>
    <row r="1278" spans="4:4" ht="17.649999999999999" x14ac:dyDescent="0.5">
      <c r="D1278" s="3" t="s">
        <v>96</v>
      </c>
    </row>
    <row r="1279" spans="4:4" ht="17.649999999999999" x14ac:dyDescent="0.5">
      <c r="D1279" s="3" t="s">
        <v>130</v>
      </c>
    </row>
    <row r="1280" spans="4:4" ht="17.649999999999999" x14ac:dyDescent="0.5">
      <c r="D1280" s="3" t="s">
        <v>112</v>
      </c>
    </row>
    <row r="1281" spans="4:4" ht="17.649999999999999" x14ac:dyDescent="0.5">
      <c r="D1281" s="3" t="s">
        <v>103</v>
      </c>
    </row>
    <row r="1282" spans="4:4" ht="17.649999999999999" x14ac:dyDescent="0.5">
      <c r="D1282" s="3" t="s">
        <v>59</v>
      </c>
    </row>
    <row r="1283" spans="4:4" ht="17.649999999999999" x14ac:dyDescent="0.5">
      <c r="D1283" s="3" t="s">
        <v>94</v>
      </c>
    </row>
    <row r="1284" spans="4:4" ht="17.649999999999999" x14ac:dyDescent="0.5">
      <c r="D1284" s="3" t="s">
        <v>56</v>
      </c>
    </row>
    <row r="1285" spans="4:4" ht="17.649999999999999" x14ac:dyDescent="0.5">
      <c r="D1285" s="3" t="s">
        <v>101</v>
      </c>
    </row>
    <row r="1286" spans="4:4" ht="17.649999999999999" x14ac:dyDescent="0.5">
      <c r="D1286" s="3" t="s">
        <v>98</v>
      </c>
    </row>
    <row r="1287" spans="4:4" ht="17.649999999999999" x14ac:dyDescent="0.5">
      <c r="D1287" s="3" t="s">
        <v>105</v>
      </c>
    </row>
    <row r="1288" spans="4:4" ht="17.649999999999999" x14ac:dyDescent="0.5">
      <c r="D1288" s="3" t="s">
        <v>100</v>
      </c>
    </row>
    <row r="1289" spans="4:4" ht="17.649999999999999" x14ac:dyDescent="0.5">
      <c r="D1289" s="3" t="s">
        <v>43</v>
      </c>
    </row>
    <row r="1290" spans="4:4" ht="17.649999999999999" x14ac:dyDescent="0.5">
      <c r="D1290" s="3" t="s">
        <v>63</v>
      </c>
    </row>
    <row r="1291" spans="4:4" ht="17.649999999999999" x14ac:dyDescent="0.5">
      <c r="D1291" s="3" t="s">
        <v>132</v>
      </c>
    </row>
    <row r="1292" spans="4:4" ht="17.649999999999999" x14ac:dyDescent="0.5">
      <c r="D1292" s="3" t="s">
        <v>51</v>
      </c>
    </row>
    <row r="1293" spans="4:4" ht="17.649999999999999" x14ac:dyDescent="0.5">
      <c r="D1293" s="3" t="s">
        <v>55</v>
      </c>
    </row>
    <row r="1294" spans="4:4" ht="17.649999999999999" x14ac:dyDescent="0.5">
      <c r="D1294" s="3" t="s">
        <v>74</v>
      </c>
    </row>
    <row r="1295" spans="4:4" ht="17.649999999999999" x14ac:dyDescent="0.5">
      <c r="D1295" s="3" t="s">
        <v>75</v>
      </c>
    </row>
    <row r="1296" spans="4:4" ht="17.649999999999999" x14ac:dyDescent="0.5">
      <c r="D1296" s="3" t="s">
        <v>50</v>
      </c>
    </row>
    <row r="1297" spans="4:4" ht="17.649999999999999" x14ac:dyDescent="0.5">
      <c r="D1297" s="3" t="s">
        <v>126</v>
      </c>
    </row>
    <row r="1298" spans="4:4" ht="17.649999999999999" x14ac:dyDescent="0.5">
      <c r="D1298" s="3" t="s">
        <v>118</v>
      </c>
    </row>
    <row r="1299" spans="4:4" ht="17.649999999999999" x14ac:dyDescent="0.5">
      <c r="D1299" s="3" t="s">
        <v>55</v>
      </c>
    </row>
    <row r="1300" spans="4:4" ht="17.649999999999999" x14ac:dyDescent="0.5">
      <c r="D1300" s="3" t="s">
        <v>77</v>
      </c>
    </row>
    <row r="1301" spans="4:4" ht="17.649999999999999" x14ac:dyDescent="0.5">
      <c r="D1301" s="3" t="s">
        <v>50</v>
      </c>
    </row>
    <row r="1302" spans="4:4" ht="17.649999999999999" x14ac:dyDescent="0.5">
      <c r="D1302" s="3" t="s">
        <v>65</v>
      </c>
    </row>
    <row r="1303" spans="4:4" ht="17.649999999999999" x14ac:dyDescent="0.5">
      <c r="D1303" s="3" t="s">
        <v>56</v>
      </c>
    </row>
    <row r="1304" spans="4:4" ht="17.649999999999999" x14ac:dyDescent="0.5">
      <c r="D1304" s="3" t="s">
        <v>81</v>
      </c>
    </row>
    <row r="1305" spans="4:4" ht="17.649999999999999" x14ac:dyDescent="0.5">
      <c r="D1305" s="3" t="s">
        <v>122</v>
      </c>
    </row>
    <row r="1306" spans="4:4" ht="17.649999999999999" x14ac:dyDescent="0.5">
      <c r="D1306" s="3" t="s">
        <v>91</v>
      </c>
    </row>
    <row r="1307" spans="4:4" ht="17.649999999999999" x14ac:dyDescent="0.5">
      <c r="D1307" s="3" t="s">
        <v>117</v>
      </c>
    </row>
    <row r="1308" spans="4:4" ht="17.649999999999999" x14ac:dyDescent="0.5">
      <c r="D1308" s="3" t="s">
        <v>58</v>
      </c>
    </row>
    <row r="1309" spans="4:4" ht="17.649999999999999" x14ac:dyDescent="0.5">
      <c r="D1309" s="3" t="s">
        <v>115</v>
      </c>
    </row>
    <row r="1310" spans="4:4" ht="17.649999999999999" x14ac:dyDescent="0.5">
      <c r="D1310" s="3" t="s">
        <v>43</v>
      </c>
    </row>
    <row r="1311" spans="4:4" ht="17.649999999999999" x14ac:dyDescent="0.5">
      <c r="D1311" s="3" t="s">
        <v>51</v>
      </c>
    </row>
    <row r="1312" spans="4:4" ht="17.649999999999999" x14ac:dyDescent="0.5">
      <c r="D1312" s="3" t="s">
        <v>97</v>
      </c>
    </row>
    <row r="1313" spans="4:4" ht="17.649999999999999" x14ac:dyDescent="0.5">
      <c r="D1313" s="3" t="s">
        <v>93</v>
      </c>
    </row>
    <row r="1314" spans="4:4" ht="17.649999999999999" x14ac:dyDescent="0.5">
      <c r="D1314" s="3" t="s">
        <v>54</v>
      </c>
    </row>
    <row r="1315" spans="4:4" ht="17.649999999999999" x14ac:dyDescent="0.5">
      <c r="D1315" s="3" t="s">
        <v>55</v>
      </c>
    </row>
    <row r="1316" spans="4:4" ht="17.649999999999999" x14ac:dyDescent="0.5">
      <c r="D1316" s="3" t="s">
        <v>101</v>
      </c>
    </row>
    <row r="1317" spans="4:4" ht="17.649999999999999" x14ac:dyDescent="0.5">
      <c r="D1317" s="3" t="s">
        <v>43</v>
      </c>
    </row>
    <row r="1318" spans="4:4" ht="17.649999999999999" x14ac:dyDescent="0.5">
      <c r="D1318" s="3" t="s">
        <v>75</v>
      </c>
    </row>
    <row r="1319" spans="4:4" ht="17.649999999999999" x14ac:dyDescent="0.5">
      <c r="D1319" s="3" t="s">
        <v>104</v>
      </c>
    </row>
    <row r="1320" spans="4:4" ht="17.649999999999999" x14ac:dyDescent="0.5">
      <c r="D1320" s="3" t="s">
        <v>92</v>
      </c>
    </row>
    <row r="1321" spans="4:4" ht="17.649999999999999" x14ac:dyDescent="0.5">
      <c r="D1321" s="3" t="s">
        <v>54</v>
      </c>
    </row>
    <row r="1322" spans="4:4" ht="17.649999999999999" x14ac:dyDescent="0.5">
      <c r="D1322" s="3" t="s">
        <v>71</v>
      </c>
    </row>
    <row r="1323" spans="4:4" ht="17.649999999999999" x14ac:dyDescent="0.5">
      <c r="D1323" s="3" t="s">
        <v>78</v>
      </c>
    </row>
    <row r="1324" spans="4:4" ht="17.649999999999999" x14ac:dyDescent="0.5">
      <c r="D1324" s="3" t="s">
        <v>48</v>
      </c>
    </row>
    <row r="1325" spans="4:4" ht="17.649999999999999" x14ac:dyDescent="0.5">
      <c r="D1325" s="3" t="s">
        <v>98</v>
      </c>
    </row>
    <row r="1326" spans="4:4" ht="17.649999999999999" x14ac:dyDescent="0.5">
      <c r="D1326" s="3" t="s">
        <v>84</v>
      </c>
    </row>
    <row r="1327" spans="4:4" ht="17.649999999999999" x14ac:dyDescent="0.5">
      <c r="D1327" s="3" t="s">
        <v>85</v>
      </c>
    </row>
    <row r="1328" spans="4:4" ht="17.649999999999999" x14ac:dyDescent="0.5">
      <c r="D1328" s="3" t="s">
        <v>46</v>
      </c>
    </row>
    <row r="1329" spans="4:4" ht="17.649999999999999" x14ac:dyDescent="0.5">
      <c r="D1329" s="3" t="s">
        <v>101</v>
      </c>
    </row>
    <row r="1330" spans="4:4" ht="17.649999999999999" x14ac:dyDescent="0.5">
      <c r="D1330" s="3" t="s">
        <v>59</v>
      </c>
    </row>
    <row r="1331" spans="4:4" ht="17.649999999999999" x14ac:dyDescent="0.5">
      <c r="D1331" s="3" t="s">
        <v>67</v>
      </c>
    </row>
    <row r="1332" spans="4:4" ht="17.649999999999999" x14ac:dyDescent="0.5">
      <c r="D1332" s="3" t="s">
        <v>77</v>
      </c>
    </row>
    <row r="1333" spans="4:4" ht="17.649999999999999" x14ac:dyDescent="0.5">
      <c r="D1333" s="3" t="s">
        <v>122</v>
      </c>
    </row>
    <row r="1334" spans="4:4" ht="17.649999999999999" x14ac:dyDescent="0.5">
      <c r="D1334" s="3" t="s">
        <v>73</v>
      </c>
    </row>
    <row r="1335" spans="4:4" ht="17.649999999999999" x14ac:dyDescent="0.5">
      <c r="D1335" s="3" t="s">
        <v>98</v>
      </c>
    </row>
    <row r="1336" spans="4:4" ht="17.649999999999999" x14ac:dyDescent="0.5">
      <c r="D1336" s="3" t="s">
        <v>87</v>
      </c>
    </row>
    <row r="1337" spans="4:4" ht="17.649999999999999" x14ac:dyDescent="0.5">
      <c r="D1337" s="3" t="s">
        <v>73</v>
      </c>
    </row>
    <row r="1338" spans="4:4" ht="17.649999999999999" x14ac:dyDescent="0.5">
      <c r="D1338" s="3" t="s">
        <v>83</v>
      </c>
    </row>
    <row r="1339" spans="4:4" ht="17.649999999999999" x14ac:dyDescent="0.5">
      <c r="D1339" s="3" t="s">
        <v>70</v>
      </c>
    </row>
    <row r="1340" spans="4:4" ht="17.649999999999999" x14ac:dyDescent="0.5">
      <c r="D1340" s="3" t="s">
        <v>50</v>
      </c>
    </row>
    <row r="1341" spans="4:4" ht="17.649999999999999" x14ac:dyDescent="0.5">
      <c r="D1341" s="3" t="s">
        <v>79</v>
      </c>
    </row>
    <row r="1342" spans="4:4" ht="17.649999999999999" x14ac:dyDescent="0.5">
      <c r="D1342" s="3" t="s">
        <v>103</v>
      </c>
    </row>
    <row r="1343" spans="4:4" ht="17.649999999999999" x14ac:dyDescent="0.5">
      <c r="D1343" s="3" t="s">
        <v>67</v>
      </c>
    </row>
    <row r="1344" spans="4:4" ht="17.649999999999999" x14ac:dyDescent="0.5">
      <c r="D1344" s="3" t="s">
        <v>46</v>
      </c>
    </row>
    <row r="1345" spans="4:4" ht="17.649999999999999" x14ac:dyDescent="0.5">
      <c r="D1345" s="3" t="s">
        <v>56</v>
      </c>
    </row>
    <row r="1346" spans="4:4" ht="17.649999999999999" x14ac:dyDescent="0.5">
      <c r="D1346" s="3" t="s">
        <v>55</v>
      </c>
    </row>
    <row r="1347" spans="4:4" ht="17.649999999999999" x14ac:dyDescent="0.5">
      <c r="D1347" s="3" t="s">
        <v>103</v>
      </c>
    </row>
    <row r="1348" spans="4:4" ht="17.649999999999999" x14ac:dyDescent="0.5">
      <c r="D1348" s="3" t="s">
        <v>101</v>
      </c>
    </row>
    <row r="1349" spans="4:4" ht="17.649999999999999" x14ac:dyDescent="0.5">
      <c r="D1349" s="3" t="s">
        <v>127</v>
      </c>
    </row>
    <row r="1350" spans="4:4" ht="17.649999999999999" x14ac:dyDescent="0.5">
      <c r="D1350" s="3" t="s">
        <v>87</v>
      </c>
    </row>
    <row r="1351" spans="4:4" ht="17.649999999999999" x14ac:dyDescent="0.5">
      <c r="D1351" s="3" t="s">
        <v>73</v>
      </c>
    </row>
    <row r="1352" spans="4:4" ht="17.649999999999999" x14ac:dyDescent="0.5">
      <c r="D1352" s="3" t="s">
        <v>91</v>
      </c>
    </row>
    <row r="1353" spans="4:4" ht="17.649999999999999" x14ac:dyDescent="0.5">
      <c r="D1353" s="3" t="s">
        <v>96</v>
      </c>
    </row>
    <row r="1354" spans="4:4" ht="17.649999999999999" x14ac:dyDescent="0.5">
      <c r="D1354" s="3" t="s">
        <v>115</v>
      </c>
    </row>
    <row r="1355" spans="4:4" ht="17.649999999999999" x14ac:dyDescent="0.5">
      <c r="D1355" s="3" t="s">
        <v>42</v>
      </c>
    </row>
    <row r="1356" spans="4:4" ht="17.649999999999999" x14ac:dyDescent="0.5">
      <c r="D1356" s="3" t="s">
        <v>98</v>
      </c>
    </row>
    <row r="1357" spans="4:4" ht="17.649999999999999" x14ac:dyDescent="0.5">
      <c r="D1357" s="3" t="s">
        <v>61</v>
      </c>
    </row>
    <row r="1358" spans="4:4" ht="17.649999999999999" x14ac:dyDescent="0.5">
      <c r="D1358" s="3" t="s">
        <v>117</v>
      </c>
    </row>
    <row r="1359" spans="4:4" ht="17.649999999999999" x14ac:dyDescent="0.5">
      <c r="D1359" s="3" t="s">
        <v>43</v>
      </c>
    </row>
    <row r="1360" spans="4:4" ht="17.649999999999999" x14ac:dyDescent="0.5">
      <c r="D1360" s="3" t="s">
        <v>111</v>
      </c>
    </row>
    <row r="1361" spans="4:4" ht="17.649999999999999" x14ac:dyDescent="0.5">
      <c r="D1361" s="3" t="s">
        <v>113</v>
      </c>
    </row>
    <row r="1362" spans="4:4" ht="17.649999999999999" x14ac:dyDescent="0.5">
      <c r="D1362" s="3" t="s">
        <v>115</v>
      </c>
    </row>
    <row r="1363" spans="4:4" ht="17.649999999999999" x14ac:dyDescent="0.5">
      <c r="D1363" s="3" t="s">
        <v>75</v>
      </c>
    </row>
    <row r="1364" spans="4:4" ht="17.649999999999999" x14ac:dyDescent="0.5">
      <c r="D1364" s="3" t="s">
        <v>63</v>
      </c>
    </row>
    <row r="1365" spans="4:4" ht="17.649999999999999" x14ac:dyDescent="0.5">
      <c r="D1365" s="3" t="s">
        <v>55</v>
      </c>
    </row>
    <row r="1366" spans="4:4" ht="17.649999999999999" x14ac:dyDescent="0.5">
      <c r="D1366" s="3" t="s">
        <v>85</v>
      </c>
    </row>
    <row r="1367" spans="4:4" ht="17.649999999999999" x14ac:dyDescent="0.5">
      <c r="D1367" s="3" t="s">
        <v>62</v>
      </c>
    </row>
    <row r="1368" spans="4:4" ht="17.649999999999999" x14ac:dyDescent="0.5">
      <c r="D1368" s="3" t="s">
        <v>47</v>
      </c>
    </row>
    <row r="1369" spans="4:4" ht="17.649999999999999" x14ac:dyDescent="0.5">
      <c r="D1369" s="3" t="s">
        <v>90</v>
      </c>
    </row>
    <row r="1370" spans="4:4" ht="17.649999999999999" x14ac:dyDescent="0.5">
      <c r="D1370" s="3" t="s">
        <v>48</v>
      </c>
    </row>
    <row r="1371" spans="4:4" ht="17.649999999999999" x14ac:dyDescent="0.5">
      <c r="D1371" s="3" t="s">
        <v>111</v>
      </c>
    </row>
    <row r="1372" spans="4:4" ht="17.649999999999999" x14ac:dyDescent="0.5">
      <c r="D1372" s="3" t="s">
        <v>119</v>
      </c>
    </row>
    <row r="1373" spans="4:4" ht="17.649999999999999" x14ac:dyDescent="0.5">
      <c r="D1373" s="3" t="s">
        <v>57</v>
      </c>
    </row>
    <row r="1374" spans="4:4" ht="17.649999999999999" x14ac:dyDescent="0.5">
      <c r="D1374" s="3" t="s">
        <v>114</v>
      </c>
    </row>
    <row r="1375" spans="4:4" ht="17.649999999999999" x14ac:dyDescent="0.5">
      <c r="D1375" s="3" t="s">
        <v>58</v>
      </c>
    </row>
    <row r="1376" spans="4:4" ht="17.649999999999999" x14ac:dyDescent="0.5">
      <c r="D1376" s="3" t="s">
        <v>54</v>
      </c>
    </row>
    <row r="1377" spans="4:4" ht="17.649999999999999" x14ac:dyDescent="0.5">
      <c r="D1377" s="3" t="s">
        <v>96</v>
      </c>
    </row>
    <row r="1378" spans="4:4" ht="17.649999999999999" x14ac:dyDescent="0.5">
      <c r="D1378" s="3" t="s">
        <v>69</v>
      </c>
    </row>
    <row r="1379" spans="4:4" ht="17.649999999999999" x14ac:dyDescent="0.5">
      <c r="D1379" s="3" t="s">
        <v>41</v>
      </c>
    </row>
    <row r="1380" spans="4:4" ht="17.649999999999999" x14ac:dyDescent="0.5">
      <c r="D1380" s="3" t="s">
        <v>98</v>
      </c>
    </row>
    <row r="1381" spans="4:4" ht="17.649999999999999" x14ac:dyDescent="0.5">
      <c r="D1381" s="3" t="s">
        <v>51</v>
      </c>
    </row>
    <row r="1382" spans="4:4" ht="17.649999999999999" x14ac:dyDescent="0.5">
      <c r="D1382" s="3" t="s">
        <v>117</v>
      </c>
    </row>
    <row r="1383" spans="4:4" ht="17.649999999999999" x14ac:dyDescent="0.5">
      <c r="D1383" s="3" t="s">
        <v>66</v>
      </c>
    </row>
    <row r="1384" spans="4:4" ht="17.649999999999999" x14ac:dyDescent="0.5">
      <c r="D1384" s="3" t="s">
        <v>59</v>
      </c>
    </row>
    <row r="1385" spans="4:4" ht="17.649999999999999" x14ac:dyDescent="0.5">
      <c r="D1385" s="3" t="s">
        <v>135</v>
      </c>
    </row>
    <row r="1386" spans="4:4" ht="17.649999999999999" x14ac:dyDescent="0.5">
      <c r="D1386" s="3" t="s">
        <v>48</v>
      </c>
    </row>
    <row r="1387" spans="4:4" ht="17.649999999999999" x14ac:dyDescent="0.5">
      <c r="D1387" s="3" t="s">
        <v>87</v>
      </c>
    </row>
    <row r="1388" spans="4:4" ht="17.649999999999999" x14ac:dyDescent="0.5">
      <c r="D1388" s="3" t="s">
        <v>53</v>
      </c>
    </row>
    <row r="1389" spans="4:4" ht="17.649999999999999" x14ac:dyDescent="0.5">
      <c r="D1389" s="3" t="s">
        <v>64</v>
      </c>
    </row>
    <row r="1390" spans="4:4" ht="17.649999999999999" x14ac:dyDescent="0.5">
      <c r="D1390" s="3" t="s">
        <v>85</v>
      </c>
    </row>
    <row r="1391" spans="4:4" ht="17.649999999999999" x14ac:dyDescent="0.5">
      <c r="D1391" s="3" t="s">
        <v>48</v>
      </c>
    </row>
    <row r="1392" spans="4:4" ht="17.649999999999999" x14ac:dyDescent="0.5">
      <c r="D1392" s="3" t="s">
        <v>44</v>
      </c>
    </row>
    <row r="1393" spans="4:4" ht="17.649999999999999" x14ac:dyDescent="0.5">
      <c r="D1393" s="3" t="s">
        <v>98</v>
      </c>
    </row>
    <row r="1394" spans="4:4" ht="17.649999999999999" x14ac:dyDescent="0.5">
      <c r="D1394" s="3" t="s">
        <v>85</v>
      </c>
    </row>
    <row r="1395" spans="4:4" ht="17.649999999999999" x14ac:dyDescent="0.5">
      <c r="D1395" s="3" t="s">
        <v>106</v>
      </c>
    </row>
    <row r="1396" spans="4:4" ht="17.649999999999999" x14ac:dyDescent="0.5">
      <c r="D1396" s="3" t="s">
        <v>95</v>
      </c>
    </row>
    <row r="1397" spans="4:4" ht="17.649999999999999" x14ac:dyDescent="0.5">
      <c r="D1397" s="3" t="s">
        <v>46</v>
      </c>
    </row>
    <row r="1398" spans="4:4" ht="17.649999999999999" x14ac:dyDescent="0.5">
      <c r="D1398" s="3" t="s">
        <v>55</v>
      </c>
    </row>
    <row r="1399" spans="4:4" ht="17.649999999999999" x14ac:dyDescent="0.5">
      <c r="D1399" s="3" t="s">
        <v>69</v>
      </c>
    </row>
    <row r="1400" spans="4:4" ht="17.649999999999999" x14ac:dyDescent="0.5">
      <c r="D1400" s="3" t="s">
        <v>51</v>
      </c>
    </row>
    <row r="1401" spans="4:4" ht="17.649999999999999" x14ac:dyDescent="0.5">
      <c r="D1401" s="3" t="s">
        <v>117</v>
      </c>
    </row>
    <row r="1402" spans="4:4" ht="17.649999999999999" x14ac:dyDescent="0.5">
      <c r="D1402" s="3" t="s">
        <v>71</v>
      </c>
    </row>
    <row r="1403" spans="4:4" ht="17.649999999999999" x14ac:dyDescent="0.5">
      <c r="D1403" s="3" t="s">
        <v>91</v>
      </c>
    </row>
    <row r="1404" spans="4:4" ht="17.649999999999999" x14ac:dyDescent="0.5">
      <c r="D1404" s="3" t="s">
        <v>52</v>
      </c>
    </row>
    <row r="1405" spans="4:4" ht="17.649999999999999" x14ac:dyDescent="0.5">
      <c r="D1405" s="3" t="s">
        <v>58</v>
      </c>
    </row>
    <row r="1406" spans="4:4" ht="17.649999999999999" x14ac:dyDescent="0.5">
      <c r="D1406" s="3" t="s">
        <v>49</v>
      </c>
    </row>
    <row r="1407" spans="4:4" ht="17.649999999999999" x14ac:dyDescent="0.5">
      <c r="D1407" s="3" t="s">
        <v>94</v>
      </c>
    </row>
    <row r="1408" spans="4:4" ht="17.649999999999999" x14ac:dyDescent="0.5">
      <c r="D1408" s="3" t="s">
        <v>96</v>
      </c>
    </row>
    <row r="1409" spans="4:4" ht="17.649999999999999" x14ac:dyDescent="0.5">
      <c r="D1409" s="3" t="s">
        <v>57</v>
      </c>
    </row>
    <row r="1410" spans="4:4" ht="17.649999999999999" x14ac:dyDescent="0.5">
      <c r="D1410" s="3" t="s">
        <v>64</v>
      </c>
    </row>
    <row r="1411" spans="4:4" ht="17.649999999999999" x14ac:dyDescent="0.5">
      <c r="D1411" s="3" t="s">
        <v>83</v>
      </c>
    </row>
    <row r="1412" spans="4:4" ht="17.649999999999999" x14ac:dyDescent="0.5">
      <c r="D1412" s="3" t="s">
        <v>115</v>
      </c>
    </row>
    <row r="1413" spans="4:4" ht="17.649999999999999" x14ac:dyDescent="0.5">
      <c r="D1413" s="3" t="s">
        <v>56</v>
      </c>
    </row>
    <row r="1414" spans="4:4" ht="17.649999999999999" x14ac:dyDescent="0.5">
      <c r="D1414" s="3" t="s">
        <v>41</v>
      </c>
    </row>
    <row r="1415" spans="4:4" ht="17.649999999999999" x14ac:dyDescent="0.5">
      <c r="D1415" s="3" t="s">
        <v>89</v>
      </c>
    </row>
    <row r="1416" spans="4:4" ht="17.649999999999999" x14ac:dyDescent="0.5">
      <c r="D1416" s="3" t="s">
        <v>90</v>
      </c>
    </row>
    <row r="1417" spans="4:4" ht="17.649999999999999" x14ac:dyDescent="0.5">
      <c r="D1417" s="3" t="s">
        <v>119</v>
      </c>
    </row>
    <row r="1418" spans="4:4" ht="17.649999999999999" x14ac:dyDescent="0.5">
      <c r="D1418" s="3" t="s">
        <v>103</v>
      </c>
    </row>
    <row r="1419" spans="4:4" ht="17.649999999999999" x14ac:dyDescent="0.5">
      <c r="D1419" s="3" t="s">
        <v>46</v>
      </c>
    </row>
    <row r="1420" spans="4:4" ht="17.649999999999999" x14ac:dyDescent="0.5">
      <c r="D1420" s="3" t="s">
        <v>77</v>
      </c>
    </row>
    <row r="1421" spans="4:4" ht="17.649999999999999" x14ac:dyDescent="0.5">
      <c r="D1421" s="3" t="s">
        <v>67</v>
      </c>
    </row>
    <row r="1422" spans="4:4" ht="17.649999999999999" x14ac:dyDescent="0.5">
      <c r="D1422" s="3" t="s">
        <v>78</v>
      </c>
    </row>
    <row r="1423" spans="4:4" ht="17.649999999999999" x14ac:dyDescent="0.5">
      <c r="D1423" s="3" t="s">
        <v>105</v>
      </c>
    </row>
    <row r="1424" spans="4:4" ht="17.649999999999999" x14ac:dyDescent="0.5">
      <c r="D1424" s="3" t="s">
        <v>96</v>
      </c>
    </row>
    <row r="1425" spans="4:4" ht="17.649999999999999" x14ac:dyDescent="0.5">
      <c r="D1425" s="3" t="s">
        <v>91</v>
      </c>
    </row>
    <row r="1426" spans="4:4" ht="17.649999999999999" x14ac:dyDescent="0.5">
      <c r="D1426" s="3" t="s">
        <v>84</v>
      </c>
    </row>
    <row r="1427" spans="4:4" ht="17.649999999999999" x14ac:dyDescent="0.5">
      <c r="D1427" s="3" t="s">
        <v>48</v>
      </c>
    </row>
    <row r="1428" spans="4:4" ht="17.649999999999999" x14ac:dyDescent="0.5">
      <c r="D1428" s="3" t="s">
        <v>66</v>
      </c>
    </row>
    <row r="1429" spans="4:4" ht="17.649999999999999" x14ac:dyDescent="0.5">
      <c r="D1429" s="3" t="s">
        <v>109</v>
      </c>
    </row>
    <row r="1430" spans="4:4" ht="17.649999999999999" x14ac:dyDescent="0.5">
      <c r="D1430" s="3" t="s">
        <v>67</v>
      </c>
    </row>
    <row r="1431" spans="4:4" ht="17.649999999999999" x14ac:dyDescent="0.5">
      <c r="D1431" s="3" t="s">
        <v>117</v>
      </c>
    </row>
    <row r="1432" spans="4:4" ht="17.649999999999999" x14ac:dyDescent="0.5">
      <c r="D1432" s="3" t="s">
        <v>103</v>
      </c>
    </row>
    <row r="1433" spans="4:4" ht="17.649999999999999" x14ac:dyDescent="0.5">
      <c r="D1433" s="3" t="s">
        <v>87</v>
      </c>
    </row>
    <row r="1434" spans="4:4" ht="17.649999999999999" x14ac:dyDescent="0.5">
      <c r="D1434" s="3" t="s">
        <v>81</v>
      </c>
    </row>
    <row r="1435" spans="4:4" ht="17.649999999999999" x14ac:dyDescent="0.5">
      <c r="D1435" s="3" t="s">
        <v>100</v>
      </c>
    </row>
    <row r="1436" spans="4:4" ht="17.649999999999999" x14ac:dyDescent="0.5">
      <c r="D1436" s="3" t="s">
        <v>56</v>
      </c>
    </row>
    <row r="1437" spans="4:4" ht="17.649999999999999" x14ac:dyDescent="0.5">
      <c r="D1437" s="3" t="s">
        <v>98</v>
      </c>
    </row>
    <row r="1438" spans="4:4" ht="17.649999999999999" x14ac:dyDescent="0.5">
      <c r="D1438" s="3" t="s">
        <v>109</v>
      </c>
    </row>
    <row r="1439" spans="4:4" ht="17.649999999999999" x14ac:dyDescent="0.5">
      <c r="D1439" s="3" t="s">
        <v>53</v>
      </c>
    </row>
    <row r="1440" spans="4:4" ht="17.649999999999999" x14ac:dyDescent="0.5">
      <c r="D1440" s="3" t="s">
        <v>101</v>
      </c>
    </row>
    <row r="1441" spans="4:4" ht="17.649999999999999" x14ac:dyDescent="0.5">
      <c r="D1441" s="3" t="s">
        <v>48</v>
      </c>
    </row>
    <row r="1442" spans="4:4" ht="17.649999999999999" x14ac:dyDescent="0.5">
      <c r="D1442" s="3" t="s">
        <v>84</v>
      </c>
    </row>
    <row r="1443" spans="4:4" ht="17.649999999999999" x14ac:dyDescent="0.5">
      <c r="D1443" s="3" t="s">
        <v>67</v>
      </c>
    </row>
    <row r="1444" spans="4:4" ht="17.649999999999999" x14ac:dyDescent="0.5">
      <c r="D1444" s="3" t="s">
        <v>111</v>
      </c>
    </row>
    <row r="1445" spans="4:4" ht="17.649999999999999" x14ac:dyDescent="0.5">
      <c r="D1445" s="3" t="s">
        <v>45</v>
      </c>
    </row>
    <row r="1446" spans="4:4" ht="17.649999999999999" x14ac:dyDescent="0.5">
      <c r="D1446" s="3" t="s">
        <v>41</v>
      </c>
    </row>
    <row r="1447" spans="4:4" ht="17.649999999999999" x14ac:dyDescent="0.5">
      <c r="D1447" s="3" t="s">
        <v>124</v>
      </c>
    </row>
    <row r="1448" spans="4:4" ht="17.649999999999999" x14ac:dyDescent="0.5">
      <c r="D1448" s="3" t="s">
        <v>87</v>
      </c>
    </row>
    <row r="1449" spans="4:4" ht="17.649999999999999" x14ac:dyDescent="0.5">
      <c r="D1449" s="3" t="s">
        <v>116</v>
      </c>
    </row>
    <row r="1450" spans="4:4" ht="17.649999999999999" x14ac:dyDescent="0.5">
      <c r="D1450" s="3" t="s">
        <v>47</v>
      </c>
    </row>
    <row r="1451" spans="4:4" ht="17.649999999999999" x14ac:dyDescent="0.5">
      <c r="D1451" s="3" t="s">
        <v>54</v>
      </c>
    </row>
    <row r="1452" spans="4:4" ht="17.649999999999999" x14ac:dyDescent="0.5">
      <c r="D1452" s="3" t="s">
        <v>121</v>
      </c>
    </row>
    <row r="1453" spans="4:4" ht="17.649999999999999" x14ac:dyDescent="0.5">
      <c r="D1453" s="3" t="s">
        <v>53</v>
      </c>
    </row>
    <row r="1454" spans="4:4" ht="17.649999999999999" x14ac:dyDescent="0.5">
      <c r="D1454" s="3" t="s">
        <v>61</v>
      </c>
    </row>
    <row r="1455" spans="4:4" ht="17.649999999999999" x14ac:dyDescent="0.5">
      <c r="D1455" s="3" t="s">
        <v>64</v>
      </c>
    </row>
    <row r="1456" spans="4:4" ht="17.649999999999999" x14ac:dyDescent="0.5">
      <c r="D1456" s="3" t="s">
        <v>47</v>
      </c>
    </row>
    <row r="1457" spans="4:4" ht="17.649999999999999" x14ac:dyDescent="0.5">
      <c r="D1457" s="3" t="s">
        <v>58</v>
      </c>
    </row>
    <row r="1458" spans="4:4" ht="17.649999999999999" x14ac:dyDescent="0.5">
      <c r="D1458" s="3" t="s">
        <v>75</v>
      </c>
    </row>
    <row r="1459" spans="4:4" ht="17.649999999999999" x14ac:dyDescent="0.5">
      <c r="D1459" s="3" t="s">
        <v>115</v>
      </c>
    </row>
    <row r="1460" spans="4:4" ht="17.649999999999999" x14ac:dyDescent="0.5">
      <c r="D1460" s="3" t="s">
        <v>105</v>
      </c>
    </row>
    <row r="1461" spans="4:4" ht="17.649999999999999" x14ac:dyDescent="0.5">
      <c r="D1461" s="3" t="s">
        <v>92</v>
      </c>
    </row>
    <row r="1462" spans="4:4" ht="17.649999999999999" x14ac:dyDescent="0.5">
      <c r="D1462" s="3" t="s">
        <v>53</v>
      </c>
    </row>
    <row r="1463" spans="4:4" ht="17.649999999999999" x14ac:dyDescent="0.5">
      <c r="D1463" s="3" t="s">
        <v>89</v>
      </c>
    </row>
    <row r="1464" spans="4:4" ht="17.649999999999999" x14ac:dyDescent="0.5">
      <c r="D1464" s="3" t="s">
        <v>57</v>
      </c>
    </row>
    <row r="1465" spans="4:4" ht="17.649999999999999" x14ac:dyDescent="0.5">
      <c r="D1465" s="3" t="s">
        <v>115</v>
      </c>
    </row>
    <row r="1466" spans="4:4" ht="17.649999999999999" x14ac:dyDescent="0.5">
      <c r="D1466" s="3" t="s">
        <v>61</v>
      </c>
    </row>
    <row r="1467" spans="4:4" ht="17.649999999999999" x14ac:dyDescent="0.5">
      <c r="D1467" s="3" t="s">
        <v>119</v>
      </c>
    </row>
    <row r="1468" spans="4:4" ht="17.649999999999999" x14ac:dyDescent="0.5">
      <c r="D1468" s="3" t="s">
        <v>50</v>
      </c>
    </row>
    <row r="1469" spans="4:4" ht="17.649999999999999" x14ac:dyDescent="0.5">
      <c r="D1469" s="3" t="s">
        <v>47</v>
      </c>
    </row>
    <row r="1470" spans="4:4" ht="17.649999999999999" x14ac:dyDescent="0.5">
      <c r="D1470" s="3" t="s">
        <v>53</v>
      </c>
    </row>
    <row r="1471" spans="4:4" ht="17.649999999999999" x14ac:dyDescent="0.5">
      <c r="D1471" s="3" t="s">
        <v>41</v>
      </c>
    </row>
    <row r="1472" spans="4:4" ht="17.649999999999999" x14ac:dyDescent="0.5">
      <c r="D1472" s="3" t="s">
        <v>43</v>
      </c>
    </row>
    <row r="1473" spans="4:4" ht="17.649999999999999" x14ac:dyDescent="0.5">
      <c r="D1473" s="3" t="s">
        <v>73</v>
      </c>
    </row>
    <row r="1474" spans="4:4" ht="17.649999999999999" x14ac:dyDescent="0.5">
      <c r="D1474" s="3" t="s">
        <v>69</v>
      </c>
    </row>
    <row r="1475" spans="4:4" ht="17.649999999999999" x14ac:dyDescent="0.5">
      <c r="D1475" s="3" t="s">
        <v>85</v>
      </c>
    </row>
    <row r="1476" spans="4:4" ht="17.649999999999999" x14ac:dyDescent="0.5">
      <c r="D1476" s="3" t="s">
        <v>59</v>
      </c>
    </row>
    <row r="1477" spans="4:4" ht="17.649999999999999" x14ac:dyDescent="0.5">
      <c r="D1477" s="3" t="s">
        <v>104</v>
      </c>
    </row>
    <row r="1478" spans="4:4" ht="17.649999999999999" x14ac:dyDescent="0.5">
      <c r="D1478" s="3" t="s">
        <v>49</v>
      </c>
    </row>
    <row r="1479" spans="4:4" ht="17.649999999999999" x14ac:dyDescent="0.5">
      <c r="D1479" s="3" t="s">
        <v>51</v>
      </c>
    </row>
    <row r="1480" spans="4:4" ht="17.649999999999999" x14ac:dyDescent="0.5">
      <c r="D1480" s="3" t="s">
        <v>115</v>
      </c>
    </row>
    <row r="1481" spans="4:4" ht="17.649999999999999" x14ac:dyDescent="0.5">
      <c r="D1481" s="3" t="s">
        <v>81</v>
      </c>
    </row>
    <row r="1482" spans="4:4" ht="17.649999999999999" x14ac:dyDescent="0.5">
      <c r="D1482" s="3" t="s">
        <v>64</v>
      </c>
    </row>
    <row r="1483" spans="4:4" ht="17.649999999999999" x14ac:dyDescent="0.5">
      <c r="D1483" s="3" t="s">
        <v>114</v>
      </c>
    </row>
    <row r="1484" spans="4:4" ht="17.649999999999999" x14ac:dyDescent="0.5">
      <c r="D1484" s="3" t="s">
        <v>103</v>
      </c>
    </row>
    <row r="1485" spans="4:4" ht="17.649999999999999" x14ac:dyDescent="0.5">
      <c r="D1485" s="3" t="s">
        <v>88</v>
      </c>
    </row>
    <row r="1486" spans="4:4" ht="17.649999999999999" x14ac:dyDescent="0.5">
      <c r="D1486" s="3" t="s">
        <v>48</v>
      </c>
    </row>
    <row r="1487" spans="4:4" ht="17.649999999999999" x14ac:dyDescent="0.5">
      <c r="D1487" s="3" t="s">
        <v>52</v>
      </c>
    </row>
    <row r="1488" spans="4:4" ht="17.649999999999999" x14ac:dyDescent="0.5">
      <c r="D1488" s="3" t="s">
        <v>112</v>
      </c>
    </row>
    <row r="1489" spans="4:4" ht="17.649999999999999" x14ac:dyDescent="0.5">
      <c r="D1489" s="3" t="s">
        <v>59</v>
      </c>
    </row>
    <row r="1490" spans="4:4" ht="17.649999999999999" x14ac:dyDescent="0.5">
      <c r="D1490" s="3" t="s">
        <v>83</v>
      </c>
    </row>
    <row r="1491" spans="4:4" ht="17.649999999999999" x14ac:dyDescent="0.5">
      <c r="D1491" s="3" t="s">
        <v>77</v>
      </c>
    </row>
    <row r="1492" spans="4:4" ht="17.649999999999999" x14ac:dyDescent="0.5">
      <c r="D1492" s="3" t="s">
        <v>92</v>
      </c>
    </row>
    <row r="1493" spans="4:4" ht="17.649999999999999" x14ac:dyDescent="0.5">
      <c r="D1493" s="3" t="s">
        <v>124</v>
      </c>
    </row>
    <row r="1494" spans="4:4" ht="17.649999999999999" x14ac:dyDescent="0.5">
      <c r="D1494" s="3" t="s">
        <v>94</v>
      </c>
    </row>
    <row r="1495" spans="4:4" ht="17.649999999999999" x14ac:dyDescent="0.5">
      <c r="D1495" s="3" t="s">
        <v>78</v>
      </c>
    </row>
    <row r="1496" spans="4:4" ht="17.649999999999999" x14ac:dyDescent="0.5">
      <c r="D1496" s="3" t="s">
        <v>77</v>
      </c>
    </row>
    <row r="1497" spans="4:4" ht="17.649999999999999" x14ac:dyDescent="0.5">
      <c r="D1497" s="3" t="s">
        <v>118</v>
      </c>
    </row>
    <row r="1498" spans="4:4" ht="17.649999999999999" x14ac:dyDescent="0.5">
      <c r="D1498" s="3" t="s">
        <v>117</v>
      </c>
    </row>
    <row r="1499" spans="4:4" ht="17.649999999999999" x14ac:dyDescent="0.5">
      <c r="D1499" s="3" t="s">
        <v>66</v>
      </c>
    </row>
    <row r="1500" spans="4:4" ht="17.649999999999999" x14ac:dyDescent="0.5">
      <c r="D1500" s="3" t="s">
        <v>57</v>
      </c>
    </row>
    <row r="1501" spans="4:4" ht="17.649999999999999" x14ac:dyDescent="0.5">
      <c r="D1501" s="3" t="s">
        <v>41</v>
      </c>
    </row>
    <row r="1502" spans="4:4" ht="17.649999999999999" x14ac:dyDescent="0.5">
      <c r="D1502" s="3" t="s">
        <v>78</v>
      </c>
    </row>
    <row r="1503" spans="4:4" ht="17.649999999999999" x14ac:dyDescent="0.5">
      <c r="D1503" s="3" t="s">
        <v>57</v>
      </c>
    </row>
    <row r="1504" spans="4:4" ht="17.649999999999999" x14ac:dyDescent="0.5">
      <c r="D1504" s="3" t="s">
        <v>52</v>
      </c>
    </row>
    <row r="1505" spans="4:4" ht="17.649999999999999" x14ac:dyDescent="0.5">
      <c r="D1505" s="3" t="s">
        <v>92</v>
      </c>
    </row>
    <row r="1506" spans="4:4" ht="17.649999999999999" x14ac:dyDescent="0.5">
      <c r="D1506" s="3" t="s">
        <v>115</v>
      </c>
    </row>
    <row r="1507" spans="4:4" ht="17.649999999999999" x14ac:dyDescent="0.5">
      <c r="D1507" s="3" t="s">
        <v>94</v>
      </c>
    </row>
    <row r="1508" spans="4:4" ht="17.649999999999999" x14ac:dyDescent="0.5">
      <c r="D1508" s="3" t="s">
        <v>133</v>
      </c>
    </row>
    <row r="1509" spans="4:4" ht="17.649999999999999" x14ac:dyDescent="0.5">
      <c r="D1509" s="3" t="s">
        <v>45</v>
      </c>
    </row>
    <row r="1510" spans="4:4" ht="17.649999999999999" x14ac:dyDescent="0.5">
      <c r="D1510" s="3" t="s">
        <v>51</v>
      </c>
    </row>
    <row r="1511" spans="4:4" ht="17.649999999999999" x14ac:dyDescent="0.5">
      <c r="D1511" s="3" t="s">
        <v>117</v>
      </c>
    </row>
    <row r="1512" spans="4:4" ht="17.649999999999999" x14ac:dyDescent="0.5">
      <c r="D1512" s="3" t="s">
        <v>54</v>
      </c>
    </row>
    <row r="1513" spans="4:4" ht="17.649999999999999" x14ac:dyDescent="0.5">
      <c r="D1513" s="3" t="s">
        <v>97</v>
      </c>
    </row>
    <row r="1514" spans="4:4" ht="17.649999999999999" x14ac:dyDescent="0.5">
      <c r="D1514" s="3" t="s">
        <v>43</v>
      </c>
    </row>
    <row r="1515" spans="4:4" ht="17.649999999999999" x14ac:dyDescent="0.5">
      <c r="D1515" s="3" t="s">
        <v>46</v>
      </c>
    </row>
    <row r="1516" spans="4:4" ht="17.649999999999999" x14ac:dyDescent="0.5">
      <c r="D1516" s="3" t="s">
        <v>56</v>
      </c>
    </row>
    <row r="1517" spans="4:4" ht="17.649999999999999" x14ac:dyDescent="0.5">
      <c r="D1517" s="3" t="s">
        <v>59</v>
      </c>
    </row>
    <row r="1518" spans="4:4" ht="17.649999999999999" x14ac:dyDescent="0.5">
      <c r="D1518" s="3" t="s">
        <v>106</v>
      </c>
    </row>
    <row r="1519" spans="4:4" ht="17.649999999999999" x14ac:dyDescent="0.5">
      <c r="D1519" s="3" t="s">
        <v>80</v>
      </c>
    </row>
    <row r="1520" spans="4:4" ht="17.649999999999999" x14ac:dyDescent="0.5">
      <c r="D1520" s="3" t="s">
        <v>46</v>
      </c>
    </row>
    <row r="1521" spans="4:4" ht="17.649999999999999" x14ac:dyDescent="0.5">
      <c r="D1521" s="3" t="s">
        <v>77</v>
      </c>
    </row>
    <row r="1522" spans="4:4" ht="17.649999999999999" x14ac:dyDescent="0.5">
      <c r="D1522" s="3" t="s">
        <v>116</v>
      </c>
    </row>
    <row r="1523" spans="4:4" ht="17.649999999999999" x14ac:dyDescent="0.5">
      <c r="D1523" s="3" t="s">
        <v>54</v>
      </c>
    </row>
    <row r="1524" spans="4:4" ht="17.649999999999999" x14ac:dyDescent="0.5">
      <c r="D1524" s="3" t="s">
        <v>58</v>
      </c>
    </row>
    <row r="1525" spans="4:4" ht="17.649999999999999" x14ac:dyDescent="0.5">
      <c r="D1525" s="3" t="s">
        <v>49</v>
      </c>
    </row>
    <row r="1526" spans="4:4" ht="17.649999999999999" x14ac:dyDescent="0.5">
      <c r="D1526" s="3" t="s">
        <v>41</v>
      </c>
    </row>
    <row r="1527" spans="4:4" ht="17.649999999999999" x14ac:dyDescent="0.5">
      <c r="D1527" s="3" t="s">
        <v>114</v>
      </c>
    </row>
    <row r="1528" spans="4:4" ht="17.649999999999999" x14ac:dyDescent="0.5">
      <c r="D1528" s="3" t="s">
        <v>75</v>
      </c>
    </row>
    <row r="1529" spans="4:4" ht="17.649999999999999" x14ac:dyDescent="0.5">
      <c r="D1529" s="3" t="s">
        <v>61</v>
      </c>
    </row>
    <row r="1530" spans="4:4" ht="17.649999999999999" x14ac:dyDescent="0.5">
      <c r="D1530" s="3" t="s">
        <v>83</v>
      </c>
    </row>
    <row r="1531" spans="4:4" ht="17.649999999999999" x14ac:dyDescent="0.5">
      <c r="D1531" s="3" t="s">
        <v>59</v>
      </c>
    </row>
    <row r="1532" spans="4:4" ht="17.649999999999999" x14ac:dyDescent="0.5">
      <c r="D1532" s="3" t="s">
        <v>117</v>
      </c>
    </row>
    <row r="1533" spans="4:4" ht="17.649999999999999" x14ac:dyDescent="0.5">
      <c r="D1533" s="3" t="s">
        <v>94</v>
      </c>
    </row>
    <row r="1534" spans="4:4" ht="17.649999999999999" x14ac:dyDescent="0.5">
      <c r="D1534" s="3" t="s">
        <v>64</v>
      </c>
    </row>
    <row r="1535" spans="4:4" ht="17.649999999999999" x14ac:dyDescent="0.5">
      <c r="D1535" s="3" t="s">
        <v>87</v>
      </c>
    </row>
    <row r="1536" spans="4:4" ht="17.649999999999999" x14ac:dyDescent="0.5">
      <c r="D1536" s="3" t="s">
        <v>46</v>
      </c>
    </row>
    <row r="1537" spans="4:4" ht="17.649999999999999" x14ac:dyDescent="0.5">
      <c r="D1537" s="3" t="s">
        <v>61</v>
      </c>
    </row>
    <row r="1538" spans="4:4" ht="17.649999999999999" x14ac:dyDescent="0.5">
      <c r="D1538" s="3" t="s">
        <v>49</v>
      </c>
    </row>
    <row r="1539" spans="4:4" ht="17.649999999999999" x14ac:dyDescent="0.5">
      <c r="D1539" s="3" t="s">
        <v>46</v>
      </c>
    </row>
    <row r="1540" spans="4:4" ht="17.649999999999999" x14ac:dyDescent="0.5">
      <c r="D1540" s="3" t="s">
        <v>77</v>
      </c>
    </row>
    <row r="1541" spans="4:4" ht="17.649999999999999" x14ac:dyDescent="0.5">
      <c r="D1541" s="3" t="s">
        <v>87</v>
      </c>
    </row>
    <row r="1542" spans="4:4" ht="17.649999999999999" x14ac:dyDescent="0.5">
      <c r="D1542" s="3" t="s">
        <v>128</v>
      </c>
    </row>
    <row r="1543" spans="4:4" ht="17.649999999999999" x14ac:dyDescent="0.5">
      <c r="D1543" s="3" t="s">
        <v>126</v>
      </c>
    </row>
    <row r="1544" spans="4:4" ht="17.649999999999999" x14ac:dyDescent="0.5">
      <c r="D1544" s="3" t="s">
        <v>53</v>
      </c>
    </row>
    <row r="1545" spans="4:4" ht="17.649999999999999" x14ac:dyDescent="0.5">
      <c r="D1545" s="3" t="s">
        <v>69</v>
      </c>
    </row>
    <row r="1546" spans="4:4" ht="17.649999999999999" x14ac:dyDescent="0.5">
      <c r="D1546" s="3" t="s">
        <v>112</v>
      </c>
    </row>
    <row r="1547" spans="4:4" ht="17.649999999999999" x14ac:dyDescent="0.5">
      <c r="D1547" s="3" t="s">
        <v>80</v>
      </c>
    </row>
    <row r="1548" spans="4:4" ht="17.649999999999999" x14ac:dyDescent="0.5">
      <c r="D1548" s="3" t="s">
        <v>128</v>
      </c>
    </row>
    <row r="1549" spans="4:4" ht="17.649999999999999" x14ac:dyDescent="0.5">
      <c r="D1549" s="3" t="s">
        <v>107</v>
      </c>
    </row>
    <row r="1550" spans="4:4" ht="17.649999999999999" x14ac:dyDescent="0.5">
      <c r="D1550" s="3" t="s">
        <v>67</v>
      </c>
    </row>
    <row r="1551" spans="4:4" ht="17.649999999999999" x14ac:dyDescent="0.5">
      <c r="D1551" s="3" t="s">
        <v>101</v>
      </c>
    </row>
    <row r="1552" spans="4:4" ht="17.649999999999999" x14ac:dyDescent="0.5">
      <c r="D1552" s="3" t="s">
        <v>107</v>
      </c>
    </row>
    <row r="1553" spans="4:4" ht="17.649999999999999" x14ac:dyDescent="0.5">
      <c r="D1553" s="3" t="s">
        <v>78</v>
      </c>
    </row>
    <row r="1554" spans="4:4" ht="17.649999999999999" x14ac:dyDescent="0.5">
      <c r="D1554" s="3" t="s">
        <v>98</v>
      </c>
    </row>
    <row r="1555" spans="4:4" ht="17.649999999999999" x14ac:dyDescent="0.5">
      <c r="D1555" s="3" t="s">
        <v>45</v>
      </c>
    </row>
    <row r="1556" spans="4:4" ht="17.649999999999999" x14ac:dyDescent="0.5">
      <c r="D1556" s="3" t="s">
        <v>98</v>
      </c>
    </row>
    <row r="1557" spans="4:4" ht="17.649999999999999" x14ac:dyDescent="0.5">
      <c r="D1557" s="3" t="s">
        <v>110</v>
      </c>
    </row>
    <row r="1558" spans="4:4" ht="17.649999999999999" x14ac:dyDescent="0.5">
      <c r="D1558" s="3" t="s">
        <v>52</v>
      </c>
    </row>
    <row r="1559" spans="4:4" ht="17.649999999999999" x14ac:dyDescent="0.5">
      <c r="D1559" s="3" t="s">
        <v>47</v>
      </c>
    </row>
    <row r="1560" spans="4:4" ht="17.649999999999999" x14ac:dyDescent="0.5">
      <c r="D1560" s="3" t="s">
        <v>121</v>
      </c>
    </row>
    <row r="1561" spans="4:4" ht="17.649999999999999" x14ac:dyDescent="0.5">
      <c r="D1561" s="3" t="s">
        <v>44</v>
      </c>
    </row>
    <row r="1562" spans="4:4" ht="17.649999999999999" x14ac:dyDescent="0.5">
      <c r="D1562" s="3" t="s">
        <v>101</v>
      </c>
    </row>
    <row r="1563" spans="4:4" ht="17.649999999999999" x14ac:dyDescent="0.5">
      <c r="D1563" s="3" t="s">
        <v>113</v>
      </c>
    </row>
    <row r="1564" spans="4:4" ht="17.649999999999999" x14ac:dyDescent="0.5">
      <c r="D1564" s="3" t="s">
        <v>84</v>
      </c>
    </row>
    <row r="1565" spans="4:4" ht="17.649999999999999" x14ac:dyDescent="0.5">
      <c r="D1565" s="3" t="s">
        <v>95</v>
      </c>
    </row>
    <row r="1566" spans="4:4" ht="17.649999999999999" x14ac:dyDescent="0.5">
      <c r="D1566" s="3" t="s">
        <v>128</v>
      </c>
    </row>
    <row r="1567" spans="4:4" ht="17.649999999999999" x14ac:dyDescent="0.5">
      <c r="D1567" s="3" t="s">
        <v>62</v>
      </c>
    </row>
    <row r="1568" spans="4:4" ht="17.649999999999999" x14ac:dyDescent="0.5">
      <c r="D1568" s="3" t="s">
        <v>69</v>
      </c>
    </row>
    <row r="1569" spans="4:4" ht="17.649999999999999" x14ac:dyDescent="0.5">
      <c r="D1569" s="3" t="s">
        <v>78</v>
      </c>
    </row>
    <row r="1570" spans="4:4" ht="17.649999999999999" x14ac:dyDescent="0.5">
      <c r="D1570" s="3" t="s">
        <v>81</v>
      </c>
    </row>
    <row r="1571" spans="4:4" ht="17.649999999999999" x14ac:dyDescent="0.5">
      <c r="D1571" s="3" t="s">
        <v>92</v>
      </c>
    </row>
    <row r="1572" spans="4:4" ht="17.649999999999999" x14ac:dyDescent="0.5">
      <c r="D1572" s="3" t="s">
        <v>115</v>
      </c>
    </row>
    <row r="1573" spans="4:4" ht="17.649999999999999" x14ac:dyDescent="0.5">
      <c r="D1573" s="3" t="s">
        <v>81</v>
      </c>
    </row>
    <row r="1574" spans="4:4" ht="17.649999999999999" x14ac:dyDescent="0.5">
      <c r="D1574" s="3" t="s">
        <v>55</v>
      </c>
    </row>
    <row r="1575" spans="4:4" ht="17.649999999999999" x14ac:dyDescent="0.5">
      <c r="D1575" s="3" t="s">
        <v>103</v>
      </c>
    </row>
    <row r="1576" spans="4:4" ht="17.649999999999999" x14ac:dyDescent="0.5">
      <c r="D1576" s="3" t="s">
        <v>41</v>
      </c>
    </row>
    <row r="1577" spans="4:4" ht="17.649999999999999" x14ac:dyDescent="0.5">
      <c r="D1577" s="3" t="s">
        <v>54</v>
      </c>
    </row>
    <row r="1578" spans="4:4" ht="17.649999999999999" x14ac:dyDescent="0.5">
      <c r="D1578" s="3" t="s">
        <v>96</v>
      </c>
    </row>
    <row r="1579" spans="4:4" ht="17.649999999999999" x14ac:dyDescent="0.5">
      <c r="D1579" s="3" t="s">
        <v>75</v>
      </c>
    </row>
    <row r="1580" spans="4:4" ht="17.649999999999999" x14ac:dyDescent="0.5">
      <c r="D1580" s="3" t="s">
        <v>87</v>
      </c>
    </row>
    <row r="1581" spans="4:4" ht="17.649999999999999" x14ac:dyDescent="0.5">
      <c r="D1581" s="3" t="s">
        <v>101</v>
      </c>
    </row>
    <row r="1582" spans="4:4" ht="17.649999999999999" x14ac:dyDescent="0.5">
      <c r="D1582" s="3" t="s">
        <v>51</v>
      </c>
    </row>
    <row r="1583" spans="4:4" ht="17.649999999999999" x14ac:dyDescent="0.5">
      <c r="D1583" s="3" t="s">
        <v>84</v>
      </c>
    </row>
    <row r="1584" spans="4:4" ht="17.649999999999999" x14ac:dyDescent="0.5">
      <c r="D1584" s="3" t="s">
        <v>116</v>
      </c>
    </row>
    <row r="1585" spans="4:4" ht="17.649999999999999" x14ac:dyDescent="0.5">
      <c r="D1585" s="3" t="s">
        <v>131</v>
      </c>
    </row>
    <row r="1586" spans="4:4" ht="17.649999999999999" x14ac:dyDescent="0.5">
      <c r="D1586" s="3" t="s">
        <v>67</v>
      </c>
    </row>
    <row r="1587" spans="4:4" ht="17.649999999999999" x14ac:dyDescent="0.5">
      <c r="D1587" s="3" t="s">
        <v>90</v>
      </c>
    </row>
    <row r="1588" spans="4:4" ht="17.649999999999999" x14ac:dyDescent="0.5">
      <c r="D1588" s="3" t="s">
        <v>45</v>
      </c>
    </row>
    <row r="1589" spans="4:4" ht="17.649999999999999" x14ac:dyDescent="0.5">
      <c r="D1589" s="3" t="s">
        <v>77</v>
      </c>
    </row>
    <row r="1590" spans="4:4" ht="17.649999999999999" x14ac:dyDescent="0.5">
      <c r="D1590" s="3" t="s">
        <v>84</v>
      </c>
    </row>
    <row r="1591" spans="4:4" ht="17.649999999999999" x14ac:dyDescent="0.5">
      <c r="D1591" s="3" t="s">
        <v>128</v>
      </c>
    </row>
    <row r="1592" spans="4:4" ht="17.649999999999999" x14ac:dyDescent="0.5">
      <c r="D1592" s="3" t="s">
        <v>48</v>
      </c>
    </row>
    <row r="1593" spans="4:4" ht="17.649999999999999" x14ac:dyDescent="0.5">
      <c r="D1593" s="3" t="s">
        <v>43</v>
      </c>
    </row>
    <row r="1594" spans="4:4" ht="17.649999999999999" x14ac:dyDescent="0.5">
      <c r="D1594" s="3" t="s">
        <v>86</v>
      </c>
    </row>
    <row r="1595" spans="4:4" ht="17.649999999999999" x14ac:dyDescent="0.5">
      <c r="D1595" s="3" t="s">
        <v>84</v>
      </c>
    </row>
    <row r="1596" spans="4:4" ht="17.649999999999999" x14ac:dyDescent="0.5">
      <c r="D1596" s="3" t="s">
        <v>60</v>
      </c>
    </row>
    <row r="1597" spans="4:4" ht="17.649999999999999" x14ac:dyDescent="0.5">
      <c r="D1597" s="3" t="s">
        <v>97</v>
      </c>
    </row>
    <row r="1598" spans="4:4" ht="17.649999999999999" x14ac:dyDescent="0.5">
      <c r="D1598" s="3" t="s">
        <v>47</v>
      </c>
    </row>
    <row r="1599" spans="4:4" ht="17.649999999999999" x14ac:dyDescent="0.5">
      <c r="D1599" s="3" t="s">
        <v>83</v>
      </c>
    </row>
    <row r="1600" spans="4:4" ht="17.649999999999999" x14ac:dyDescent="0.5">
      <c r="D1600" s="3" t="s">
        <v>109</v>
      </c>
    </row>
    <row r="1601" spans="4:4" ht="17.649999999999999" x14ac:dyDescent="0.5">
      <c r="D1601" s="3" t="s">
        <v>84</v>
      </c>
    </row>
    <row r="1602" spans="4:4" ht="17.649999999999999" x14ac:dyDescent="0.5">
      <c r="D1602" s="3" t="s">
        <v>92</v>
      </c>
    </row>
    <row r="1603" spans="4:4" ht="17.649999999999999" x14ac:dyDescent="0.5">
      <c r="D1603" s="3" t="s">
        <v>56</v>
      </c>
    </row>
    <row r="1604" spans="4:4" ht="17.649999999999999" x14ac:dyDescent="0.5">
      <c r="D1604" s="3" t="s">
        <v>105</v>
      </c>
    </row>
    <row r="1605" spans="4:4" ht="17.649999999999999" x14ac:dyDescent="0.5">
      <c r="D1605" s="3" t="s">
        <v>44</v>
      </c>
    </row>
    <row r="1606" spans="4:4" ht="17.649999999999999" x14ac:dyDescent="0.5">
      <c r="D1606" s="3" t="s">
        <v>74</v>
      </c>
    </row>
    <row r="1607" spans="4:4" ht="17.649999999999999" x14ac:dyDescent="0.5">
      <c r="D1607" s="3" t="s">
        <v>94</v>
      </c>
    </row>
    <row r="1608" spans="4:4" ht="17.649999999999999" x14ac:dyDescent="0.5">
      <c r="D1608" s="3" t="s">
        <v>43</v>
      </c>
    </row>
    <row r="1609" spans="4:4" ht="17.649999999999999" x14ac:dyDescent="0.5">
      <c r="D1609" s="3" t="s">
        <v>77</v>
      </c>
    </row>
    <row r="1610" spans="4:4" ht="17.649999999999999" x14ac:dyDescent="0.5">
      <c r="D1610" s="3" t="s">
        <v>112</v>
      </c>
    </row>
    <row r="1611" spans="4:4" ht="17.649999999999999" x14ac:dyDescent="0.5">
      <c r="D1611" s="3" t="s">
        <v>65</v>
      </c>
    </row>
    <row r="1612" spans="4:4" ht="17.649999999999999" x14ac:dyDescent="0.5">
      <c r="D1612" s="3" t="s">
        <v>73</v>
      </c>
    </row>
    <row r="1613" spans="4:4" ht="17.649999999999999" x14ac:dyDescent="0.5">
      <c r="D1613" s="3" t="s">
        <v>49</v>
      </c>
    </row>
    <row r="1614" spans="4:4" ht="17.649999999999999" x14ac:dyDescent="0.5">
      <c r="D1614" s="3" t="s">
        <v>94</v>
      </c>
    </row>
    <row r="1615" spans="4:4" ht="17.649999999999999" x14ac:dyDescent="0.5">
      <c r="D1615" s="3" t="s">
        <v>69</v>
      </c>
    </row>
    <row r="1616" spans="4:4" ht="17.649999999999999" x14ac:dyDescent="0.5">
      <c r="D1616" s="3" t="s">
        <v>78</v>
      </c>
    </row>
    <row r="1617" spans="4:4" ht="17.649999999999999" x14ac:dyDescent="0.5">
      <c r="D1617" s="3" t="s">
        <v>96</v>
      </c>
    </row>
    <row r="1618" spans="4:4" ht="17.649999999999999" x14ac:dyDescent="0.5">
      <c r="D1618" s="3" t="s">
        <v>133</v>
      </c>
    </row>
    <row r="1619" spans="4:4" ht="17.649999999999999" x14ac:dyDescent="0.5">
      <c r="D1619" s="3" t="s">
        <v>57</v>
      </c>
    </row>
    <row r="1620" spans="4:4" ht="17.649999999999999" x14ac:dyDescent="0.5">
      <c r="D1620" s="3" t="s">
        <v>64</v>
      </c>
    </row>
    <row r="1621" spans="4:4" ht="17.649999999999999" x14ac:dyDescent="0.5">
      <c r="D1621" s="3" t="s">
        <v>83</v>
      </c>
    </row>
    <row r="1622" spans="4:4" ht="17.649999999999999" x14ac:dyDescent="0.5">
      <c r="D1622" s="3" t="s">
        <v>66</v>
      </c>
    </row>
    <row r="1623" spans="4:4" ht="17.649999999999999" x14ac:dyDescent="0.5">
      <c r="D1623" s="3" t="s">
        <v>68</v>
      </c>
    </row>
    <row r="1624" spans="4:4" ht="17.649999999999999" x14ac:dyDescent="0.5">
      <c r="D1624" s="3" t="s">
        <v>77</v>
      </c>
    </row>
    <row r="1625" spans="4:4" ht="17.649999999999999" x14ac:dyDescent="0.5">
      <c r="D1625" s="3" t="s">
        <v>128</v>
      </c>
    </row>
    <row r="1626" spans="4:4" ht="17.649999999999999" x14ac:dyDescent="0.5">
      <c r="D1626" s="3" t="s">
        <v>66</v>
      </c>
    </row>
    <row r="1627" spans="4:4" ht="17.649999999999999" x14ac:dyDescent="0.5">
      <c r="D1627" s="3" t="s">
        <v>94</v>
      </c>
    </row>
    <row r="1628" spans="4:4" ht="17.649999999999999" x14ac:dyDescent="0.5">
      <c r="D1628" s="3" t="s">
        <v>112</v>
      </c>
    </row>
    <row r="1629" spans="4:4" ht="17.649999999999999" x14ac:dyDescent="0.5">
      <c r="D1629" s="3" t="s">
        <v>105</v>
      </c>
    </row>
    <row r="1630" spans="4:4" ht="17.649999999999999" x14ac:dyDescent="0.5">
      <c r="D1630" s="3" t="s">
        <v>91</v>
      </c>
    </row>
    <row r="1631" spans="4:4" ht="17.649999999999999" x14ac:dyDescent="0.5">
      <c r="D1631" s="3" t="s">
        <v>68</v>
      </c>
    </row>
    <row r="1632" spans="4:4" ht="17.649999999999999" x14ac:dyDescent="0.5">
      <c r="D1632" s="3" t="s">
        <v>65</v>
      </c>
    </row>
    <row r="1633" spans="4:4" ht="17.649999999999999" x14ac:dyDescent="0.5">
      <c r="D1633" s="3" t="s">
        <v>57</v>
      </c>
    </row>
    <row r="1634" spans="4:4" ht="17.649999999999999" x14ac:dyDescent="0.5">
      <c r="D1634" s="3" t="s">
        <v>102</v>
      </c>
    </row>
    <row r="1635" spans="4:4" ht="17.649999999999999" x14ac:dyDescent="0.5">
      <c r="D1635" s="3" t="s">
        <v>80</v>
      </c>
    </row>
    <row r="1636" spans="4:4" ht="17.649999999999999" x14ac:dyDescent="0.5">
      <c r="D1636" s="3" t="s">
        <v>75</v>
      </c>
    </row>
    <row r="1637" spans="4:4" ht="17.649999999999999" x14ac:dyDescent="0.5">
      <c r="D1637" s="3" t="s">
        <v>132</v>
      </c>
    </row>
    <row r="1638" spans="4:4" ht="17.649999999999999" x14ac:dyDescent="0.5">
      <c r="D1638" s="3" t="s">
        <v>77</v>
      </c>
    </row>
    <row r="1639" spans="4:4" ht="17.649999999999999" x14ac:dyDescent="0.5">
      <c r="D1639" s="3" t="s">
        <v>69</v>
      </c>
    </row>
    <row r="1640" spans="4:4" ht="17.649999999999999" x14ac:dyDescent="0.5">
      <c r="D1640" s="3" t="s">
        <v>67</v>
      </c>
    </row>
    <row r="1641" spans="4:4" ht="17.649999999999999" x14ac:dyDescent="0.5">
      <c r="D1641" s="3" t="s">
        <v>48</v>
      </c>
    </row>
    <row r="1642" spans="4:4" ht="17.649999999999999" x14ac:dyDescent="0.5">
      <c r="D1642" s="3" t="s">
        <v>96</v>
      </c>
    </row>
    <row r="1643" spans="4:4" ht="17.649999999999999" x14ac:dyDescent="0.5">
      <c r="D1643" s="3" t="s">
        <v>80</v>
      </c>
    </row>
    <row r="1644" spans="4:4" ht="17.649999999999999" x14ac:dyDescent="0.5">
      <c r="D1644" s="3" t="s">
        <v>48</v>
      </c>
    </row>
    <row r="1645" spans="4:4" ht="17.649999999999999" x14ac:dyDescent="0.5">
      <c r="D1645" s="3" t="s">
        <v>77</v>
      </c>
    </row>
    <row r="1646" spans="4:4" ht="17.649999999999999" x14ac:dyDescent="0.5">
      <c r="D1646" s="3" t="s">
        <v>92</v>
      </c>
    </row>
    <row r="1647" spans="4:4" ht="17.649999999999999" x14ac:dyDescent="0.5">
      <c r="D1647" s="3" t="s">
        <v>74</v>
      </c>
    </row>
    <row r="1648" spans="4:4" ht="17.649999999999999" x14ac:dyDescent="0.5">
      <c r="D1648" s="3" t="s">
        <v>48</v>
      </c>
    </row>
    <row r="1649" spans="4:4" ht="17.649999999999999" x14ac:dyDescent="0.5">
      <c r="D1649" s="3" t="s">
        <v>95</v>
      </c>
    </row>
    <row r="1650" spans="4:4" ht="17.649999999999999" x14ac:dyDescent="0.5">
      <c r="D1650" s="3" t="s">
        <v>107</v>
      </c>
    </row>
    <row r="1651" spans="4:4" ht="17.649999999999999" x14ac:dyDescent="0.5">
      <c r="D1651" s="3" t="s">
        <v>121</v>
      </c>
    </row>
    <row r="1652" spans="4:4" ht="17.649999999999999" x14ac:dyDescent="0.5">
      <c r="D1652" s="3" t="s">
        <v>78</v>
      </c>
    </row>
    <row r="1653" spans="4:4" ht="17.649999999999999" x14ac:dyDescent="0.5">
      <c r="D1653" s="3" t="s">
        <v>125</v>
      </c>
    </row>
    <row r="1654" spans="4:4" ht="17.649999999999999" x14ac:dyDescent="0.5">
      <c r="D1654" s="3" t="s">
        <v>116</v>
      </c>
    </row>
    <row r="1655" spans="4:4" ht="17.649999999999999" x14ac:dyDescent="0.5">
      <c r="D1655" s="3" t="s">
        <v>94</v>
      </c>
    </row>
    <row r="1656" spans="4:4" ht="17.649999999999999" x14ac:dyDescent="0.5">
      <c r="D1656" s="3" t="s">
        <v>87</v>
      </c>
    </row>
    <row r="1657" spans="4:4" ht="17.649999999999999" x14ac:dyDescent="0.5">
      <c r="D1657" s="3" t="s">
        <v>43</v>
      </c>
    </row>
    <row r="1658" spans="4:4" ht="17.649999999999999" x14ac:dyDescent="0.5">
      <c r="D1658" s="3" t="s">
        <v>109</v>
      </c>
    </row>
    <row r="1659" spans="4:4" ht="17.649999999999999" x14ac:dyDescent="0.5">
      <c r="D1659" s="3" t="s">
        <v>52</v>
      </c>
    </row>
    <row r="1660" spans="4:4" ht="17.649999999999999" x14ac:dyDescent="0.5">
      <c r="D1660" s="3" t="s">
        <v>78</v>
      </c>
    </row>
    <row r="1661" spans="4:4" ht="17.649999999999999" x14ac:dyDescent="0.5">
      <c r="D1661" s="3" t="s">
        <v>49</v>
      </c>
    </row>
    <row r="1662" spans="4:4" ht="17.649999999999999" x14ac:dyDescent="0.5">
      <c r="D1662" s="3" t="s">
        <v>75</v>
      </c>
    </row>
    <row r="1663" spans="4:4" ht="17.649999999999999" x14ac:dyDescent="0.5">
      <c r="D1663" s="3" t="s">
        <v>46</v>
      </c>
    </row>
    <row r="1664" spans="4:4" ht="17.649999999999999" x14ac:dyDescent="0.5">
      <c r="D1664" s="3" t="s">
        <v>115</v>
      </c>
    </row>
    <row r="1665" spans="4:4" ht="17.649999999999999" x14ac:dyDescent="0.5">
      <c r="D1665" s="3" t="s">
        <v>91</v>
      </c>
    </row>
    <row r="1666" spans="4:4" ht="17.649999999999999" x14ac:dyDescent="0.5">
      <c r="D1666" s="3" t="s">
        <v>103</v>
      </c>
    </row>
    <row r="1667" spans="4:4" ht="17.649999999999999" x14ac:dyDescent="0.5">
      <c r="D1667" s="3" t="s">
        <v>76</v>
      </c>
    </row>
    <row r="1668" spans="4:4" ht="17.649999999999999" x14ac:dyDescent="0.5">
      <c r="D1668" s="3" t="s">
        <v>56</v>
      </c>
    </row>
    <row r="1669" spans="4:4" ht="17.649999999999999" x14ac:dyDescent="0.5">
      <c r="D1669" s="3" t="s">
        <v>73</v>
      </c>
    </row>
    <row r="1670" spans="4:4" ht="17.649999999999999" x14ac:dyDescent="0.5">
      <c r="D1670" s="3" t="s">
        <v>81</v>
      </c>
    </row>
    <row r="1671" spans="4:4" ht="17.649999999999999" x14ac:dyDescent="0.5">
      <c r="D1671" s="3" t="s">
        <v>112</v>
      </c>
    </row>
    <row r="1672" spans="4:4" ht="17.649999999999999" x14ac:dyDescent="0.5">
      <c r="D1672" s="3" t="s">
        <v>112</v>
      </c>
    </row>
    <row r="1673" spans="4:4" ht="17.649999999999999" x14ac:dyDescent="0.5">
      <c r="D1673" s="3" t="s">
        <v>129</v>
      </c>
    </row>
    <row r="1674" spans="4:4" ht="17.649999999999999" x14ac:dyDescent="0.5">
      <c r="D1674" s="3" t="s">
        <v>51</v>
      </c>
    </row>
    <row r="1675" spans="4:4" ht="17.649999999999999" x14ac:dyDescent="0.5">
      <c r="D1675" s="3" t="s">
        <v>90</v>
      </c>
    </row>
    <row r="1676" spans="4:4" ht="17.649999999999999" x14ac:dyDescent="0.5">
      <c r="D1676" s="3" t="s">
        <v>118</v>
      </c>
    </row>
    <row r="1677" spans="4:4" ht="17.649999999999999" x14ac:dyDescent="0.5">
      <c r="D1677" s="3" t="s">
        <v>124</v>
      </c>
    </row>
    <row r="1678" spans="4:4" ht="17.649999999999999" x14ac:dyDescent="0.5">
      <c r="D1678" s="3" t="s">
        <v>75</v>
      </c>
    </row>
    <row r="1679" spans="4:4" ht="17.649999999999999" x14ac:dyDescent="0.5">
      <c r="D1679" s="3" t="s">
        <v>43</v>
      </c>
    </row>
    <row r="1680" spans="4:4" ht="17.649999999999999" x14ac:dyDescent="0.5">
      <c r="D1680" s="3" t="s">
        <v>53</v>
      </c>
    </row>
    <row r="1681" spans="4:4" ht="17.649999999999999" x14ac:dyDescent="0.5">
      <c r="D1681" s="3" t="s">
        <v>134</v>
      </c>
    </row>
    <row r="1682" spans="4:4" ht="17.649999999999999" x14ac:dyDescent="0.5">
      <c r="D1682" s="3" t="s">
        <v>85</v>
      </c>
    </row>
    <row r="1683" spans="4:4" ht="17.649999999999999" x14ac:dyDescent="0.5">
      <c r="D1683" s="3" t="s">
        <v>134</v>
      </c>
    </row>
    <row r="1684" spans="4:4" ht="17.649999999999999" x14ac:dyDescent="0.5">
      <c r="D1684" s="3" t="s">
        <v>43</v>
      </c>
    </row>
    <row r="1685" spans="4:4" ht="17.649999999999999" x14ac:dyDescent="0.5">
      <c r="D1685" s="3" t="s">
        <v>96</v>
      </c>
    </row>
    <row r="1686" spans="4:4" ht="17.649999999999999" x14ac:dyDescent="0.5">
      <c r="D1686" s="3" t="s">
        <v>46</v>
      </c>
    </row>
    <row r="1687" spans="4:4" ht="17.649999999999999" x14ac:dyDescent="0.5">
      <c r="D1687" s="3" t="s">
        <v>85</v>
      </c>
    </row>
    <row r="1688" spans="4:4" ht="17.649999999999999" x14ac:dyDescent="0.5">
      <c r="D1688" s="3" t="s">
        <v>67</v>
      </c>
    </row>
    <row r="1689" spans="4:4" ht="17.649999999999999" x14ac:dyDescent="0.5">
      <c r="D1689" s="3" t="s">
        <v>69</v>
      </c>
    </row>
    <row r="1690" spans="4:4" ht="17.649999999999999" x14ac:dyDescent="0.5">
      <c r="D1690" s="3" t="s">
        <v>120</v>
      </c>
    </row>
    <row r="1691" spans="4:4" ht="17.649999999999999" x14ac:dyDescent="0.5">
      <c r="D1691" s="3" t="s">
        <v>59</v>
      </c>
    </row>
    <row r="1692" spans="4:4" ht="17.649999999999999" x14ac:dyDescent="0.5">
      <c r="D1692" s="3" t="s">
        <v>108</v>
      </c>
    </row>
    <row r="1693" spans="4:4" ht="17.649999999999999" x14ac:dyDescent="0.5">
      <c r="D1693" s="3" t="s">
        <v>60</v>
      </c>
    </row>
    <row r="1694" spans="4:4" ht="17.649999999999999" x14ac:dyDescent="0.5">
      <c r="D1694" s="3" t="s">
        <v>47</v>
      </c>
    </row>
    <row r="1695" spans="4:4" ht="17.649999999999999" x14ac:dyDescent="0.5">
      <c r="D1695" s="3" t="s">
        <v>48</v>
      </c>
    </row>
    <row r="1696" spans="4:4" ht="17.649999999999999" x14ac:dyDescent="0.5">
      <c r="D1696" s="3" t="s">
        <v>46</v>
      </c>
    </row>
    <row r="1697" spans="4:4" ht="17.649999999999999" x14ac:dyDescent="0.5">
      <c r="D1697" s="3" t="s">
        <v>66</v>
      </c>
    </row>
    <row r="1698" spans="4:4" ht="17.649999999999999" x14ac:dyDescent="0.5">
      <c r="D1698" s="3" t="s">
        <v>41</v>
      </c>
    </row>
    <row r="1699" spans="4:4" ht="17.649999999999999" x14ac:dyDescent="0.5">
      <c r="D1699" s="3" t="s">
        <v>85</v>
      </c>
    </row>
    <row r="1700" spans="4:4" ht="17.649999999999999" x14ac:dyDescent="0.5">
      <c r="D1700" s="3" t="s">
        <v>98</v>
      </c>
    </row>
    <row r="1701" spans="4:4" ht="17.649999999999999" x14ac:dyDescent="0.5">
      <c r="D1701" s="3" t="s">
        <v>84</v>
      </c>
    </row>
    <row r="1702" spans="4:4" ht="17.649999999999999" x14ac:dyDescent="0.5">
      <c r="D1702" s="3" t="s">
        <v>132</v>
      </c>
    </row>
    <row r="1703" spans="4:4" ht="17.649999999999999" x14ac:dyDescent="0.5">
      <c r="D1703" s="3" t="s">
        <v>49</v>
      </c>
    </row>
    <row r="1704" spans="4:4" ht="17.649999999999999" x14ac:dyDescent="0.5">
      <c r="D1704" s="3" t="s">
        <v>63</v>
      </c>
    </row>
    <row r="1705" spans="4:4" ht="17.649999999999999" x14ac:dyDescent="0.5">
      <c r="D1705" s="3" t="s">
        <v>59</v>
      </c>
    </row>
    <row r="1706" spans="4:4" ht="17.649999999999999" x14ac:dyDescent="0.5">
      <c r="D1706" s="3" t="s">
        <v>67</v>
      </c>
    </row>
    <row r="1707" spans="4:4" ht="17.649999999999999" x14ac:dyDescent="0.5">
      <c r="D1707" s="3" t="s">
        <v>121</v>
      </c>
    </row>
    <row r="1708" spans="4:4" ht="17.649999999999999" x14ac:dyDescent="0.5">
      <c r="D1708" s="3" t="s">
        <v>80</v>
      </c>
    </row>
    <row r="1709" spans="4:4" ht="17.649999999999999" x14ac:dyDescent="0.5">
      <c r="D1709" s="3" t="s">
        <v>44</v>
      </c>
    </row>
    <row r="1710" spans="4:4" ht="17.649999999999999" x14ac:dyDescent="0.5">
      <c r="D1710" s="3" t="s">
        <v>103</v>
      </c>
    </row>
    <row r="1711" spans="4:4" ht="17.649999999999999" x14ac:dyDescent="0.5">
      <c r="D1711" s="3" t="s">
        <v>101</v>
      </c>
    </row>
    <row r="1712" spans="4:4" ht="17.649999999999999" x14ac:dyDescent="0.5">
      <c r="D1712" s="3" t="s">
        <v>87</v>
      </c>
    </row>
    <row r="1713" spans="4:4" ht="17.649999999999999" x14ac:dyDescent="0.5">
      <c r="D1713" s="3" t="s">
        <v>44</v>
      </c>
    </row>
    <row r="1714" spans="4:4" ht="17.649999999999999" x14ac:dyDescent="0.5">
      <c r="D1714" s="3" t="s">
        <v>128</v>
      </c>
    </row>
    <row r="1715" spans="4:4" ht="17.649999999999999" x14ac:dyDescent="0.5">
      <c r="D1715" s="3" t="s">
        <v>105</v>
      </c>
    </row>
    <row r="1716" spans="4:4" ht="17.649999999999999" x14ac:dyDescent="0.5">
      <c r="D1716" s="3" t="s">
        <v>56</v>
      </c>
    </row>
    <row r="1717" spans="4:4" ht="17.649999999999999" x14ac:dyDescent="0.5">
      <c r="D1717" s="3" t="s">
        <v>66</v>
      </c>
    </row>
    <row r="1718" spans="4:4" ht="17.649999999999999" x14ac:dyDescent="0.5">
      <c r="D1718" s="3" t="s">
        <v>73</v>
      </c>
    </row>
    <row r="1719" spans="4:4" ht="17.649999999999999" x14ac:dyDescent="0.5">
      <c r="D1719" s="3" t="s">
        <v>112</v>
      </c>
    </row>
    <row r="1720" spans="4:4" ht="17.649999999999999" x14ac:dyDescent="0.5">
      <c r="D1720" s="3" t="s">
        <v>128</v>
      </c>
    </row>
    <row r="1721" spans="4:4" ht="17.649999999999999" x14ac:dyDescent="0.5">
      <c r="D1721" s="3" t="s">
        <v>61</v>
      </c>
    </row>
    <row r="1722" spans="4:4" ht="17.649999999999999" x14ac:dyDescent="0.5">
      <c r="D1722" s="3" t="s">
        <v>80</v>
      </c>
    </row>
    <row r="1723" spans="4:4" ht="17.649999999999999" x14ac:dyDescent="0.5">
      <c r="D1723" s="3" t="s">
        <v>84</v>
      </c>
    </row>
    <row r="1724" spans="4:4" ht="17.649999999999999" x14ac:dyDescent="0.5">
      <c r="D1724" s="3" t="s">
        <v>128</v>
      </c>
    </row>
    <row r="1725" spans="4:4" ht="17.649999999999999" x14ac:dyDescent="0.5">
      <c r="D1725" s="3" t="s">
        <v>105</v>
      </c>
    </row>
    <row r="1726" spans="4:4" ht="17.649999999999999" x14ac:dyDescent="0.5">
      <c r="D1726" s="3" t="s">
        <v>90</v>
      </c>
    </row>
    <row r="1727" spans="4:4" ht="17.649999999999999" x14ac:dyDescent="0.5">
      <c r="D1727" s="3" t="s">
        <v>57</v>
      </c>
    </row>
    <row r="1728" spans="4:4" ht="17.649999999999999" x14ac:dyDescent="0.5">
      <c r="D1728" s="3" t="s">
        <v>98</v>
      </c>
    </row>
    <row r="1729" spans="4:4" ht="17.649999999999999" x14ac:dyDescent="0.5">
      <c r="D1729" s="3" t="s">
        <v>53</v>
      </c>
    </row>
    <row r="1730" spans="4:4" ht="17.649999999999999" x14ac:dyDescent="0.5">
      <c r="D1730" s="3" t="s">
        <v>91</v>
      </c>
    </row>
    <row r="1731" spans="4:4" ht="17.649999999999999" x14ac:dyDescent="0.5">
      <c r="D1731" s="3" t="s">
        <v>65</v>
      </c>
    </row>
    <row r="1732" spans="4:4" ht="17.649999999999999" x14ac:dyDescent="0.5">
      <c r="D1732" s="3" t="s">
        <v>64</v>
      </c>
    </row>
    <row r="1733" spans="4:4" ht="17.649999999999999" x14ac:dyDescent="0.5">
      <c r="D1733" s="3" t="s">
        <v>61</v>
      </c>
    </row>
    <row r="1734" spans="4:4" ht="17.649999999999999" x14ac:dyDescent="0.5">
      <c r="D1734" s="3" t="s">
        <v>115</v>
      </c>
    </row>
    <row r="1735" spans="4:4" ht="17.649999999999999" x14ac:dyDescent="0.5">
      <c r="D1735" s="3" t="s">
        <v>41</v>
      </c>
    </row>
    <row r="1736" spans="4:4" ht="17.649999999999999" x14ac:dyDescent="0.5">
      <c r="D1736" s="3" t="s">
        <v>111</v>
      </c>
    </row>
    <row r="1737" spans="4:4" ht="17.649999999999999" x14ac:dyDescent="0.5">
      <c r="D1737" s="3" t="s">
        <v>74</v>
      </c>
    </row>
    <row r="1738" spans="4:4" ht="17.649999999999999" x14ac:dyDescent="0.5">
      <c r="D1738" s="3" t="s">
        <v>47</v>
      </c>
    </row>
    <row r="1739" spans="4:4" ht="17.649999999999999" x14ac:dyDescent="0.5">
      <c r="D1739" s="3" t="s">
        <v>69</v>
      </c>
    </row>
    <row r="1740" spans="4:4" ht="17.649999999999999" x14ac:dyDescent="0.5">
      <c r="D1740" s="3" t="s">
        <v>51</v>
      </c>
    </row>
    <row r="1741" spans="4:4" ht="17.649999999999999" x14ac:dyDescent="0.5">
      <c r="D1741" s="3" t="s">
        <v>86</v>
      </c>
    </row>
    <row r="1742" spans="4:4" ht="17.649999999999999" x14ac:dyDescent="0.5">
      <c r="D1742" s="3" t="s">
        <v>41</v>
      </c>
    </row>
    <row r="1743" spans="4:4" ht="17.649999999999999" x14ac:dyDescent="0.5">
      <c r="D1743" s="3" t="s">
        <v>126</v>
      </c>
    </row>
    <row r="1744" spans="4:4" ht="17.649999999999999" x14ac:dyDescent="0.5">
      <c r="D1744" s="3" t="s">
        <v>52</v>
      </c>
    </row>
    <row r="1745" spans="4:4" ht="17.649999999999999" x14ac:dyDescent="0.5">
      <c r="D1745" s="3" t="s">
        <v>65</v>
      </c>
    </row>
    <row r="1746" spans="4:4" ht="17.649999999999999" x14ac:dyDescent="0.5">
      <c r="D1746" s="3" t="s">
        <v>127</v>
      </c>
    </row>
    <row r="1747" spans="4:4" ht="17.649999999999999" x14ac:dyDescent="0.5">
      <c r="D1747" s="3" t="s">
        <v>115</v>
      </c>
    </row>
    <row r="1748" spans="4:4" ht="17.649999999999999" x14ac:dyDescent="0.5">
      <c r="D1748" s="3" t="s">
        <v>49</v>
      </c>
    </row>
    <row r="1749" spans="4:4" ht="17.649999999999999" x14ac:dyDescent="0.5">
      <c r="D1749" s="3" t="s">
        <v>90</v>
      </c>
    </row>
    <row r="1750" spans="4:4" ht="17.649999999999999" x14ac:dyDescent="0.5">
      <c r="D1750" s="3" t="s">
        <v>81</v>
      </c>
    </row>
    <row r="1751" spans="4:4" ht="17.649999999999999" x14ac:dyDescent="0.5">
      <c r="D1751" s="3" t="s">
        <v>98</v>
      </c>
    </row>
    <row r="1752" spans="4:4" ht="17.649999999999999" x14ac:dyDescent="0.5">
      <c r="D1752" s="3" t="s">
        <v>76</v>
      </c>
    </row>
    <row r="1753" spans="4:4" ht="17.649999999999999" x14ac:dyDescent="0.5">
      <c r="D1753" s="3" t="s">
        <v>117</v>
      </c>
    </row>
    <row r="1754" spans="4:4" ht="17.649999999999999" x14ac:dyDescent="0.5">
      <c r="D1754" s="3" t="s">
        <v>61</v>
      </c>
    </row>
    <row r="1755" spans="4:4" ht="17.649999999999999" x14ac:dyDescent="0.5">
      <c r="D1755" s="3" t="s">
        <v>75</v>
      </c>
    </row>
    <row r="1756" spans="4:4" ht="17.649999999999999" x14ac:dyDescent="0.5">
      <c r="D1756" s="3" t="s">
        <v>57</v>
      </c>
    </row>
    <row r="1757" spans="4:4" ht="17.649999999999999" x14ac:dyDescent="0.5">
      <c r="D1757" s="3" t="s">
        <v>100</v>
      </c>
    </row>
    <row r="1758" spans="4:4" ht="17.649999999999999" x14ac:dyDescent="0.5">
      <c r="D1758" s="3" t="s">
        <v>68</v>
      </c>
    </row>
    <row r="1759" spans="4:4" ht="17.649999999999999" x14ac:dyDescent="0.5">
      <c r="D1759" s="3" t="s">
        <v>75</v>
      </c>
    </row>
    <row r="1760" spans="4:4" ht="17.649999999999999" x14ac:dyDescent="0.5">
      <c r="D1760" s="3" t="s">
        <v>49</v>
      </c>
    </row>
    <row r="1761" spans="4:4" ht="17.649999999999999" x14ac:dyDescent="0.5">
      <c r="D1761" s="3" t="s">
        <v>66</v>
      </c>
    </row>
    <row r="1762" spans="4:4" ht="17.649999999999999" x14ac:dyDescent="0.5">
      <c r="D1762" s="3" t="s">
        <v>50</v>
      </c>
    </row>
    <row r="1763" spans="4:4" ht="17.649999999999999" x14ac:dyDescent="0.5">
      <c r="D1763" s="3" t="s">
        <v>59</v>
      </c>
    </row>
    <row r="1764" spans="4:4" ht="17.649999999999999" x14ac:dyDescent="0.5">
      <c r="D1764" s="3" t="s">
        <v>50</v>
      </c>
    </row>
    <row r="1765" spans="4:4" ht="17.649999999999999" x14ac:dyDescent="0.5">
      <c r="D1765" s="3" t="s">
        <v>53</v>
      </c>
    </row>
    <row r="1766" spans="4:4" ht="17.649999999999999" x14ac:dyDescent="0.5">
      <c r="D1766" s="3" t="s">
        <v>54</v>
      </c>
    </row>
    <row r="1767" spans="4:4" ht="17.649999999999999" x14ac:dyDescent="0.5">
      <c r="D1767" s="3" t="s">
        <v>83</v>
      </c>
    </row>
    <row r="1768" spans="4:4" ht="17.649999999999999" x14ac:dyDescent="0.5">
      <c r="D1768" s="3" t="s">
        <v>48</v>
      </c>
    </row>
    <row r="1769" spans="4:4" ht="17.649999999999999" x14ac:dyDescent="0.5">
      <c r="D1769" s="3" t="s">
        <v>47</v>
      </c>
    </row>
    <row r="1770" spans="4:4" ht="17.649999999999999" x14ac:dyDescent="0.5">
      <c r="D1770" s="3" t="s">
        <v>97</v>
      </c>
    </row>
    <row r="1771" spans="4:4" ht="17.649999999999999" x14ac:dyDescent="0.5">
      <c r="D1771" s="3" t="s">
        <v>86</v>
      </c>
    </row>
    <row r="1772" spans="4:4" ht="17.649999999999999" x14ac:dyDescent="0.5">
      <c r="D1772" s="3" t="s">
        <v>68</v>
      </c>
    </row>
    <row r="1773" spans="4:4" ht="17.649999999999999" x14ac:dyDescent="0.5">
      <c r="D1773" s="3" t="s">
        <v>105</v>
      </c>
    </row>
    <row r="1774" spans="4:4" ht="17.649999999999999" x14ac:dyDescent="0.5">
      <c r="D1774" s="3" t="s">
        <v>44</v>
      </c>
    </row>
    <row r="1775" spans="4:4" ht="17.649999999999999" x14ac:dyDescent="0.5">
      <c r="D1775" s="3" t="s">
        <v>66</v>
      </c>
    </row>
    <row r="1776" spans="4:4" ht="17.649999999999999" x14ac:dyDescent="0.5">
      <c r="D1776" s="3" t="s">
        <v>91</v>
      </c>
    </row>
    <row r="1777" spans="4:4" ht="17.649999999999999" x14ac:dyDescent="0.5">
      <c r="D1777" s="3" t="s">
        <v>72</v>
      </c>
    </row>
    <row r="1778" spans="4:4" ht="17.649999999999999" x14ac:dyDescent="0.5">
      <c r="D1778" s="3" t="s">
        <v>50</v>
      </c>
    </row>
    <row r="1779" spans="4:4" ht="17.649999999999999" x14ac:dyDescent="0.5">
      <c r="D1779" s="3" t="s">
        <v>64</v>
      </c>
    </row>
    <row r="1780" spans="4:4" ht="17.649999999999999" x14ac:dyDescent="0.5">
      <c r="D1780" s="3" t="s">
        <v>53</v>
      </c>
    </row>
    <row r="1781" spans="4:4" ht="17.649999999999999" x14ac:dyDescent="0.5">
      <c r="D1781" s="3" t="s">
        <v>90</v>
      </c>
    </row>
    <row r="1782" spans="4:4" ht="17.649999999999999" x14ac:dyDescent="0.5">
      <c r="D1782" s="3" t="s">
        <v>52</v>
      </c>
    </row>
    <row r="1783" spans="4:4" ht="17.649999999999999" x14ac:dyDescent="0.5">
      <c r="D1783" s="3" t="s">
        <v>125</v>
      </c>
    </row>
    <row r="1784" spans="4:4" ht="17.649999999999999" x14ac:dyDescent="0.5">
      <c r="D1784" s="3" t="s">
        <v>100</v>
      </c>
    </row>
    <row r="1785" spans="4:4" ht="17.649999999999999" x14ac:dyDescent="0.5">
      <c r="D1785" s="3" t="s">
        <v>45</v>
      </c>
    </row>
    <row r="1786" spans="4:4" ht="17.649999999999999" x14ac:dyDescent="0.5">
      <c r="D1786" s="3" t="s">
        <v>69</v>
      </c>
    </row>
    <row r="1787" spans="4:4" ht="17.649999999999999" x14ac:dyDescent="0.5">
      <c r="D1787" s="3" t="s">
        <v>67</v>
      </c>
    </row>
    <row r="1788" spans="4:4" ht="17.649999999999999" x14ac:dyDescent="0.5">
      <c r="D1788" s="3" t="s">
        <v>80</v>
      </c>
    </row>
    <row r="1789" spans="4:4" ht="17.649999999999999" x14ac:dyDescent="0.5">
      <c r="D1789" s="3" t="s">
        <v>117</v>
      </c>
    </row>
    <row r="1790" spans="4:4" ht="17.649999999999999" x14ac:dyDescent="0.5">
      <c r="D1790" s="3" t="s">
        <v>68</v>
      </c>
    </row>
    <row r="1791" spans="4:4" ht="17.649999999999999" x14ac:dyDescent="0.5">
      <c r="D1791" s="3" t="s">
        <v>77</v>
      </c>
    </row>
    <row r="1792" spans="4:4" ht="17.649999999999999" x14ac:dyDescent="0.5">
      <c r="D1792" s="3" t="s">
        <v>101</v>
      </c>
    </row>
    <row r="1793" spans="4:4" ht="17.649999999999999" x14ac:dyDescent="0.5">
      <c r="D1793" s="3" t="s">
        <v>95</v>
      </c>
    </row>
    <row r="1794" spans="4:4" ht="17.649999999999999" x14ac:dyDescent="0.5">
      <c r="D1794" s="3" t="s">
        <v>92</v>
      </c>
    </row>
    <row r="1795" spans="4:4" ht="17.649999999999999" x14ac:dyDescent="0.5">
      <c r="D1795" s="3" t="s">
        <v>107</v>
      </c>
    </row>
    <row r="1796" spans="4:4" ht="17.649999999999999" x14ac:dyDescent="0.5">
      <c r="D1796" s="3" t="s">
        <v>103</v>
      </c>
    </row>
    <row r="1797" spans="4:4" ht="17.649999999999999" x14ac:dyDescent="0.5">
      <c r="D1797" s="3" t="s">
        <v>135</v>
      </c>
    </row>
    <row r="1798" spans="4:4" ht="17.649999999999999" x14ac:dyDescent="0.5">
      <c r="D1798" s="3" t="s">
        <v>41</v>
      </c>
    </row>
    <row r="1799" spans="4:4" ht="17.649999999999999" x14ac:dyDescent="0.5">
      <c r="D1799" s="3" t="s">
        <v>87</v>
      </c>
    </row>
    <row r="1800" spans="4:4" ht="17.649999999999999" x14ac:dyDescent="0.5">
      <c r="D1800" s="3" t="s">
        <v>69</v>
      </c>
    </row>
    <row r="1801" spans="4:4" ht="17.649999999999999" x14ac:dyDescent="0.5">
      <c r="D1801" s="3" t="s">
        <v>98</v>
      </c>
    </row>
    <row r="1802" spans="4:4" ht="17.649999999999999" x14ac:dyDescent="0.5">
      <c r="D1802" s="3" t="s">
        <v>65</v>
      </c>
    </row>
    <row r="1803" spans="4:4" ht="17.649999999999999" x14ac:dyDescent="0.5">
      <c r="D1803" s="3" t="s">
        <v>77</v>
      </c>
    </row>
    <row r="1804" spans="4:4" ht="17.649999999999999" x14ac:dyDescent="0.5">
      <c r="D1804" s="3" t="s">
        <v>90</v>
      </c>
    </row>
    <row r="1805" spans="4:4" ht="17.649999999999999" x14ac:dyDescent="0.5">
      <c r="D1805" s="3" t="s">
        <v>50</v>
      </c>
    </row>
    <row r="1806" spans="4:4" ht="17.649999999999999" x14ac:dyDescent="0.5">
      <c r="D1806" s="3" t="s">
        <v>100</v>
      </c>
    </row>
    <row r="1807" spans="4:4" ht="17.649999999999999" x14ac:dyDescent="0.5">
      <c r="D1807" s="3" t="s">
        <v>66</v>
      </c>
    </row>
    <row r="1808" spans="4:4" ht="17.649999999999999" x14ac:dyDescent="0.5">
      <c r="D1808" s="3" t="s">
        <v>96</v>
      </c>
    </row>
    <row r="1809" spans="4:4" ht="17.649999999999999" x14ac:dyDescent="0.5">
      <c r="D1809" s="3" t="s">
        <v>74</v>
      </c>
    </row>
    <row r="1810" spans="4:4" ht="17.649999999999999" x14ac:dyDescent="0.5">
      <c r="D1810" s="3" t="s">
        <v>43</v>
      </c>
    </row>
    <row r="1811" spans="4:4" ht="17.649999999999999" x14ac:dyDescent="0.5">
      <c r="D1811" s="3" t="s">
        <v>68</v>
      </c>
    </row>
    <row r="1812" spans="4:4" ht="17.649999999999999" x14ac:dyDescent="0.5">
      <c r="D1812" s="3" t="s">
        <v>41</v>
      </c>
    </row>
    <row r="1813" spans="4:4" ht="17.649999999999999" x14ac:dyDescent="0.5">
      <c r="D1813" s="3" t="s">
        <v>93</v>
      </c>
    </row>
    <row r="1814" spans="4:4" ht="17.649999999999999" x14ac:dyDescent="0.5">
      <c r="D1814" s="3" t="s">
        <v>115</v>
      </c>
    </row>
    <row r="1815" spans="4:4" ht="17.649999999999999" x14ac:dyDescent="0.5">
      <c r="D1815" s="3" t="s">
        <v>80</v>
      </c>
    </row>
    <row r="1816" spans="4:4" ht="17.649999999999999" x14ac:dyDescent="0.5">
      <c r="D1816" s="3" t="s">
        <v>92</v>
      </c>
    </row>
    <row r="1817" spans="4:4" ht="17.649999999999999" x14ac:dyDescent="0.5">
      <c r="D1817" s="3" t="s">
        <v>120</v>
      </c>
    </row>
    <row r="1818" spans="4:4" ht="17.649999999999999" x14ac:dyDescent="0.5">
      <c r="D1818" s="3" t="s">
        <v>50</v>
      </c>
    </row>
    <row r="1819" spans="4:4" ht="17.649999999999999" x14ac:dyDescent="0.5">
      <c r="D1819" s="3" t="s">
        <v>59</v>
      </c>
    </row>
    <row r="1820" spans="4:4" ht="17.649999999999999" x14ac:dyDescent="0.5">
      <c r="D1820" s="3" t="s">
        <v>63</v>
      </c>
    </row>
    <row r="1821" spans="4:4" ht="17.649999999999999" x14ac:dyDescent="0.5">
      <c r="D1821" s="3" t="s">
        <v>74</v>
      </c>
    </row>
    <row r="1822" spans="4:4" ht="17.649999999999999" x14ac:dyDescent="0.5">
      <c r="D1822" s="3" t="s">
        <v>117</v>
      </c>
    </row>
    <row r="1823" spans="4:4" ht="17.649999999999999" x14ac:dyDescent="0.5">
      <c r="D1823" s="3" t="s">
        <v>105</v>
      </c>
    </row>
    <row r="1824" spans="4:4" ht="17.649999999999999" x14ac:dyDescent="0.5">
      <c r="D1824" s="3" t="s">
        <v>135</v>
      </c>
    </row>
    <row r="1825" spans="4:4" ht="17.649999999999999" x14ac:dyDescent="0.5">
      <c r="D1825" s="3" t="s">
        <v>115</v>
      </c>
    </row>
    <row r="1826" spans="4:4" ht="17.649999999999999" x14ac:dyDescent="0.5">
      <c r="D1826" s="3" t="s">
        <v>103</v>
      </c>
    </row>
    <row r="1827" spans="4:4" ht="17.649999999999999" x14ac:dyDescent="0.5">
      <c r="D1827" s="3" t="s">
        <v>74</v>
      </c>
    </row>
    <row r="1828" spans="4:4" ht="17.649999999999999" x14ac:dyDescent="0.5">
      <c r="D1828" s="3" t="s">
        <v>123</v>
      </c>
    </row>
    <row r="1829" spans="4:4" ht="17.649999999999999" x14ac:dyDescent="0.5">
      <c r="D1829" s="3" t="s">
        <v>75</v>
      </c>
    </row>
    <row r="1830" spans="4:4" ht="17.649999999999999" x14ac:dyDescent="0.5">
      <c r="D1830" s="3" t="s">
        <v>90</v>
      </c>
    </row>
    <row r="1831" spans="4:4" ht="17.649999999999999" x14ac:dyDescent="0.5">
      <c r="D1831" s="3" t="s">
        <v>64</v>
      </c>
    </row>
    <row r="1832" spans="4:4" ht="17.649999999999999" x14ac:dyDescent="0.5">
      <c r="D1832" s="3" t="s">
        <v>46</v>
      </c>
    </row>
    <row r="1833" spans="4:4" ht="17.649999999999999" x14ac:dyDescent="0.5">
      <c r="D1833" s="3" t="s">
        <v>101</v>
      </c>
    </row>
    <row r="1834" spans="4:4" ht="17.649999999999999" x14ac:dyDescent="0.5">
      <c r="D1834" s="3" t="s">
        <v>65</v>
      </c>
    </row>
    <row r="1835" spans="4:4" ht="17.649999999999999" x14ac:dyDescent="0.5">
      <c r="D1835" s="3" t="s">
        <v>81</v>
      </c>
    </row>
    <row r="1836" spans="4:4" ht="17.649999999999999" x14ac:dyDescent="0.5">
      <c r="D1836" s="3" t="s">
        <v>122</v>
      </c>
    </row>
    <row r="1837" spans="4:4" ht="17.649999999999999" x14ac:dyDescent="0.5">
      <c r="D1837" s="3" t="s">
        <v>57</v>
      </c>
    </row>
    <row r="1838" spans="4:4" ht="17.649999999999999" x14ac:dyDescent="0.5">
      <c r="D1838" s="3" t="s">
        <v>96</v>
      </c>
    </row>
    <row r="1839" spans="4:4" ht="17.649999999999999" x14ac:dyDescent="0.5">
      <c r="D1839" s="3" t="s">
        <v>77</v>
      </c>
    </row>
    <row r="1840" spans="4:4" ht="17.649999999999999" x14ac:dyDescent="0.5">
      <c r="D1840" s="3" t="s">
        <v>88</v>
      </c>
    </row>
    <row r="1841" spans="4:4" ht="17.649999999999999" x14ac:dyDescent="0.5">
      <c r="D1841" s="3" t="s">
        <v>81</v>
      </c>
    </row>
    <row r="1842" spans="4:4" ht="17.649999999999999" x14ac:dyDescent="0.5">
      <c r="D1842" s="3" t="s">
        <v>63</v>
      </c>
    </row>
    <row r="1843" spans="4:4" ht="17.649999999999999" x14ac:dyDescent="0.5">
      <c r="D1843" s="3" t="s">
        <v>120</v>
      </c>
    </row>
    <row r="1844" spans="4:4" ht="17.649999999999999" x14ac:dyDescent="0.5">
      <c r="D1844" s="3" t="s">
        <v>78</v>
      </c>
    </row>
    <row r="1845" spans="4:4" ht="17.649999999999999" x14ac:dyDescent="0.5">
      <c r="D1845" s="3" t="s">
        <v>95</v>
      </c>
    </row>
    <row r="1846" spans="4:4" ht="17.649999999999999" x14ac:dyDescent="0.5">
      <c r="D1846" s="3" t="s">
        <v>115</v>
      </c>
    </row>
    <row r="1847" spans="4:4" ht="17.649999999999999" x14ac:dyDescent="0.5">
      <c r="D1847" s="3" t="s">
        <v>57</v>
      </c>
    </row>
    <row r="1848" spans="4:4" ht="17.649999999999999" x14ac:dyDescent="0.5">
      <c r="D1848" s="3" t="s">
        <v>117</v>
      </c>
    </row>
    <row r="1849" spans="4:4" ht="17.649999999999999" x14ac:dyDescent="0.5">
      <c r="D1849" s="3" t="s">
        <v>85</v>
      </c>
    </row>
    <row r="1850" spans="4:4" ht="17.649999999999999" x14ac:dyDescent="0.5">
      <c r="D1850" s="3" t="s">
        <v>54</v>
      </c>
    </row>
    <row r="1851" spans="4:4" ht="17.649999999999999" x14ac:dyDescent="0.5">
      <c r="D1851" s="3" t="s">
        <v>65</v>
      </c>
    </row>
    <row r="1852" spans="4:4" ht="17.649999999999999" x14ac:dyDescent="0.5">
      <c r="D1852" s="3" t="s">
        <v>69</v>
      </c>
    </row>
    <row r="1853" spans="4:4" ht="17.649999999999999" x14ac:dyDescent="0.5">
      <c r="D1853" s="3" t="s">
        <v>117</v>
      </c>
    </row>
    <row r="1854" spans="4:4" ht="17.649999999999999" x14ac:dyDescent="0.5">
      <c r="D1854" s="3" t="s">
        <v>100</v>
      </c>
    </row>
    <row r="1855" spans="4:4" ht="17.649999999999999" x14ac:dyDescent="0.5">
      <c r="D1855" s="3" t="s">
        <v>59</v>
      </c>
    </row>
    <row r="1856" spans="4:4" ht="17.649999999999999" x14ac:dyDescent="0.5">
      <c r="D1856" s="3" t="s">
        <v>49</v>
      </c>
    </row>
    <row r="1857" spans="4:4" ht="17.649999999999999" x14ac:dyDescent="0.5">
      <c r="D1857" s="3" t="s">
        <v>92</v>
      </c>
    </row>
    <row r="1858" spans="4:4" ht="17.649999999999999" x14ac:dyDescent="0.5">
      <c r="D1858" s="3" t="s">
        <v>90</v>
      </c>
    </row>
    <row r="1859" spans="4:4" ht="17.649999999999999" x14ac:dyDescent="0.5">
      <c r="D1859" s="3" t="s">
        <v>125</v>
      </c>
    </row>
    <row r="1860" spans="4:4" ht="17.649999999999999" x14ac:dyDescent="0.5">
      <c r="D1860" s="3" t="s">
        <v>112</v>
      </c>
    </row>
    <row r="1861" spans="4:4" ht="17.649999999999999" x14ac:dyDescent="0.5">
      <c r="D1861" s="3" t="s">
        <v>111</v>
      </c>
    </row>
    <row r="1862" spans="4:4" ht="17.649999999999999" x14ac:dyDescent="0.5">
      <c r="D1862" s="3" t="s">
        <v>50</v>
      </c>
    </row>
    <row r="1863" spans="4:4" ht="17.649999999999999" x14ac:dyDescent="0.5">
      <c r="D1863" s="3" t="s">
        <v>47</v>
      </c>
    </row>
    <row r="1864" spans="4:4" ht="17.649999999999999" x14ac:dyDescent="0.5">
      <c r="D1864" s="3" t="s">
        <v>112</v>
      </c>
    </row>
    <row r="1865" spans="4:4" ht="17.649999999999999" x14ac:dyDescent="0.5">
      <c r="D1865" s="3" t="s">
        <v>124</v>
      </c>
    </row>
    <row r="1866" spans="4:4" ht="17.649999999999999" x14ac:dyDescent="0.5">
      <c r="D1866" s="3" t="s">
        <v>64</v>
      </c>
    </row>
    <row r="1867" spans="4:4" ht="17.649999999999999" x14ac:dyDescent="0.5">
      <c r="D1867" s="3" t="s">
        <v>51</v>
      </c>
    </row>
    <row r="1868" spans="4:4" ht="17.649999999999999" x14ac:dyDescent="0.5">
      <c r="D1868" s="3" t="s">
        <v>50</v>
      </c>
    </row>
    <row r="1869" spans="4:4" ht="17.649999999999999" x14ac:dyDescent="0.5">
      <c r="D1869" s="3" t="s">
        <v>107</v>
      </c>
    </row>
    <row r="1870" spans="4:4" ht="17.649999999999999" x14ac:dyDescent="0.5">
      <c r="D1870" s="3" t="s">
        <v>130</v>
      </c>
    </row>
    <row r="1871" spans="4:4" ht="17.649999999999999" x14ac:dyDescent="0.5">
      <c r="D1871" s="3" t="s">
        <v>92</v>
      </c>
    </row>
    <row r="1872" spans="4:4" ht="17.649999999999999" x14ac:dyDescent="0.5">
      <c r="D1872" s="3" t="s">
        <v>71</v>
      </c>
    </row>
    <row r="1873" spans="4:4" ht="17.649999999999999" x14ac:dyDescent="0.5">
      <c r="D1873" s="3" t="s">
        <v>91</v>
      </c>
    </row>
    <row r="1874" spans="4:4" ht="17.649999999999999" x14ac:dyDescent="0.5">
      <c r="D1874" s="3" t="s">
        <v>115</v>
      </c>
    </row>
    <row r="1875" spans="4:4" ht="17.649999999999999" x14ac:dyDescent="0.5">
      <c r="D1875" s="3" t="s">
        <v>81</v>
      </c>
    </row>
    <row r="1876" spans="4:4" ht="17.649999999999999" x14ac:dyDescent="0.5">
      <c r="D1876" s="3" t="s">
        <v>65</v>
      </c>
    </row>
    <row r="1877" spans="4:4" ht="17.649999999999999" x14ac:dyDescent="0.5">
      <c r="D1877" s="3" t="s">
        <v>47</v>
      </c>
    </row>
    <row r="1878" spans="4:4" ht="17.649999999999999" x14ac:dyDescent="0.5">
      <c r="D1878" s="3" t="s">
        <v>64</v>
      </c>
    </row>
    <row r="1879" spans="4:4" ht="17.649999999999999" x14ac:dyDescent="0.5">
      <c r="D1879" s="3" t="s">
        <v>54</v>
      </c>
    </row>
    <row r="1880" spans="4:4" ht="17.649999999999999" x14ac:dyDescent="0.5">
      <c r="D1880" s="3" t="s">
        <v>106</v>
      </c>
    </row>
    <row r="1881" spans="4:4" ht="17.649999999999999" x14ac:dyDescent="0.5">
      <c r="D1881" s="3" t="s">
        <v>115</v>
      </c>
    </row>
    <row r="1882" spans="4:4" ht="17.649999999999999" x14ac:dyDescent="0.5">
      <c r="D1882" s="3" t="s">
        <v>98</v>
      </c>
    </row>
    <row r="1883" spans="4:4" ht="17.649999999999999" x14ac:dyDescent="0.5">
      <c r="D1883" s="3" t="s">
        <v>117</v>
      </c>
    </row>
    <row r="1884" spans="4:4" ht="17.649999999999999" x14ac:dyDescent="0.5">
      <c r="D1884" s="3" t="s">
        <v>57</v>
      </c>
    </row>
    <row r="1885" spans="4:4" ht="17.649999999999999" x14ac:dyDescent="0.5">
      <c r="D1885" s="3" t="s">
        <v>68</v>
      </c>
    </row>
    <row r="1886" spans="4:4" ht="17.649999999999999" x14ac:dyDescent="0.5">
      <c r="D1886" s="3" t="s">
        <v>96</v>
      </c>
    </row>
    <row r="1887" spans="4:4" ht="17.649999999999999" x14ac:dyDescent="0.5">
      <c r="D1887" s="3" t="s">
        <v>66</v>
      </c>
    </row>
    <row r="1888" spans="4:4" ht="17.649999999999999" x14ac:dyDescent="0.5">
      <c r="D1888" s="3" t="s">
        <v>41</v>
      </c>
    </row>
    <row r="1889" spans="4:4" ht="17.649999999999999" x14ac:dyDescent="0.5">
      <c r="D1889" s="3" t="s">
        <v>61</v>
      </c>
    </row>
    <row r="1890" spans="4:4" ht="17.649999999999999" x14ac:dyDescent="0.5">
      <c r="D1890" s="3" t="s">
        <v>95</v>
      </c>
    </row>
    <row r="1891" spans="4:4" ht="17.649999999999999" x14ac:dyDescent="0.5">
      <c r="D1891" s="3" t="s">
        <v>103</v>
      </c>
    </row>
    <row r="1892" spans="4:4" ht="17.649999999999999" x14ac:dyDescent="0.5">
      <c r="D1892" s="3" t="s">
        <v>51</v>
      </c>
    </row>
    <row r="1893" spans="4:4" ht="17.649999999999999" x14ac:dyDescent="0.5">
      <c r="D1893" s="3" t="s">
        <v>49</v>
      </c>
    </row>
    <row r="1894" spans="4:4" ht="17.649999999999999" x14ac:dyDescent="0.5">
      <c r="D1894" s="3" t="s">
        <v>78</v>
      </c>
    </row>
    <row r="1895" spans="4:4" ht="17.649999999999999" x14ac:dyDescent="0.5">
      <c r="D1895" s="3" t="s">
        <v>124</v>
      </c>
    </row>
    <row r="1896" spans="4:4" ht="17.649999999999999" x14ac:dyDescent="0.5">
      <c r="D1896" s="3" t="s">
        <v>72</v>
      </c>
    </row>
    <row r="1897" spans="4:4" ht="17.649999999999999" x14ac:dyDescent="0.5">
      <c r="D1897" s="3" t="s">
        <v>71</v>
      </c>
    </row>
    <row r="1898" spans="4:4" ht="17.649999999999999" x14ac:dyDescent="0.5">
      <c r="D1898" s="3" t="s">
        <v>115</v>
      </c>
    </row>
    <row r="1899" spans="4:4" ht="17.649999999999999" x14ac:dyDescent="0.5">
      <c r="D1899" s="3" t="s">
        <v>136</v>
      </c>
    </row>
    <row r="1900" spans="4:4" ht="17.649999999999999" x14ac:dyDescent="0.5">
      <c r="D1900" s="3" t="s">
        <v>91</v>
      </c>
    </row>
    <row r="1901" spans="4:4" ht="17.649999999999999" x14ac:dyDescent="0.5">
      <c r="D1901" s="3" t="s">
        <v>41</v>
      </c>
    </row>
    <row r="1902" spans="4:4" ht="17.649999999999999" x14ac:dyDescent="0.5">
      <c r="D1902" s="3" t="s">
        <v>84</v>
      </c>
    </row>
    <row r="1903" spans="4:4" ht="17.649999999999999" x14ac:dyDescent="0.5">
      <c r="D1903" s="3" t="s">
        <v>66</v>
      </c>
    </row>
    <row r="1904" spans="4:4" ht="17.649999999999999" x14ac:dyDescent="0.5">
      <c r="D1904" s="3" t="s">
        <v>115</v>
      </c>
    </row>
    <row r="1905" spans="4:4" ht="17.649999999999999" x14ac:dyDescent="0.5">
      <c r="D1905" s="3" t="s">
        <v>132</v>
      </c>
    </row>
    <row r="1906" spans="4:4" ht="17.649999999999999" x14ac:dyDescent="0.5">
      <c r="D1906" s="3" t="s">
        <v>77</v>
      </c>
    </row>
    <row r="1907" spans="4:4" ht="17.649999999999999" x14ac:dyDescent="0.5">
      <c r="D1907" s="3" t="s">
        <v>115</v>
      </c>
    </row>
    <row r="1908" spans="4:4" ht="17.649999999999999" x14ac:dyDescent="0.5">
      <c r="D1908" s="3" t="s">
        <v>83</v>
      </c>
    </row>
    <row r="1909" spans="4:4" ht="17.649999999999999" x14ac:dyDescent="0.5">
      <c r="D1909" s="3" t="s">
        <v>70</v>
      </c>
    </row>
    <row r="1910" spans="4:4" ht="17.649999999999999" x14ac:dyDescent="0.5">
      <c r="D1910" s="3" t="s">
        <v>92</v>
      </c>
    </row>
    <row r="1911" spans="4:4" ht="17.649999999999999" x14ac:dyDescent="0.5">
      <c r="D1911" s="3" t="s">
        <v>43</v>
      </c>
    </row>
    <row r="1912" spans="4:4" ht="17.649999999999999" x14ac:dyDescent="0.5">
      <c r="D1912" s="3" t="s">
        <v>96</v>
      </c>
    </row>
    <row r="1913" spans="4:4" ht="17.649999999999999" x14ac:dyDescent="0.5">
      <c r="D1913" s="3" t="s">
        <v>84</v>
      </c>
    </row>
    <row r="1914" spans="4:4" ht="17.649999999999999" x14ac:dyDescent="0.5">
      <c r="D1914" s="3" t="s">
        <v>75</v>
      </c>
    </row>
    <row r="1915" spans="4:4" ht="17.649999999999999" x14ac:dyDescent="0.5">
      <c r="D1915" s="3" t="s">
        <v>91</v>
      </c>
    </row>
    <row r="1916" spans="4:4" ht="17.649999999999999" x14ac:dyDescent="0.5">
      <c r="D1916" s="3" t="s">
        <v>104</v>
      </c>
    </row>
    <row r="1917" spans="4:4" ht="17.649999999999999" x14ac:dyDescent="0.5">
      <c r="D1917" s="3" t="s">
        <v>55</v>
      </c>
    </row>
    <row r="1918" spans="4:4" ht="17.649999999999999" x14ac:dyDescent="0.5">
      <c r="D1918" s="3" t="s">
        <v>78</v>
      </c>
    </row>
    <row r="1919" spans="4:4" ht="17.649999999999999" x14ac:dyDescent="0.5">
      <c r="D1919" s="3" t="s">
        <v>98</v>
      </c>
    </row>
    <row r="1920" spans="4:4" ht="17.649999999999999" x14ac:dyDescent="0.5">
      <c r="D1920" s="3" t="s">
        <v>65</v>
      </c>
    </row>
    <row r="1921" spans="4:4" ht="17.649999999999999" x14ac:dyDescent="0.5">
      <c r="D1921" s="3" t="s">
        <v>123</v>
      </c>
    </row>
    <row r="1922" spans="4:4" ht="17.649999999999999" x14ac:dyDescent="0.5">
      <c r="D1922" s="3" t="s">
        <v>56</v>
      </c>
    </row>
    <row r="1923" spans="4:4" ht="17.649999999999999" x14ac:dyDescent="0.5">
      <c r="D1923" s="3" t="s">
        <v>54</v>
      </c>
    </row>
    <row r="1924" spans="4:4" ht="17.649999999999999" x14ac:dyDescent="0.5">
      <c r="D1924" s="3" t="s">
        <v>55</v>
      </c>
    </row>
    <row r="1925" spans="4:4" ht="17.649999999999999" x14ac:dyDescent="0.5">
      <c r="D1925" s="3" t="s">
        <v>115</v>
      </c>
    </row>
    <row r="1926" spans="4:4" ht="17.649999999999999" x14ac:dyDescent="0.5">
      <c r="D1926" s="3" t="s">
        <v>92</v>
      </c>
    </row>
    <row r="1927" spans="4:4" ht="17.649999999999999" x14ac:dyDescent="0.5">
      <c r="D1927" s="3" t="s">
        <v>77</v>
      </c>
    </row>
    <row r="1928" spans="4:4" ht="17.649999999999999" x14ac:dyDescent="0.5">
      <c r="D1928" s="3" t="s">
        <v>51</v>
      </c>
    </row>
    <row r="1929" spans="4:4" ht="17.649999999999999" x14ac:dyDescent="0.5">
      <c r="D1929" s="3" t="s">
        <v>107</v>
      </c>
    </row>
    <row r="1930" spans="4:4" ht="17.649999999999999" x14ac:dyDescent="0.5">
      <c r="D1930" s="3" t="s">
        <v>50</v>
      </c>
    </row>
    <row r="1931" spans="4:4" ht="17.649999999999999" x14ac:dyDescent="0.5">
      <c r="D1931" s="3" t="s">
        <v>90</v>
      </c>
    </row>
    <row r="1932" spans="4:4" ht="17.649999999999999" x14ac:dyDescent="0.5">
      <c r="D1932" s="3" t="s">
        <v>133</v>
      </c>
    </row>
    <row r="1933" spans="4:4" ht="17.649999999999999" x14ac:dyDescent="0.5">
      <c r="D1933" s="3" t="s">
        <v>70</v>
      </c>
    </row>
    <row r="1934" spans="4:4" ht="17.649999999999999" x14ac:dyDescent="0.5">
      <c r="D1934" s="3" t="s">
        <v>91</v>
      </c>
    </row>
    <row r="1935" spans="4:4" ht="17.649999999999999" x14ac:dyDescent="0.5">
      <c r="D1935" s="3" t="s">
        <v>44</v>
      </c>
    </row>
    <row r="1936" spans="4:4" ht="17.649999999999999" x14ac:dyDescent="0.5">
      <c r="D1936" s="3" t="s">
        <v>69</v>
      </c>
    </row>
    <row r="1937" spans="4:4" ht="17.649999999999999" x14ac:dyDescent="0.5">
      <c r="D1937" s="3" t="s">
        <v>117</v>
      </c>
    </row>
    <row r="1938" spans="4:4" ht="17.649999999999999" x14ac:dyDescent="0.5">
      <c r="D1938" s="3" t="s">
        <v>126</v>
      </c>
    </row>
    <row r="1939" spans="4:4" ht="17.649999999999999" x14ac:dyDescent="0.5">
      <c r="D1939" s="3" t="s">
        <v>72</v>
      </c>
    </row>
    <row r="1940" spans="4:4" ht="17.649999999999999" x14ac:dyDescent="0.5">
      <c r="D1940" s="3" t="s">
        <v>59</v>
      </c>
    </row>
    <row r="1941" spans="4:4" ht="17.649999999999999" x14ac:dyDescent="0.5">
      <c r="D1941" s="3" t="s">
        <v>68</v>
      </c>
    </row>
    <row r="1942" spans="4:4" ht="17.649999999999999" x14ac:dyDescent="0.5">
      <c r="D1942" s="3" t="s">
        <v>41</v>
      </c>
    </row>
    <row r="1943" spans="4:4" ht="17.649999999999999" x14ac:dyDescent="0.5">
      <c r="D1943" s="3" t="s">
        <v>133</v>
      </c>
    </row>
    <row r="1944" spans="4:4" ht="17.649999999999999" x14ac:dyDescent="0.5">
      <c r="D1944" s="3" t="s">
        <v>103</v>
      </c>
    </row>
    <row r="1945" spans="4:4" ht="17.649999999999999" x14ac:dyDescent="0.5">
      <c r="D1945" s="3" t="s">
        <v>53</v>
      </c>
    </row>
    <row r="1946" spans="4:4" ht="17.649999999999999" x14ac:dyDescent="0.5">
      <c r="D1946" s="3" t="s">
        <v>77</v>
      </c>
    </row>
    <row r="1947" spans="4:4" ht="17.649999999999999" x14ac:dyDescent="0.5">
      <c r="D1947" s="3" t="s">
        <v>67</v>
      </c>
    </row>
    <row r="1948" spans="4:4" ht="17.649999999999999" x14ac:dyDescent="0.5">
      <c r="D1948" s="3" t="s">
        <v>48</v>
      </c>
    </row>
    <row r="1949" spans="4:4" ht="17.649999999999999" x14ac:dyDescent="0.5">
      <c r="D1949" s="3" t="s">
        <v>80</v>
      </c>
    </row>
    <row r="1950" spans="4:4" ht="17.649999999999999" x14ac:dyDescent="0.5">
      <c r="D1950" s="3" t="s">
        <v>47</v>
      </c>
    </row>
    <row r="1951" spans="4:4" ht="17.649999999999999" x14ac:dyDescent="0.5">
      <c r="D1951" s="3" t="s">
        <v>41</v>
      </c>
    </row>
    <row r="1952" spans="4:4" ht="17.649999999999999" x14ac:dyDescent="0.5">
      <c r="D1952" s="3" t="s">
        <v>86</v>
      </c>
    </row>
    <row r="1953" spans="4:4" ht="17.649999999999999" x14ac:dyDescent="0.5">
      <c r="D1953" s="3" t="s">
        <v>84</v>
      </c>
    </row>
    <row r="1954" spans="4:4" ht="17.649999999999999" x14ac:dyDescent="0.5">
      <c r="D1954" s="3" t="s">
        <v>73</v>
      </c>
    </row>
    <row r="1955" spans="4:4" ht="17.649999999999999" x14ac:dyDescent="0.5">
      <c r="D1955" s="3" t="s">
        <v>90</v>
      </c>
    </row>
    <row r="1956" spans="4:4" ht="17.649999999999999" x14ac:dyDescent="0.5">
      <c r="D1956" s="3" t="s">
        <v>54</v>
      </c>
    </row>
    <row r="1957" spans="4:4" ht="17.649999999999999" x14ac:dyDescent="0.5">
      <c r="D1957" s="3" t="s">
        <v>47</v>
      </c>
    </row>
    <row r="1958" spans="4:4" ht="17.649999999999999" x14ac:dyDescent="0.5">
      <c r="D1958" s="3" t="s">
        <v>98</v>
      </c>
    </row>
    <row r="1959" spans="4:4" ht="17.649999999999999" x14ac:dyDescent="0.5">
      <c r="D1959" s="3" t="s">
        <v>115</v>
      </c>
    </row>
    <row r="1960" spans="4:4" ht="17.649999999999999" x14ac:dyDescent="0.5">
      <c r="D1960" s="3" t="s">
        <v>67</v>
      </c>
    </row>
    <row r="1961" spans="4:4" ht="17.649999999999999" x14ac:dyDescent="0.5">
      <c r="D1961" s="3" t="s">
        <v>57</v>
      </c>
    </row>
    <row r="1962" spans="4:4" ht="17.649999999999999" x14ac:dyDescent="0.5">
      <c r="D1962" s="3" t="s">
        <v>56</v>
      </c>
    </row>
    <row r="1963" spans="4:4" ht="17.649999999999999" x14ac:dyDescent="0.5">
      <c r="D1963" s="3" t="s">
        <v>67</v>
      </c>
    </row>
    <row r="1964" spans="4:4" ht="17.649999999999999" x14ac:dyDescent="0.5">
      <c r="D1964" s="3" t="s">
        <v>75</v>
      </c>
    </row>
    <row r="1965" spans="4:4" ht="17.649999999999999" x14ac:dyDescent="0.5">
      <c r="D1965" s="3" t="s">
        <v>83</v>
      </c>
    </row>
    <row r="1966" spans="4:4" ht="17.649999999999999" x14ac:dyDescent="0.5">
      <c r="D1966" s="3" t="s">
        <v>101</v>
      </c>
    </row>
    <row r="1967" spans="4:4" ht="17.649999999999999" x14ac:dyDescent="0.5">
      <c r="D1967" s="3" t="s">
        <v>98</v>
      </c>
    </row>
    <row r="1968" spans="4:4" ht="17.649999999999999" x14ac:dyDescent="0.5">
      <c r="D1968" s="3" t="s">
        <v>59</v>
      </c>
    </row>
    <row r="1969" spans="4:4" ht="17.649999999999999" x14ac:dyDescent="0.5">
      <c r="D1969" s="3" t="s">
        <v>101</v>
      </c>
    </row>
    <row r="1970" spans="4:4" ht="17.649999999999999" x14ac:dyDescent="0.5">
      <c r="D1970" s="3" t="s">
        <v>81</v>
      </c>
    </row>
    <row r="1971" spans="4:4" ht="17.649999999999999" x14ac:dyDescent="0.5">
      <c r="D1971" s="3" t="s">
        <v>113</v>
      </c>
    </row>
    <row r="1972" spans="4:4" ht="17.649999999999999" x14ac:dyDescent="0.5">
      <c r="D1972" s="3" t="s">
        <v>77</v>
      </c>
    </row>
    <row r="1973" spans="4:4" ht="17.649999999999999" x14ac:dyDescent="0.5">
      <c r="D1973" s="3" t="s">
        <v>109</v>
      </c>
    </row>
    <row r="1974" spans="4:4" ht="17.649999999999999" x14ac:dyDescent="0.5">
      <c r="D1974" s="3" t="s">
        <v>78</v>
      </c>
    </row>
    <row r="1975" spans="4:4" ht="17.649999999999999" x14ac:dyDescent="0.5">
      <c r="D1975" s="3" t="s">
        <v>50</v>
      </c>
    </row>
    <row r="1976" spans="4:4" ht="17.649999999999999" x14ac:dyDescent="0.5">
      <c r="D1976" s="3" t="s">
        <v>52</v>
      </c>
    </row>
    <row r="1977" spans="4:4" ht="17.649999999999999" x14ac:dyDescent="0.5">
      <c r="D1977" s="3" t="s">
        <v>62</v>
      </c>
    </row>
    <row r="1978" spans="4:4" ht="17.649999999999999" x14ac:dyDescent="0.5">
      <c r="D1978" s="3" t="s">
        <v>81</v>
      </c>
    </row>
    <row r="1979" spans="4:4" ht="17.649999999999999" x14ac:dyDescent="0.5">
      <c r="D1979" s="3" t="s">
        <v>49</v>
      </c>
    </row>
    <row r="1980" spans="4:4" ht="17.649999999999999" x14ac:dyDescent="0.5">
      <c r="D1980" s="3" t="s">
        <v>47</v>
      </c>
    </row>
    <row r="1981" spans="4:4" ht="17.649999999999999" x14ac:dyDescent="0.5">
      <c r="D1981" s="3" t="s">
        <v>102</v>
      </c>
    </row>
    <row r="1982" spans="4:4" ht="17.649999999999999" x14ac:dyDescent="0.5">
      <c r="D1982" s="3" t="s">
        <v>130</v>
      </c>
    </row>
    <row r="1983" spans="4:4" ht="17.649999999999999" x14ac:dyDescent="0.5">
      <c r="D1983" s="3" t="s">
        <v>47</v>
      </c>
    </row>
    <row r="1984" spans="4:4" ht="17.649999999999999" x14ac:dyDescent="0.5">
      <c r="D1984" s="3" t="s">
        <v>106</v>
      </c>
    </row>
    <row r="1985" spans="4:4" ht="17.649999999999999" x14ac:dyDescent="0.5">
      <c r="D1985" s="3" t="s">
        <v>67</v>
      </c>
    </row>
    <row r="1986" spans="4:4" ht="17.649999999999999" x14ac:dyDescent="0.5">
      <c r="D1986" s="3" t="s">
        <v>111</v>
      </c>
    </row>
    <row r="1987" spans="4:4" ht="17.649999999999999" x14ac:dyDescent="0.5">
      <c r="D1987" s="3" t="s">
        <v>54</v>
      </c>
    </row>
    <row r="1988" spans="4:4" ht="17.649999999999999" x14ac:dyDescent="0.5">
      <c r="D1988" s="3" t="s">
        <v>134</v>
      </c>
    </row>
    <row r="1989" spans="4:4" ht="17.649999999999999" x14ac:dyDescent="0.5">
      <c r="D1989" s="3" t="s">
        <v>116</v>
      </c>
    </row>
    <row r="1990" spans="4:4" ht="17.649999999999999" x14ac:dyDescent="0.5">
      <c r="D1990" s="3" t="s">
        <v>115</v>
      </c>
    </row>
    <row r="1991" spans="4:4" ht="17.649999999999999" x14ac:dyDescent="0.5">
      <c r="D1991" s="3" t="s">
        <v>85</v>
      </c>
    </row>
    <row r="1992" spans="4:4" ht="17.649999999999999" x14ac:dyDescent="0.5">
      <c r="D1992" s="3" t="s">
        <v>41</v>
      </c>
    </row>
    <row r="1993" spans="4:4" ht="17.649999999999999" x14ac:dyDescent="0.5">
      <c r="D1993" s="3" t="s">
        <v>127</v>
      </c>
    </row>
    <row r="1994" spans="4:4" ht="17.649999999999999" x14ac:dyDescent="0.5">
      <c r="D1994" s="3" t="s">
        <v>46</v>
      </c>
    </row>
    <row r="1995" spans="4:4" ht="17.649999999999999" x14ac:dyDescent="0.5">
      <c r="D1995" s="3" t="s">
        <v>81</v>
      </c>
    </row>
    <row r="1996" spans="4:4" ht="17.649999999999999" x14ac:dyDescent="0.5">
      <c r="D1996" s="3" t="s">
        <v>54</v>
      </c>
    </row>
    <row r="1997" spans="4:4" ht="17.649999999999999" x14ac:dyDescent="0.5">
      <c r="D1997" s="3" t="s">
        <v>84</v>
      </c>
    </row>
    <row r="1998" spans="4:4" ht="17.649999999999999" x14ac:dyDescent="0.5">
      <c r="D1998" s="3" t="s">
        <v>48</v>
      </c>
    </row>
    <row r="1999" spans="4:4" ht="17.649999999999999" x14ac:dyDescent="0.5">
      <c r="D1999" s="3" t="s">
        <v>130</v>
      </c>
    </row>
    <row r="2000" spans="4:4" ht="17.649999999999999" x14ac:dyDescent="0.5">
      <c r="D2000" s="3" t="s">
        <v>85</v>
      </c>
    </row>
    <row r="2001" spans="4:4" ht="17.649999999999999" x14ac:dyDescent="0.5">
      <c r="D2001" s="3" t="s">
        <v>96</v>
      </c>
    </row>
    <row r="2002" spans="4:4" ht="17.649999999999999" x14ac:dyDescent="0.5">
      <c r="D2002" s="3" t="s">
        <v>43</v>
      </c>
    </row>
    <row r="2003" spans="4:4" ht="17.649999999999999" x14ac:dyDescent="0.5">
      <c r="D2003" s="3" t="s">
        <v>117</v>
      </c>
    </row>
    <row r="2004" spans="4:4" ht="17.649999999999999" x14ac:dyDescent="0.5">
      <c r="D2004" s="3" t="s">
        <v>103</v>
      </c>
    </row>
    <row r="2005" spans="4:4" ht="17.649999999999999" x14ac:dyDescent="0.5">
      <c r="D2005" s="3" t="s">
        <v>63</v>
      </c>
    </row>
    <row r="2006" spans="4:4" ht="17.649999999999999" x14ac:dyDescent="0.5">
      <c r="D2006" s="3" t="s">
        <v>131</v>
      </c>
    </row>
    <row r="2007" spans="4:4" ht="17.649999999999999" x14ac:dyDescent="0.5">
      <c r="D2007" s="3" t="s">
        <v>92</v>
      </c>
    </row>
    <row r="2008" spans="4:4" ht="17.649999999999999" x14ac:dyDescent="0.5">
      <c r="D2008" s="3" t="s">
        <v>120</v>
      </c>
    </row>
    <row r="2009" spans="4:4" ht="17.649999999999999" x14ac:dyDescent="0.5">
      <c r="D2009" s="3" t="s">
        <v>91</v>
      </c>
    </row>
    <row r="2010" spans="4:4" ht="17.649999999999999" x14ac:dyDescent="0.5">
      <c r="D2010" s="3" t="s">
        <v>86</v>
      </c>
    </row>
    <row r="2011" spans="4:4" ht="17.649999999999999" x14ac:dyDescent="0.5">
      <c r="D2011" s="3" t="s">
        <v>134</v>
      </c>
    </row>
    <row r="2012" spans="4:4" ht="17.649999999999999" x14ac:dyDescent="0.5">
      <c r="D2012" s="3" t="s">
        <v>119</v>
      </c>
    </row>
    <row r="2013" spans="4:4" ht="17.649999999999999" x14ac:dyDescent="0.5">
      <c r="D2013" s="3" t="s">
        <v>41</v>
      </c>
    </row>
    <row r="2014" spans="4:4" ht="17.649999999999999" x14ac:dyDescent="0.5">
      <c r="D2014" s="3" t="s">
        <v>44</v>
      </c>
    </row>
    <row r="2015" spans="4:4" ht="17.649999999999999" x14ac:dyDescent="0.5">
      <c r="D2015" s="3" t="s">
        <v>57</v>
      </c>
    </row>
    <row r="2016" spans="4:4" ht="17.649999999999999" x14ac:dyDescent="0.5">
      <c r="D2016" s="3" t="s">
        <v>111</v>
      </c>
    </row>
    <row r="2017" spans="4:4" ht="17.649999999999999" x14ac:dyDescent="0.5">
      <c r="D2017" s="3" t="s">
        <v>82</v>
      </c>
    </row>
    <row r="2018" spans="4:4" ht="17.649999999999999" x14ac:dyDescent="0.5">
      <c r="D2018" s="3" t="s">
        <v>57</v>
      </c>
    </row>
    <row r="2019" spans="4:4" ht="17.649999999999999" x14ac:dyDescent="0.5">
      <c r="D2019" s="3" t="s">
        <v>112</v>
      </c>
    </row>
    <row r="2020" spans="4:4" ht="17.649999999999999" x14ac:dyDescent="0.5">
      <c r="D2020" s="3" t="s">
        <v>71</v>
      </c>
    </row>
    <row r="2021" spans="4:4" ht="17.649999999999999" x14ac:dyDescent="0.5">
      <c r="D2021" s="3" t="s">
        <v>65</v>
      </c>
    </row>
    <row r="2022" spans="4:4" ht="17.649999999999999" x14ac:dyDescent="0.5">
      <c r="D2022" s="3" t="s">
        <v>65</v>
      </c>
    </row>
    <row r="2023" spans="4:4" ht="17.649999999999999" x14ac:dyDescent="0.5">
      <c r="D2023" s="3" t="s">
        <v>55</v>
      </c>
    </row>
    <row r="2024" spans="4:4" ht="17.649999999999999" x14ac:dyDescent="0.5">
      <c r="D2024" s="3" t="s">
        <v>70</v>
      </c>
    </row>
    <row r="2025" spans="4:4" ht="17.649999999999999" x14ac:dyDescent="0.5">
      <c r="D2025" s="3" t="s">
        <v>44</v>
      </c>
    </row>
    <row r="2026" spans="4:4" ht="17.649999999999999" x14ac:dyDescent="0.5">
      <c r="D2026" s="3" t="s">
        <v>136</v>
      </c>
    </row>
    <row r="2027" spans="4:4" ht="17.649999999999999" x14ac:dyDescent="0.5">
      <c r="D2027" s="3" t="s">
        <v>120</v>
      </c>
    </row>
    <row r="2028" spans="4:4" ht="17.649999999999999" x14ac:dyDescent="0.5">
      <c r="D2028" s="3" t="s">
        <v>126</v>
      </c>
    </row>
    <row r="2029" spans="4:4" ht="17.649999999999999" x14ac:dyDescent="0.5">
      <c r="D2029" s="3" t="s">
        <v>51</v>
      </c>
    </row>
    <row r="2030" spans="4:4" ht="17.649999999999999" x14ac:dyDescent="0.5">
      <c r="D2030" s="3" t="s">
        <v>80</v>
      </c>
    </row>
    <row r="2031" spans="4:4" ht="17.649999999999999" x14ac:dyDescent="0.5">
      <c r="D2031" s="3" t="s">
        <v>61</v>
      </c>
    </row>
    <row r="2032" spans="4:4" ht="17.649999999999999" x14ac:dyDescent="0.5">
      <c r="D2032" s="3" t="s">
        <v>133</v>
      </c>
    </row>
    <row r="2033" spans="4:4" ht="17.649999999999999" x14ac:dyDescent="0.5">
      <c r="D2033" s="3" t="s">
        <v>76</v>
      </c>
    </row>
    <row r="2034" spans="4:4" ht="17.649999999999999" x14ac:dyDescent="0.5">
      <c r="D2034" s="3" t="s">
        <v>65</v>
      </c>
    </row>
    <row r="2035" spans="4:4" ht="17.649999999999999" x14ac:dyDescent="0.5">
      <c r="D2035" s="3" t="s">
        <v>103</v>
      </c>
    </row>
    <row r="2036" spans="4:4" ht="17.649999999999999" x14ac:dyDescent="0.5">
      <c r="D2036" s="3" t="s">
        <v>98</v>
      </c>
    </row>
    <row r="2037" spans="4:4" ht="17.649999999999999" x14ac:dyDescent="0.5">
      <c r="D2037" s="3" t="s">
        <v>53</v>
      </c>
    </row>
    <row r="2038" spans="4:4" ht="17.649999999999999" x14ac:dyDescent="0.5">
      <c r="D2038" s="3" t="s">
        <v>105</v>
      </c>
    </row>
    <row r="2039" spans="4:4" ht="17.649999999999999" x14ac:dyDescent="0.5">
      <c r="D2039" s="3" t="s">
        <v>74</v>
      </c>
    </row>
    <row r="2040" spans="4:4" ht="17.649999999999999" x14ac:dyDescent="0.5">
      <c r="D2040" s="3" t="s">
        <v>82</v>
      </c>
    </row>
    <row r="2041" spans="4:4" ht="17.649999999999999" x14ac:dyDescent="0.5">
      <c r="D2041" s="3" t="s">
        <v>60</v>
      </c>
    </row>
    <row r="2042" spans="4:4" ht="17.649999999999999" x14ac:dyDescent="0.5">
      <c r="D2042" s="3" t="s">
        <v>41</v>
      </c>
    </row>
    <row r="2043" spans="4:4" ht="17.649999999999999" x14ac:dyDescent="0.5">
      <c r="D2043" s="3" t="s">
        <v>64</v>
      </c>
    </row>
    <row r="2044" spans="4:4" ht="17.649999999999999" x14ac:dyDescent="0.5">
      <c r="D2044" s="3" t="s">
        <v>68</v>
      </c>
    </row>
    <row r="2045" spans="4:4" ht="17.649999999999999" x14ac:dyDescent="0.5">
      <c r="D2045" s="3" t="s">
        <v>136</v>
      </c>
    </row>
    <row r="2046" spans="4:4" ht="17.649999999999999" x14ac:dyDescent="0.5">
      <c r="D2046" s="3" t="s">
        <v>94</v>
      </c>
    </row>
    <row r="2047" spans="4:4" ht="17.649999999999999" x14ac:dyDescent="0.5">
      <c r="D2047" s="3" t="s">
        <v>99</v>
      </c>
    </row>
    <row r="2048" spans="4:4" ht="17.649999999999999" x14ac:dyDescent="0.5">
      <c r="D2048" s="3" t="s">
        <v>50</v>
      </c>
    </row>
    <row r="2049" spans="4:4" ht="17.649999999999999" x14ac:dyDescent="0.5">
      <c r="D2049" s="3" t="s">
        <v>55</v>
      </c>
    </row>
    <row r="2050" spans="4:4" ht="17.649999999999999" x14ac:dyDescent="0.5">
      <c r="D2050" s="3" t="s">
        <v>43</v>
      </c>
    </row>
    <row r="2051" spans="4:4" ht="17.649999999999999" x14ac:dyDescent="0.5">
      <c r="D2051" s="3" t="s">
        <v>45</v>
      </c>
    </row>
    <row r="2052" spans="4:4" ht="17.649999999999999" x14ac:dyDescent="0.5">
      <c r="D2052" s="3" t="s">
        <v>80</v>
      </c>
    </row>
    <row r="2053" spans="4:4" ht="17.649999999999999" x14ac:dyDescent="0.5">
      <c r="D2053" s="3" t="s">
        <v>116</v>
      </c>
    </row>
    <row r="2054" spans="4:4" ht="17.649999999999999" x14ac:dyDescent="0.5">
      <c r="D2054" s="3" t="s">
        <v>73</v>
      </c>
    </row>
    <row r="2055" spans="4:4" ht="17.649999999999999" x14ac:dyDescent="0.5">
      <c r="D2055" s="3" t="s">
        <v>98</v>
      </c>
    </row>
    <row r="2056" spans="4:4" ht="17.649999999999999" x14ac:dyDescent="0.5">
      <c r="D2056" s="3" t="s">
        <v>84</v>
      </c>
    </row>
    <row r="2057" spans="4:4" ht="17.649999999999999" x14ac:dyDescent="0.5">
      <c r="D2057" s="3" t="s">
        <v>58</v>
      </c>
    </row>
    <row r="2058" spans="4:4" ht="17.649999999999999" x14ac:dyDescent="0.5">
      <c r="D2058" s="3" t="s">
        <v>78</v>
      </c>
    </row>
    <row r="2059" spans="4:4" ht="17.649999999999999" x14ac:dyDescent="0.5">
      <c r="D2059" s="3" t="s">
        <v>81</v>
      </c>
    </row>
    <row r="2060" spans="4:4" ht="17.649999999999999" x14ac:dyDescent="0.5">
      <c r="D2060" s="3" t="s">
        <v>103</v>
      </c>
    </row>
    <row r="2061" spans="4:4" ht="17.649999999999999" x14ac:dyDescent="0.5">
      <c r="D2061" s="3" t="s">
        <v>132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baseColWidth="10" defaultRowHeight="15.75" x14ac:dyDescent="0.5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26</vt:i4>
      </vt:variant>
    </vt:vector>
  </HeadingPairs>
  <TitlesOfParts>
    <vt:vector size="26" baseType="lpstr">
      <vt:lpstr>plan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Sum</vt:lpstr>
      <vt:lpstr>Fig 2</vt:lpstr>
      <vt:lpstr>sum by subcat</vt:lpstr>
      <vt:lpstr>sum controls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taves</dc:creator>
  <cp:lastModifiedBy>Jay Taves</cp:lastModifiedBy>
  <cp:lastPrinted>2016-04-25T13:37:56Z</cp:lastPrinted>
  <dcterms:created xsi:type="dcterms:W3CDTF">2016-03-17T22:57:46Z</dcterms:created>
  <dcterms:modified xsi:type="dcterms:W3CDTF">2016-06-20T20:36:33Z</dcterms:modified>
</cp:coreProperties>
</file>